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afae\Downloads\EHD209_PCH_Solar_2025\planilha_geral\"/>
    </mc:Choice>
  </mc:AlternateContent>
  <xr:revisionPtr revIDLastSave="0" documentId="13_ncr:1_{ED12D939-AEBC-42B4-BD35-C157E22056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urva de Permanência" sheetId="1" r:id="rId1"/>
    <sheet name="Vazão Ótima" sheetId="5" r:id="rId2"/>
    <sheet name="Planilha1" sheetId="4" state="hidden" r:id="rId3"/>
    <sheet name="Benefício Econômico (PCH)" sheetId="2" r:id="rId4"/>
    <sheet name="Solar" sheetId="6" r:id="rId5"/>
    <sheet name="Total" sheetId="7" r:id="rId6"/>
    <sheet name="Cálculos Energéticos 2 (Aula)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1" l="1"/>
  <c r="H29" i="1"/>
  <c r="H28" i="1"/>
  <c r="H27" i="1"/>
  <c r="H26" i="1"/>
  <c r="H25" i="1"/>
  <c r="H24" i="1"/>
  <c r="H23" i="1"/>
  <c r="H1071" i="2"/>
  <c r="I1071" i="2" s="1"/>
  <c r="H1063" i="2"/>
  <c r="I1063" i="2" s="1"/>
  <c r="H1055" i="2"/>
  <c r="I1055" i="2" s="1"/>
  <c r="H1039" i="2"/>
  <c r="I1039" i="2" s="1"/>
  <c r="H1031" i="2"/>
  <c r="I1031" i="2" s="1"/>
  <c r="H1023" i="2"/>
  <c r="I1023" i="2" s="1"/>
  <c r="H1015" i="2"/>
  <c r="I1015" i="2" s="1"/>
  <c r="H1007" i="2"/>
  <c r="I1007" i="2" s="1"/>
  <c r="H999" i="2"/>
  <c r="I999" i="2" s="1"/>
  <c r="H991" i="2"/>
  <c r="I991" i="2" s="1"/>
  <c r="H983" i="2"/>
  <c r="I983" i="2" s="1"/>
  <c r="H975" i="2"/>
  <c r="I975" i="2" s="1"/>
  <c r="H959" i="2"/>
  <c r="I959" i="2" s="1"/>
  <c r="H951" i="2"/>
  <c r="I951" i="2" s="1"/>
  <c r="H943" i="2"/>
  <c r="I943" i="2" s="1"/>
  <c r="H935" i="2"/>
  <c r="I935" i="2" s="1"/>
  <c r="H927" i="2"/>
  <c r="I927" i="2" s="1"/>
  <c r="H919" i="2"/>
  <c r="I919" i="2" s="1"/>
  <c r="H911" i="2"/>
  <c r="I911" i="2" s="1"/>
  <c r="H903" i="2"/>
  <c r="I903" i="2" s="1"/>
  <c r="H887" i="2"/>
  <c r="I887" i="2" s="1"/>
  <c r="H879" i="2"/>
  <c r="I879" i="2" s="1"/>
  <c r="H871" i="2"/>
  <c r="I871" i="2" s="1"/>
  <c r="H863" i="2"/>
  <c r="I863" i="2" s="1"/>
  <c r="H855" i="2"/>
  <c r="I855" i="2" s="1"/>
  <c r="H847" i="2"/>
  <c r="I847" i="2" s="1"/>
  <c r="H839" i="2"/>
  <c r="I839" i="2" s="1"/>
  <c r="H823" i="2"/>
  <c r="I823" i="2" s="1"/>
  <c r="H815" i="2"/>
  <c r="I815" i="2" s="1"/>
  <c r="H807" i="2"/>
  <c r="I807" i="2" s="1"/>
  <c r="H799" i="2"/>
  <c r="I799" i="2" s="1"/>
  <c r="H791" i="2"/>
  <c r="I791" i="2" s="1"/>
  <c r="H783" i="2"/>
  <c r="I783" i="2" s="1"/>
  <c r="H775" i="2"/>
  <c r="I775" i="2" s="1"/>
  <c r="H767" i="2"/>
  <c r="I767" i="2" s="1"/>
  <c r="H759" i="2"/>
  <c r="I759" i="2" s="1"/>
  <c r="H751" i="2"/>
  <c r="I751" i="2" s="1"/>
  <c r="H743" i="2"/>
  <c r="I743" i="2" s="1"/>
  <c r="H727" i="2"/>
  <c r="I727" i="2" s="1"/>
  <c r="H719" i="2"/>
  <c r="I719" i="2" s="1"/>
  <c r="H711" i="2"/>
  <c r="I711" i="2" s="1"/>
  <c r="H703" i="2"/>
  <c r="I703" i="2" s="1"/>
  <c r="H695" i="2"/>
  <c r="I695" i="2" s="1"/>
  <c r="H687" i="2"/>
  <c r="I687" i="2" s="1"/>
  <c r="H679" i="2"/>
  <c r="I679" i="2" s="1"/>
  <c r="H663" i="2"/>
  <c r="I663" i="2" s="1"/>
  <c r="H655" i="2"/>
  <c r="I655" i="2" s="1"/>
  <c r="H647" i="2"/>
  <c r="I647" i="2" s="1"/>
  <c r="H639" i="2"/>
  <c r="I639" i="2" s="1"/>
  <c r="H631" i="2"/>
  <c r="I631" i="2" s="1"/>
  <c r="H623" i="2"/>
  <c r="I623" i="2" s="1"/>
  <c r="H615" i="2"/>
  <c r="I615" i="2" s="1"/>
  <c r="H599" i="2"/>
  <c r="I599" i="2" s="1"/>
  <c r="H591" i="2"/>
  <c r="I591" i="2" s="1"/>
  <c r="H583" i="2"/>
  <c r="I583" i="2" s="1"/>
  <c r="H575" i="2"/>
  <c r="I575" i="2" s="1"/>
  <c r="H567" i="2"/>
  <c r="I567" i="2" s="1"/>
  <c r="H559" i="2"/>
  <c r="I559" i="2" s="1"/>
  <c r="H551" i="2"/>
  <c r="I551" i="2" s="1"/>
  <c r="H543" i="2"/>
  <c r="I543" i="2" s="1"/>
  <c r="H527" i="2"/>
  <c r="I527" i="2" s="1"/>
  <c r="H519" i="2"/>
  <c r="I519" i="2" s="1"/>
  <c r="H511" i="2"/>
  <c r="I511" i="2" s="1"/>
  <c r="H503" i="2"/>
  <c r="I503" i="2" s="1"/>
  <c r="H495" i="2"/>
  <c r="I495" i="2" s="1"/>
  <c r="H487" i="2"/>
  <c r="I487" i="2" s="1"/>
  <c r="H479" i="2"/>
  <c r="I479" i="2" s="1"/>
  <c r="H463" i="2"/>
  <c r="I463" i="2" s="1"/>
  <c r="H455" i="2"/>
  <c r="I455" i="2" s="1"/>
  <c r="H447" i="2"/>
  <c r="I447" i="2" s="1"/>
  <c r="H439" i="2"/>
  <c r="I439" i="2" s="1"/>
  <c r="H431" i="2"/>
  <c r="I431" i="2" s="1"/>
  <c r="H423" i="2"/>
  <c r="I423" i="2" s="1"/>
  <c r="H415" i="2"/>
  <c r="I415" i="2" s="1"/>
  <c r="H407" i="2"/>
  <c r="I407" i="2" s="1"/>
  <c r="H383" i="2"/>
  <c r="I383" i="2" s="1"/>
  <c r="H375" i="2"/>
  <c r="I375" i="2" s="1"/>
  <c r="H367" i="2"/>
  <c r="I367" i="2" s="1"/>
  <c r="H359" i="2"/>
  <c r="I359" i="2" s="1"/>
  <c r="H351" i="2"/>
  <c r="I351" i="2" s="1"/>
  <c r="H343" i="2"/>
  <c r="I343" i="2" s="1"/>
  <c r="H335" i="2"/>
  <c r="I335" i="2" s="1"/>
  <c r="H327" i="2"/>
  <c r="I327" i="2" s="1"/>
  <c r="H311" i="2"/>
  <c r="I311" i="2" s="1"/>
  <c r="H303" i="2"/>
  <c r="I303" i="2" s="1"/>
  <c r="H295" i="2"/>
  <c r="I295" i="2" s="1"/>
  <c r="H287" i="2"/>
  <c r="I287" i="2" s="1"/>
  <c r="H279" i="2"/>
  <c r="I279" i="2" s="1"/>
  <c r="H271" i="2"/>
  <c r="I271" i="2" s="1"/>
  <c r="H263" i="2"/>
  <c r="I263" i="2" s="1"/>
  <c r="H255" i="2"/>
  <c r="I255" i="2" s="1"/>
  <c r="H239" i="2"/>
  <c r="I239" i="2" s="1"/>
  <c r="H231" i="2"/>
  <c r="I231" i="2" s="1"/>
  <c r="H223" i="2"/>
  <c r="I223" i="2" s="1"/>
  <c r="H215" i="2"/>
  <c r="I215" i="2" s="1"/>
  <c r="H207" i="2"/>
  <c r="I207" i="2" s="1"/>
  <c r="H199" i="2"/>
  <c r="I199" i="2" s="1"/>
  <c r="H191" i="2"/>
  <c r="I191" i="2" s="1"/>
  <c r="H183" i="2"/>
  <c r="I183" i="2" s="1"/>
  <c r="H167" i="2"/>
  <c r="I167" i="2" s="1"/>
  <c r="H159" i="2"/>
  <c r="I159" i="2" s="1"/>
  <c r="H151" i="2"/>
  <c r="I151" i="2" s="1"/>
  <c r="H143" i="2"/>
  <c r="I143" i="2" s="1"/>
  <c r="H135" i="2"/>
  <c r="I135" i="2" s="1"/>
  <c r="H127" i="2"/>
  <c r="I127" i="2" s="1"/>
  <c r="H119" i="2"/>
  <c r="I119" i="2" s="1"/>
  <c r="H103" i="2"/>
  <c r="I103" i="2" s="1"/>
  <c r="H95" i="2"/>
  <c r="I95" i="2" s="1"/>
  <c r="H87" i="2"/>
  <c r="I87" i="2" s="1"/>
  <c r="H79" i="2"/>
  <c r="I79" i="2" s="1"/>
  <c r="H71" i="2"/>
  <c r="I71" i="2" s="1"/>
  <c r="H63" i="2"/>
  <c r="I63" i="2" s="1"/>
  <c r="H55" i="2"/>
  <c r="I55" i="2" s="1"/>
  <c r="H39" i="2"/>
  <c r="I39" i="2" s="1"/>
  <c r="H31" i="2"/>
  <c r="I31" i="2" s="1"/>
  <c r="H23" i="2"/>
  <c r="I23" i="2" s="1"/>
  <c r="H15" i="2"/>
  <c r="I15" i="2" s="1"/>
  <c r="H7" i="2"/>
  <c r="I7" i="2" s="1"/>
  <c r="F2" i="1"/>
  <c r="G2" i="1"/>
  <c r="C3" i="1"/>
  <c r="D3" i="1"/>
  <c r="F3" i="1"/>
  <c r="G3" i="1"/>
  <c r="C4" i="1"/>
  <c r="D4" i="1"/>
  <c r="F4" i="1" s="1"/>
  <c r="G4" i="1"/>
  <c r="C5" i="1"/>
  <c r="G5" i="1"/>
  <c r="C6" i="1"/>
  <c r="G6" i="1"/>
  <c r="C7" i="1"/>
  <c r="G7" i="1"/>
  <c r="C8" i="1"/>
  <c r="G8" i="1"/>
  <c r="C9" i="1"/>
  <c r="G9" i="1"/>
  <c r="C10" i="1"/>
  <c r="G10" i="1"/>
  <c r="C11" i="1"/>
  <c r="G11" i="1"/>
  <c r="C12" i="1"/>
  <c r="G12" i="1"/>
  <c r="C13" i="1"/>
  <c r="G13" i="1"/>
  <c r="C14" i="1"/>
  <c r="G14" i="1"/>
  <c r="C15" i="1"/>
  <c r="G15" i="1"/>
  <c r="C16" i="1"/>
  <c r="G16" i="1"/>
  <c r="C17" i="1"/>
  <c r="G17" i="1"/>
  <c r="C18" i="1"/>
  <c r="G18" i="1"/>
  <c r="C19" i="1"/>
  <c r="G19" i="1"/>
  <c r="C20" i="1"/>
  <c r="G20" i="1"/>
  <c r="C21" i="1"/>
  <c r="G21" i="1"/>
  <c r="C22" i="1"/>
  <c r="G22" i="1"/>
  <c r="C23" i="1"/>
  <c r="G23" i="1"/>
  <c r="C24" i="1"/>
  <c r="G24" i="1"/>
  <c r="C25" i="1"/>
  <c r="G25" i="1"/>
  <c r="C26" i="1"/>
  <c r="G26" i="1"/>
  <c r="C27" i="1"/>
  <c r="G27" i="1"/>
  <c r="C28" i="1"/>
  <c r="G28" i="1"/>
  <c r="C29" i="1"/>
  <c r="G29" i="1"/>
  <c r="C30" i="1"/>
  <c r="G30" i="1"/>
  <c r="C31" i="1"/>
  <c r="G31" i="1"/>
  <c r="C32" i="1"/>
  <c r="G32" i="1"/>
  <c r="C33" i="1"/>
  <c r="G33" i="1"/>
  <c r="C34" i="1"/>
  <c r="G34" i="1"/>
  <c r="C35" i="1"/>
  <c r="G35" i="1"/>
  <c r="C36" i="1"/>
  <c r="G36" i="1"/>
  <c r="C37" i="1"/>
  <c r="G37" i="1"/>
  <c r="C38" i="1"/>
  <c r="G38" i="1"/>
  <c r="C39" i="1"/>
  <c r="G39" i="1"/>
  <c r="C40" i="1"/>
  <c r="G40" i="1"/>
  <c r="C41" i="1"/>
  <c r="G41" i="1"/>
  <c r="C42" i="1"/>
  <c r="G42" i="1"/>
  <c r="C43" i="1"/>
  <c r="G43" i="1"/>
  <c r="C44" i="1"/>
  <c r="G44" i="1"/>
  <c r="C45" i="1"/>
  <c r="G45" i="1"/>
  <c r="C46" i="1"/>
  <c r="G46" i="1"/>
  <c r="C47" i="1"/>
  <c r="G47" i="1"/>
  <c r="C48" i="1"/>
  <c r="G48" i="1"/>
  <c r="C49" i="1"/>
  <c r="G49" i="1"/>
  <c r="C50" i="1"/>
  <c r="G50" i="1"/>
  <c r="C51" i="1"/>
  <c r="G51" i="1"/>
  <c r="C52" i="1"/>
  <c r="G52" i="1"/>
  <c r="C53" i="1"/>
  <c r="G53" i="1"/>
  <c r="C54" i="1"/>
  <c r="G54" i="1"/>
  <c r="C55" i="1"/>
  <c r="G55" i="1"/>
  <c r="C56" i="1"/>
  <c r="G56" i="1"/>
  <c r="C57" i="1"/>
  <c r="G57" i="1"/>
  <c r="C58" i="1"/>
  <c r="G58" i="1"/>
  <c r="C59" i="1"/>
  <c r="G59" i="1"/>
  <c r="C60" i="1"/>
  <c r="G60" i="1"/>
  <c r="C61" i="1"/>
  <c r="G61" i="1"/>
  <c r="C62" i="1"/>
  <c r="G62" i="1"/>
  <c r="C63" i="1"/>
  <c r="G63" i="1"/>
  <c r="C64" i="1"/>
  <c r="G64" i="1"/>
  <c r="C65" i="1"/>
  <c r="G65" i="1"/>
  <c r="C66" i="1"/>
  <c r="G66" i="1"/>
  <c r="C67" i="1"/>
  <c r="G67" i="1"/>
  <c r="C68" i="1"/>
  <c r="G68" i="1"/>
  <c r="C69" i="1"/>
  <c r="G69" i="1"/>
  <c r="C70" i="1"/>
  <c r="G70" i="1"/>
  <c r="C71" i="1"/>
  <c r="G71" i="1"/>
  <c r="C72" i="1"/>
  <c r="G72" i="1"/>
  <c r="C73" i="1"/>
  <c r="G73" i="1"/>
  <c r="C74" i="1"/>
  <c r="G74" i="1"/>
  <c r="C75" i="1"/>
  <c r="G75" i="1"/>
  <c r="C76" i="1"/>
  <c r="G76" i="1"/>
  <c r="C77" i="1"/>
  <c r="G77" i="1"/>
  <c r="C78" i="1"/>
  <c r="G78" i="1"/>
  <c r="C79" i="1"/>
  <c r="G79" i="1"/>
  <c r="C80" i="1"/>
  <c r="G80" i="1"/>
  <c r="C81" i="1"/>
  <c r="G81" i="1"/>
  <c r="C82" i="1"/>
  <c r="G82" i="1"/>
  <c r="C83" i="1"/>
  <c r="G83" i="1"/>
  <c r="C84" i="1"/>
  <c r="G84" i="1"/>
  <c r="C85" i="1"/>
  <c r="G85" i="1"/>
  <c r="C86" i="1"/>
  <c r="G86" i="1"/>
  <c r="C87" i="1"/>
  <c r="G87" i="1"/>
  <c r="C88" i="1"/>
  <c r="G88" i="1"/>
  <c r="C89" i="1"/>
  <c r="G89" i="1"/>
  <c r="C90" i="1"/>
  <c r="G90" i="1"/>
  <c r="C91" i="1"/>
  <c r="G91" i="1"/>
  <c r="C92" i="1"/>
  <c r="G92" i="1"/>
  <c r="C93" i="1"/>
  <c r="G93" i="1"/>
  <c r="C94" i="1"/>
  <c r="G94" i="1"/>
  <c r="C95" i="1"/>
  <c r="G95" i="1"/>
  <c r="C96" i="1"/>
  <c r="G96" i="1"/>
  <c r="C97" i="1"/>
  <c r="G97" i="1"/>
  <c r="C98" i="1"/>
  <c r="G98" i="1"/>
  <c r="C99" i="1"/>
  <c r="G99" i="1"/>
  <c r="C100" i="1"/>
  <c r="G100" i="1"/>
  <c r="C101" i="1"/>
  <c r="G101" i="1"/>
  <c r="C102" i="1"/>
  <c r="G102" i="1"/>
  <c r="C103" i="1"/>
  <c r="G103" i="1"/>
  <c r="C104" i="1"/>
  <c r="G104" i="1"/>
  <c r="C105" i="1"/>
  <c r="G105" i="1"/>
  <c r="C106" i="1"/>
  <c r="G106" i="1"/>
  <c r="C107" i="1"/>
  <c r="G107" i="1"/>
  <c r="C108" i="1"/>
  <c r="G108" i="1"/>
  <c r="C109" i="1"/>
  <c r="G109" i="1"/>
  <c r="C110" i="1"/>
  <c r="G110" i="1"/>
  <c r="C111" i="1"/>
  <c r="G111" i="1"/>
  <c r="C112" i="1"/>
  <c r="G112" i="1"/>
  <c r="C113" i="1"/>
  <c r="G113" i="1"/>
  <c r="C114" i="1"/>
  <c r="G114" i="1"/>
  <c r="C115" i="1"/>
  <c r="G115" i="1"/>
  <c r="C116" i="1"/>
  <c r="G116" i="1"/>
  <c r="C117" i="1"/>
  <c r="G117" i="1"/>
  <c r="C118" i="1"/>
  <c r="G118" i="1"/>
  <c r="C119" i="1"/>
  <c r="G119" i="1"/>
  <c r="C120" i="1"/>
  <c r="G120" i="1"/>
  <c r="C121" i="1"/>
  <c r="G121" i="1"/>
  <c r="C122" i="1"/>
  <c r="G122" i="1"/>
  <c r="C123" i="1"/>
  <c r="G123" i="1"/>
  <c r="C124" i="1"/>
  <c r="G124" i="1"/>
  <c r="C125" i="1"/>
  <c r="G125" i="1"/>
  <c r="C126" i="1"/>
  <c r="G126" i="1"/>
  <c r="C127" i="1"/>
  <c r="G127" i="1"/>
  <c r="C128" i="1"/>
  <c r="G128" i="1"/>
  <c r="C129" i="1"/>
  <c r="G129" i="1"/>
  <c r="C130" i="1"/>
  <c r="G130" i="1"/>
  <c r="C131" i="1"/>
  <c r="G131" i="1"/>
  <c r="C132" i="1"/>
  <c r="G132" i="1"/>
  <c r="C133" i="1"/>
  <c r="G133" i="1"/>
  <c r="C134" i="1"/>
  <c r="G134" i="1"/>
  <c r="C135" i="1"/>
  <c r="G135" i="1"/>
  <c r="C136" i="1"/>
  <c r="G136" i="1"/>
  <c r="C137" i="1"/>
  <c r="G137" i="1"/>
  <c r="C138" i="1"/>
  <c r="G138" i="1"/>
  <c r="C139" i="1"/>
  <c r="G139" i="1"/>
  <c r="C140" i="1"/>
  <c r="G140" i="1"/>
  <c r="C141" i="1"/>
  <c r="G141" i="1"/>
  <c r="C142" i="1"/>
  <c r="G142" i="1"/>
  <c r="C143" i="1"/>
  <c r="G143" i="1"/>
  <c r="C144" i="1"/>
  <c r="G144" i="1"/>
  <c r="C145" i="1"/>
  <c r="G145" i="1"/>
  <c r="C146" i="1"/>
  <c r="G146" i="1"/>
  <c r="C147" i="1"/>
  <c r="G147" i="1"/>
  <c r="C148" i="1"/>
  <c r="G148" i="1"/>
  <c r="C149" i="1"/>
  <c r="G149" i="1"/>
  <c r="C150" i="1"/>
  <c r="G150" i="1"/>
  <c r="C151" i="1"/>
  <c r="G151" i="1"/>
  <c r="C152" i="1"/>
  <c r="G152" i="1"/>
  <c r="C153" i="1"/>
  <c r="G153" i="1"/>
  <c r="C154" i="1"/>
  <c r="G154" i="1"/>
  <c r="C155" i="1"/>
  <c r="G155" i="1"/>
  <c r="C156" i="1"/>
  <c r="G156" i="1"/>
  <c r="C157" i="1"/>
  <c r="G157" i="1"/>
  <c r="C158" i="1"/>
  <c r="G158" i="1"/>
  <c r="C159" i="1"/>
  <c r="G159" i="1"/>
  <c r="C160" i="1"/>
  <c r="G160" i="1"/>
  <c r="C161" i="1"/>
  <c r="G161" i="1"/>
  <c r="C162" i="1"/>
  <c r="G162" i="1"/>
  <c r="C163" i="1"/>
  <c r="G163" i="1"/>
  <c r="C164" i="1"/>
  <c r="G164" i="1"/>
  <c r="C165" i="1"/>
  <c r="G165" i="1"/>
  <c r="C166" i="1"/>
  <c r="G166" i="1"/>
  <c r="C167" i="1"/>
  <c r="G167" i="1"/>
  <c r="C168" i="1"/>
  <c r="G168" i="1"/>
  <c r="C169" i="1"/>
  <c r="G169" i="1"/>
  <c r="C170" i="1"/>
  <c r="G170" i="1"/>
  <c r="C171" i="1"/>
  <c r="G171" i="1"/>
  <c r="C172" i="1"/>
  <c r="G172" i="1"/>
  <c r="C173" i="1"/>
  <c r="G173" i="1"/>
  <c r="C174" i="1"/>
  <c r="G174" i="1"/>
  <c r="C175" i="1"/>
  <c r="G175" i="1"/>
  <c r="C176" i="1"/>
  <c r="G176" i="1"/>
  <c r="C177" i="1"/>
  <c r="G177" i="1"/>
  <c r="C178" i="1"/>
  <c r="G178" i="1"/>
  <c r="C179" i="1"/>
  <c r="G179" i="1"/>
  <c r="C180" i="1"/>
  <c r="G180" i="1"/>
  <c r="C181" i="1"/>
  <c r="G181" i="1"/>
  <c r="C182" i="1"/>
  <c r="G182" i="1"/>
  <c r="C183" i="1"/>
  <c r="G183" i="1"/>
  <c r="C184" i="1"/>
  <c r="G184" i="1"/>
  <c r="C185" i="1"/>
  <c r="G185" i="1"/>
  <c r="C186" i="1"/>
  <c r="G186" i="1"/>
  <c r="C187" i="1"/>
  <c r="G187" i="1"/>
  <c r="C188" i="1"/>
  <c r="G188" i="1"/>
  <c r="C189" i="1"/>
  <c r="G189" i="1"/>
  <c r="C190" i="1"/>
  <c r="G190" i="1"/>
  <c r="C191" i="1"/>
  <c r="G191" i="1"/>
  <c r="C192" i="1"/>
  <c r="G192" i="1"/>
  <c r="C193" i="1"/>
  <c r="G193" i="1"/>
  <c r="C194" i="1"/>
  <c r="G194" i="1"/>
  <c r="C195" i="1"/>
  <c r="G195" i="1"/>
  <c r="C196" i="1"/>
  <c r="G196" i="1"/>
  <c r="C197" i="1"/>
  <c r="G197" i="1"/>
  <c r="C198" i="1"/>
  <c r="G198" i="1"/>
  <c r="C199" i="1"/>
  <c r="G199" i="1"/>
  <c r="C200" i="1"/>
  <c r="G200" i="1"/>
  <c r="C201" i="1"/>
  <c r="G201" i="1"/>
  <c r="C202" i="1"/>
  <c r="G202" i="1"/>
  <c r="C203" i="1"/>
  <c r="G203" i="1"/>
  <c r="C204" i="1"/>
  <c r="G204" i="1"/>
  <c r="C205" i="1"/>
  <c r="G205" i="1"/>
  <c r="C206" i="1"/>
  <c r="G206" i="1"/>
  <c r="C207" i="1"/>
  <c r="G207" i="1"/>
  <c r="C208" i="1"/>
  <c r="G208" i="1"/>
  <c r="C209" i="1"/>
  <c r="G209" i="1"/>
  <c r="C210" i="1"/>
  <c r="G210" i="1"/>
  <c r="C211" i="1"/>
  <c r="G211" i="1"/>
  <c r="C212" i="1"/>
  <c r="G212" i="1"/>
  <c r="C213" i="1"/>
  <c r="G213" i="1"/>
  <c r="C214" i="1"/>
  <c r="G214" i="1"/>
  <c r="C215" i="1"/>
  <c r="G215" i="1"/>
  <c r="C216" i="1"/>
  <c r="G216" i="1"/>
  <c r="C217" i="1"/>
  <c r="G217" i="1"/>
  <c r="C218" i="1"/>
  <c r="G218" i="1"/>
  <c r="C219" i="1"/>
  <c r="G219" i="1"/>
  <c r="C220" i="1"/>
  <c r="G220" i="1"/>
  <c r="C221" i="1"/>
  <c r="G221" i="1"/>
  <c r="C222" i="1"/>
  <c r="G222" i="1"/>
  <c r="C223" i="1"/>
  <c r="G223" i="1"/>
  <c r="C224" i="1"/>
  <c r="G224" i="1"/>
  <c r="C225" i="1"/>
  <c r="G225" i="1"/>
  <c r="C226" i="1"/>
  <c r="G226" i="1"/>
  <c r="C227" i="1"/>
  <c r="G227" i="1"/>
  <c r="C228" i="1"/>
  <c r="G228" i="1"/>
  <c r="C229" i="1"/>
  <c r="G229" i="1"/>
  <c r="C230" i="1"/>
  <c r="G230" i="1"/>
  <c r="C231" i="1"/>
  <c r="G231" i="1"/>
  <c r="C232" i="1"/>
  <c r="G232" i="1"/>
  <c r="C233" i="1"/>
  <c r="G233" i="1"/>
  <c r="C234" i="1"/>
  <c r="G234" i="1"/>
  <c r="C235" i="1"/>
  <c r="G235" i="1"/>
  <c r="C236" i="1"/>
  <c r="G236" i="1"/>
  <c r="C237" i="1"/>
  <c r="G237" i="1"/>
  <c r="C238" i="1"/>
  <c r="G238" i="1"/>
  <c r="C239" i="1"/>
  <c r="G239" i="1"/>
  <c r="C240" i="1"/>
  <c r="G240" i="1"/>
  <c r="C241" i="1"/>
  <c r="G241" i="1"/>
  <c r="C242" i="1"/>
  <c r="G242" i="1"/>
  <c r="C243" i="1"/>
  <c r="G243" i="1"/>
  <c r="C244" i="1"/>
  <c r="G244" i="1"/>
  <c r="C245" i="1"/>
  <c r="G245" i="1"/>
  <c r="C246" i="1"/>
  <c r="G246" i="1"/>
  <c r="C247" i="1"/>
  <c r="G247" i="1"/>
  <c r="C248" i="1"/>
  <c r="G248" i="1"/>
  <c r="C249" i="1"/>
  <c r="G249" i="1"/>
  <c r="C250" i="1"/>
  <c r="G250" i="1"/>
  <c r="C251" i="1"/>
  <c r="G251" i="1"/>
  <c r="C252" i="1"/>
  <c r="G252" i="1"/>
  <c r="C253" i="1"/>
  <c r="G253" i="1"/>
  <c r="C254" i="1"/>
  <c r="G254" i="1"/>
  <c r="C255" i="1"/>
  <c r="G255" i="1"/>
  <c r="C256" i="1"/>
  <c r="G256" i="1"/>
  <c r="C257" i="1"/>
  <c r="G257" i="1"/>
  <c r="C258" i="1"/>
  <c r="G258" i="1"/>
  <c r="C259" i="1"/>
  <c r="G259" i="1"/>
  <c r="C260" i="1"/>
  <c r="G260" i="1"/>
  <c r="C261" i="1"/>
  <c r="G261" i="1"/>
  <c r="C262" i="1"/>
  <c r="G262" i="1"/>
  <c r="C263" i="1"/>
  <c r="G263" i="1"/>
  <c r="C264" i="1"/>
  <c r="G264" i="1"/>
  <c r="C265" i="1"/>
  <c r="G265" i="1"/>
  <c r="C266" i="1"/>
  <c r="G266" i="1"/>
  <c r="C267" i="1"/>
  <c r="G267" i="1"/>
  <c r="C268" i="1"/>
  <c r="G268" i="1"/>
  <c r="C269" i="1"/>
  <c r="G269" i="1"/>
  <c r="C270" i="1"/>
  <c r="G270" i="1"/>
  <c r="C271" i="1"/>
  <c r="G271" i="1"/>
  <c r="C272" i="1"/>
  <c r="G272" i="1"/>
  <c r="C273" i="1"/>
  <c r="G273" i="1"/>
  <c r="C274" i="1"/>
  <c r="G274" i="1"/>
  <c r="C275" i="1"/>
  <c r="G275" i="1"/>
  <c r="C276" i="1"/>
  <c r="G276" i="1"/>
  <c r="C277" i="1"/>
  <c r="G277" i="1"/>
  <c r="C278" i="1"/>
  <c r="G278" i="1"/>
  <c r="C279" i="1"/>
  <c r="G279" i="1"/>
  <c r="C280" i="1"/>
  <c r="G280" i="1"/>
  <c r="C281" i="1"/>
  <c r="G281" i="1"/>
  <c r="C282" i="1"/>
  <c r="G282" i="1"/>
  <c r="C283" i="1"/>
  <c r="G283" i="1"/>
  <c r="C284" i="1"/>
  <c r="G284" i="1"/>
  <c r="C285" i="1"/>
  <c r="G285" i="1"/>
  <c r="C286" i="1"/>
  <c r="G286" i="1"/>
  <c r="C287" i="1"/>
  <c r="G287" i="1"/>
  <c r="C288" i="1"/>
  <c r="G288" i="1"/>
  <c r="C289" i="1"/>
  <c r="G289" i="1"/>
  <c r="C290" i="1"/>
  <c r="G290" i="1"/>
  <c r="C291" i="1"/>
  <c r="G291" i="1"/>
  <c r="C292" i="1"/>
  <c r="G292" i="1"/>
  <c r="C293" i="1"/>
  <c r="G293" i="1"/>
  <c r="C294" i="1"/>
  <c r="G294" i="1"/>
  <c r="C295" i="1"/>
  <c r="G295" i="1"/>
  <c r="C296" i="1"/>
  <c r="G296" i="1"/>
  <c r="C297" i="1"/>
  <c r="G297" i="1"/>
  <c r="C298" i="1"/>
  <c r="G298" i="1"/>
  <c r="C299" i="1"/>
  <c r="G299" i="1"/>
  <c r="C300" i="1"/>
  <c r="G300" i="1"/>
  <c r="C301" i="1"/>
  <c r="G301" i="1"/>
  <c r="C302" i="1"/>
  <c r="G302" i="1"/>
  <c r="C303" i="1"/>
  <c r="G303" i="1"/>
  <c r="C304" i="1"/>
  <c r="G304" i="1"/>
  <c r="C305" i="1"/>
  <c r="G305" i="1"/>
  <c r="C306" i="1"/>
  <c r="G306" i="1"/>
  <c r="C307" i="1"/>
  <c r="G307" i="1"/>
  <c r="C308" i="1"/>
  <c r="G308" i="1"/>
  <c r="C309" i="1"/>
  <c r="G309" i="1"/>
  <c r="C310" i="1"/>
  <c r="G310" i="1"/>
  <c r="C311" i="1"/>
  <c r="G311" i="1"/>
  <c r="C312" i="1"/>
  <c r="G312" i="1"/>
  <c r="C313" i="1"/>
  <c r="G313" i="1"/>
  <c r="C314" i="1"/>
  <c r="G314" i="1"/>
  <c r="C315" i="1"/>
  <c r="G315" i="1"/>
  <c r="C316" i="1"/>
  <c r="G316" i="1"/>
  <c r="C317" i="1"/>
  <c r="G317" i="1"/>
  <c r="C318" i="1"/>
  <c r="G318" i="1"/>
  <c r="C319" i="1"/>
  <c r="G319" i="1"/>
  <c r="C320" i="1"/>
  <c r="G320" i="1"/>
  <c r="C321" i="1"/>
  <c r="G321" i="1"/>
  <c r="C322" i="1"/>
  <c r="G322" i="1"/>
  <c r="C323" i="1"/>
  <c r="G323" i="1"/>
  <c r="C324" i="1"/>
  <c r="G324" i="1"/>
  <c r="C325" i="1"/>
  <c r="G325" i="1"/>
  <c r="C326" i="1"/>
  <c r="G326" i="1"/>
  <c r="C327" i="1"/>
  <c r="G327" i="1"/>
  <c r="C328" i="1"/>
  <c r="G328" i="1"/>
  <c r="C329" i="1"/>
  <c r="G329" i="1"/>
  <c r="C330" i="1"/>
  <c r="G330" i="1"/>
  <c r="C331" i="1"/>
  <c r="G331" i="1"/>
  <c r="C332" i="1"/>
  <c r="G332" i="1"/>
  <c r="C333" i="1"/>
  <c r="G333" i="1"/>
  <c r="C334" i="1"/>
  <c r="G334" i="1"/>
  <c r="C335" i="1"/>
  <c r="G335" i="1"/>
  <c r="C336" i="1"/>
  <c r="G336" i="1"/>
  <c r="C337" i="1"/>
  <c r="G337" i="1"/>
  <c r="C338" i="1"/>
  <c r="G338" i="1"/>
  <c r="C339" i="1"/>
  <c r="G339" i="1"/>
  <c r="C340" i="1"/>
  <c r="G340" i="1"/>
  <c r="C341" i="1"/>
  <c r="G341" i="1"/>
  <c r="C342" i="1"/>
  <c r="G342" i="1"/>
  <c r="C343" i="1"/>
  <c r="G343" i="1"/>
  <c r="C344" i="1"/>
  <c r="G344" i="1"/>
  <c r="C345" i="1"/>
  <c r="G345" i="1"/>
  <c r="C346" i="1"/>
  <c r="G346" i="1"/>
  <c r="C347" i="1"/>
  <c r="G347" i="1"/>
  <c r="C348" i="1"/>
  <c r="G348" i="1"/>
  <c r="C349" i="1"/>
  <c r="G349" i="1"/>
  <c r="C350" i="1"/>
  <c r="G350" i="1"/>
  <c r="C351" i="1"/>
  <c r="G351" i="1"/>
  <c r="C352" i="1"/>
  <c r="G352" i="1"/>
  <c r="C353" i="1"/>
  <c r="G353" i="1"/>
  <c r="C354" i="1"/>
  <c r="G354" i="1"/>
  <c r="C355" i="1"/>
  <c r="G355" i="1"/>
  <c r="C356" i="1"/>
  <c r="G356" i="1"/>
  <c r="C357" i="1"/>
  <c r="G357" i="1"/>
  <c r="C358" i="1"/>
  <c r="G358" i="1"/>
  <c r="C359" i="1"/>
  <c r="G359" i="1"/>
  <c r="C360" i="1"/>
  <c r="G360" i="1"/>
  <c r="C361" i="1"/>
  <c r="G361" i="1"/>
  <c r="C362" i="1"/>
  <c r="G362" i="1"/>
  <c r="C363" i="1"/>
  <c r="G363" i="1"/>
  <c r="C364" i="1"/>
  <c r="G364" i="1"/>
  <c r="C365" i="1"/>
  <c r="G365" i="1"/>
  <c r="C366" i="1"/>
  <c r="G366" i="1"/>
  <c r="C367" i="1"/>
  <c r="G367" i="1"/>
  <c r="C368" i="1"/>
  <c r="G368" i="1"/>
  <c r="C369" i="1"/>
  <c r="G369" i="1"/>
  <c r="C370" i="1"/>
  <c r="G370" i="1"/>
  <c r="C371" i="1"/>
  <c r="G371" i="1"/>
  <c r="C372" i="1"/>
  <c r="G372" i="1"/>
  <c r="C373" i="1"/>
  <c r="G373" i="1"/>
  <c r="C374" i="1"/>
  <c r="G374" i="1"/>
  <c r="C375" i="1"/>
  <c r="G375" i="1"/>
  <c r="C376" i="1"/>
  <c r="G376" i="1"/>
  <c r="C377" i="1"/>
  <c r="G377" i="1"/>
  <c r="C378" i="1"/>
  <c r="G378" i="1"/>
  <c r="C379" i="1"/>
  <c r="G379" i="1"/>
  <c r="C380" i="1"/>
  <c r="G380" i="1"/>
  <c r="C381" i="1"/>
  <c r="G381" i="1"/>
  <c r="C382" i="1"/>
  <c r="G382" i="1"/>
  <c r="C383" i="1"/>
  <c r="G383" i="1"/>
  <c r="C384" i="1"/>
  <c r="G384" i="1"/>
  <c r="C385" i="1"/>
  <c r="G385" i="1"/>
  <c r="C386" i="1"/>
  <c r="G386" i="1"/>
  <c r="C387" i="1"/>
  <c r="G387" i="1"/>
  <c r="C388" i="1"/>
  <c r="G388" i="1"/>
  <c r="C389" i="1"/>
  <c r="G389" i="1"/>
  <c r="C390" i="1"/>
  <c r="G390" i="1"/>
  <c r="C391" i="1"/>
  <c r="G391" i="1"/>
  <c r="C392" i="1"/>
  <c r="G392" i="1"/>
  <c r="C393" i="1"/>
  <c r="G393" i="1"/>
  <c r="C394" i="1"/>
  <c r="G394" i="1"/>
  <c r="C395" i="1"/>
  <c r="G395" i="1"/>
  <c r="C396" i="1"/>
  <c r="G396" i="1"/>
  <c r="C397" i="1"/>
  <c r="G397" i="1"/>
  <c r="C398" i="1"/>
  <c r="G398" i="1"/>
  <c r="C399" i="1"/>
  <c r="G399" i="1"/>
  <c r="C400" i="1"/>
  <c r="G400" i="1"/>
  <c r="C401" i="1"/>
  <c r="G401" i="1"/>
  <c r="C402" i="1"/>
  <c r="G402" i="1"/>
  <c r="C403" i="1"/>
  <c r="G403" i="1"/>
  <c r="C404" i="1"/>
  <c r="G404" i="1"/>
  <c r="C405" i="1"/>
  <c r="G405" i="1"/>
  <c r="C406" i="1"/>
  <c r="G406" i="1"/>
  <c r="C407" i="1"/>
  <c r="G407" i="1"/>
  <c r="C408" i="1"/>
  <c r="G408" i="1"/>
  <c r="C409" i="1"/>
  <c r="G409" i="1"/>
  <c r="C410" i="1"/>
  <c r="G410" i="1"/>
  <c r="C411" i="1"/>
  <c r="G411" i="1"/>
  <c r="C412" i="1"/>
  <c r="G412" i="1"/>
  <c r="C413" i="1"/>
  <c r="G413" i="1"/>
  <c r="C414" i="1"/>
  <c r="G414" i="1"/>
  <c r="C415" i="1"/>
  <c r="G415" i="1"/>
  <c r="C416" i="1"/>
  <c r="G416" i="1"/>
  <c r="C417" i="1"/>
  <c r="G417" i="1"/>
  <c r="C418" i="1"/>
  <c r="G418" i="1"/>
  <c r="C419" i="1"/>
  <c r="G419" i="1"/>
  <c r="C420" i="1"/>
  <c r="G420" i="1"/>
  <c r="C421" i="1"/>
  <c r="G421" i="1"/>
  <c r="C422" i="1"/>
  <c r="G422" i="1"/>
  <c r="C423" i="1"/>
  <c r="G423" i="1"/>
  <c r="C424" i="1"/>
  <c r="G424" i="1"/>
  <c r="C425" i="1"/>
  <c r="G425" i="1"/>
  <c r="C426" i="1"/>
  <c r="G426" i="1"/>
  <c r="C427" i="1"/>
  <c r="G427" i="1"/>
  <c r="C428" i="1"/>
  <c r="G428" i="1"/>
  <c r="C429" i="1"/>
  <c r="G429" i="1"/>
  <c r="C430" i="1"/>
  <c r="G430" i="1"/>
  <c r="C431" i="1"/>
  <c r="G431" i="1"/>
  <c r="C432" i="1"/>
  <c r="G432" i="1"/>
  <c r="C433" i="1"/>
  <c r="G433" i="1"/>
  <c r="C434" i="1"/>
  <c r="G434" i="1"/>
  <c r="C435" i="1"/>
  <c r="G435" i="1"/>
  <c r="C436" i="1"/>
  <c r="G436" i="1"/>
  <c r="C437" i="1"/>
  <c r="G437" i="1"/>
  <c r="C438" i="1"/>
  <c r="G438" i="1"/>
  <c r="C439" i="1"/>
  <c r="G439" i="1"/>
  <c r="C440" i="1"/>
  <c r="G440" i="1"/>
  <c r="C441" i="1"/>
  <c r="G441" i="1"/>
  <c r="C442" i="1"/>
  <c r="G442" i="1"/>
  <c r="C443" i="1"/>
  <c r="G443" i="1"/>
  <c r="C444" i="1"/>
  <c r="G444" i="1"/>
  <c r="C445" i="1"/>
  <c r="G445" i="1"/>
  <c r="C446" i="1"/>
  <c r="G446" i="1"/>
  <c r="C447" i="1"/>
  <c r="G447" i="1"/>
  <c r="C448" i="1"/>
  <c r="G448" i="1"/>
  <c r="C449" i="1"/>
  <c r="G449" i="1"/>
  <c r="C450" i="1"/>
  <c r="G450" i="1"/>
  <c r="C451" i="1"/>
  <c r="G451" i="1"/>
  <c r="C452" i="1"/>
  <c r="G452" i="1"/>
  <c r="C453" i="1"/>
  <c r="G453" i="1"/>
  <c r="C454" i="1"/>
  <c r="G454" i="1"/>
  <c r="C455" i="1"/>
  <c r="G455" i="1"/>
  <c r="C456" i="1"/>
  <c r="G456" i="1"/>
  <c r="C457" i="1"/>
  <c r="G457" i="1"/>
  <c r="C458" i="1"/>
  <c r="G458" i="1"/>
  <c r="C459" i="1"/>
  <c r="G459" i="1"/>
  <c r="C460" i="1"/>
  <c r="G460" i="1"/>
  <c r="C461" i="1"/>
  <c r="G461" i="1"/>
  <c r="C462" i="1"/>
  <c r="G462" i="1"/>
  <c r="C463" i="1"/>
  <c r="G463" i="1"/>
  <c r="C464" i="1"/>
  <c r="G464" i="1"/>
  <c r="C465" i="1"/>
  <c r="G465" i="1"/>
  <c r="C466" i="1"/>
  <c r="G466" i="1"/>
  <c r="C467" i="1"/>
  <c r="G467" i="1"/>
  <c r="C468" i="1"/>
  <c r="G468" i="1"/>
  <c r="C469" i="1"/>
  <c r="G469" i="1"/>
  <c r="C470" i="1"/>
  <c r="G470" i="1"/>
  <c r="C471" i="1"/>
  <c r="G471" i="1"/>
  <c r="C472" i="1"/>
  <c r="G472" i="1"/>
  <c r="C473" i="1"/>
  <c r="G473" i="1"/>
  <c r="C474" i="1"/>
  <c r="G474" i="1"/>
  <c r="C475" i="1"/>
  <c r="G475" i="1"/>
  <c r="C476" i="1"/>
  <c r="G476" i="1"/>
  <c r="C477" i="1"/>
  <c r="G477" i="1"/>
  <c r="C478" i="1"/>
  <c r="G478" i="1"/>
  <c r="C479" i="1"/>
  <c r="G479" i="1"/>
  <c r="C480" i="1"/>
  <c r="G480" i="1"/>
  <c r="C481" i="1"/>
  <c r="G481" i="1"/>
  <c r="C482" i="1"/>
  <c r="G482" i="1"/>
  <c r="C483" i="1"/>
  <c r="G483" i="1"/>
  <c r="C484" i="1"/>
  <c r="G484" i="1"/>
  <c r="C485" i="1"/>
  <c r="G485" i="1"/>
  <c r="C486" i="1"/>
  <c r="G486" i="1"/>
  <c r="C487" i="1"/>
  <c r="G487" i="1"/>
  <c r="C488" i="1"/>
  <c r="G488" i="1"/>
  <c r="C489" i="1"/>
  <c r="G489" i="1"/>
  <c r="C490" i="1"/>
  <c r="G490" i="1"/>
  <c r="C491" i="1"/>
  <c r="G491" i="1"/>
  <c r="C492" i="1"/>
  <c r="G492" i="1"/>
  <c r="C493" i="1"/>
  <c r="G493" i="1"/>
  <c r="C494" i="1"/>
  <c r="G494" i="1"/>
  <c r="C495" i="1"/>
  <c r="G495" i="1"/>
  <c r="C496" i="1"/>
  <c r="G496" i="1"/>
  <c r="C497" i="1"/>
  <c r="G497" i="1"/>
  <c r="C498" i="1"/>
  <c r="G498" i="1"/>
  <c r="C499" i="1"/>
  <c r="G499" i="1"/>
  <c r="C500" i="1"/>
  <c r="G500" i="1"/>
  <c r="C501" i="1"/>
  <c r="G501" i="1"/>
  <c r="C502" i="1"/>
  <c r="G502" i="1"/>
  <c r="C503" i="1"/>
  <c r="G503" i="1"/>
  <c r="C504" i="1"/>
  <c r="G504" i="1"/>
  <c r="C505" i="1"/>
  <c r="G505" i="1"/>
  <c r="C506" i="1"/>
  <c r="G506" i="1"/>
  <c r="C507" i="1"/>
  <c r="G507" i="1"/>
  <c r="C508" i="1"/>
  <c r="G508" i="1"/>
  <c r="C509" i="1"/>
  <c r="G509" i="1"/>
  <c r="C510" i="1"/>
  <c r="G510" i="1"/>
  <c r="C511" i="1"/>
  <c r="G511" i="1"/>
  <c r="C512" i="1"/>
  <c r="G512" i="1"/>
  <c r="C513" i="1"/>
  <c r="G513" i="1"/>
  <c r="C514" i="1"/>
  <c r="G514" i="1"/>
  <c r="C515" i="1"/>
  <c r="G515" i="1"/>
  <c r="C516" i="1"/>
  <c r="G516" i="1"/>
  <c r="C517" i="1"/>
  <c r="G517" i="1"/>
  <c r="C518" i="1"/>
  <c r="G518" i="1"/>
  <c r="C519" i="1"/>
  <c r="G519" i="1"/>
  <c r="C520" i="1"/>
  <c r="G520" i="1"/>
  <c r="C521" i="1"/>
  <c r="G521" i="1"/>
  <c r="C522" i="1"/>
  <c r="G522" i="1"/>
  <c r="C523" i="1"/>
  <c r="G523" i="1"/>
  <c r="C524" i="1"/>
  <c r="G524" i="1"/>
  <c r="C525" i="1"/>
  <c r="G525" i="1"/>
  <c r="C526" i="1"/>
  <c r="G526" i="1"/>
  <c r="C527" i="1"/>
  <c r="G527" i="1"/>
  <c r="C528" i="1"/>
  <c r="G528" i="1"/>
  <c r="C529" i="1"/>
  <c r="G529" i="1"/>
  <c r="C530" i="1"/>
  <c r="G530" i="1"/>
  <c r="C531" i="1"/>
  <c r="G531" i="1"/>
  <c r="C532" i="1"/>
  <c r="G532" i="1"/>
  <c r="C533" i="1"/>
  <c r="G533" i="1"/>
  <c r="C534" i="1"/>
  <c r="G534" i="1"/>
  <c r="C535" i="1"/>
  <c r="G535" i="1"/>
  <c r="C536" i="1"/>
  <c r="G536" i="1"/>
  <c r="C537" i="1"/>
  <c r="G537" i="1"/>
  <c r="C538" i="1"/>
  <c r="G538" i="1"/>
  <c r="C539" i="1"/>
  <c r="G539" i="1"/>
  <c r="C540" i="1"/>
  <c r="G540" i="1"/>
  <c r="C541" i="1"/>
  <c r="G541" i="1"/>
  <c r="C542" i="1"/>
  <c r="G542" i="1"/>
  <c r="C543" i="1"/>
  <c r="G543" i="1"/>
  <c r="C544" i="1"/>
  <c r="G544" i="1"/>
  <c r="C545" i="1"/>
  <c r="G545" i="1"/>
  <c r="C546" i="1"/>
  <c r="G546" i="1"/>
  <c r="C547" i="1"/>
  <c r="G547" i="1"/>
  <c r="C548" i="1"/>
  <c r="G548" i="1"/>
  <c r="C549" i="1"/>
  <c r="G549" i="1"/>
  <c r="C550" i="1"/>
  <c r="G550" i="1"/>
  <c r="C551" i="1"/>
  <c r="G551" i="1"/>
  <c r="C552" i="1"/>
  <c r="G552" i="1"/>
  <c r="C553" i="1"/>
  <c r="G553" i="1"/>
  <c r="C554" i="1"/>
  <c r="G554" i="1"/>
  <c r="C555" i="1"/>
  <c r="G555" i="1"/>
  <c r="C556" i="1"/>
  <c r="G556" i="1"/>
  <c r="C557" i="1"/>
  <c r="G557" i="1"/>
  <c r="C558" i="1"/>
  <c r="G558" i="1"/>
  <c r="C559" i="1"/>
  <c r="G559" i="1"/>
  <c r="C560" i="1"/>
  <c r="G560" i="1"/>
  <c r="C561" i="1"/>
  <c r="G561" i="1"/>
  <c r="C562" i="1"/>
  <c r="G562" i="1"/>
  <c r="C563" i="1"/>
  <c r="G563" i="1"/>
  <c r="C564" i="1"/>
  <c r="G564" i="1"/>
  <c r="C565" i="1"/>
  <c r="G565" i="1"/>
  <c r="C566" i="1"/>
  <c r="G566" i="1"/>
  <c r="C567" i="1"/>
  <c r="G567" i="1"/>
  <c r="C568" i="1"/>
  <c r="G568" i="1"/>
  <c r="C569" i="1"/>
  <c r="G569" i="1"/>
  <c r="C570" i="1"/>
  <c r="G570" i="1"/>
  <c r="C571" i="1"/>
  <c r="G571" i="1"/>
  <c r="C572" i="1"/>
  <c r="G572" i="1"/>
  <c r="C573" i="1"/>
  <c r="G573" i="1"/>
  <c r="C574" i="1"/>
  <c r="G574" i="1"/>
  <c r="C575" i="1"/>
  <c r="G575" i="1"/>
  <c r="C576" i="1"/>
  <c r="G576" i="1"/>
  <c r="C577" i="1"/>
  <c r="G577" i="1"/>
  <c r="C578" i="1"/>
  <c r="G578" i="1"/>
  <c r="C579" i="1"/>
  <c r="G579" i="1"/>
  <c r="C580" i="1"/>
  <c r="G580" i="1"/>
  <c r="C581" i="1"/>
  <c r="G581" i="1"/>
  <c r="C582" i="1"/>
  <c r="G582" i="1"/>
  <c r="C583" i="1"/>
  <c r="G583" i="1"/>
  <c r="C584" i="1"/>
  <c r="G584" i="1"/>
  <c r="C585" i="1"/>
  <c r="G585" i="1"/>
  <c r="C586" i="1"/>
  <c r="G586" i="1"/>
  <c r="C587" i="1"/>
  <c r="G587" i="1"/>
  <c r="C588" i="1"/>
  <c r="G588" i="1"/>
  <c r="C589" i="1"/>
  <c r="G589" i="1"/>
  <c r="C590" i="1"/>
  <c r="G590" i="1"/>
  <c r="C591" i="1"/>
  <c r="G591" i="1"/>
  <c r="C592" i="1"/>
  <c r="G592" i="1"/>
  <c r="C593" i="1"/>
  <c r="G593" i="1"/>
  <c r="C594" i="1"/>
  <c r="G594" i="1"/>
  <c r="C595" i="1"/>
  <c r="G595" i="1"/>
  <c r="C596" i="1"/>
  <c r="G596" i="1"/>
  <c r="C597" i="1"/>
  <c r="G597" i="1"/>
  <c r="C598" i="1"/>
  <c r="G598" i="1"/>
  <c r="C599" i="1"/>
  <c r="G599" i="1"/>
  <c r="C600" i="1"/>
  <c r="G600" i="1"/>
  <c r="C601" i="1"/>
  <c r="G601" i="1"/>
  <c r="C602" i="1"/>
  <c r="G602" i="1"/>
  <c r="C603" i="1"/>
  <c r="G603" i="1"/>
  <c r="C604" i="1"/>
  <c r="G604" i="1"/>
  <c r="C605" i="1"/>
  <c r="G605" i="1"/>
  <c r="C606" i="1"/>
  <c r="G606" i="1"/>
  <c r="C607" i="1"/>
  <c r="G607" i="1"/>
  <c r="C608" i="1"/>
  <c r="G608" i="1"/>
  <c r="C609" i="1"/>
  <c r="G609" i="1"/>
  <c r="C610" i="1"/>
  <c r="G610" i="1"/>
  <c r="C611" i="1"/>
  <c r="G611" i="1"/>
  <c r="C612" i="1"/>
  <c r="G612" i="1"/>
  <c r="C613" i="1"/>
  <c r="G613" i="1"/>
  <c r="C614" i="1"/>
  <c r="G614" i="1"/>
  <c r="C615" i="1"/>
  <c r="G615" i="1"/>
  <c r="C616" i="1"/>
  <c r="G616" i="1"/>
  <c r="C617" i="1"/>
  <c r="G617" i="1"/>
  <c r="C618" i="1"/>
  <c r="G618" i="1"/>
  <c r="C619" i="1"/>
  <c r="G619" i="1"/>
  <c r="C620" i="1"/>
  <c r="G620" i="1"/>
  <c r="C621" i="1"/>
  <c r="G621" i="1"/>
  <c r="C622" i="1"/>
  <c r="G622" i="1"/>
  <c r="C623" i="1"/>
  <c r="G623" i="1"/>
  <c r="C624" i="1"/>
  <c r="G624" i="1"/>
  <c r="C625" i="1"/>
  <c r="G625" i="1"/>
  <c r="C626" i="1"/>
  <c r="G626" i="1"/>
  <c r="C627" i="1"/>
  <c r="G627" i="1"/>
  <c r="C628" i="1"/>
  <c r="G628" i="1"/>
  <c r="C629" i="1"/>
  <c r="G629" i="1"/>
  <c r="C630" i="1"/>
  <c r="G630" i="1"/>
  <c r="C631" i="1"/>
  <c r="G631" i="1"/>
  <c r="C632" i="1"/>
  <c r="G632" i="1"/>
  <c r="C633" i="1"/>
  <c r="G633" i="1"/>
  <c r="C634" i="1"/>
  <c r="G634" i="1"/>
  <c r="C635" i="1"/>
  <c r="G635" i="1"/>
  <c r="C636" i="1"/>
  <c r="G636" i="1"/>
  <c r="C637" i="1"/>
  <c r="G637" i="1"/>
  <c r="C638" i="1"/>
  <c r="G638" i="1"/>
  <c r="C639" i="1"/>
  <c r="G639" i="1"/>
  <c r="C640" i="1"/>
  <c r="G640" i="1"/>
  <c r="C641" i="1"/>
  <c r="G641" i="1"/>
  <c r="C642" i="1"/>
  <c r="G642" i="1"/>
  <c r="C643" i="1"/>
  <c r="G643" i="1"/>
  <c r="C644" i="1"/>
  <c r="G644" i="1"/>
  <c r="C645" i="1"/>
  <c r="G645" i="1"/>
  <c r="C646" i="1"/>
  <c r="G646" i="1"/>
  <c r="C647" i="1"/>
  <c r="G647" i="1"/>
  <c r="C648" i="1"/>
  <c r="G648" i="1"/>
  <c r="C649" i="1"/>
  <c r="G649" i="1"/>
  <c r="C650" i="1"/>
  <c r="G650" i="1"/>
  <c r="C651" i="1"/>
  <c r="G651" i="1"/>
  <c r="C652" i="1"/>
  <c r="G652" i="1"/>
  <c r="C653" i="1"/>
  <c r="G653" i="1"/>
  <c r="C654" i="1"/>
  <c r="G654" i="1"/>
  <c r="C655" i="1"/>
  <c r="G655" i="1"/>
  <c r="C656" i="1"/>
  <c r="G656" i="1"/>
  <c r="C657" i="1"/>
  <c r="G657" i="1"/>
  <c r="C658" i="1"/>
  <c r="G658" i="1"/>
  <c r="C659" i="1"/>
  <c r="G659" i="1"/>
  <c r="C660" i="1"/>
  <c r="G660" i="1"/>
  <c r="C661" i="1"/>
  <c r="G661" i="1"/>
  <c r="C662" i="1"/>
  <c r="G662" i="1"/>
  <c r="C663" i="1"/>
  <c r="G663" i="1"/>
  <c r="C664" i="1"/>
  <c r="G664" i="1"/>
  <c r="C665" i="1"/>
  <c r="G665" i="1"/>
  <c r="C666" i="1"/>
  <c r="G666" i="1"/>
  <c r="C667" i="1"/>
  <c r="G667" i="1"/>
  <c r="C668" i="1"/>
  <c r="G668" i="1"/>
  <c r="C669" i="1"/>
  <c r="G669" i="1"/>
  <c r="C670" i="1"/>
  <c r="G670" i="1"/>
  <c r="C671" i="1"/>
  <c r="G671" i="1"/>
  <c r="C672" i="1"/>
  <c r="G672" i="1"/>
  <c r="C673" i="1"/>
  <c r="G673" i="1"/>
  <c r="C674" i="1"/>
  <c r="G674" i="1"/>
  <c r="C675" i="1"/>
  <c r="G675" i="1"/>
  <c r="C676" i="1"/>
  <c r="G676" i="1"/>
  <c r="C677" i="1"/>
  <c r="G677" i="1"/>
  <c r="C678" i="1"/>
  <c r="G678" i="1"/>
  <c r="C679" i="1"/>
  <c r="G679" i="1"/>
  <c r="C680" i="1"/>
  <c r="G680" i="1"/>
  <c r="C681" i="1"/>
  <c r="G681" i="1"/>
  <c r="C682" i="1"/>
  <c r="G682" i="1"/>
  <c r="C683" i="1"/>
  <c r="G683" i="1"/>
  <c r="C684" i="1"/>
  <c r="G684" i="1"/>
  <c r="C685" i="1"/>
  <c r="G685" i="1"/>
  <c r="C686" i="1"/>
  <c r="G686" i="1"/>
  <c r="C687" i="1"/>
  <c r="G687" i="1"/>
  <c r="C688" i="1"/>
  <c r="G688" i="1"/>
  <c r="C689" i="1"/>
  <c r="G689" i="1"/>
  <c r="C690" i="1"/>
  <c r="G690" i="1"/>
  <c r="C691" i="1"/>
  <c r="G691" i="1"/>
  <c r="C692" i="1"/>
  <c r="G692" i="1"/>
  <c r="C693" i="1"/>
  <c r="G693" i="1"/>
  <c r="C694" i="1"/>
  <c r="G694" i="1"/>
  <c r="C695" i="1"/>
  <c r="G695" i="1"/>
  <c r="C696" i="1"/>
  <c r="G696" i="1"/>
  <c r="C697" i="1"/>
  <c r="G697" i="1"/>
  <c r="C698" i="1"/>
  <c r="G698" i="1"/>
  <c r="C699" i="1"/>
  <c r="G699" i="1"/>
  <c r="C700" i="1"/>
  <c r="G700" i="1"/>
  <c r="C701" i="1"/>
  <c r="G701" i="1"/>
  <c r="C702" i="1"/>
  <c r="G702" i="1"/>
  <c r="C703" i="1"/>
  <c r="G703" i="1"/>
  <c r="C704" i="1"/>
  <c r="G704" i="1"/>
  <c r="C705" i="1"/>
  <c r="G705" i="1"/>
  <c r="C706" i="1"/>
  <c r="G706" i="1"/>
  <c r="C707" i="1"/>
  <c r="G707" i="1"/>
  <c r="C708" i="1"/>
  <c r="G708" i="1"/>
  <c r="C709" i="1"/>
  <c r="G709" i="1"/>
  <c r="C710" i="1"/>
  <c r="G710" i="1"/>
  <c r="C711" i="1"/>
  <c r="G711" i="1"/>
  <c r="C712" i="1"/>
  <c r="G712" i="1"/>
  <c r="C713" i="1"/>
  <c r="G713" i="1"/>
  <c r="C714" i="1"/>
  <c r="G714" i="1"/>
  <c r="C715" i="1"/>
  <c r="G715" i="1"/>
  <c r="C716" i="1"/>
  <c r="G716" i="1"/>
  <c r="C717" i="1"/>
  <c r="G717" i="1"/>
  <c r="C718" i="1"/>
  <c r="G718" i="1"/>
  <c r="C719" i="1"/>
  <c r="G719" i="1"/>
  <c r="C720" i="1"/>
  <c r="G720" i="1"/>
  <c r="C721" i="1"/>
  <c r="G721" i="1"/>
  <c r="C722" i="1"/>
  <c r="G722" i="1"/>
  <c r="C723" i="1"/>
  <c r="G723" i="1"/>
  <c r="C724" i="1"/>
  <c r="G724" i="1"/>
  <c r="C725" i="1"/>
  <c r="G725" i="1"/>
  <c r="C726" i="1"/>
  <c r="G726" i="1"/>
  <c r="C727" i="1"/>
  <c r="G727" i="1"/>
  <c r="C728" i="1"/>
  <c r="G728" i="1"/>
  <c r="C729" i="1"/>
  <c r="G729" i="1"/>
  <c r="C730" i="1"/>
  <c r="G730" i="1"/>
  <c r="C731" i="1"/>
  <c r="G731" i="1"/>
  <c r="C732" i="1"/>
  <c r="G732" i="1"/>
  <c r="C733" i="1"/>
  <c r="G733" i="1"/>
  <c r="C734" i="1"/>
  <c r="G734" i="1"/>
  <c r="C735" i="1"/>
  <c r="G735" i="1"/>
  <c r="C736" i="1"/>
  <c r="G736" i="1"/>
  <c r="C737" i="1"/>
  <c r="G737" i="1"/>
  <c r="C738" i="1"/>
  <c r="G738" i="1"/>
  <c r="C739" i="1"/>
  <c r="G739" i="1"/>
  <c r="C740" i="1"/>
  <c r="G740" i="1"/>
  <c r="C741" i="1"/>
  <c r="G741" i="1"/>
  <c r="C742" i="1"/>
  <c r="G742" i="1"/>
  <c r="C743" i="1"/>
  <c r="G743" i="1"/>
  <c r="C744" i="1"/>
  <c r="G744" i="1"/>
  <c r="C745" i="1"/>
  <c r="G745" i="1"/>
  <c r="C746" i="1"/>
  <c r="G746" i="1"/>
  <c r="C747" i="1"/>
  <c r="G747" i="1"/>
  <c r="C748" i="1"/>
  <c r="G748" i="1"/>
  <c r="C749" i="1"/>
  <c r="G749" i="1"/>
  <c r="C750" i="1"/>
  <c r="G750" i="1"/>
  <c r="C751" i="1"/>
  <c r="G751" i="1"/>
  <c r="C752" i="1"/>
  <c r="G752" i="1"/>
  <c r="C753" i="1"/>
  <c r="G753" i="1"/>
  <c r="C754" i="1"/>
  <c r="G754" i="1"/>
  <c r="C755" i="1"/>
  <c r="G755" i="1"/>
  <c r="C756" i="1"/>
  <c r="G756" i="1"/>
  <c r="C757" i="1"/>
  <c r="G757" i="1"/>
  <c r="C758" i="1"/>
  <c r="G758" i="1"/>
  <c r="C759" i="1"/>
  <c r="G759" i="1"/>
  <c r="C760" i="1"/>
  <c r="G760" i="1"/>
  <c r="C761" i="1"/>
  <c r="G761" i="1"/>
  <c r="C762" i="1"/>
  <c r="G762" i="1"/>
  <c r="C763" i="1"/>
  <c r="G763" i="1"/>
  <c r="C764" i="1"/>
  <c r="G764" i="1"/>
  <c r="C765" i="1"/>
  <c r="G765" i="1"/>
  <c r="C766" i="1"/>
  <c r="G766" i="1"/>
  <c r="C767" i="1"/>
  <c r="G767" i="1"/>
  <c r="C768" i="1"/>
  <c r="G768" i="1"/>
  <c r="C769" i="1"/>
  <c r="G769" i="1"/>
  <c r="C770" i="1"/>
  <c r="G770" i="1"/>
  <c r="C771" i="1"/>
  <c r="G771" i="1"/>
  <c r="C772" i="1"/>
  <c r="G772" i="1"/>
  <c r="C773" i="1"/>
  <c r="G773" i="1"/>
  <c r="C774" i="1"/>
  <c r="G774" i="1"/>
  <c r="C775" i="1"/>
  <c r="G775" i="1"/>
  <c r="C776" i="1"/>
  <c r="G776" i="1"/>
  <c r="C777" i="1"/>
  <c r="G777" i="1"/>
  <c r="C778" i="1"/>
  <c r="G778" i="1"/>
  <c r="C779" i="1"/>
  <c r="G779" i="1"/>
  <c r="C780" i="1"/>
  <c r="G780" i="1"/>
  <c r="C781" i="1"/>
  <c r="G781" i="1"/>
  <c r="C782" i="1"/>
  <c r="G782" i="1"/>
  <c r="C783" i="1"/>
  <c r="G783" i="1"/>
  <c r="C784" i="1"/>
  <c r="G784" i="1"/>
  <c r="C785" i="1"/>
  <c r="G785" i="1"/>
  <c r="C786" i="1"/>
  <c r="G786" i="1"/>
  <c r="C787" i="1"/>
  <c r="G787" i="1"/>
  <c r="C788" i="1"/>
  <c r="G788" i="1"/>
  <c r="C789" i="1"/>
  <c r="G789" i="1"/>
  <c r="C790" i="1"/>
  <c r="G790" i="1"/>
  <c r="C791" i="1"/>
  <c r="G791" i="1"/>
  <c r="C792" i="1"/>
  <c r="G792" i="1"/>
  <c r="C793" i="1"/>
  <c r="G793" i="1"/>
  <c r="C794" i="1"/>
  <c r="G794" i="1"/>
  <c r="C795" i="1"/>
  <c r="G795" i="1"/>
  <c r="C796" i="1"/>
  <c r="G796" i="1"/>
  <c r="C797" i="1"/>
  <c r="G797" i="1"/>
  <c r="C798" i="1"/>
  <c r="G798" i="1"/>
  <c r="C799" i="1"/>
  <c r="G799" i="1"/>
  <c r="C800" i="1"/>
  <c r="G800" i="1"/>
  <c r="C801" i="1"/>
  <c r="G801" i="1"/>
  <c r="C802" i="1"/>
  <c r="G802" i="1"/>
  <c r="C803" i="1"/>
  <c r="G803" i="1"/>
  <c r="C804" i="1"/>
  <c r="G804" i="1"/>
  <c r="C805" i="1"/>
  <c r="G805" i="1"/>
  <c r="C806" i="1"/>
  <c r="G806" i="1"/>
  <c r="C807" i="1"/>
  <c r="G807" i="1"/>
  <c r="C808" i="1"/>
  <c r="G808" i="1"/>
  <c r="C809" i="1"/>
  <c r="G809" i="1"/>
  <c r="C810" i="1"/>
  <c r="G810" i="1"/>
  <c r="C811" i="1"/>
  <c r="G811" i="1"/>
  <c r="C812" i="1"/>
  <c r="G812" i="1"/>
  <c r="C813" i="1"/>
  <c r="G813" i="1"/>
  <c r="C814" i="1"/>
  <c r="G814" i="1"/>
  <c r="C815" i="1"/>
  <c r="G815" i="1"/>
  <c r="C816" i="1"/>
  <c r="G816" i="1"/>
  <c r="C817" i="1"/>
  <c r="G817" i="1"/>
  <c r="C818" i="1"/>
  <c r="G818" i="1"/>
  <c r="C819" i="1"/>
  <c r="G819" i="1"/>
  <c r="C820" i="1"/>
  <c r="G820" i="1"/>
  <c r="C821" i="1"/>
  <c r="G821" i="1"/>
  <c r="C822" i="1"/>
  <c r="G822" i="1"/>
  <c r="C823" i="1"/>
  <c r="G823" i="1"/>
  <c r="C824" i="1"/>
  <c r="G824" i="1"/>
  <c r="C825" i="1"/>
  <c r="G825" i="1"/>
  <c r="C826" i="1"/>
  <c r="G826" i="1"/>
  <c r="C827" i="1"/>
  <c r="G827" i="1"/>
  <c r="C828" i="1"/>
  <c r="G828" i="1"/>
  <c r="C829" i="1"/>
  <c r="G829" i="1"/>
  <c r="C830" i="1"/>
  <c r="G830" i="1"/>
  <c r="C831" i="1"/>
  <c r="G831" i="1"/>
  <c r="C832" i="1"/>
  <c r="G832" i="1"/>
  <c r="C833" i="1"/>
  <c r="G833" i="1"/>
  <c r="C834" i="1"/>
  <c r="G834" i="1"/>
  <c r="C835" i="1"/>
  <c r="G835" i="1"/>
  <c r="C836" i="1"/>
  <c r="G836" i="1"/>
  <c r="C837" i="1"/>
  <c r="G837" i="1"/>
  <c r="C838" i="1"/>
  <c r="G838" i="1"/>
  <c r="C839" i="1"/>
  <c r="G839" i="1"/>
  <c r="C840" i="1"/>
  <c r="G840" i="1"/>
  <c r="C841" i="1"/>
  <c r="G841" i="1"/>
  <c r="C842" i="1"/>
  <c r="G842" i="1"/>
  <c r="C843" i="1"/>
  <c r="G843" i="1"/>
  <c r="C844" i="1"/>
  <c r="G844" i="1"/>
  <c r="C845" i="1"/>
  <c r="G845" i="1"/>
  <c r="C846" i="1"/>
  <c r="G846" i="1"/>
  <c r="C847" i="1"/>
  <c r="G847" i="1"/>
  <c r="C848" i="1"/>
  <c r="G848" i="1"/>
  <c r="C849" i="1"/>
  <c r="G849" i="1"/>
  <c r="C850" i="1"/>
  <c r="G850" i="1"/>
  <c r="C851" i="1"/>
  <c r="G851" i="1"/>
  <c r="C852" i="1"/>
  <c r="G852" i="1"/>
  <c r="C853" i="1"/>
  <c r="G853" i="1"/>
  <c r="C854" i="1"/>
  <c r="G854" i="1"/>
  <c r="C855" i="1"/>
  <c r="G855" i="1"/>
  <c r="C856" i="1"/>
  <c r="G856" i="1"/>
  <c r="C857" i="1"/>
  <c r="G857" i="1"/>
  <c r="C858" i="1"/>
  <c r="G858" i="1"/>
  <c r="C859" i="1"/>
  <c r="G859" i="1"/>
  <c r="C860" i="1"/>
  <c r="G860" i="1"/>
  <c r="C861" i="1"/>
  <c r="G861" i="1"/>
  <c r="C862" i="1"/>
  <c r="G862" i="1"/>
  <c r="C863" i="1"/>
  <c r="G863" i="1"/>
  <c r="C864" i="1"/>
  <c r="G864" i="1"/>
  <c r="C865" i="1"/>
  <c r="G865" i="1"/>
  <c r="C866" i="1"/>
  <c r="G866" i="1"/>
  <c r="C867" i="1"/>
  <c r="G867" i="1"/>
  <c r="C868" i="1"/>
  <c r="G868" i="1"/>
  <c r="C869" i="1"/>
  <c r="G869" i="1"/>
  <c r="C870" i="1"/>
  <c r="G870" i="1"/>
  <c r="C871" i="1"/>
  <c r="G871" i="1"/>
  <c r="C872" i="1"/>
  <c r="G872" i="1"/>
  <c r="C873" i="1"/>
  <c r="G873" i="1"/>
  <c r="C874" i="1"/>
  <c r="G874" i="1"/>
  <c r="C875" i="1"/>
  <c r="G875" i="1"/>
  <c r="C876" i="1"/>
  <c r="G876" i="1"/>
  <c r="C877" i="1"/>
  <c r="G877" i="1"/>
  <c r="C878" i="1"/>
  <c r="G878" i="1"/>
  <c r="C879" i="1"/>
  <c r="G879" i="1"/>
  <c r="C880" i="1"/>
  <c r="G880" i="1"/>
  <c r="C881" i="1"/>
  <c r="G881" i="1"/>
  <c r="C882" i="1"/>
  <c r="G882" i="1"/>
  <c r="C883" i="1"/>
  <c r="G883" i="1"/>
  <c r="C884" i="1"/>
  <c r="G884" i="1"/>
  <c r="C885" i="1"/>
  <c r="G885" i="1"/>
  <c r="C886" i="1"/>
  <c r="G886" i="1"/>
  <c r="C887" i="1"/>
  <c r="G887" i="1"/>
  <c r="C888" i="1"/>
  <c r="G888" i="1"/>
  <c r="C889" i="1"/>
  <c r="G889" i="1"/>
  <c r="C890" i="1"/>
  <c r="G890" i="1"/>
  <c r="C891" i="1"/>
  <c r="G891" i="1"/>
  <c r="C892" i="1"/>
  <c r="G892" i="1"/>
  <c r="C893" i="1"/>
  <c r="G893" i="1"/>
  <c r="C894" i="1"/>
  <c r="G894" i="1"/>
  <c r="C895" i="1"/>
  <c r="G895" i="1"/>
  <c r="C896" i="1"/>
  <c r="G896" i="1"/>
  <c r="C897" i="1"/>
  <c r="G897" i="1"/>
  <c r="C898" i="1"/>
  <c r="G898" i="1"/>
  <c r="C899" i="1"/>
  <c r="G899" i="1"/>
  <c r="C900" i="1"/>
  <c r="G900" i="1"/>
  <c r="C901" i="1"/>
  <c r="G901" i="1"/>
  <c r="C902" i="1"/>
  <c r="G902" i="1"/>
  <c r="C903" i="1"/>
  <c r="G903" i="1"/>
  <c r="C904" i="1"/>
  <c r="G904" i="1"/>
  <c r="C905" i="1"/>
  <c r="G905" i="1"/>
  <c r="C906" i="1"/>
  <c r="G906" i="1"/>
  <c r="C907" i="1"/>
  <c r="G907" i="1"/>
  <c r="C908" i="1"/>
  <c r="G908" i="1"/>
  <c r="C909" i="1"/>
  <c r="G909" i="1"/>
  <c r="C910" i="1"/>
  <c r="G910" i="1"/>
  <c r="C911" i="1"/>
  <c r="G911" i="1"/>
  <c r="C912" i="1"/>
  <c r="G912" i="1"/>
  <c r="C913" i="1"/>
  <c r="G913" i="1"/>
  <c r="C914" i="1"/>
  <c r="G914" i="1"/>
  <c r="C915" i="1"/>
  <c r="G915" i="1"/>
  <c r="C916" i="1"/>
  <c r="G916" i="1"/>
  <c r="C917" i="1"/>
  <c r="G917" i="1"/>
  <c r="C918" i="1"/>
  <c r="G918" i="1"/>
  <c r="C919" i="1"/>
  <c r="G919" i="1"/>
  <c r="C920" i="1"/>
  <c r="G920" i="1"/>
  <c r="C921" i="1"/>
  <c r="G921" i="1"/>
  <c r="C922" i="1"/>
  <c r="G922" i="1"/>
  <c r="C923" i="1"/>
  <c r="G923" i="1"/>
  <c r="C924" i="1"/>
  <c r="G924" i="1"/>
  <c r="C925" i="1"/>
  <c r="G925" i="1"/>
  <c r="C926" i="1"/>
  <c r="G926" i="1"/>
  <c r="C927" i="1"/>
  <c r="G927" i="1"/>
  <c r="C928" i="1"/>
  <c r="G928" i="1"/>
  <c r="C929" i="1"/>
  <c r="G929" i="1"/>
  <c r="C930" i="1"/>
  <c r="G930" i="1"/>
  <c r="C931" i="1"/>
  <c r="G931" i="1"/>
  <c r="C932" i="1"/>
  <c r="G932" i="1"/>
  <c r="C933" i="1"/>
  <c r="G933" i="1"/>
  <c r="C934" i="1"/>
  <c r="G934" i="1"/>
  <c r="C935" i="1"/>
  <c r="G935" i="1"/>
  <c r="C936" i="1"/>
  <c r="G936" i="1"/>
  <c r="C937" i="1"/>
  <c r="G937" i="1"/>
  <c r="C938" i="1"/>
  <c r="G938" i="1"/>
  <c r="C939" i="1"/>
  <c r="G939" i="1"/>
  <c r="C940" i="1"/>
  <c r="G940" i="1"/>
  <c r="C941" i="1"/>
  <c r="G941" i="1"/>
  <c r="C942" i="1"/>
  <c r="G942" i="1"/>
  <c r="C943" i="1"/>
  <c r="G943" i="1"/>
  <c r="C944" i="1"/>
  <c r="G944" i="1"/>
  <c r="C945" i="1"/>
  <c r="G945" i="1"/>
  <c r="C946" i="1"/>
  <c r="G946" i="1"/>
  <c r="C947" i="1"/>
  <c r="G947" i="1"/>
  <c r="C948" i="1"/>
  <c r="G948" i="1"/>
  <c r="C949" i="1"/>
  <c r="G949" i="1"/>
  <c r="C950" i="1"/>
  <c r="G950" i="1"/>
  <c r="C951" i="1"/>
  <c r="G951" i="1"/>
  <c r="C952" i="1"/>
  <c r="G952" i="1"/>
  <c r="C953" i="1"/>
  <c r="G953" i="1"/>
  <c r="C954" i="1"/>
  <c r="G954" i="1"/>
  <c r="C955" i="1"/>
  <c r="G955" i="1"/>
  <c r="C956" i="1"/>
  <c r="G956" i="1"/>
  <c r="C957" i="1"/>
  <c r="G957" i="1"/>
  <c r="C958" i="1"/>
  <c r="G958" i="1"/>
  <c r="C959" i="1"/>
  <c r="G959" i="1"/>
  <c r="C960" i="1"/>
  <c r="G960" i="1"/>
  <c r="C961" i="1"/>
  <c r="G961" i="1"/>
  <c r="C962" i="1"/>
  <c r="G962" i="1"/>
  <c r="C963" i="1"/>
  <c r="G963" i="1"/>
  <c r="C964" i="1"/>
  <c r="G964" i="1"/>
  <c r="C965" i="1"/>
  <c r="G965" i="1"/>
  <c r="C966" i="1"/>
  <c r="G966" i="1"/>
  <c r="C967" i="1"/>
  <c r="G967" i="1"/>
  <c r="C968" i="1"/>
  <c r="G968" i="1"/>
  <c r="C969" i="1"/>
  <c r="G969" i="1"/>
  <c r="C970" i="1"/>
  <c r="G970" i="1"/>
  <c r="C971" i="1"/>
  <c r="G971" i="1"/>
  <c r="C972" i="1"/>
  <c r="G972" i="1"/>
  <c r="C973" i="1"/>
  <c r="G973" i="1"/>
  <c r="C974" i="1"/>
  <c r="G974" i="1"/>
  <c r="C975" i="1"/>
  <c r="G975" i="1"/>
  <c r="C976" i="1"/>
  <c r="G976" i="1"/>
  <c r="C977" i="1"/>
  <c r="G977" i="1"/>
  <c r="C978" i="1"/>
  <c r="G978" i="1"/>
  <c r="C979" i="1"/>
  <c r="G979" i="1"/>
  <c r="C980" i="1"/>
  <c r="G980" i="1"/>
  <c r="C981" i="1"/>
  <c r="G981" i="1"/>
  <c r="C982" i="1"/>
  <c r="G982" i="1"/>
  <c r="C983" i="1"/>
  <c r="G983" i="1"/>
  <c r="C984" i="1"/>
  <c r="G984" i="1"/>
  <c r="C985" i="1"/>
  <c r="G985" i="1"/>
  <c r="C986" i="1"/>
  <c r="G986" i="1"/>
  <c r="C987" i="1"/>
  <c r="G987" i="1"/>
  <c r="C988" i="1"/>
  <c r="G988" i="1"/>
  <c r="C989" i="1"/>
  <c r="G989" i="1"/>
  <c r="C990" i="1"/>
  <c r="G990" i="1"/>
  <c r="C991" i="1"/>
  <c r="G991" i="1"/>
  <c r="C992" i="1"/>
  <c r="G992" i="1"/>
  <c r="C993" i="1"/>
  <c r="G993" i="1"/>
  <c r="C994" i="1"/>
  <c r="G994" i="1"/>
  <c r="C995" i="1"/>
  <c r="G995" i="1"/>
  <c r="C996" i="1"/>
  <c r="G996" i="1"/>
  <c r="C997" i="1"/>
  <c r="G997" i="1"/>
  <c r="C998" i="1"/>
  <c r="G998" i="1"/>
  <c r="C999" i="1"/>
  <c r="G999" i="1"/>
  <c r="C1000" i="1"/>
  <c r="G1000" i="1"/>
  <c r="C1001" i="1"/>
  <c r="G1001" i="1"/>
  <c r="C1002" i="1"/>
  <c r="G1002" i="1"/>
  <c r="C1003" i="1"/>
  <c r="G1003" i="1"/>
  <c r="C1004" i="1"/>
  <c r="G1004" i="1"/>
  <c r="C1005" i="1"/>
  <c r="G1005" i="1"/>
  <c r="C1006" i="1"/>
  <c r="G1006" i="1"/>
  <c r="C1007" i="1"/>
  <c r="G1007" i="1"/>
  <c r="C1008" i="1"/>
  <c r="G1008" i="1"/>
  <c r="C1009" i="1"/>
  <c r="G1009" i="1"/>
  <c r="C1010" i="1"/>
  <c r="G1010" i="1"/>
  <c r="C1011" i="1"/>
  <c r="G1011" i="1"/>
  <c r="C1012" i="1"/>
  <c r="G1012" i="1"/>
  <c r="C1013" i="1"/>
  <c r="G1013" i="1"/>
  <c r="C1014" i="1"/>
  <c r="G1014" i="1"/>
  <c r="C1015" i="1"/>
  <c r="G1015" i="1"/>
  <c r="C1016" i="1"/>
  <c r="G1016" i="1"/>
  <c r="C1017" i="1"/>
  <c r="G1017" i="1"/>
  <c r="C1018" i="1"/>
  <c r="G1018" i="1"/>
  <c r="C1019" i="1"/>
  <c r="G1019" i="1"/>
  <c r="C1020" i="1"/>
  <c r="G1020" i="1"/>
  <c r="C1021" i="1"/>
  <c r="G1021" i="1"/>
  <c r="C1022" i="1"/>
  <c r="G1022" i="1"/>
  <c r="C1023" i="1"/>
  <c r="G1023" i="1"/>
  <c r="C1024" i="1"/>
  <c r="G1024" i="1"/>
  <c r="C1025" i="1"/>
  <c r="G1025" i="1"/>
  <c r="C1026" i="1"/>
  <c r="G1026" i="1"/>
  <c r="C1027" i="1"/>
  <c r="G1027" i="1"/>
  <c r="C1028" i="1"/>
  <c r="G1028" i="1"/>
  <c r="C1029" i="1"/>
  <c r="G1029" i="1"/>
  <c r="C1030" i="1"/>
  <c r="G1030" i="1"/>
  <c r="C1031" i="1"/>
  <c r="G1031" i="1"/>
  <c r="C1032" i="1"/>
  <c r="G1032" i="1"/>
  <c r="C1033" i="1"/>
  <c r="G1033" i="1"/>
  <c r="C1034" i="1"/>
  <c r="G1034" i="1"/>
  <c r="C1035" i="1"/>
  <c r="G1035" i="1"/>
  <c r="C1036" i="1"/>
  <c r="G1036" i="1"/>
  <c r="C1037" i="1"/>
  <c r="G1037" i="1"/>
  <c r="C1038" i="1"/>
  <c r="G1038" i="1"/>
  <c r="C1039" i="1"/>
  <c r="G1039" i="1"/>
  <c r="C1040" i="1"/>
  <c r="G1040" i="1"/>
  <c r="C1041" i="1"/>
  <c r="G1041" i="1"/>
  <c r="C1042" i="1"/>
  <c r="G1042" i="1"/>
  <c r="C1043" i="1"/>
  <c r="G1043" i="1"/>
  <c r="C1044" i="1"/>
  <c r="G1044" i="1"/>
  <c r="C1045" i="1"/>
  <c r="G1045" i="1"/>
  <c r="C1046" i="1"/>
  <c r="G1046" i="1"/>
  <c r="C1047" i="1"/>
  <c r="G1047" i="1"/>
  <c r="C1048" i="1"/>
  <c r="G1048" i="1"/>
  <c r="C1049" i="1"/>
  <c r="G1049" i="1"/>
  <c r="C1050" i="1"/>
  <c r="G1050" i="1"/>
  <c r="C1051" i="1"/>
  <c r="G1051" i="1"/>
  <c r="C1052" i="1"/>
  <c r="G1052" i="1"/>
  <c r="C1053" i="1"/>
  <c r="G1053" i="1"/>
  <c r="C1054" i="1"/>
  <c r="G1054" i="1"/>
  <c r="C1055" i="1"/>
  <c r="G1055" i="1"/>
  <c r="C1056" i="1"/>
  <c r="G1056" i="1"/>
  <c r="C1057" i="1"/>
  <c r="G1057" i="1"/>
  <c r="C1058" i="1"/>
  <c r="G1058" i="1"/>
  <c r="C1059" i="1"/>
  <c r="G1059" i="1"/>
  <c r="C1060" i="1"/>
  <c r="G1060" i="1"/>
  <c r="C1061" i="1"/>
  <c r="G1061" i="1"/>
  <c r="C1062" i="1"/>
  <c r="G1062" i="1"/>
  <c r="C1063" i="1"/>
  <c r="G1063" i="1"/>
  <c r="C1064" i="1"/>
  <c r="G1064" i="1"/>
  <c r="C1065" i="1"/>
  <c r="G1065" i="1"/>
  <c r="C1066" i="1"/>
  <c r="G1066" i="1"/>
  <c r="C1067" i="1"/>
  <c r="G1067" i="1"/>
  <c r="C1068" i="1"/>
  <c r="G1068" i="1"/>
  <c r="C1069" i="1"/>
  <c r="G1069" i="1"/>
  <c r="C1070" i="1"/>
  <c r="G1070" i="1"/>
  <c r="C1071" i="1"/>
  <c r="G1071" i="1"/>
  <c r="C1072" i="1"/>
  <c r="G1072" i="1"/>
  <c r="C1073" i="1"/>
  <c r="G1073" i="1"/>
  <c r="C1074" i="1"/>
  <c r="G1074" i="1"/>
  <c r="C1075" i="1"/>
  <c r="G1075" i="1"/>
  <c r="C1076" i="1"/>
  <c r="G1076" i="1"/>
  <c r="D26" i="6"/>
  <c r="D27" i="6"/>
  <c r="D28" i="6"/>
  <c r="C26" i="6"/>
  <c r="C27" i="6"/>
  <c r="C28" i="6"/>
  <c r="C29" i="6"/>
  <c r="D29" i="6" s="1"/>
  <c r="C25" i="6"/>
  <c r="D25" i="6" s="1"/>
  <c r="E2" i="6"/>
  <c r="A17" i="6"/>
  <c r="C15" i="6"/>
  <c r="D2" i="6" s="1"/>
  <c r="G8" i="6"/>
  <c r="G9" i="6" s="1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H1068" i="2"/>
  <c r="I1068" i="2" s="1"/>
  <c r="H1069" i="2"/>
  <c r="I1069" i="2" s="1"/>
  <c r="H1070" i="2"/>
  <c r="I1070" i="2" s="1"/>
  <c r="H1072" i="2"/>
  <c r="I1072" i="2" s="1"/>
  <c r="H1073" i="2"/>
  <c r="I1073" i="2" s="1"/>
  <c r="H1074" i="2"/>
  <c r="I1074" i="2" s="1"/>
  <c r="H1075" i="2"/>
  <c r="I1075" i="2" s="1"/>
  <c r="H1076" i="2"/>
  <c r="I1076" i="2" s="1"/>
  <c r="H1077" i="2"/>
  <c r="I1077" i="2" s="1"/>
  <c r="H1054" i="2"/>
  <c r="I1054" i="2" s="1"/>
  <c r="H1046" i="2"/>
  <c r="I1046" i="2" s="1"/>
  <c r="H1038" i="2"/>
  <c r="I1038" i="2" s="1"/>
  <c r="H1030" i="2"/>
  <c r="I1030" i="2" s="1"/>
  <c r="H1022" i="2"/>
  <c r="I1022" i="2" s="1"/>
  <c r="H998" i="2"/>
  <c r="I998" i="2" s="1"/>
  <c r="H990" i="2"/>
  <c r="I990" i="2" s="1"/>
  <c r="H982" i="2"/>
  <c r="I982" i="2" s="1"/>
  <c r="H974" i="2"/>
  <c r="I974" i="2" s="1"/>
  <c r="H966" i="2"/>
  <c r="I966" i="2" s="1"/>
  <c r="H958" i="2"/>
  <c r="I958" i="2" s="1"/>
  <c r="H950" i="2"/>
  <c r="I950" i="2" s="1"/>
  <c r="H942" i="2"/>
  <c r="I942" i="2" s="1"/>
  <c r="H934" i="2"/>
  <c r="I934" i="2" s="1"/>
  <c r="H926" i="2"/>
  <c r="I926" i="2" s="1"/>
  <c r="H910" i="2"/>
  <c r="I910" i="2" s="1"/>
  <c r="H902" i="2"/>
  <c r="I902" i="2" s="1"/>
  <c r="H894" i="2"/>
  <c r="I894" i="2" s="1"/>
  <c r="H886" i="2"/>
  <c r="I886" i="2" s="1"/>
  <c r="H878" i="2"/>
  <c r="I878" i="2" s="1"/>
  <c r="H870" i="2"/>
  <c r="I870" i="2" s="1"/>
  <c r="H862" i="2"/>
  <c r="I862" i="2" s="1"/>
  <c r="H854" i="2"/>
  <c r="I854" i="2" s="1"/>
  <c r="H846" i="2"/>
  <c r="I846" i="2" s="1"/>
  <c r="H838" i="2"/>
  <c r="I838" i="2" s="1"/>
  <c r="H830" i="2"/>
  <c r="I830" i="2" s="1"/>
  <c r="H806" i="2"/>
  <c r="I806" i="2" s="1"/>
  <c r="H798" i="2"/>
  <c r="I798" i="2" s="1"/>
  <c r="H790" i="2"/>
  <c r="I790" i="2" s="1"/>
  <c r="H782" i="2"/>
  <c r="I782" i="2" s="1"/>
  <c r="H774" i="2"/>
  <c r="I774" i="2" s="1"/>
  <c r="H766" i="2"/>
  <c r="I766" i="2" s="1"/>
  <c r="H742" i="2"/>
  <c r="I742" i="2" s="1"/>
  <c r="H734" i="2"/>
  <c r="I734" i="2" s="1"/>
  <c r="H726" i="2"/>
  <c r="I726" i="2" s="1"/>
  <c r="H718" i="2"/>
  <c r="I718" i="2" s="1"/>
  <c r="H710" i="2"/>
  <c r="I710" i="2" s="1"/>
  <c r="H702" i="2"/>
  <c r="I702" i="2" s="1"/>
  <c r="H694" i="2"/>
  <c r="I694" i="2" s="1"/>
  <c r="H686" i="2"/>
  <c r="I686" i="2" s="1"/>
  <c r="H678" i="2"/>
  <c r="I678" i="2" s="1"/>
  <c r="H670" i="2"/>
  <c r="I670" i="2" s="1"/>
  <c r="H662" i="2"/>
  <c r="I662" i="2" s="1"/>
  <c r="H654" i="2"/>
  <c r="I654" i="2" s="1"/>
  <c r="H646" i="2"/>
  <c r="I646" i="2" s="1"/>
  <c r="H638" i="2"/>
  <c r="I638" i="2" s="1"/>
  <c r="H630" i="2"/>
  <c r="I630" i="2" s="1"/>
  <c r="H622" i="2"/>
  <c r="I622" i="2" s="1"/>
  <c r="H614" i="2"/>
  <c r="I614" i="2" s="1"/>
  <c r="H606" i="2"/>
  <c r="I606" i="2" s="1"/>
  <c r="H598" i="2"/>
  <c r="I598" i="2" s="1"/>
  <c r="H590" i="2"/>
  <c r="I590" i="2" s="1"/>
  <c r="H582" i="2"/>
  <c r="I582" i="2" s="1"/>
  <c r="H574" i="2"/>
  <c r="I574" i="2" s="1"/>
  <c r="H566" i="2"/>
  <c r="I566" i="2" s="1"/>
  <c r="H558" i="2"/>
  <c r="I558" i="2" s="1"/>
  <c r="H542" i="2"/>
  <c r="I542" i="2" s="1"/>
  <c r="H534" i="2"/>
  <c r="I534" i="2" s="1"/>
  <c r="H526" i="2"/>
  <c r="I526" i="2" s="1"/>
  <c r="H518" i="2"/>
  <c r="I518" i="2" s="1"/>
  <c r="H510" i="2"/>
  <c r="I510" i="2" s="1"/>
  <c r="H502" i="2"/>
  <c r="I502" i="2" s="1"/>
  <c r="H494" i="2"/>
  <c r="I494" i="2" s="1"/>
  <c r="H486" i="2"/>
  <c r="I486" i="2" s="1"/>
  <c r="H478" i="2"/>
  <c r="I478" i="2" s="1"/>
  <c r="H470" i="2"/>
  <c r="I470" i="2" s="1"/>
  <c r="H462" i="2"/>
  <c r="I462" i="2" s="1"/>
  <c r="H454" i="2"/>
  <c r="I454" i="2" s="1"/>
  <c r="H438" i="2"/>
  <c r="I438" i="2" s="1"/>
  <c r="H430" i="2"/>
  <c r="I430" i="2" s="1"/>
  <c r="H422" i="2"/>
  <c r="I422" i="2" s="1"/>
  <c r="H414" i="2"/>
  <c r="I414" i="2" s="1"/>
  <c r="H406" i="2"/>
  <c r="I406" i="2" s="1"/>
  <c r="H390" i="2"/>
  <c r="I390" i="2" s="1"/>
  <c r="H382" i="2"/>
  <c r="I382" i="2" s="1"/>
  <c r="H374" i="2"/>
  <c r="I374" i="2" s="1"/>
  <c r="H366" i="2"/>
  <c r="I366" i="2" s="1"/>
  <c r="H358" i="2"/>
  <c r="I358" i="2" s="1"/>
  <c r="H342" i="2"/>
  <c r="I342" i="2" s="1"/>
  <c r="H334" i="2"/>
  <c r="I334" i="2" s="1"/>
  <c r="H326" i="2"/>
  <c r="I326" i="2" s="1"/>
  <c r="H318" i="2"/>
  <c r="I318" i="2" s="1"/>
  <c r="H310" i="2"/>
  <c r="I310" i="2" s="1"/>
  <c r="H302" i="2"/>
  <c r="I302" i="2" s="1"/>
  <c r="H294" i="2"/>
  <c r="I294" i="2" s="1"/>
  <c r="H286" i="2"/>
  <c r="I286" i="2" s="1"/>
  <c r="H278" i="2"/>
  <c r="I278" i="2" s="1"/>
  <c r="H262" i="2"/>
  <c r="I262" i="2" s="1"/>
  <c r="H254" i="2"/>
  <c r="I254" i="2" s="1"/>
  <c r="H246" i="2"/>
  <c r="I246" i="2" s="1"/>
  <c r="H238" i="2"/>
  <c r="I238" i="2" s="1"/>
  <c r="H230" i="2"/>
  <c r="I230" i="2" s="1"/>
  <c r="H222" i="2"/>
  <c r="I222" i="2" s="1"/>
  <c r="H214" i="2"/>
  <c r="I214" i="2" s="1"/>
  <c r="H198" i="2"/>
  <c r="I198" i="2" s="1"/>
  <c r="H190" i="2"/>
  <c r="I190" i="2" s="1"/>
  <c r="H182" i="2"/>
  <c r="I182" i="2" s="1"/>
  <c r="H174" i="2"/>
  <c r="I174" i="2" s="1"/>
  <c r="H166" i="2"/>
  <c r="I166" i="2" s="1"/>
  <c r="H158" i="2"/>
  <c r="I158" i="2" s="1"/>
  <c r="H150" i="2"/>
  <c r="I150" i="2" s="1"/>
  <c r="H142" i="2"/>
  <c r="I142" i="2" s="1"/>
  <c r="H134" i="2"/>
  <c r="I134" i="2" s="1"/>
  <c r="H126" i="2"/>
  <c r="I126" i="2" s="1"/>
  <c r="H118" i="2"/>
  <c r="I118" i="2" s="1"/>
  <c r="H110" i="2"/>
  <c r="I110" i="2" s="1"/>
  <c r="H102" i="2"/>
  <c r="I102" i="2" s="1"/>
  <c r="H94" i="2"/>
  <c r="I94" i="2" s="1"/>
  <c r="H86" i="2"/>
  <c r="I86" i="2" s="1"/>
  <c r="H78" i="2"/>
  <c r="I78" i="2" s="1"/>
  <c r="H70" i="2"/>
  <c r="I70" i="2" s="1"/>
  <c r="H62" i="2"/>
  <c r="I62" i="2" s="1"/>
  <c r="H54" i="2"/>
  <c r="I54" i="2" s="1"/>
  <c r="H46" i="2"/>
  <c r="I46" i="2" s="1"/>
  <c r="H38" i="2"/>
  <c r="I38" i="2" s="1"/>
  <c r="H30" i="2"/>
  <c r="I30" i="2" s="1"/>
  <c r="H22" i="2"/>
  <c r="I22" i="2" s="1"/>
  <c r="H14" i="2"/>
  <c r="I14" i="2" s="1"/>
  <c r="H6" i="2"/>
  <c r="I6" i="2" s="1"/>
  <c r="H1066" i="3"/>
  <c r="I1066" i="3" s="1"/>
  <c r="E1066" i="3"/>
  <c r="F1066" i="3" s="1"/>
  <c r="I1065" i="3"/>
  <c r="H1065" i="3"/>
  <c r="F1065" i="3"/>
  <c r="E1065" i="3"/>
  <c r="I1064" i="3"/>
  <c r="H1064" i="3"/>
  <c r="E1064" i="3"/>
  <c r="F1064" i="3" s="1"/>
  <c r="I1063" i="3"/>
  <c r="H1063" i="3"/>
  <c r="E1063" i="3"/>
  <c r="F1063" i="3" s="1"/>
  <c r="H1062" i="3"/>
  <c r="I1062" i="3" s="1"/>
  <c r="F1062" i="3"/>
  <c r="E1062" i="3"/>
  <c r="I1061" i="3"/>
  <c r="H1061" i="3"/>
  <c r="E1061" i="3"/>
  <c r="F1061" i="3" s="1"/>
  <c r="H1060" i="3"/>
  <c r="I1060" i="3" s="1"/>
  <c r="E1060" i="3"/>
  <c r="F1060" i="3" s="1"/>
  <c r="H1059" i="3"/>
  <c r="I1059" i="3" s="1"/>
  <c r="E1059" i="3"/>
  <c r="F1059" i="3" s="1"/>
  <c r="H1058" i="3"/>
  <c r="I1058" i="3" s="1"/>
  <c r="F1058" i="3"/>
  <c r="E1058" i="3"/>
  <c r="I1057" i="3"/>
  <c r="H1057" i="3"/>
  <c r="F1057" i="3"/>
  <c r="E1057" i="3"/>
  <c r="I1056" i="3"/>
  <c r="H1056" i="3"/>
  <c r="E1056" i="3"/>
  <c r="F1056" i="3" s="1"/>
  <c r="I1055" i="3"/>
  <c r="H1055" i="3"/>
  <c r="F1055" i="3"/>
  <c r="E1055" i="3"/>
  <c r="H1054" i="3"/>
  <c r="I1054" i="3" s="1"/>
  <c r="F1054" i="3"/>
  <c r="E1054" i="3"/>
  <c r="I1053" i="3"/>
  <c r="H1053" i="3"/>
  <c r="E1053" i="3"/>
  <c r="F1053" i="3" s="1"/>
  <c r="H1052" i="3"/>
  <c r="I1052" i="3" s="1"/>
  <c r="E1052" i="3"/>
  <c r="F1052" i="3" s="1"/>
  <c r="H1051" i="3"/>
  <c r="I1051" i="3" s="1"/>
  <c r="E1051" i="3"/>
  <c r="F1051" i="3" s="1"/>
  <c r="I1050" i="3"/>
  <c r="H1050" i="3"/>
  <c r="E1050" i="3"/>
  <c r="F1050" i="3" s="1"/>
  <c r="I1049" i="3"/>
  <c r="H1049" i="3"/>
  <c r="F1049" i="3"/>
  <c r="E1049" i="3"/>
  <c r="H1048" i="3"/>
  <c r="I1048" i="3" s="1"/>
  <c r="E1048" i="3"/>
  <c r="F1048" i="3" s="1"/>
  <c r="I1047" i="3"/>
  <c r="H1047" i="3"/>
  <c r="E1047" i="3"/>
  <c r="F1047" i="3" s="1"/>
  <c r="H1046" i="3"/>
  <c r="I1046" i="3" s="1"/>
  <c r="F1046" i="3"/>
  <c r="E1046" i="3"/>
  <c r="I1045" i="3"/>
  <c r="H1045" i="3"/>
  <c r="E1045" i="3"/>
  <c r="F1045" i="3" s="1"/>
  <c r="H1044" i="3"/>
  <c r="I1044" i="3" s="1"/>
  <c r="E1044" i="3"/>
  <c r="F1044" i="3" s="1"/>
  <c r="H1043" i="3"/>
  <c r="I1043" i="3" s="1"/>
  <c r="E1043" i="3"/>
  <c r="F1043" i="3" s="1"/>
  <c r="H1042" i="3"/>
  <c r="I1042" i="3" s="1"/>
  <c r="E1042" i="3"/>
  <c r="F1042" i="3" s="1"/>
  <c r="I1041" i="3"/>
  <c r="H1041" i="3"/>
  <c r="F1041" i="3"/>
  <c r="E1041" i="3"/>
  <c r="I1040" i="3"/>
  <c r="H1040" i="3"/>
  <c r="E1040" i="3"/>
  <c r="F1040" i="3" s="1"/>
  <c r="I1039" i="3"/>
  <c r="H1039" i="3"/>
  <c r="F1039" i="3"/>
  <c r="E1039" i="3"/>
  <c r="H1038" i="3"/>
  <c r="I1038" i="3" s="1"/>
  <c r="F1038" i="3"/>
  <c r="E1038" i="3"/>
  <c r="I1037" i="3"/>
  <c r="H1037" i="3"/>
  <c r="E1037" i="3"/>
  <c r="F1037" i="3" s="1"/>
  <c r="H1036" i="3"/>
  <c r="I1036" i="3" s="1"/>
  <c r="E1036" i="3"/>
  <c r="F1036" i="3" s="1"/>
  <c r="H1035" i="3"/>
  <c r="I1035" i="3" s="1"/>
  <c r="E1035" i="3"/>
  <c r="F1035" i="3" s="1"/>
  <c r="I1034" i="3"/>
  <c r="H1034" i="3"/>
  <c r="E1034" i="3"/>
  <c r="F1034" i="3" s="1"/>
  <c r="I1033" i="3"/>
  <c r="H1033" i="3"/>
  <c r="F1033" i="3"/>
  <c r="E1033" i="3"/>
  <c r="H1032" i="3"/>
  <c r="I1032" i="3" s="1"/>
  <c r="E1032" i="3"/>
  <c r="F1032" i="3" s="1"/>
  <c r="H1031" i="3"/>
  <c r="I1031" i="3" s="1"/>
  <c r="E1031" i="3"/>
  <c r="F1031" i="3" s="1"/>
  <c r="H1030" i="3"/>
  <c r="I1030" i="3" s="1"/>
  <c r="E1030" i="3"/>
  <c r="F1030" i="3" s="1"/>
  <c r="I1029" i="3"/>
  <c r="H1029" i="3"/>
  <c r="E1029" i="3"/>
  <c r="F1029" i="3" s="1"/>
  <c r="H1028" i="3"/>
  <c r="I1028" i="3" s="1"/>
  <c r="E1028" i="3"/>
  <c r="F1028" i="3" s="1"/>
  <c r="H1027" i="3"/>
  <c r="I1027" i="3" s="1"/>
  <c r="E1027" i="3"/>
  <c r="F1027" i="3" s="1"/>
  <c r="H1026" i="3"/>
  <c r="I1026" i="3" s="1"/>
  <c r="F1026" i="3"/>
  <c r="E1026" i="3"/>
  <c r="I1025" i="3"/>
  <c r="H1025" i="3"/>
  <c r="F1025" i="3"/>
  <c r="E1025" i="3"/>
  <c r="I1024" i="3"/>
  <c r="H1024" i="3"/>
  <c r="E1024" i="3"/>
  <c r="F1024" i="3" s="1"/>
  <c r="I1023" i="3"/>
  <c r="H1023" i="3"/>
  <c r="F1023" i="3"/>
  <c r="E1023" i="3"/>
  <c r="H1022" i="3"/>
  <c r="I1022" i="3" s="1"/>
  <c r="F1022" i="3"/>
  <c r="E1022" i="3"/>
  <c r="I1021" i="3"/>
  <c r="H1021" i="3"/>
  <c r="E1021" i="3"/>
  <c r="F1021" i="3" s="1"/>
  <c r="H1020" i="3"/>
  <c r="I1020" i="3" s="1"/>
  <c r="E1020" i="3"/>
  <c r="F1020" i="3" s="1"/>
  <c r="H1019" i="3"/>
  <c r="I1019" i="3" s="1"/>
  <c r="E1019" i="3"/>
  <c r="F1019" i="3" s="1"/>
  <c r="I1018" i="3"/>
  <c r="H1018" i="3"/>
  <c r="E1018" i="3"/>
  <c r="F1018" i="3" s="1"/>
  <c r="I1017" i="3"/>
  <c r="H1017" i="3"/>
  <c r="E1017" i="3"/>
  <c r="F1017" i="3" s="1"/>
  <c r="H1016" i="3"/>
  <c r="I1016" i="3" s="1"/>
  <c r="E1016" i="3"/>
  <c r="F1016" i="3" s="1"/>
  <c r="H1015" i="3"/>
  <c r="I1015" i="3" s="1"/>
  <c r="E1015" i="3"/>
  <c r="F1015" i="3" s="1"/>
  <c r="H1014" i="3"/>
  <c r="I1014" i="3" s="1"/>
  <c r="E1014" i="3"/>
  <c r="F1014" i="3" s="1"/>
  <c r="I1013" i="3"/>
  <c r="H1013" i="3"/>
  <c r="E1013" i="3"/>
  <c r="F1013" i="3" s="1"/>
  <c r="H1012" i="3"/>
  <c r="I1012" i="3" s="1"/>
  <c r="E1012" i="3"/>
  <c r="F1012" i="3" s="1"/>
  <c r="H1011" i="3"/>
  <c r="I1011" i="3" s="1"/>
  <c r="E1011" i="3"/>
  <c r="F1011" i="3" s="1"/>
  <c r="H1010" i="3"/>
  <c r="I1010" i="3" s="1"/>
  <c r="F1010" i="3"/>
  <c r="E1010" i="3"/>
  <c r="I1009" i="3"/>
  <c r="H1009" i="3"/>
  <c r="F1009" i="3"/>
  <c r="E1009" i="3"/>
  <c r="I1008" i="3"/>
  <c r="H1008" i="3"/>
  <c r="E1008" i="3"/>
  <c r="F1008" i="3" s="1"/>
  <c r="I1007" i="3"/>
  <c r="H1007" i="3"/>
  <c r="F1007" i="3"/>
  <c r="E1007" i="3"/>
  <c r="H1006" i="3"/>
  <c r="I1006" i="3" s="1"/>
  <c r="F1006" i="3"/>
  <c r="E1006" i="3"/>
  <c r="I1005" i="3"/>
  <c r="H1005" i="3"/>
  <c r="E1005" i="3"/>
  <c r="F1005" i="3" s="1"/>
  <c r="H1004" i="3"/>
  <c r="I1004" i="3" s="1"/>
  <c r="E1004" i="3"/>
  <c r="F1004" i="3" s="1"/>
  <c r="H1003" i="3"/>
  <c r="I1003" i="3" s="1"/>
  <c r="E1003" i="3"/>
  <c r="F1003" i="3" s="1"/>
  <c r="I1002" i="3"/>
  <c r="H1002" i="3"/>
  <c r="E1002" i="3"/>
  <c r="F1002" i="3" s="1"/>
  <c r="I1001" i="3"/>
  <c r="H1001" i="3"/>
  <c r="E1001" i="3"/>
  <c r="F1001" i="3" s="1"/>
  <c r="H1000" i="3"/>
  <c r="I1000" i="3" s="1"/>
  <c r="E1000" i="3"/>
  <c r="F1000" i="3" s="1"/>
  <c r="H999" i="3"/>
  <c r="I999" i="3" s="1"/>
  <c r="E999" i="3"/>
  <c r="F999" i="3" s="1"/>
  <c r="H998" i="3"/>
  <c r="I998" i="3" s="1"/>
  <c r="E998" i="3"/>
  <c r="F998" i="3" s="1"/>
  <c r="I997" i="3"/>
  <c r="H997" i="3"/>
  <c r="E997" i="3"/>
  <c r="F997" i="3" s="1"/>
  <c r="H996" i="3"/>
  <c r="I996" i="3" s="1"/>
  <c r="E996" i="3"/>
  <c r="F996" i="3" s="1"/>
  <c r="I995" i="3"/>
  <c r="H995" i="3"/>
  <c r="E995" i="3"/>
  <c r="F995" i="3" s="1"/>
  <c r="H994" i="3"/>
  <c r="I994" i="3" s="1"/>
  <c r="E994" i="3"/>
  <c r="F994" i="3" s="1"/>
  <c r="I993" i="3"/>
  <c r="H993" i="3"/>
  <c r="F993" i="3"/>
  <c r="E993" i="3"/>
  <c r="I992" i="3"/>
  <c r="H992" i="3"/>
  <c r="E992" i="3"/>
  <c r="F992" i="3" s="1"/>
  <c r="I991" i="3"/>
  <c r="H991" i="3"/>
  <c r="F991" i="3"/>
  <c r="E991" i="3"/>
  <c r="H990" i="3"/>
  <c r="I990" i="3" s="1"/>
  <c r="F990" i="3"/>
  <c r="E990" i="3"/>
  <c r="I989" i="3"/>
  <c r="H989" i="3"/>
  <c r="E989" i="3"/>
  <c r="F989" i="3" s="1"/>
  <c r="H988" i="3"/>
  <c r="I988" i="3" s="1"/>
  <c r="E988" i="3"/>
  <c r="F988" i="3" s="1"/>
  <c r="H987" i="3"/>
  <c r="I987" i="3" s="1"/>
  <c r="E987" i="3"/>
  <c r="F987" i="3" s="1"/>
  <c r="I986" i="3"/>
  <c r="H986" i="3"/>
  <c r="E986" i="3"/>
  <c r="F986" i="3" s="1"/>
  <c r="I985" i="3"/>
  <c r="H985" i="3"/>
  <c r="E985" i="3"/>
  <c r="F985" i="3" s="1"/>
  <c r="H984" i="3"/>
  <c r="I984" i="3" s="1"/>
  <c r="E984" i="3"/>
  <c r="F984" i="3" s="1"/>
  <c r="H983" i="3"/>
  <c r="I983" i="3" s="1"/>
  <c r="F983" i="3"/>
  <c r="E983" i="3"/>
  <c r="H982" i="3"/>
  <c r="I982" i="3" s="1"/>
  <c r="E982" i="3"/>
  <c r="F982" i="3" s="1"/>
  <c r="I981" i="3"/>
  <c r="H981" i="3"/>
  <c r="F981" i="3"/>
  <c r="E981" i="3"/>
  <c r="H980" i="3"/>
  <c r="I980" i="3" s="1"/>
  <c r="E980" i="3"/>
  <c r="F980" i="3" s="1"/>
  <c r="H979" i="3"/>
  <c r="I979" i="3" s="1"/>
  <c r="E979" i="3"/>
  <c r="F979" i="3" s="1"/>
  <c r="I978" i="3"/>
  <c r="H978" i="3"/>
  <c r="E978" i="3"/>
  <c r="F978" i="3" s="1"/>
  <c r="I977" i="3"/>
  <c r="H977" i="3"/>
  <c r="F977" i="3"/>
  <c r="E977" i="3"/>
  <c r="I976" i="3"/>
  <c r="H976" i="3"/>
  <c r="E976" i="3"/>
  <c r="F976" i="3" s="1"/>
  <c r="I975" i="3"/>
  <c r="H975" i="3"/>
  <c r="F975" i="3"/>
  <c r="E975" i="3"/>
  <c r="H974" i="3"/>
  <c r="I974" i="3" s="1"/>
  <c r="F974" i="3"/>
  <c r="E974" i="3"/>
  <c r="I973" i="3"/>
  <c r="H973" i="3"/>
  <c r="E973" i="3"/>
  <c r="F973" i="3" s="1"/>
  <c r="H972" i="3"/>
  <c r="I972" i="3" s="1"/>
  <c r="E972" i="3"/>
  <c r="F972" i="3" s="1"/>
  <c r="I971" i="3"/>
  <c r="H971" i="3"/>
  <c r="E971" i="3"/>
  <c r="F971" i="3" s="1"/>
  <c r="I970" i="3"/>
  <c r="H970" i="3"/>
  <c r="E970" i="3"/>
  <c r="F970" i="3" s="1"/>
  <c r="I969" i="3"/>
  <c r="H969" i="3"/>
  <c r="E969" i="3"/>
  <c r="F969" i="3" s="1"/>
  <c r="H968" i="3"/>
  <c r="I968" i="3" s="1"/>
  <c r="E968" i="3"/>
  <c r="F968" i="3" s="1"/>
  <c r="H967" i="3"/>
  <c r="I967" i="3" s="1"/>
  <c r="E967" i="3"/>
  <c r="F967" i="3" s="1"/>
  <c r="H966" i="3"/>
  <c r="I966" i="3" s="1"/>
  <c r="E966" i="3"/>
  <c r="F966" i="3" s="1"/>
  <c r="I965" i="3"/>
  <c r="H965" i="3"/>
  <c r="E965" i="3"/>
  <c r="F965" i="3" s="1"/>
  <c r="H964" i="3"/>
  <c r="I964" i="3" s="1"/>
  <c r="E964" i="3"/>
  <c r="F964" i="3" s="1"/>
  <c r="I963" i="3"/>
  <c r="H963" i="3"/>
  <c r="E963" i="3"/>
  <c r="F963" i="3" s="1"/>
  <c r="H962" i="3"/>
  <c r="I962" i="3" s="1"/>
  <c r="E962" i="3"/>
  <c r="F962" i="3" s="1"/>
  <c r="I961" i="3"/>
  <c r="H961" i="3"/>
  <c r="F961" i="3"/>
  <c r="E961" i="3"/>
  <c r="I960" i="3"/>
  <c r="H960" i="3"/>
  <c r="E960" i="3"/>
  <c r="F960" i="3" s="1"/>
  <c r="I959" i="3"/>
  <c r="H959" i="3"/>
  <c r="F959" i="3"/>
  <c r="E959" i="3"/>
  <c r="H958" i="3"/>
  <c r="I958" i="3" s="1"/>
  <c r="F958" i="3"/>
  <c r="E958" i="3"/>
  <c r="I957" i="3"/>
  <c r="H957" i="3"/>
  <c r="E957" i="3"/>
  <c r="F957" i="3" s="1"/>
  <c r="H956" i="3"/>
  <c r="I956" i="3" s="1"/>
  <c r="E956" i="3"/>
  <c r="F956" i="3" s="1"/>
  <c r="H955" i="3"/>
  <c r="I955" i="3" s="1"/>
  <c r="E955" i="3"/>
  <c r="F955" i="3" s="1"/>
  <c r="I954" i="3"/>
  <c r="H954" i="3"/>
  <c r="E954" i="3"/>
  <c r="F954" i="3" s="1"/>
  <c r="I953" i="3"/>
  <c r="H953" i="3"/>
  <c r="E953" i="3"/>
  <c r="F953" i="3" s="1"/>
  <c r="H952" i="3"/>
  <c r="I952" i="3" s="1"/>
  <c r="E952" i="3"/>
  <c r="F952" i="3" s="1"/>
  <c r="H951" i="3"/>
  <c r="I951" i="3" s="1"/>
  <c r="F951" i="3"/>
  <c r="E951" i="3"/>
  <c r="H950" i="3"/>
  <c r="I950" i="3" s="1"/>
  <c r="E950" i="3"/>
  <c r="F950" i="3" s="1"/>
  <c r="I949" i="3"/>
  <c r="H949" i="3"/>
  <c r="F949" i="3"/>
  <c r="E949" i="3"/>
  <c r="H948" i="3"/>
  <c r="I948" i="3" s="1"/>
  <c r="E948" i="3"/>
  <c r="F948" i="3" s="1"/>
  <c r="H947" i="3"/>
  <c r="I947" i="3" s="1"/>
  <c r="E947" i="3"/>
  <c r="F947" i="3" s="1"/>
  <c r="I946" i="3"/>
  <c r="H946" i="3"/>
  <c r="E946" i="3"/>
  <c r="F946" i="3" s="1"/>
  <c r="I945" i="3"/>
  <c r="H945" i="3"/>
  <c r="F945" i="3"/>
  <c r="E945" i="3"/>
  <c r="I944" i="3"/>
  <c r="H944" i="3"/>
  <c r="E944" i="3"/>
  <c r="F944" i="3" s="1"/>
  <c r="I943" i="3"/>
  <c r="H943" i="3"/>
  <c r="F943" i="3"/>
  <c r="E943" i="3"/>
  <c r="H942" i="3"/>
  <c r="I942" i="3" s="1"/>
  <c r="F942" i="3"/>
  <c r="E942" i="3"/>
  <c r="I941" i="3"/>
  <c r="H941" i="3"/>
  <c r="E941" i="3"/>
  <c r="F941" i="3" s="1"/>
  <c r="H940" i="3"/>
  <c r="I940" i="3" s="1"/>
  <c r="E940" i="3"/>
  <c r="F940" i="3" s="1"/>
  <c r="H939" i="3"/>
  <c r="I939" i="3" s="1"/>
  <c r="E939" i="3"/>
  <c r="F939" i="3" s="1"/>
  <c r="I938" i="3"/>
  <c r="H938" i="3"/>
  <c r="E938" i="3"/>
  <c r="F938" i="3" s="1"/>
  <c r="I937" i="3"/>
  <c r="H937" i="3"/>
  <c r="F937" i="3"/>
  <c r="E937" i="3"/>
  <c r="I936" i="3"/>
  <c r="H936" i="3"/>
  <c r="E936" i="3"/>
  <c r="F936" i="3" s="1"/>
  <c r="I935" i="3"/>
  <c r="H935" i="3"/>
  <c r="E935" i="3"/>
  <c r="F935" i="3" s="1"/>
  <c r="H934" i="3"/>
  <c r="I934" i="3" s="1"/>
  <c r="F934" i="3"/>
  <c r="E934" i="3"/>
  <c r="I933" i="3"/>
  <c r="H933" i="3"/>
  <c r="F933" i="3"/>
  <c r="E933" i="3"/>
  <c r="H932" i="3"/>
  <c r="I932" i="3" s="1"/>
  <c r="E932" i="3"/>
  <c r="F932" i="3" s="1"/>
  <c r="H931" i="3"/>
  <c r="I931" i="3" s="1"/>
  <c r="E931" i="3"/>
  <c r="F931" i="3" s="1"/>
  <c r="I930" i="3"/>
  <c r="H930" i="3"/>
  <c r="F930" i="3"/>
  <c r="E930" i="3"/>
  <c r="I929" i="3"/>
  <c r="H929" i="3"/>
  <c r="F929" i="3"/>
  <c r="E929" i="3"/>
  <c r="I928" i="3"/>
  <c r="H928" i="3"/>
  <c r="E928" i="3"/>
  <c r="F928" i="3" s="1"/>
  <c r="H927" i="3"/>
  <c r="I927" i="3" s="1"/>
  <c r="F927" i="3"/>
  <c r="E927" i="3"/>
  <c r="H926" i="3"/>
  <c r="I926" i="3" s="1"/>
  <c r="E926" i="3"/>
  <c r="F926" i="3" s="1"/>
  <c r="I925" i="3"/>
  <c r="H925" i="3"/>
  <c r="F925" i="3"/>
  <c r="E925" i="3"/>
  <c r="H924" i="3"/>
  <c r="I924" i="3" s="1"/>
  <c r="E924" i="3"/>
  <c r="F924" i="3" s="1"/>
  <c r="H923" i="3"/>
  <c r="I923" i="3" s="1"/>
  <c r="E923" i="3"/>
  <c r="F923" i="3" s="1"/>
  <c r="I922" i="3"/>
  <c r="H922" i="3"/>
  <c r="F922" i="3"/>
  <c r="E922" i="3"/>
  <c r="I921" i="3"/>
  <c r="H921" i="3"/>
  <c r="E921" i="3"/>
  <c r="F921" i="3" s="1"/>
  <c r="I920" i="3"/>
  <c r="H920" i="3"/>
  <c r="E920" i="3"/>
  <c r="F920" i="3" s="1"/>
  <c r="H919" i="3"/>
  <c r="I919" i="3" s="1"/>
  <c r="E919" i="3"/>
  <c r="F919" i="3" s="1"/>
  <c r="H918" i="3"/>
  <c r="I918" i="3" s="1"/>
  <c r="E918" i="3"/>
  <c r="F918" i="3" s="1"/>
  <c r="I917" i="3"/>
  <c r="H917" i="3"/>
  <c r="E917" i="3"/>
  <c r="F917" i="3" s="1"/>
  <c r="H916" i="3"/>
  <c r="I916" i="3" s="1"/>
  <c r="E916" i="3"/>
  <c r="F916" i="3" s="1"/>
  <c r="H915" i="3"/>
  <c r="I915" i="3" s="1"/>
  <c r="E915" i="3"/>
  <c r="F915" i="3" s="1"/>
  <c r="I914" i="3"/>
  <c r="H914" i="3"/>
  <c r="F914" i="3"/>
  <c r="E914" i="3"/>
  <c r="I913" i="3"/>
  <c r="H913" i="3"/>
  <c r="F913" i="3"/>
  <c r="E913" i="3"/>
  <c r="I912" i="3"/>
  <c r="H912" i="3"/>
  <c r="E912" i="3"/>
  <c r="F912" i="3" s="1"/>
  <c r="H911" i="3"/>
  <c r="I911" i="3" s="1"/>
  <c r="F911" i="3"/>
  <c r="E911" i="3"/>
  <c r="H910" i="3"/>
  <c r="I910" i="3" s="1"/>
  <c r="F910" i="3"/>
  <c r="E910" i="3"/>
  <c r="I909" i="3"/>
  <c r="H909" i="3"/>
  <c r="E909" i="3"/>
  <c r="F909" i="3" s="1"/>
  <c r="I908" i="3"/>
  <c r="H908" i="3"/>
  <c r="E908" i="3"/>
  <c r="F908" i="3" s="1"/>
  <c r="H907" i="3"/>
  <c r="I907" i="3" s="1"/>
  <c r="E907" i="3"/>
  <c r="F907" i="3" s="1"/>
  <c r="I906" i="3"/>
  <c r="H906" i="3"/>
  <c r="E906" i="3"/>
  <c r="F906" i="3" s="1"/>
  <c r="I905" i="3"/>
  <c r="H905" i="3"/>
  <c r="E905" i="3"/>
  <c r="F905" i="3" s="1"/>
  <c r="H904" i="3"/>
  <c r="I904" i="3" s="1"/>
  <c r="E904" i="3"/>
  <c r="F904" i="3" s="1"/>
  <c r="H903" i="3"/>
  <c r="I903" i="3" s="1"/>
  <c r="E903" i="3"/>
  <c r="F903" i="3" s="1"/>
  <c r="I902" i="3"/>
  <c r="H902" i="3"/>
  <c r="E902" i="3"/>
  <c r="F902" i="3" s="1"/>
  <c r="I901" i="3"/>
  <c r="H901" i="3"/>
  <c r="E901" i="3"/>
  <c r="F901" i="3" s="1"/>
  <c r="H900" i="3"/>
  <c r="I900" i="3" s="1"/>
  <c r="E900" i="3"/>
  <c r="F900" i="3" s="1"/>
  <c r="H899" i="3"/>
  <c r="I899" i="3" s="1"/>
  <c r="E899" i="3"/>
  <c r="F899" i="3" s="1"/>
  <c r="H898" i="3"/>
  <c r="I898" i="3" s="1"/>
  <c r="F898" i="3"/>
  <c r="E898" i="3"/>
  <c r="H897" i="3"/>
  <c r="I897" i="3" s="1"/>
  <c r="E897" i="3"/>
  <c r="F897" i="3" s="1"/>
  <c r="I896" i="3"/>
  <c r="H896" i="3"/>
  <c r="E896" i="3"/>
  <c r="F896" i="3" s="1"/>
  <c r="H895" i="3"/>
  <c r="I895" i="3" s="1"/>
  <c r="E895" i="3"/>
  <c r="F895" i="3" s="1"/>
  <c r="H894" i="3"/>
  <c r="I894" i="3" s="1"/>
  <c r="E894" i="3"/>
  <c r="F894" i="3" s="1"/>
  <c r="H893" i="3"/>
  <c r="I893" i="3" s="1"/>
  <c r="F893" i="3"/>
  <c r="E893" i="3"/>
  <c r="I892" i="3"/>
  <c r="H892" i="3"/>
  <c r="E892" i="3"/>
  <c r="F892" i="3" s="1"/>
  <c r="I891" i="3"/>
  <c r="H891" i="3"/>
  <c r="F891" i="3"/>
  <c r="E891" i="3"/>
  <c r="H890" i="3"/>
  <c r="I890" i="3" s="1"/>
  <c r="E890" i="3"/>
  <c r="F890" i="3" s="1"/>
  <c r="H889" i="3"/>
  <c r="I889" i="3" s="1"/>
  <c r="E889" i="3"/>
  <c r="F889" i="3" s="1"/>
  <c r="I888" i="3"/>
  <c r="H888" i="3"/>
  <c r="E888" i="3"/>
  <c r="F888" i="3" s="1"/>
  <c r="H887" i="3"/>
  <c r="I887" i="3" s="1"/>
  <c r="E887" i="3"/>
  <c r="F887" i="3" s="1"/>
  <c r="H886" i="3"/>
  <c r="I886" i="3" s="1"/>
  <c r="E886" i="3"/>
  <c r="F886" i="3" s="1"/>
  <c r="H885" i="3"/>
  <c r="I885" i="3" s="1"/>
  <c r="E885" i="3"/>
  <c r="F885" i="3" s="1"/>
  <c r="I884" i="3"/>
  <c r="H884" i="3"/>
  <c r="E884" i="3"/>
  <c r="F884" i="3" s="1"/>
  <c r="H883" i="3"/>
  <c r="I883" i="3" s="1"/>
  <c r="E883" i="3"/>
  <c r="F883" i="3" s="1"/>
  <c r="H882" i="3"/>
  <c r="I882" i="3" s="1"/>
  <c r="E882" i="3"/>
  <c r="F882" i="3" s="1"/>
  <c r="H881" i="3"/>
  <c r="I881" i="3" s="1"/>
  <c r="E881" i="3"/>
  <c r="F881" i="3" s="1"/>
  <c r="I880" i="3"/>
  <c r="H880" i="3"/>
  <c r="E880" i="3"/>
  <c r="F880" i="3" s="1"/>
  <c r="H879" i="3"/>
  <c r="I879" i="3" s="1"/>
  <c r="E879" i="3"/>
  <c r="F879" i="3" s="1"/>
  <c r="H878" i="3"/>
  <c r="I878" i="3" s="1"/>
  <c r="E878" i="3"/>
  <c r="F878" i="3" s="1"/>
  <c r="H877" i="3"/>
  <c r="I877" i="3" s="1"/>
  <c r="E877" i="3"/>
  <c r="F877" i="3" s="1"/>
  <c r="I876" i="3"/>
  <c r="H876" i="3"/>
  <c r="E876" i="3"/>
  <c r="F876" i="3" s="1"/>
  <c r="H875" i="3"/>
  <c r="I875" i="3" s="1"/>
  <c r="F875" i="3"/>
  <c r="E875" i="3"/>
  <c r="H874" i="3"/>
  <c r="I874" i="3" s="1"/>
  <c r="E874" i="3"/>
  <c r="F874" i="3" s="1"/>
  <c r="H873" i="3"/>
  <c r="I873" i="3" s="1"/>
  <c r="F873" i="3"/>
  <c r="E873" i="3"/>
  <c r="H872" i="3"/>
  <c r="I872" i="3" s="1"/>
  <c r="E872" i="3"/>
  <c r="F872" i="3" s="1"/>
  <c r="H871" i="3"/>
  <c r="I871" i="3" s="1"/>
  <c r="E871" i="3"/>
  <c r="F871" i="3" s="1"/>
  <c r="H870" i="3"/>
  <c r="I870" i="3" s="1"/>
  <c r="E870" i="3"/>
  <c r="F870" i="3" s="1"/>
  <c r="I869" i="3"/>
  <c r="H869" i="3"/>
  <c r="F869" i="3"/>
  <c r="E869" i="3"/>
  <c r="H868" i="3"/>
  <c r="I868" i="3" s="1"/>
  <c r="E868" i="3"/>
  <c r="F868" i="3" s="1"/>
  <c r="H867" i="3"/>
  <c r="I867" i="3" s="1"/>
  <c r="E867" i="3"/>
  <c r="F867" i="3" s="1"/>
  <c r="I866" i="3"/>
  <c r="H866" i="3"/>
  <c r="E866" i="3"/>
  <c r="F866" i="3" s="1"/>
  <c r="I865" i="3"/>
  <c r="H865" i="3"/>
  <c r="F865" i="3"/>
  <c r="E865" i="3"/>
  <c r="H864" i="3"/>
  <c r="I864" i="3" s="1"/>
  <c r="E864" i="3"/>
  <c r="F864" i="3" s="1"/>
  <c r="H863" i="3"/>
  <c r="I863" i="3" s="1"/>
  <c r="E863" i="3"/>
  <c r="F863" i="3" s="1"/>
  <c r="H862" i="3"/>
  <c r="I862" i="3" s="1"/>
  <c r="E862" i="3"/>
  <c r="F862" i="3" s="1"/>
  <c r="I861" i="3"/>
  <c r="H861" i="3"/>
  <c r="F861" i="3"/>
  <c r="E861" i="3"/>
  <c r="I860" i="3"/>
  <c r="H860" i="3"/>
  <c r="E860" i="3"/>
  <c r="F860" i="3" s="1"/>
  <c r="H859" i="3"/>
  <c r="I859" i="3" s="1"/>
  <c r="E859" i="3"/>
  <c r="F859" i="3" s="1"/>
  <c r="I858" i="3"/>
  <c r="H858" i="3"/>
  <c r="E858" i="3"/>
  <c r="F858" i="3" s="1"/>
  <c r="I857" i="3"/>
  <c r="H857" i="3"/>
  <c r="F857" i="3"/>
  <c r="E857" i="3"/>
  <c r="H856" i="3"/>
  <c r="I856" i="3" s="1"/>
  <c r="E856" i="3"/>
  <c r="F856" i="3" s="1"/>
  <c r="H855" i="3"/>
  <c r="I855" i="3" s="1"/>
  <c r="E855" i="3"/>
  <c r="F855" i="3" s="1"/>
  <c r="H854" i="3"/>
  <c r="I854" i="3" s="1"/>
  <c r="E854" i="3"/>
  <c r="F854" i="3" s="1"/>
  <c r="I853" i="3"/>
  <c r="H853" i="3"/>
  <c r="F853" i="3"/>
  <c r="E853" i="3"/>
  <c r="H852" i="3"/>
  <c r="I852" i="3" s="1"/>
  <c r="E852" i="3"/>
  <c r="F852" i="3" s="1"/>
  <c r="H851" i="3"/>
  <c r="I851" i="3" s="1"/>
  <c r="E851" i="3"/>
  <c r="F851" i="3" s="1"/>
  <c r="I850" i="3"/>
  <c r="H850" i="3"/>
  <c r="E850" i="3"/>
  <c r="F850" i="3" s="1"/>
  <c r="I849" i="3"/>
  <c r="H849" i="3"/>
  <c r="F849" i="3"/>
  <c r="E849" i="3"/>
  <c r="H848" i="3"/>
  <c r="I848" i="3" s="1"/>
  <c r="E848" i="3"/>
  <c r="F848" i="3" s="1"/>
  <c r="H847" i="3"/>
  <c r="I847" i="3" s="1"/>
  <c r="E847" i="3"/>
  <c r="F847" i="3" s="1"/>
  <c r="H846" i="3"/>
  <c r="I846" i="3" s="1"/>
  <c r="E846" i="3"/>
  <c r="F846" i="3" s="1"/>
  <c r="I845" i="3"/>
  <c r="H845" i="3"/>
  <c r="F845" i="3"/>
  <c r="E845" i="3"/>
  <c r="H844" i="3"/>
  <c r="I844" i="3" s="1"/>
  <c r="E844" i="3"/>
  <c r="F844" i="3" s="1"/>
  <c r="H843" i="3"/>
  <c r="I843" i="3" s="1"/>
  <c r="E843" i="3"/>
  <c r="F843" i="3" s="1"/>
  <c r="I842" i="3"/>
  <c r="H842" i="3"/>
  <c r="E842" i="3"/>
  <c r="F842" i="3" s="1"/>
  <c r="I841" i="3"/>
  <c r="H841" i="3"/>
  <c r="F841" i="3"/>
  <c r="E841" i="3"/>
  <c r="H840" i="3"/>
  <c r="I840" i="3" s="1"/>
  <c r="E840" i="3"/>
  <c r="F840" i="3" s="1"/>
  <c r="H839" i="3"/>
  <c r="I839" i="3" s="1"/>
  <c r="E839" i="3"/>
  <c r="F839" i="3" s="1"/>
  <c r="H838" i="3"/>
  <c r="I838" i="3" s="1"/>
  <c r="E838" i="3"/>
  <c r="F838" i="3" s="1"/>
  <c r="I837" i="3"/>
  <c r="H837" i="3"/>
  <c r="F837" i="3"/>
  <c r="E837" i="3"/>
  <c r="H836" i="3"/>
  <c r="I836" i="3" s="1"/>
  <c r="E836" i="3"/>
  <c r="F836" i="3" s="1"/>
  <c r="H835" i="3"/>
  <c r="I835" i="3" s="1"/>
  <c r="E835" i="3"/>
  <c r="F835" i="3" s="1"/>
  <c r="I834" i="3"/>
  <c r="H834" i="3"/>
  <c r="E834" i="3"/>
  <c r="F834" i="3" s="1"/>
  <c r="I833" i="3"/>
  <c r="H833" i="3"/>
  <c r="F833" i="3"/>
  <c r="E833" i="3"/>
  <c r="H832" i="3"/>
  <c r="I832" i="3" s="1"/>
  <c r="E832" i="3"/>
  <c r="F832" i="3" s="1"/>
  <c r="H831" i="3"/>
  <c r="I831" i="3" s="1"/>
  <c r="E831" i="3"/>
  <c r="F831" i="3" s="1"/>
  <c r="H830" i="3"/>
  <c r="I830" i="3" s="1"/>
  <c r="E830" i="3"/>
  <c r="F830" i="3" s="1"/>
  <c r="I829" i="3"/>
  <c r="H829" i="3"/>
  <c r="F829" i="3"/>
  <c r="E829" i="3"/>
  <c r="H828" i="3"/>
  <c r="I828" i="3" s="1"/>
  <c r="E828" i="3"/>
  <c r="F828" i="3" s="1"/>
  <c r="I827" i="3"/>
  <c r="H827" i="3"/>
  <c r="E827" i="3"/>
  <c r="F827" i="3" s="1"/>
  <c r="H826" i="3"/>
  <c r="I826" i="3" s="1"/>
  <c r="E826" i="3"/>
  <c r="F826" i="3" s="1"/>
  <c r="I825" i="3"/>
  <c r="H825" i="3"/>
  <c r="F825" i="3"/>
  <c r="E825" i="3"/>
  <c r="H824" i="3"/>
  <c r="I824" i="3" s="1"/>
  <c r="E824" i="3"/>
  <c r="F824" i="3" s="1"/>
  <c r="I823" i="3"/>
  <c r="H823" i="3"/>
  <c r="E823" i="3"/>
  <c r="F823" i="3" s="1"/>
  <c r="I822" i="3"/>
  <c r="H822" i="3"/>
  <c r="E822" i="3"/>
  <c r="F822" i="3" s="1"/>
  <c r="I821" i="3"/>
  <c r="H821" i="3"/>
  <c r="F821" i="3"/>
  <c r="E821" i="3"/>
  <c r="H820" i="3"/>
  <c r="I820" i="3" s="1"/>
  <c r="E820" i="3"/>
  <c r="F820" i="3" s="1"/>
  <c r="I819" i="3"/>
  <c r="H819" i="3"/>
  <c r="E819" i="3"/>
  <c r="F819" i="3" s="1"/>
  <c r="H818" i="3"/>
  <c r="I818" i="3" s="1"/>
  <c r="E818" i="3"/>
  <c r="F818" i="3" s="1"/>
  <c r="I817" i="3"/>
  <c r="H817" i="3"/>
  <c r="F817" i="3"/>
  <c r="E817" i="3"/>
  <c r="H816" i="3"/>
  <c r="I816" i="3" s="1"/>
  <c r="E816" i="3"/>
  <c r="F816" i="3" s="1"/>
  <c r="H815" i="3"/>
  <c r="I815" i="3" s="1"/>
  <c r="E815" i="3"/>
  <c r="F815" i="3" s="1"/>
  <c r="H814" i="3"/>
  <c r="I814" i="3" s="1"/>
  <c r="E814" i="3"/>
  <c r="F814" i="3" s="1"/>
  <c r="I813" i="3"/>
  <c r="H813" i="3"/>
  <c r="F813" i="3"/>
  <c r="E813" i="3"/>
  <c r="H812" i="3"/>
  <c r="I812" i="3" s="1"/>
  <c r="E812" i="3"/>
  <c r="F812" i="3" s="1"/>
  <c r="H811" i="3"/>
  <c r="I811" i="3" s="1"/>
  <c r="E811" i="3"/>
  <c r="F811" i="3" s="1"/>
  <c r="I810" i="3"/>
  <c r="H810" i="3"/>
  <c r="E810" i="3"/>
  <c r="F810" i="3" s="1"/>
  <c r="I809" i="3"/>
  <c r="H809" i="3"/>
  <c r="F809" i="3"/>
  <c r="E809" i="3"/>
  <c r="H808" i="3"/>
  <c r="I808" i="3" s="1"/>
  <c r="E808" i="3"/>
  <c r="F808" i="3" s="1"/>
  <c r="H807" i="3"/>
  <c r="I807" i="3" s="1"/>
  <c r="E807" i="3"/>
  <c r="F807" i="3" s="1"/>
  <c r="H806" i="3"/>
  <c r="I806" i="3" s="1"/>
  <c r="E806" i="3"/>
  <c r="F806" i="3" s="1"/>
  <c r="I805" i="3"/>
  <c r="H805" i="3"/>
  <c r="F805" i="3"/>
  <c r="E805" i="3"/>
  <c r="H804" i="3"/>
  <c r="I804" i="3" s="1"/>
  <c r="E804" i="3"/>
  <c r="F804" i="3" s="1"/>
  <c r="H803" i="3"/>
  <c r="I803" i="3" s="1"/>
  <c r="E803" i="3"/>
  <c r="F803" i="3" s="1"/>
  <c r="H802" i="3"/>
  <c r="I802" i="3" s="1"/>
  <c r="F802" i="3"/>
  <c r="E802" i="3"/>
  <c r="I801" i="3"/>
  <c r="H801" i="3"/>
  <c r="E801" i="3"/>
  <c r="F801" i="3" s="1"/>
  <c r="H800" i="3"/>
  <c r="I800" i="3" s="1"/>
  <c r="E800" i="3"/>
  <c r="F800" i="3" s="1"/>
  <c r="I799" i="3"/>
  <c r="H799" i="3"/>
  <c r="F799" i="3"/>
  <c r="E799" i="3"/>
  <c r="H798" i="3"/>
  <c r="I798" i="3" s="1"/>
  <c r="E798" i="3"/>
  <c r="F798" i="3" s="1"/>
  <c r="I797" i="3"/>
  <c r="H797" i="3"/>
  <c r="E797" i="3"/>
  <c r="F797" i="3" s="1"/>
  <c r="H796" i="3"/>
  <c r="I796" i="3" s="1"/>
  <c r="E796" i="3"/>
  <c r="F796" i="3" s="1"/>
  <c r="I795" i="3"/>
  <c r="H795" i="3"/>
  <c r="F795" i="3"/>
  <c r="E795" i="3"/>
  <c r="H794" i="3"/>
  <c r="I794" i="3" s="1"/>
  <c r="E794" i="3"/>
  <c r="F794" i="3" s="1"/>
  <c r="I793" i="3"/>
  <c r="H793" i="3"/>
  <c r="E793" i="3"/>
  <c r="F793" i="3" s="1"/>
  <c r="H792" i="3"/>
  <c r="I792" i="3" s="1"/>
  <c r="E792" i="3"/>
  <c r="F792" i="3" s="1"/>
  <c r="I791" i="3"/>
  <c r="H791" i="3"/>
  <c r="F791" i="3"/>
  <c r="E791" i="3"/>
  <c r="H790" i="3"/>
  <c r="I790" i="3" s="1"/>
  <c r="E790" i="3"/>
  <c r="F790" i="3" s="1"/>
  <c r="I789" i="3"/>
  <c r="H789" i="3"/>
  <c r="E789" i="3"/>
  <c r="F789" i="3" s="1"/>
  <c r="H788" i="3"/>
  <c r="I788" i="3" s="1"/>
  <c r="E788" i="3"/>
  <c r="F788" i="3" s="1"/>
  <c r="I787" i="3"/>
  <c r="H787" i="3"/>
  <c r="F787" i="3"/>
  <c r="E787" i="3"/>
  <c r="H786" i="3"/>
  <c r="I786" i="3" s="1"/>
  <c r="E786" i="3"/>
  <c r="F786" i="3" s="1"/>
  <c r="I785" i="3"/>
  <c r="H785" i="3"/>
  <c r="E785" i="3"/>
  <c r="F785" i="3" s="1"/>
  <c r="J785" i="3" s="1"/>
  <c r="G785" i="3" s="1"/>
  <c r="H784" i="3"/>
  <c r="I784" i="3" s="1"/>
  <c r="E784" i="3"/>
  <c r="F784" i="3" s="1"/>
  <c r="I783" i="3"/>
  <c r="H783" i="3"/>
  <c r="F783" i="3"/>
  <c r="E783" i="3"/>
  <c r="H782" i="3"/>
  <c r="I782" i="3" s="1"/>
  <c r="E782" i="3"/>
  <c r="F782" i="3" s="1"/>
  <c r="I781" i="3"/>
  <c r="H781" i="3"/>
  <c r="E781" i="3"/>
  <c r="F781" i="3" s="1"/>
  <c r="H780" i="3"/>
  <c r="I780" i="3" s="1"/>
  <c r="E780" i="3"/>
  <c r="F780" i="3" s="1"/>
  <c r="I779" i="3"/>
  <c r="H779" i="3"/>
  <c r="F779" i="3"/>
  <c r="E779" i="3"/>
  <c r="H778" i="3"/>
  <c r="I778" i="3" s="1"/>
  <c r="E778" i="3"/>
  <c r="F778" i="3" s="1"/>
  <c r="H777" i="3"/>
  <c r="I777" i="3" s="1"/>
  <c r="E777" i="3"/>
  <c r="F777" i="3" s="1"/>
  <c r="H776" i="3"/>
  <c r="I776" i="3" s="1"/>
  <c r="E776" i="3"/>
  <c r="F776" i="3" s="1"/>
  <c r="I775" i="3"/>
  <c r="H775" i="3"/>
  <c r="F775" i="3"/>
  <c r="E775" i="3"/>
  <c r="H774" i="3"/>
  <c r="I774" i="3" s="1"/>
  <c r="E774" i="3"/>
  <c r="F774" i="3" s="1"/>
  <c r="H773" i="3"/>
  <c r="I773" i="3" s="1"/>
  <c r="E773" i="3"/>
  <c r="F773" i="3" s="1"/>
  <c r="H772" i="3"/>
  <c r="I772" i="3" s="1"/>
  <c r="E772" i="3"/>
  <c r="F772" i="3" s="1"/>
  <c r="I771" i="3"/>
  <c r="H771" i="3"/>
  <c r="F771" i="3"/>
  <c r="E771" i="3"/>
  <c r="H770" i="3"/>
  <c r="I770" i="3" s="1"/>
  <c r="E770" i="3"/>
  <c r="F770" i="3" s="1"/>
  <c r="H769" i="3"/>
  <c r="I769" i="3" s="1"/>
  <c r="E769" i="3"/>
  <c r="F769" i="3" s="1"/>
  <c r="H768" i="3"/>
  <c r="I768" i="3" s="1"/>
  <c r="E768" i="3"/>
  <c r="F768" i="3" s="1"/>
  <c r="I767" i="3"/>
  <c r="H767" i="3"/>
  <c r="F767" i="3"/>
  <c r="E767" i="3"/>
  <c r="H766" i="3"/>
  <c r="I766" i="3" s="1"/>
  <c r="E766" i="3"/>
  <c r="F766" i="3" s="1"/>
  <c r="I765" i="3"/>
  <c r="H765" i="3"/>
  <c r="E765" i="3"/>
  <c r="F765" i="3" s="1"/>
  <c r="H764" i="3"/>
  <c r="I764" i="3" s="1"/>
  <c r="E764" i="3"/>
  <c r="F764" i="3" s="1"/>
  <c r="I763" i="3"/>
  <c r="H763" i="3"/>
  <c r="F763" i="3"/>
  <c r="E763" i="3"/>
  <c r="H762" i="3"/>
  <c r="I762" i="3" s="1"/>
  <c r="E762" i="3"/>
  <c r="F762" i="3" s="1"/>
  <c r="I761" i="3"/>
  <c r="H761" i="3"/>
  <c r="E761" i="3"/>
  <c r="F761" i="3" s="1"/>
  <c r="H760" i="3"/>
  <c r="I760" i="3" s="1"/>
  <c r="E760" i="3"/>
  <c r="F760" i="3" s="1"/>
  <c r="I759" i="3"/>
  <c r="H759" i="3"/>
  <c r="F759" i="3"/>
  <c r="E759" i="3"/>
  <c r="H758" i="3"/>
  <c r="I758" i="3" s="1"/>
  <c r="E758" i="3"/>
  <c r="F758" i="3" s="1"/>
  <c r="I757" i="3"/>
  <c r="H757" i="3"/>
  <c r="E757" i="3"/>
  <c r="F757" i="3" s="1"/>
  <c r="H756" i="3"/>
  <c r="I756" i="3" s="1"/>
  <c r="E756" i="3"/>
  <c r="F756" i="3" s="1"/>
  <c r="I755" i="3"/>
  <c r="H755" i="3"/>
  <c r="F755" i="3"/>
  <c r="E755" i="3"/>
  <c r="H754" i="3"/>
  <c r="I754" i="3" s="1"/>
  <c r="E754" i="3"/>
  <c r="F754" i="3" s="1"/>
  <c r="I753" i="3"/>
  <c r="H753" i="3"/>
  <c r="E753" i="3"/>
  <c r="F753" i="3" s="1"/>
  <c r="H752" i="3"/>
  <c r="I752" i="3" s="1"/>
  <c r="E752" i="3"/>
  <c r="F752" i="3" s="1"/>
  <c r="I751" i="3"/>
  <c r="H751" i="3"/>
  <c r="F751" i="3"/>
  <c r="E751" i="3"/>
  <c r="H750" i="3"/>
  <c r="I750" i="3" s="1"/>
  <c r="E750" i="3"/>
  <c r="F750" i="3" s="1"/>
  <c r="I749" i="3"/>
  <c r="H749" i="3"/>
  <c r="E749" i="3"/>
  <c r="F749" i="3" s="1"/>
  <c r="J749" i="3" s="1"/>
  <c r="G749" i="3" s="1"/>
  <c r="H748" i="3"/>
  <c r="I748" i="3" s="1"/>
  <c r="E748" i="3"/>
  <c r="F748" i="3" s="1"/>
  <c r="I747" i="3"/>
  <c r="H747" i="3"/>
  <c r="F747" i="3"/>
  <c r="E747" i="3"/>
  <c r="H746" i="3"/>
  <c r="I746" i="3" s="1"/>
  <c r="E746" i="3"/>
  <c r="F746" i="3" s="1"/>
  <c r="I745" i="3"/>
  <c r="H745" i="3"/>
  <c r="E745" i="3"/>
  <c r="F745" i="3" s="1"/>
  <c r="H744" i="3"/>
  <c r="I744" i="3" s="1"/>
  <c r="E744" i="3"/>
  <c r="F744" i="3" s="1"/>
  <c r="I743" i="3"/>
  <c r="H743" i="3"/>
  <c r="F743" i="3"/>
  <c r="E743" i="3"/>
  <c r="H742" i="3"/>
  <c r="I742" i="3" s="1"/>
  <c r="E742" i="3"/>
  <c r="F742" i="3" s="1"/>
  <c r="I741" i="3"/>
  <c r="H741" i="3"/>
  <c r="E741" i="3"/>
  <c r="F741" i="3" s="1"/>
  <c r="H740" i="3"/>
  <c r="I740" i="3" s="1"/>
  <c r="E740" i="3"/>
  <c r="F740" i="3" s="1"/>
  <c r="I739" i="3"/>
  <c r="H739" i="3"/>
  <c r="F739" i="3"/>
  <c r="E739" i="3"/>
  <c r="H738" i="3"/>
  <c r="I738" i="3" s="1"/>
  <c r="E738" i="3"/>
  <c r="F738" i="3" s="1"/>
  <c r="H737" i="3"/>
  <c r="I737" i="3" s="1"/>
  <c r="E737" i="3"/>
  <c r="F737" i="3" s="1"/>
  <c r="H736" i="3"/>
  <c r="I736" i="3" s="1"/>
  <c r="E736" i="3"/>
  <c r="F736" i="3" s="1"/>
  <c r="I735" i="3"/>
  <c r="H735" i="3"/>
  <c r="F735" i="3"/>
  <c r="E735" i="3"/>
  <c r="H734" i="3"/>
  <c r="I734" i="3" s="1"/>
  <c r="E734" i="3"/>
  <c r="F734" i="3" s="1"/>
  <c r="H733" i="3"/>
  <c r="I733" i="3" s="1"/>
  <c r="E733" i="3"/>
  <c r="F733" i="3" s="1"/>
  <c r="H732" i="3"/>
  <c r="I732" i="3" s="1"/>
  <c r="E732" i="3"/>
  <c r="F732" i="3" s="1"/>
  <c r="I731" i="3"/>
  <c r="H731" i="3"/>
  <c r="F731" i="3"/>
  <c r="E731" i="3"/>
  <c r="H730" i="3"/>
  <c r="I730" i="3" s="1"/>
  <c r="E730" i="3"/>
  <c r="F730" i="3" s="1"/>
  <c r="I729" i="3"/>
  <c r="H729" i="3"/>
  <c r="E729" i="3"/>
  <c r="F729" i="3" s="1"/>
  <c r="H728" i="3"/>
  <c r="I728" i="3" s="1"/>
  <c r="E728" i="3"/>
  <c r="F728" i="3" s="1"/>
  <c r="I727" i="3"/>
  <c r="H727" i="3"/>
  <c r="F727" i="3"/>
  <c r="E727" i="3"/>
  <c r="H726" i="3"/>
  <c r="I726" i="3" s="1"/>
  <c r="E726" i="3"/>
  <c r="F726" i="3" s="1"/>
  <c r="I725" i="3"/>
  <c r="H725" i="3"/>
  <c r="E725" i="3"/>
  <c r="F725" i="3" s="1"/>
  <c r="H724" i="3"/>
  <c r="I724" i="3" s="1"/>
  <c r="E724" i="3"/>
  <c r="F724" i="3" s="1"/>
  <c r="I723" i="3"/>
  <c r="H723" i="3"/>
  <c r="F723" i="3"/>
  <c r="E723" i="3"/>
  <c r="H722" i="3"/>
  <c r="I722" i="3" s="1"/>
  <c r="E722" i="3"/>
  <c r="F722" i="3" s="1"/>
  <c r="I721" i="3"/>
  <c r="H721" i="3"/>
  <c r="E721" i="3"/>
  <c r="F721" i="3" s="1"/>
  <c r="H720" i="3"/>
  <c r="I720" i="3" s="1"/>
  <c r="E720" i="3"/>
  <c r="F720" i="3" s="1"/>
  <c r="I719" i="3"/>
  <c r="H719" i="3"/>
  <c r="F719" i="3"/>
  <c r="E719" i="3"/>
  <c r="I718" i="3"/>
  <c r="H718" i="3"/>
  <c r="E718" i="3"/>
  <c r="F718" i="3" s="1"/>
  <c r="I717" i="3"/>
  <c r="H717" i="3"/>
  <c r="E717" i="3"/>
  <c r="F717" i="3" s="1"/>
  <c r="H716" i="3"/>
  <c r="I716" i="3" s="1"/>
  <c r="E716" i="3"/>
  <c r="F716" i="3" s="1"/>
  <c r="I715" i="3"/>
  <c r="H715" i="3"/>
  <c r="F715" i="3"/>
  <c r="E715" i="3"/>
  <c r="I714" i="3"/>
  <c r="H714" i="3"/>
  <c r="E714" i="3"/>
  <c r="F714" i="3" s="1"/>
  <c r="I713" i="3"/>
  <c r="H713" i="3"/>
  <c r="E713" i="3"/>
  <c r="F713" i="3" s="1"/>
  <c r="H712" i="3"/>
  <c r="I712" i="3" s="1"/>
  <c r="E712" i="3"/>
  <c r="F712" i="3" s="1"/>
  <c r="I711" i="3"/>
  <c r="H711" i="3"/>
  <c r="F711" i="3"/>
  <c r="E711" i="3"/>
  <c r="I710" i="3"/>
  <c r="H710" i="3"/>
  <c r="E710" i="3"/>
  <c r="F710" i="3" s="1"/>
  <c r="I709" i="3"/>
  <c r="H709" i="3"/>
  <c r="E709" i="3"/>
  <c r="F709" i="3" s="1"/>
  <c r="H708" i="3"/>
  <c r="I708" i="3" s="1"/>
  <c r="E708" i="3"/>
  <c r="F708" i="3" s="1"/>
  <c r="I707" i="3"/>
  <c r="H707" i="3"/>
  <c r="F707" i="3"/>
  <c r="E707" i="3"/>
  <c r="H706" i="3"/>
  <c r="I706" i="3" s="1"/>
  <c r="E706" i="3"/>
  <c r="F706" i="3" s="1"/>
  <c r="I705" i="3"/>
  <c r="H705" i="3"/>
  <c r="E705" i="3"/>
  <c r="F705" i="3" s="1"/>
  <c r="H704" i="3"/>
  <c r="I704" i="3" s="1"/>
  <c r="E704" i="3"/>
  <c r="F704" i="3" s="1"/>
  <c r="I703" i="3"/>
  <c r="H703" i="3"/>
  <c r="F703" i="3"/>
  <c r="E703" i="3"/>
  <c r="I702" i="3"/>
  <c r="H702" i="3"/>
  <c r="E702" i="3"/>
  <c r="F702" i="3" s="1"/>
  <c r="I701" i="3"/>
  <c r="H701" i="3"/>
  <c r="E701" i="3"/>
  <c r="F701" i="3" s="1"/>
  <c r="H700" i="3"/>
  <c r="I700" i="3" s="1"/>
  <c r="E700" i="3"/>
  <c r="F700" i="3" s="1"/>
  <c r="J700" i="3" s="1"/>
  <c r="G700" i="3" s="1"/>
  <c r="H699" i="3"/>
  <c r="I699" i="3" s="1"/>
  <c r="E699" i="3"/>
  <c r="F699" i="3" s="1"/>
  <c r="I698" i="3"/>
  <c r="H698" i="3"/>
  <c r="F698" i="3"/>
  <c r="E698" i="3"/>
  <c r="H697" i="3"/>
  <c r="I697" i="3" s="1"/>
  <c r="E697" i="3"/>
  <c r="F697" i="3" s="1"/>
  <c r="J697" i="3" s="1"/>
  <c r="G697" i="3" s="1"/>
  <c r="H696" i="3"/>
  <c r="I696" i="3" s="1"/>
  <c r="E696" i="3"/>
  <c r="F696" i="3" s="1"/>
  <c r="H695" i="3"/>
  <c r="I695" i="3" s="1"/>
  <c r="E695" i="3"/>
  <c r="F695" i="3" s="1"/>
  <c r="I694" i="3"/>
  <c r="H694" i="3"/>
  <c r="F694" i="3"/>
  <c r="E694" i="3"/>
  <c r="H693" i="3"/>
  <c r="I693" i="3" s="1"/>
  <c r="F693" i="3"/>
  <c r="E693" i="3"/>
  <c r="H692" i="3"/>
  <c r="I692" i="3" s="1"/>
  <c r="E692" i="3"/>
  <c r="F692" i="3" s="1"/>
  <c r="H691" i="3"/>
  <c r="I691" i="3" s="1"/>
  <c r="E691" i="3"/>
  <c r="F691" i="3" s="1"/>
  <c r="I690" i="3"/>
  <c r="H690" i="3"/>
  <c r="F690" i="3"/>
  <c r="E690" i="3"/>
  <c r="H689" i="3"/>
  <c r="I689" i="3" s="1"/>
  <c r="F689" i="3"/>
  <c r="E689" i="3"/>
  <c r="H688" i="3"/>
  <c r="I688" i="3" s="1"/>
  <c r="E688" i="3"/>
  <c r="F688" i="3" s="1"/>
  <c r="J688" i="3" s="1"/>
  <c r="G688" i="3" s="1"/>
  <c r="H687" i="3"/>
  <c r="I687" i="3" s="1"/>
  <c r="E687" i="3"/>
  <c r="F687" i="3" s="1"/>
  <c r="I686" i="3"/>
  <c r="H686" i="3"/>
  <c r="F686" i="3"/>
  <c r="E686" i="3"/>
  <c r="H685" i="3"/>
  <c r="I685" i="3" s="1"/>
  <c r="F685" i="3"/>
  <c r="E685" i="3"/>
  <c r="H684" i="3"/>
  <c r="I684" i="3" s="1"/>
  <c r="E684" i="3"/>
  <c r="F684" i="3" s="1"/>
  <c r="H683" i="3"/>
  <c r="I683" i="3" s="1"/>
  <c r="E683" i="3"/>
  <c r="F683" i="3" s="1"/>
  <c r="I682" i="3"/>
  <c r="H682" i="3"/>
  <c r="F682" i="3"/>
  <c r="E682" i="3"/>
  <c r="H681" i="3"/>
  <c r="I681" i="3" s="1"/>
  <c r="F681" i="3"/>
  <c r="E681" i="3"/>
  <c r="H680" i="3"/>
  <c r="I680" i="3" s="1"/>
  <c r="E680" i="3"/>
  <c r="F680" i="3" s="1"/>
  <c r="H679" i="3"/>
  <c r="I679" i="3" s="1"/>
  <c r="E679" i="3"/>
  <c r="F679" i="3" s="1"/>
  <c r="I678" i="3"/>
  <c r="H678" i="3"/>
  <c r="F678" i="3"/>
  <c r="E678" i="3"/>
  <c r="H677" i="3"/>
  <c r="I677" i="3" s="1"/>
  <c r="F677" i="3"/>
  <c r="E677" i="3"/>
  <c r="H676" i="3"/>
  <c r="I676" i="3" s="1"/>
  <c r="E676" i="3"/>
  <c r="F676" i="3" s="1"/>
  <c r="H675" i="3"/>
  <c r="I675" i="3" s="1"/>
  <c r="E675" i="3"/>
  <c r="F675" i="3" s="1"/>
  <c r="I674" i="3"/>
  <c r="H674" i="3"/>
  <c r="F674" i="3"/>
  <c r="E674" i="3"/>
  <c r="H673" i="3"/>
  <c r="I673" i="3" s="1"/>
  <c r="F673" i="3"/>
  <c r="E673" i="3"/>
  <c r="H672" i="3"/>
  <c r="I672" i="3" s="1"/>
  <c r="E672" i="3"/>
  <c r="F672" i="3" s="1"/>
  <c r="H671" i="3"/>
  <c r="I671" i="3" s="1"/>
  <c r="F671" i="3"/>
  <c r="E671" i="3"/>
  <c r="I670" i="3"/>
  <c r="H670" i="3"/>
  <c r="F670" i="3"/>
  <c r="E670" i="3"/>
  <c r="H669" i="3"/>
  <c r="I669" i="3" s="1"/>
  <c r="E669" i="3"/>
  <c r="F669" i="3" s="1"/>
  <c r="H668" i="3"/>
  <c r="I668" i="3" s="1"/>
  <c r="E668" i="3"/>
  <c r="F668" i="3" s="1"/>
  <c r="H667" i="3"/>
  <c r="I667" i="3" s="1"/>
  <c r="F667" i="3"/>
  <c r="E667" i="3"/>
  <c r="I666" i="3"/>
  <c r="H666" i="3"/>
  <c r="F666" i="3"/>
  <c r="E666" i="3"/>
  <c r="H665" i="3"/>
  <c r="I665" i="3" s="1"/>
  <c r="E665" i="3"/>
  <c r="F665" i="3" s="1"/>
  <c r="H664" i="3"/>
  <c r="I664" i="3" s="1"/>
  <c r="E664" i="3"/>
  <c r="F664" i="3" s="1"/>
  <c r="H663" i="3"/>
  <c r="I663" i="3" s="1"/>
  <c r="F663" i="3"/>
  <c r="E663" i="3"/>
  <c r="I662" i="3"/>
  <c r="H662" i="3"/>
  <c r="F662" i="3"/>
  <c r="E662" i="3"/>
  <c r="H661" i="3"/>
  <c r="I661" i="3" s="1"/>
  <c r="E661" i="3"/>
  <c r="F661" i="3" s="1"/>
  <c r="H660" i="3"/>
  <c r="I660" i="3" s="1"/>
  <c r="E660" i="3"/>
  <c r="F660" i="3" s="1"/>
  <c r="H659" i="3"/>
  <c r="I659" i="3" s="1"/>
  <c r="F659" i="3"/>
  <c r="E659" i="3"/>
  <c r="I658" i="3"/>
  <c r="H658" i="3"/>
  <c r="F658" i="3"/>
  <c r="E658" i="3"/>
  <c r="H657" i="3"/>
  <c r="I657" i="3" s="1"/>
  <c r="E657" i="3"/>
  <c r="F657" i="3" s="1"/>
  <c r="H656" i="3"/>
  <c r="I656" i="3" s="1"/>
  <c r="E656" i="3"/>
  <c r="F656" i="3" s="1"/>
  <c r="H655" i="3"/>
  <c r="I655" i="3" s="1"/>
  <c r="E655" i="3"/>
  <c r="F655" i="3" s="1"/>
  <c r="I654" i="3"/>
  <c r="H654" i="3"/>
  <c r="F654" i="3"/>
  <c r="E654" i="3"/>
  <c r="H653" i="3"/>
  <c r="I653" i="3" s="1"/>
  <c r="E653" i="3"/>
  <c r="F653" i="3" s="1"/>
  <c r="H652" i="3"/>
  <c r="I652" i="3" s="1"/>
  <c r="E652" i="3"/>
  <c r="F652" i="3" s="1"/>
  <c r="H651" i="3"/>
  <c r="I651" i="3" s="1"/>
  <c r="E651" i="3"/>
  <c r="F651" i="3" s="1"/>
  <c r="I650" i="3"/>
  <c r="H650" i="3"/>
  <c r="F650" i="3"/>
  <c r="E650" i="3"/>
  <c r="H649" i="3"/>
  <c r="I649" i="3" s="1"/>
  <c r="E649" i="3"/>
  <c r="F649" i="3" s="1"/>
  <c r="H648" i="3"/>
  <c r="I648" i="3" s="1"/>
  <c r="E648" i="3"/>
  <c r="F648" i="3" s="1"/>
  <c r="H647" i="3"/>
  <c r="I647" i="3" s="1"/>
  <c r="E647" i="3"/>
  <c r="F647" i="3" s="1"/>
  <c r="I646" i="3"/>
  <c r="H646" i="3"/>
  <c r="E646" i="3"/>
  <c r="F646" i="3" s="1"/>
  <c r="H645" i="3"/>
  <c r="I645" i="3" s="1"/>
  <c r="E645" i="3"/>
  <c r="F645" i="3" s="1"/>
  <c r="H644" i="3"/>
  <c r="I644" i="3" s="1"/>
  <c r="E644" i="3"/>
  <c r="F644" i="3" s="1"/>
  <c r="H643" i="3"/>
  <c r="I643" i="3" s="1"/>
  <c r="E643" i="3"/>
  <c r="F643" i="3" s="1"/>
  <c r="I642" i="3"/>
  <c r="H642" i="3"/>
  <c r="E642" i="3"/>
  <c r="F642" i="3" s="1"/>
  <c r="H641" i="3"/>
  <c r="I641" i="3" s="1"/>
  <c r="E641" i="3"/>
  <c r="F641" i="3" s="1"/>
  <c r="H640" i="3"/>
  <c r="I640" i="3" s="1"/>
  <c r="E640" i="3"/>
  <c r="F640" i="3" s="1"/>
  <c r="H639" i="3"/>
  <c r="I639" i="3" s="1"/>
  <c r="F639" i="3"/>
  <c r="E639" i="3"/>
  <c r="I638" i="3"/>
  <c r="H638" i="3"/>
  <c r="F638" i="3"/>
  <c r="E638" i="3"/>
  <c r="H637" i="3"/>
  <c r="I637" i="3" s="1"/>
  <c r="E637" i="3"/>
  <c r="F637" i="3" s="1"/>
  <c r="H636" i="3"/>
  <c r="I636" i="3" s="1"/>
  <c r="E636" i="3"/>
  <c r="F636" i="3" s="1"/>
  <c r="H635" i="3"/>
  <c r="I635" i="3" s="1"/>
  <c r="E635" i="3"/>
  <c r="F635" i="3" s="1"/>
  <c r="I634" i="3"/>
  <c r="H634" i="3"/>
  <c r="E634" i="3"/>
  <c r="F634" i="3" s="1"/>
  <c r="H633" i="3"/>
  <c r="I633" i="3" s="1"/>
  <c r="E633" i="3"/>
  <c r="F633" i="3" s="1"/>
  <c r="H632" i="3"/>
  <c r="I632" i="3" s="1"/>
  <c r="E632" i="3"/>
  <c r="F632" i="3" s="1"/>
  <c r="H631" i="3"/>
  <c r="I631" i="3" s="1"/>
  <c r="E631" i="3"/>
  <c r="F631" i="3" s="1"/>
  <c r="I630" i="3"/>
  <c r="H630" i="3"/>
  <c r="E630" i="3"/>
  <c r="F630" i="3" s="1"/>
  <c r="H629" i="3"/>
  <c r="I629" i="3" s="1"/>
  <c r="E629" i="3"/>
  <c r="F629" i="3" s="1"/>
  <c r="H628" i="3"/>
  <c r="I628" i="3" s="1"/>
  <c r="E628" i="3"/>
  <c r="F628" i="3" s="1"/>
  <c r="H627" i="3"/>
  <c r="I627" i="3" s="1"/>
  <c r="F627" i="3"/>
  <c r="E627" i="3"/>
  <c r="I626" i="3"/>
  <c r="H626" i="3"/>
  <c r="E626" i="3"/>
  <c r="F626" i="3" s="1"/>
  <c r="H625" i="3"/>
  <c r="I625" i="3" s="1"/>
  <c r="E625" i="3"/>
  <c r="F625" i="3" s="1"/>
  <c r="H624" i="3"/>
  <c r="I624" i="3" s="1"/>
  <c r="E624" i="3"/>
  <c r="F624" i="3" s="1"/>
  <c r="H623" i="3"/>
  <c r="I623" i="3" s="1"/>
  <c r="F623" i="3"/>
  <c r="E623" i="3"/>
  <c r="I622" i="3"/>
  <c r="H622" i="3"/>
  <c r="E622" i="3"/>
  <c r="F622" i="3" s="1"/>
  <c r="H621" i="3"/>
  <c r="I621" i="3" s="1"/>
  <c r="E621" i="3"/>
  <c r="F621" i="3" s="1"/>
  <c r="H620" i="3"/>
  <c r="I620" i="3" s="1"/>
  <c r="E620" i="3"/>
  <c r="F620" i="3" s="1"/>
  <c r="H619" i="3"/>
  <c r="I619" i="3" s="1"/>
  <c r="F619" i="3"/>
  <c r="E619" i="3"/>
  <c r="I618" i="3"/>
  <c r="H618" i="3"/>
  <c r="E618" i="3"/>
  <c r="F618" i="3" s="1"/>
  <c r="H617" i="3"/>
  <c r="I617" i="3" s="1"/>
  <c r="E617" i="3"/>
  <c r="F617" i="3" s="1"/>
  <c r="H616" i="3"/>
  <c r="I616" i="3" s="1"/>
  <c r="E616" i="3"/>
  <c r="F616" i="3" s="1"/>
  <c r="H615" i="3"/>
  <c r="I615" i="3" s="1"/>
  <c r="E615" i="3"/>
  <c r="F615" i="3" s="1"/>
  <c r="I614" i="3"/>
  <c r="H614" i="3"/>
  <c r="F614" i="3"/>
  <c r="E614" i="3"/>
  <c r="H613" i="3"/>
  <c r="I613" i="3" s="1"/>
  <c r="E613" i="3"/>
  <c r="F613" i="3" s="1"/>
  <c r="H612" i="3"/>
  <c r="I612" i="3" s="1"/>
  <c r="E612" i="3"/>
  <c r="F612" i="3" s="1"/>
  <c r="H611" i="3"/>
  <c r="I611" i="3" s="1"/>
  <c r="E611" i="3"/>
  <c r="F611" i="3" s="1"/>
  <c r="I610" i="3"/>
  <c r="H610" i="3"/>
  <c r="F610" i="3"/>
  <c r="E610" i="3"/>
  <c r="H609" i="3"/>
  <c r="I609" i="3" s="1"/>
  <c r="E609" i="3"/>
  <c r="F609" i="3" s="1"/>
  <c r="H608" i="3"/>
  <c r="I608" i="3" s="1"/>
  <c r="E608" i="3"/>
  <c r="F608" i="3" s="1"/>
  <c r="H607" i="3"/>
  <c r="I607" i="3" s="1"/>
  <c r="F607" i="3"/>
  <c r="E607" i="3"/>
  <c r="I606" i="3"/>
  <c r="H606" i="3"/>
  <c r="E606" i="3"/>
  <c r="F606" i="3" s="1"/>
  <c r="H605" i="3"/>
  <c r="I605" i="3" s="1"/>
  <c r="E605" i="3"/>
  <c r="F605" i="3" s="1"/>
  <c r="H604" i="3"/>
  <c r="I604" i="3" s="1"/>
  <c r="E604" i="3"/>
  <c r="F604" i="3" s="1"/>
  <c r="H603" i="3"/>
  <c r="I603" i="3" s="1"/>
  <c r="F603" i="3"/>
  <c r="E603" i="3"/>
  <c r="I602" i="3"/>
  <c r="H602" i="3"/>
  <c r="E602" i="3"/>
  <c r="F602" i="3" s="1"/>
  <c r="H601" i="3"/>
  <c r="I601" i="3" s="1"/>
  <c r="E601" i="3"/>
  <c r="F601" i="3" s="1"/>
  <c r="H600" i="3"/>
  <c r="I600" i="3" s="1"/>
  <c r="E600" i="3"/>
  <c r="F600" i="3" s="1"/>
  <c r="H599" i="3"/>
  <c r="I599" i="3" s="1"/>
  <c r="F599" i="3"/>
  <c r="E599" i="3"/>
  <c r="I598" i="3"/>
  <c r="H598" i="3"/>
  <c r="F598" i="3"/>
  <c r="E598" i="3"/>
  <c r="H597" i="3"/>
  <c r="I597" i="3" s="1"/>
  <c r="F597" i="3"/>
  <c r="E597" i="3"/>
  <c r="H596" i="3"/>
  <c r="I596" i="3" s="1"/>
  <c r="E596" i="3"/>
  <c r="F596" i="3" s="1"/>
  <c r="H595" i="3"/>
  <c r="I595" i="3" s="1"/>
  <c r="F595" i="3"/>
  <c r="E595" i="3"/>
  <c r="I594" i="3"/>
  <c r="H594" i="3"/>
  <c r="F594" i="3"/>
  <c r="E594" i="3"/>
  <c r="H593" i="3"/>
  <c r="I593" i="3" s="1"/>
  <c r="F593" i="3"/>
  <c r="E593" i="3"/>
  <c r="H592" i="3"/>
  <c r="I592" i="3" s="1"/>
  <c r="E592" i="3"/>
  <c r="F592" i="3" s="1"/>
  <c r="H591" i="3"/>
  <c r="I591" i="3" s="1"/>
  <c r="F591" i="3"/>
  <c r="E591" i="3"/>
  <c r="I590" i="3"/>
  <c r="H590" i="3"/>
  <c r="F590" i="3"/>
  <c r="E590" i="3"/>
  <c r="H589" i="3"/>
  <c r="I589" i="3" s="1"/>
  <c r="F589" i="3"/>
  <c r="E589" i="3"/>
  <c r="H588" i="3"/>
  <c r="I588" i="3" s="1"/>
  <c r="E588" i="3"/>
  <c r="F588" i="3" s="1"/>
  <c r="H587" i="3"/>
  <c r="I587" i="3" s="1"/>
  <c r="F587" i="3"/>
  <c r="E587" i="3"/>
  <c r="I586" i="3"/>
  <c r="H586" i="3"/>
  <c r="F586" i="3"/>
  <c r="E586" i="3"/>
  <c r="H585" i="3"/>
  <c r="I585" i="3" s="1"/>
  <c r="F585" i="3"/>
  <c r="E585" i="3"/>
  <c r="H584" i="3"/>
  <c r="I584" i="3" s="1"/>
  <c r="E584" i="3"/>
  <c r="F584" i="3" s="1"/>
  <c r="H583" i="3"/>
  <c r="I583" i="3" s="1"/>
  <c r="F583" i="3"/>
  <c r="E583" i="3"/>
  <c r="I582" i="3"/>
  <c r="H582" i="3"/>
  <c r="F582" i="3"/>
  <c r="E582" i="3"/>
  <c r="H581" i="3"/>
  <c r="I581" i="3" s="1"/>
  <c r="F581" i="3"/>
  <c r="E581" i="3"/>
  <c r="H580" i="3"/>
  <c r="I580" i="3" s="1"/>
  <c r="E580" i="3"/>
  <c r="F580" i="3" s="1"/>
  <c r="H579" i="3"/>
  <c r="I579" i="3" s="1"/>
  <c r="F579" i="3"/>
  <c r="E579" i="3"/>
  <c r="I578" i="3"/>
  <c r="H578" i="3"/>
  <c r="F578" i="3"/>
  <c r="E578" i="3"/>
  <c r="H577" i="3"/>
  <c r="I577" i="3" s="1"/>
  <c r="F577" i="3"/>
  <c r="E577" i="3"/>
  <c r="H576" i="3"/>
  <c r="I576" i="3" s="1"/>
  <c r="E576" i="3"/>
  <c r="F576" i="3" s="1"/>
  <c r="H575" i="3"/>
  <c r="I575" i="3" s="1"/>
  <c r="E575" i="3"/>
  <c r="F575" i="3" s="1"/>
  <c r="I574" i="3"/>
  <c r="H574" i="3"/>
  <c r="F574" i="3"/>
  <c r="E574" i="3"/>
  <c r="H573" i="3"/>
  <c r="I573" i="3" s="1"/>
  <c r="F573" i="3"/>
  <c r="E573" i="3"/>
  <c r="H572" i="3"/>
  <c r="I572" i="3" s="1"/>
  <c r="E572" i="3"/>
  <c r="F572" i="3" s="1"/>
  <c r="H571" i="3"/>
  <c r="I571" i="3" s="1"/>
  <c r="E571" i="3"/>
  <c r="F571" i="3" s="1"/>
  <c r="H570" i="3"/>
  <c r="I570" i="3" s="1"/>
  <c r="F570" i="3"/>
  <c r="E570" i="3"/>
  <c r="H569" i="3"/>
  <c r="I569" i="3" s="1"/>
  <c r="F569" i="3"/>
  <c r="E569" i="3"/>
  <c r="H568" i="3"/>
  <c r="I568" i="3" s="1"/>
  <c r="E568" i="3"/>
  <c r="F568" i="3" s="1"/>
  <c r="H567" i="3"/>
  <c r="I567" i="3" s="1"/>
  <c r="E567" i="3"/>
  <c r="F567" i="3" s="1"/>
  <c r="H566" i="3"/>
  <c r="I566" i="3" s="1"/>
  <c r="F566" i="3"/>
  <c r="E566" i="3"/>
  <c r="H565" i="3"/>
  <c r="I565" i="3" s="1"/>
  <c r="F565" i="3"/>
  <c r="E565" i="3"/>
  <c r="H564" i="3"/>
  <c r="I564" i="3" s="1"/>
  <c r="F564" i="3"/>
  <c r="E564" i="3"/>
  <c r="H563" i="3"/>
  <c r="I563" i="3" s="1"/>
  <c r="E563" i="3"/>
  <c r="F563" i="3" s="1"/>
  <c r="H562" i="3"/>
  <c r="I562" i="3" s="1"/>
  <c r="F562" i="3"/>
  <c r="E562" i="3"/>
  <c r="H561" i="3"/>
  <c r="I561" i="3" s="1"/>
  <c r="F561" i="3"/>
  <c r="E561" i="3"/>
  <c r="H560" i="3"/>
  <c r="I560" i="3" s="1"/>
  <c r="F560" i="3"/>
  <c r="E560" i="3"/>
  <c r="H559" i="3"/>
  <c r="I559" i="3" s="1"/>
  <c r="E559" i="3"/>
  <c r="F559" i="3" s="1"/>
  <c r="H558" i="3"/>
  <c r="I558" i="3" s="1"/>
  <c r="F558" i="3"/>
  <c r="E558" i="3"/>
  <c r="H557" i="3"/>
  <c r="I557" i="3" s="1"/>
  <c r="F557" i="3"/>
  <c r="E557" i="3"/>
  <c r="H556" i="3"/>
  <c r="I556" i="3" s="1"/>
  <c r="F556" i="3"/>
  <c r="E556" i="3"/>
  <c r="H555" i="3"/>
  <c r="I555" i="3" s="1"/>
  <c r="E555" i="3"/>
  <c r="F555" i="3" s="1"/>
  <c r="H554" i="3"/>
  <c r="I554" i="3" s="1"/>
  <c r="F554" i="3"/>
  <c r="E554" i="3"/>
  <c r="H553" i="3"/>
  <c r="I553" i="3" s="1"/>
  <c r="F553" i="3"/>
  <c r="E553" i="3"/>
  <c r="H552" i="3"/>
  <c r="I552" i="3" s="1"/>
  <c r="F552" i="3"/>
  <c r="E552" i="3"/>
  <c r="H551" i="3"/>
  <c r="I551" i="3" s="1"/>
  <c r="E551" i="3"/>
  <c r="F551" i="3" s="1"/>
  <c r="H550" i="3"/>
  <c r="I550" i="3" s="1"/>
  <c r="F550" i="3"/>
  <c r="E550" i="3"/>
  <c r="H549" i="3"/>
  <c r="I549" i="3" s="1"/>
  <c r="F549" i="3"/>
  <c r="E549" i="3"/>
  <c r="H548" i="3"/>
  <c r="I548" i="3" s="1"/>
  <c r="F548" i="3"/>
  <c r="E548" i="3"/>
  <c r="H547" i="3"/>
  <c r="I547" i="3" s="1"/>
  <c r="E547" i="3"/>
  <c r="F547" i="3" s="1"/>
  <c r="J547" i="3" s="1"/>
  <c r="G547" i="3" s="1"/>
  <c r="H546" i="3"/>
  <c r="I546" i="3" s="1"/>
  <c r="F546" i="3"/>
  <c r="E546" i="3"/>
  <c r="H545" i="3"/>
  <c r="I545" i="3" s="1"/>
  <c r="F545" i="3"/>
  <c r="E545" i="3"/>
  <c r="H544" i="3"/>
  <c r="I544" i="3" s="1"/>
  <c r="F544" i="3"/>
  <c r="E544" i="3"/>
  <c r="H543" i="3"/>
  <c r="I543" i="3" s="1"/>
  <c r="E543" i="3"/>
  <c r="F543" i="3" s="1"/>
  <c r="H542" i="3"/>
  <c r="I542" i="3" s="1"/>
  <c r="F542" i="3"/>
  <c r="E542" i="3"/>
  <c r="H541" i="3"/>
  <c r="I541" i="3" s="1"/>
  <c r="F541" i="3"/>
  <c r="E541" i="3"/>
  <c r="H540" i="3"/>
  <c r="I540" i="3" s="1"/>
  <c r="F540" i="3"/>
  <c r="E540" i="3"/>
  <c r="H539" i="3"/>
  <c r="I539" i="3" s="1"/>
  <c r="E539" i="3"/>
  <c r="F539" i="3" s="1"/>
  <c r="H538" i="3"/>
  <c r="I538" i="3" s="1"/>
  <c r="F538" i="3"/>
  <c r="E538" i="3"/>
  <c r="H537" i="3"/>
  <c r="I537" i="3" s="1"/>
  <c r="F537" i="3"/>
  <c r="E537" i="3"/>
  <c r="H536" i="3"/>
  <c r="I536" i="3" s="1"/>
  <c r="F536" i="3"/>
  <c r="E536" i="3"/>
  <c r="H535" i="3"/>
  <c r="I535" i="3" s="1"/>
  <c r="E535" i="3"/>
  <c r="F535" i="3" s="1"/>
  <c r="H534" i="3"/>
  <c r="I534" i="3" s="1"/>
  <c r="F534" i="3"/>
  <c r="E534" i="3"/>
  <c r="H533" i="3"/>
  <c r="I533" i="3" s="1"/>
  <c r="F533" i="3"/>
  <c r="E533" i="3"/>
  <c r="H532" i="3"/>
  <c r="I532" i="3" s="1"/>
  <c r="F532" i="3"/>
  <c r="E532" i="3"/>
  <c r="H531" i="3"/>
  <c r="I531" i="3" s="1"/>
  <c r="E531" i="3"/>
  <c r="F531" i="3" s="1"/>
  <c r="H530" i="3"/>
  <c r="I530" i="3" s="1"/>
  <c r="F530" i="3"/>
  <c r="E530" i="3"/>
  <c r="H529" i="3"/>
  <c r="I529" i="3" s="1"/>
  <c r="F529" i="3"/>
  <c r="E529" i="3"/>
  <c r="H528" i="3"/>
  <c r="I528" i="3" s="1"/>
  <c r="F528" i="3"/>
  <c r="E528" i="3"/>
  <c r="H527" i="3"/>
  <c r="I527" i="3" s="1"/>
  <c r="E527" i="3"/>
  <c r="F527" i="3" s="1"/>
  <c r="H526" i="3"/>
  <c r="I526" i="3" s="1"/>
  <c r="E526" i="3"/>
  <c r="F526" i="3" s="1"/>
  <c r="H525" i="3"/>
  <c r="I525" i="3" s="1"/>
  <c r="F525" i="3"/>
  <c r="E525" i="3"/>
  <c r="H524" i="3"/>
  <c r="I524" i="3" s="1"/>
  <c r="F524" i="3"/>
  <c r="E524" i="3"/>
  <c r="J523" i="3"/>
  <c r="G523" i="3" s="1"/>
  <c r="H523" i="3"/>
  <c r="I523" i="3" s="1"/>
  <c r="E523" i="3"/>
  <c r="F523" i="3" s="1"/>
  <c r="H522" i="3"/>
  <c r="I522" i="3" s="1"/>
  <c r="E522" i="3"/>
  <c r="F522" i="3" s="1"/>
  <c r="H521" i="3"/>
  <c r="I521" i="3" s="1"/>
  <c r="F521" i="3"/>
  <c r="E521" i="3"/>
  <c r="H520" i="3"/>
  <c r="I520" i="3" s="1"/>
  <c r="F520" i="3"/>
  <c r="E520" i="3"/>
  <c r="H519" i="3"/>
  <c r="I519" i="3" s="1"/>
  <c r="E519" i="3"/>
  <c r="F519" i="3" s="1"/>
  <c r="H518" i="3"/>
  <c r="I518" i="3" s="1"/>
  <c r="F518" i="3"/>
  <c r="E518" i="3"/>
  <c r="H517" i="3"/>
  <c r="I517" i="3" s="1"/>
  <c r="F517" i="3"/>
  <c r="E517" i="3"/>
  <c r="H516" i="3"/>
  <c r="I516" i="3" s="1"/>
  <c r="F516" i="3"/>
  <c r="E516" i="3"/>
  <c r="H515" i="3"/>
  <c r="I515" i="3" s="1"/>
  <c r="E515" i="3"/>
  <c r="F515" i="3" s="1"/>
  <c r="H514" i="3"/>
  <c r="I514" i="3" s="1"/>
  <c r="F514" i="3"/>
  <c r="E514" i="3"/>
  <c r="H513" i="3"/>
  <c r="I513" i="3" s="1"/>
  <c r="F513" i="3"/>
  <c r="E513" i="3"/>
  <c r="H512" i="3"/>
  <c r="I512" i="3" s="1"/>
  <c r="F512" i="3"/>
  <c r="E512" i="3"/>
  <c r="I511" i="3"/>
  <c r="H511" i="3"/>
  <c r="E511" i="3"/>
  <c r="F511" i="3" s="1"/>
  <c r="H510" i="3"/>
  <c r="I510" i="3" s="1"/>
  <c r="F510" i="3"/>
  <c r="E510" i="3"/>
  <c r="H509" i="3"/>
  <c r="I509" i="3" s="1"/>
  <c r="F509" i="3"/>
  <c r="E509" i="3"/>
  <c r="H508" i="3"/>
  <c r="I508" i="3" s="1"/>
  <c r="F508" i="3"/>
  <c r="E508" i="3"/>
  <c r="I507" i="3"/>
  <c r="H507" i="3"/>
  <c r="E507" i="3"/>
  <c r="F507" i="3" s="1"/>
  <c r="H506" i="3"/>
  <c r="I506" i="3" s="1"/>
  <c r="E506" i="3"/>
  <c r="F506" i="3" s="1"/>
  <c r="H505" i="3"/>
  <c r="I505" i="3" s="1"/>
  <c r="F505" i="3"/>
  <c r="E505" i="3"/>
  <c r="H504" i="3"/>
  <c r="I504" i="3" s="1"/>
  <c r="E504" i="3"/>
  <c r="F504" i="3" s="1"/>
  <c r="I503" i="3"/>
  <c r="H503" i="3"/>
  <c r="E503" i="3"/>
  <c r="F503" i="3" s="1"/>
  <c r="H502" i="3"/>
  <c r="I502" i="3" s="1"/>
  <c r="E502" i="3"/>
  <c r="F502" i="3" s="1"/>
  <c r="H501" i="3"/>
  <c r="I501" i="3" s="1"/>
  <c r="F501" i="3"/>
  <c r="E501" i="3"/>
  <c r="I500" i="3"/>
  <c r="H500" i="3"/>
  <c r="F500" i="3"/>
  <c r="E500" i="3"/>
  <c r="H499" i="3"/>
  <c r="I499" i="3" s="1"/>
  <c r="E499" i="3"/>
  <c r="F499" i="3" s="1"/>
  <c r="H498" i="3"/>
  <c r="I498" i="3" s="1"/>
  <c r="F498" i="3"/>
  <c r="E498" i="3"/>
  <c r="H497" i="3"/>
  <c r="I497" i="3" s="1"/>
  <c r="F497" i="3"/>
  <c r="E497" i="3"/>
  <c r="H496" i="3"/>
  <c r="I496" i="3" s="1"/>
  <c r="F496" i="3"/>
  <c r="E496" i="3"/>
  <c r="H495" i="3"/>
  <c r="I495" i="3" s="1"/>
  <c r="E495" i="3"/>
  <c r="F495" i="3" s="1"/>
  <c r="H494" i="3"/>
  <c r="I494" i="3" s="1"/>
  <c r="F494" i="3"/>
  <c r="E494" i="3"/>
  <c r="H493" i="3"/>
  <c r="I493" i="3" s="1"/>
  <c r="F493" i="3"/>
  <c r="E493" i="3"/>
  <c r="H492" i="3"/>
  <c r="I492" i="3" s="1"/>
  <c r="F492" i="3"/>
  <c r="E492" i="3"/>
  <c r="H491" i="3"/>
  <c r="I491" i="3" s="1"/>
  <c r="E491" i="3"/>
  <c r="F491" i="3" s="1"/>
  <c r="H490" i="3"/>
  <c r="I490" i="3" s="1"/>
  <c r="F490" i="3"/>
  <c r="E490" i="3"/>
  <c r="H489" i="3"/>
  <c r="I489" i="3" s="1"/>
  <c r="F489" i="3"/>
  <c r="E489" i="3"/>
  <c r="H488" i="3"/>
  <c r="I488" i="3" s="1"/>
  <c r="F488" i="3"/>
  <c r="E488" i="3"/>
  <c r="H487" i="3"/>
  <c r="I487" i="3" s="1"/>
  <c r="E487" i="3"/>
  <c r="F487" i="3" s="1"/>
  <c r="H486" i="3"/>
  <c r="I486" i="3" s="1"/>
  <c r="F486" i="3"/>
  <c r="E486" i="3"/>
  <c r="H485" i="3"/>
  <c r="I485" i="3" s="1"/>
  <c r="F485" i="3"/>
  <c r="E485" i="3"/>
  <c r="H484" i="3"/>
  <c r="I484" i="3" s="1"/>
  <c r="F484" i="3"/>
  <c r="E484" i="3"/>
  <c r="H483" i="3"/>
  <c r="I483" i="3" s="1"/>
  <c r="E483" i="3"/>
  <c r="F483" i="3" s="1"/>
  <c r="H482" i="3"/>
  <c r="I482" i="3" s="1"/>
  <c r="F482" i="3"/>
  <c r="E482" i="3"/>
  <c r="H481" i="3"/>
  <c r="I481" i="3" s="1"/>
  <c r="F481" i="3"/>
  <c r="E481" i="3"/>
  <c r="H480" i="3"/>
  <c r="I480" i="3" s="1"/>
  <c r="F480" i="3"/>
  <c r="E480" i="3"/>
  <c r="H479" i="3"/>
  <c r="I479" i="3" s="1"/>
  <c r="E479" i="3"/>
  <c r="F479" i="3" s="1"/>
  <c r="H478" i="3"/>
  <c r="I478" i="3" s="1"/>
  <c r="F478" i="3"/>
  <c r="E478" i="3"/>
  <c r="H477" i="3"/>
  <c r="I477" i="3" s="1"/>
  <c r="F477" i="3"/>
  <c r="E477" i="3"/>
  <c r="H476" i="3"/>
  <c r="I476" i="3" s="1"/>
  <c r="F476" i="3"/>
  <c r="E476" i="3"/>
  <c r="H475" i="3"/>
  <c r="I475" i="3" s="1"/>
  <c r="E475" i="3"/>
  <c r="F475" i="3" s="1"/>
  <c r="H474" i="3"/>
  <c r="I474" i="3" s="1"/>
  <c r="E474" i="3"/>
  <c r="F474" i="3" s="1"/>
  <c r="H473" i="3"/>
  <c r="I473" i="3" s="1"/>
  <c r="F473" i="3"/>
  <c r="E473" i="3"/>
  <c r="I472" i="3"/>
  <c r="H472" i="3"/>
  <c r="F472" i="3"/>
  <c r="E472" i="3"/>
  <c r="H471" i="3"/>
  <c r="I471" i="3" s="1"/>
  <c r="E471" i="3"/>
  <c r="F471" i="3" s="1"/>
  <c r="H470" i="3"/>
  <c r="I470" i="3" s="1"/>
  <c r="E470" i="3"/>
  <c r="F470" i="3" s="1"/>
  <c r="H469" i="3"/>
  <c r="I469" i="3" s="1"/>
  <c r="F469" i="3"/>
  <c r="E469" i="3"/>
  <c r="H468" i="3"/>
  <c r="I468" i="3" s="1"/>
  <c r="E468" i="3"/>
  <c r="F468" i="3" s="1"/>
  <c r="I467" i="3"/>
  <c r="H467" i="3"/>
  <c r="E467" i="3"/>
  <c r="F467" i="3" s="1"/>
  <c r="H466" i="3"/>
  <c r="I466" i="3" s="1"/>
  <c r="E466" i="3"/>
  <c r="F466" i="3" s="1"/>
  <c r="H465" i="3"/>
  <c r="I465" i="3" s="1"/>
  <c r="F465" i="3"/>
  <c r="E465" i="3"/>
  <c r="I464" i="3"/>
  <c r="H464" i="3"/>
  <c r="F464" i="3"/>
  <c r="E464" i="3"/>
  <c r="H463" i="3"/>
  <c r="I463" i="3" s="1"/>
  <c r="F463" i="3"/>
  <c r="E463" i="3"/>
  <c r="H462" i="3"/>
  <c r="I462" i="3" s="1"/>
  <c r="E462" i="3"/>
  <c r="F462" i="3" s="1"/>
  <c r="H461" i="3"/>
  <c r="I461" i="3" s="1"/>
  <c r="F461" i="3"/>
  <c r="E461" i="3"/>
  <c r="H460" i="3"/>
  <c r="I460" i="3" s="1"/>
  <c r="F460" i="3"/>
  <c r="E460" i="3"/>
  <c r="H459" i="3"/>
  <c r="I459" i="3" s="1"/>
  <c r="E459" i="3"/>
  <c r="F459" i="3" s="1"/>
  <c r="H458" i="3"/>
  <c r="I458" i="3" s="1"/>
  <c r="F458" i="3"/>
  <c r="E458" i="3"/>
  <c r="H457" i="3"/>
  <c r="I457" i="3" s="1"/>
  <c r="F457" i="3"/>
  <c r="E457" i="3"/>
  <c r="H456" i="3"/>
  <c r="I456" i="3" s="1"/>
  <c r="F456" i="3"/>
  <c r="E456" i="3"/>
  <c r="H455" i="3"/>
  <c r="I455" i="3" s="1"/>
  <c r="E455" i="3"/>
  <c r="F455" i="3" s="1"/>
  <c r="H454" i="3"/>
  <c r="I454" i="3" s="1"/>
  <c r="E454" i="3"/>
  <c r="F454" i="3" s="1"/>
  <c r="H453" i="3"/>
  <c r="I453" i="3" s="1"/>
  <c r="F453" i="3"/>
  <c r="E453" i="3"/>
  <c r="H452" i="3"/>
  <c r="I452" i="3" s="1"/>
  <c r="E452" i="3"/>
  <c r="F452" i="3" s="1"/>
  <c r="I451" i="3"/>
  <c r="H451" i="3"/>
  <c r="E451" i="3"/>
  <c r="F451" i="3" s="1"/>
  <c r="H450" i="3"/>
  <c r="I450" i="3" s="1"/>
  <c r="E450" i="3"/>
  <c r="F450" i="3" s="1"/>
  <c r="H449" i="3"/>
  <c r="I449" i="3" s="1"/>
  <c r="F449" i="3"/>
  <c r="E449" i="3"/>
  <c r="H448" i="3"/>
  <c r="I448" i="3" s="1"/>
  <c r="E448" i="3"/>
  <c r="F448" i="3" s="1"/>
  <c r="H447" i="3"/>
  <c r="I447" i="3" s="1"/>
  <c r="F447" i="3"/>
  <c r="E447" i="3"/>
  <c r="H446" i="3"/>
  <c r="I446" i="3" s="1"/>
  <c r="E446" i="3"/>
  <c r="F446" i="3" s="1"/>
  <c r="H445" i="3"/>
  <c r="I445" i="3" s="1"/>
  <c r="F445" i="3"/>
  <c r="E445" i="3"/>
  <c r="H444" i="3"/>
  <c r="I444" i="3" s="1"/>
  <c r="F444" i="3"/>
  <c r="E444" i="3"/>
  <c r="H443" i="3"/>
  <c r="I443" i="3" s="1"/>
  <c r="F443" i="3"/>
  <c r="E443" i="3"/>
  <c r="H442" i="3"/>
  <c r="I442" i="3" s="1"/>
  <c r="E442" i="3"/>
  <c r="F442" i="3" s="1"/>
  <c r="H441" i="3"/>
  <c r="I441" i="3" s="1"/>
  <c r="F441" i="3"/>
  <c r="E441" i="3"/>
  <c r="H440" i="3"/>
  <c r="I440" i="3" s="1"/>
  <c r="F440" i="3"/>
  <c r="E440" i="3"/>
  <c r="H439" i="3"/>
  <c r="I439" i="3" s="1"/>
  <c r="F439" i="3"/>
  <c r="E439" i="3"/>
  <c r="H438" i="3"/>
  <c r="I438" i="3" s="1"/>
  <c r="E438" i="3"/>
  <c r="F438" i="3" s="1"/>
  <c r="H437" i="3"/>
  <c r="I437" i="3" s="1"/>
  <c r="F437" i="3"/>
  <c r="E437" i="3"/>
  <c r="H436" i="3"/>
  <c r="I436" i="3" s="1"/>
  <c r="E436" i="3"/>
  <c r="F436" i="3" s="1"/>
  <c r="H435" i="3"/>
  <c r="I435" i="3" s="1"/>
  <c r="F435" i="3"/>
  <c r="E435" i="3"/>
  <c r="H434" i="3"/>
  <c r="I434" i="3" s="1"/>
  <c r="E434" i="3"/>
  <c r="F434" i="3" s="1"/>
  <c r="H433" i="3"/>
  <c r="I433" i="3" s="1"/>
  <c r="E433" i="3"/>
  <c r="F433" i="3" s="1"/>
  <c r="H432" i="3"/>
  <c r="I432" i="3" s="1"/>
  <c r="E432" i="3"/>
  <c r="F432" i="3" s="1"/>
  <c r="H431" i="3"/>
  <c r="I431" i="3" s="1"/>
  <c r="F431" i="3"/>
  <c r="E431" i="3"/>
  <c r="H430" i="3"/>
  <c r="I430" i="3" s="1"/>
  <c r="E430" i="3"/>
  <c r="F430" i="3" s="1"/>
  <c r="H429" i="3"/>
  <c r="I429" i="3" s="1"/>
  <c r="E429" i="3"/>
  <c r="F429" i="3" s="1"/>
  <c r="H428" i="3"/>
  <c r="I428" i="3" s="1"/>
  <c r="E428" i="3"/>
  <c r="F428" i="3" s="1"/>
  <c r="H427" i="3"/>
  <c r="I427" i="3" s="1"/>
  <c r="F427" i="3"/>
  <c r="E427" i="3"/>
  <c r="H426" i="3"/>
  <c r="I426" i="3" s="1"/>
  <c r="E426" i="3"/>
  <c r="F426" i="3" s="1"/>
  <c r="H425" i="3"/>
  <c r="I425" i="3" s="1"/>
  <c r="F425" i="3"/>
  <c r="E425" i="3"/>
  <c r="H424" i="3"/>
  <c r="I424" i="3" s="1"/>
  <c r="E424" i="3"/>
  <c r="F424" i="3" s="1"/>
  <c r="H423" i="3"/>
  <c r="I423" i="3" s="1"/>
  <c r="F423" i="3"/>
  <c r="E423" i="3"/>
  <c r="H422" i="3"/>
  <c r="I422" i="3" s="1"/>
  <c r="E422" i="3"/>
  <c r="F422" i="3" s="1"/>
  <c r="J422" i="3" s="1"/>
  <c r="G422" i="3" s="1"/>
  <c r="H421" i="3"/>
  <c r="I421" i="3" s="1"/>
  <c r="F421" i="3"/>
  <c r="E421" i="3"/>
  <c r="H420" i="3"/>
  <c r="I420" i="3" s="1"/>
  <c r="E420" i="3"/>
  <c r="F420" i="3" s="1"/>
  <c r="H419" i="3"/>
  <c r="I419" i="3" s="1"/>
  <c r="F419" i="3"/>
  <c r="E419" i="3"/>
  <c r="H418" i="3"/>
  <c r="I418" i="3" s="1"/>
  <c r="E418" i="3"/>
  <c r="F418" i="3" s="1"/>
  <c r="H417" i="3"/>
  <c r="I417" i="3" s="1"/>
  <c r="F417" i="3"/>
  <c r="E417" i="3"/>
  <c r="H416" i="3"/>
  <c r="I416" i="3" s="1"/>
  <c r="E416" i="3"/>
  <c r="F416" i="3" s="1"/>
  <c r="H415" i="3"/>
  <c r="I415" i="3" s="1"/>
  <c r="F415" i="3"/>
  <c r="E415" i="3"/>
  <c r="H414" i="3"/>
  <c r="I414" i="3" s="1"/>
  <c r="E414" i="3"/>
  <c r="F414" i="3" s="1"/>
  <c r="H413" i="3"/>
  <c r="I413" i="3" s="1"/>
  <c r="F413" i="3"/>
  <c r="E413" i="3"/>
  <c r="H412" i="3"/>
  <c r="I412" i="3" s="1"/>
  <c r="E412" i="3"/>
  <c r="F412" i="3" s="1"/>
  <c r="H411" i="3"/>
  <c r="I411" i="3" s="1"/>
  <c r="F411" i="3"/>
  <c r="E411" i="3"/>
  <c r="H410" i="3"/>
  <c r="I410" i="3" s="1"/>
  <c r="E410" i="3"/>
  <c r="F410" i="3" s="1"/>
  <c r="H409" i="3"/>
  <c r="I409" i="3" s="1"/>
  <c r="E409" i="3"/>
  <c r="F409" i="3" s="1"/>
  <c r="H408" i="3"/>
  <c r="I408" i="3" s="1"/>
  <c r="E408" i="3"/>
  <c r="F408" i="3" s="1"/>
  <c r="H407" i="3"/>
  <c r="I407" i="3" s="1"/>
  <c r="F407" i="3"/>
  <c r="E407" i="3"/>
  <c r="H406" i="3"/>
  <c r="I406" i="3" s="1"/>
  <c r="E406" i="3"/>
  <c r="F406" i="3" s="1"/>
  <c r="I405" i="3"/>
  <c r="H405" i="3"/>
  <c r="E405" i="3"/>
  <c r="F405" i="3" s="1"/>
  <c r="H404" i="3"/>
  <c r="I404" i="3" s="1"/>
  <c r="E404" i="3"/>
  <c r="F404" i="3" s="1"/>
  <c r="H403" i="3"/>
  <c r="I403" i="3" s="1"/>
  <c r="F403" i="3"/>
  <c r="E403" i="3"/>
  <c r="H402" i="3"/>
  <c r="I402" i="3" s="1"/>
  <c r="E402" i="3"/>
  <c r="F402" i="3" s="1"/>
  <c r="I401" i="3"/>
  <c r="H401" i="3"/>
  <c r="E401" i="3"/>
  <c r="F401" i="3" s="1"/>
  <c r="H400" i="3"/>
  <c r="I400" i="3" s="1"/>
  <c r="E400" i="3"/>
  <c r="F400" i="3" s="1"/>
  <c r="H399" i="3"/>
  <c r="I399" i="3" s="1"/>
  <c r="F399" i="3"/>
  <c r="E399" i="3"/>
  <c r="H398" i="3"/>
  <c r="I398" i="3" s="1"/>
  <c r="F398" i="3"/>
  <c r="E398" i="3"/>
  <c r="H397" i="3"/>
  <c r="I397" i="3" s="1"/>
  <c r="E397" i="3"/>
  <c r="F397" i="3" s="1"/>
  <c r="J397" i="3" s="1"/>
  <c r="G397" i="3" s="1"/>
  <c r="H396" i="3"/>
  <c r="I396" i="3" s="1"/>
  <c r="E396" i="3"/>
  <c r="F396" i="3" s="1"/>
  <c r="H395" i="3"/>
  <c r="I395" i="3" s="1"/>
  <c r="F395" i="3"/>
  <c r="E395" i="3"/>
  <c r="H394" i="3"/>
  <c r="I394" i="3" s="1"/>
  <c r="F394" i="3"/>
  <c r="E394" i="3"/>
  <c r="H393" i="3"/>
  <c r="I393" i="3" s="1"/>
  <c r="E393" i="3"/>
  <c r="F393" i="3" s="1"/>
  <c r="H392" i="3"/>
  <c r="I392" i="3" s="1"/>
  <c r="E392" i="3"/>
  <c r="F392" i="3" s="1"/>
  <c r="H391" i="3"/>
  <c r="I391" i="3" s="1"/>
  <c r="F391" i="3"/>
  <c r="E391" i="3"/>
  <c r="H390" i="3"/>
  <c r="I390" i="3" s="1"/>
  <c r="E390" i="3"/>
  <c r="F390" i="3" s="1"/>
  <c r="H389" i="3"/>
  <c r="I389" i="3" s="1"/>
  <c r="E389" i="3"/>
  <c r="F389" i="3" s="1"/>
  <c r="H388" i="3"/>
  <c r="I388" i="3" s="1"/>
  <c r="E388" i="3"/>
  <c r="F388" i="3" s="1"/>
  <c r="H387" i="3"/>
  <c r="I387" i="3" s="1"/>
  <c r="F387" i="3"/>
  <c r="E387" i="3"/>
  <c r="I386" i="3"/>
  <c r="H386" i="3"/>
  <c r="E386" i="3"/>
  <c r="F386" i="3" s="1"/>
  <c r="I385" i="3"/>
  <c r="H385" i="3"/>
  <c r="E385" i="3"/>
  <c r="F385" i="3" s="1"/>
  <c r="H384" i="3"/>
  <c r="I384" i="3" s="1"/>
  <c r="E384" i="3"/>
  <c r="F384" i="3" s="1"/>
  <c r="H383" i="3"/>
  <c r="I383" i="3" s="1"/>
  <c r="F383" i="3"/>
  <c r="E383" i="3"/>
  <c r="I382" i="3"/>
  <c r="H382" i="3"/>
  <c r="E382" i="3"/>
  <c r="F382" i="3" s="1"/>
  <c r="J381" i="3"/>
  <c r="G381" i="3" s="1"/>
  <c r="I381" i="3"/>
  <c r="H381" i="3"/>
  <c r="E381" i="3"/>
  <c r="F381" i="3" s="1"/>
  <c r="H380" i="3"/>
  <c r="I380" i="3" s="1"/>
  <c r="E380" i="3"/>
  <c r="F380" i="3" s="1"/>
  <c r="H379" i="3"/>
  <c r="I379" i="3" s="1"/>
  <c r="F379" i="3"/>
  <c r="E379" i="3"/>
  <c r="I378" i="3"/>
  <c r="H378" i="3"/>
  <c r="E378" i="3"/>
  <c r="F378" i="3" s="1"/>
  <c r="H377" i="3"/>
  <c r="I377" i="3" s="1"/>
  <c r="E377" i="3"/>
  <c r="F377" i="3" s="1"/>
  <c r="H376" i="3"/>
  <c r="I376" i="3" s="1"/>
  <c r="E376" i="3"/>
  <c r="F376" i="3" s="1"/>
  <c r="H375" i="3"/>
  <c r="I375" i="3" s="1"/>
  <c r="F375" i="3"/>
  <c r="E375" i="3"/>
  <c r="I374" i="3"/>
  <c r="H374" i="3"/>
  <c r="E374" i="3"/>
  <c r="F374" i="3" s="1"/>
  <c r="H373" i="3"/>
  <c r="I373" i="3" s="1"/>
  <c r="E373" i="3"/>
  <c r="F373" i="3" s="1"/>
  <c r="H372" i="3"/>
  <c r="I372" i="3" s="1"/>
  <c r="E372" i="3"/>
  <c r="F372" i="3" s="1"/>
  <c r="H371" i="3"/>
  <c r="I371" i="3" s="1"/>
  <c r="F371" i="3"/>
  <c r="E371" i="3"/>
  <c r="I370" i="3"/>
  <c r="H370" i="3"/>
  <c r="E370" i="3"/>
  <c r="F370" i="3" s="1"/>
  <c r="H369" i="3"/>
  <c r="I369" i="3" s="1"/>
  <c r="E369" i="3"/>
  <c r="F369" i="3" s="1"/>
  <c r="H368" i="3"/>
  <c r="I368" i="3" s="1"/>
  <c r="E368" i="3"/>
  <c r="F368" i="3" s="1"/>
  <c r="H367" i="3"/>
  <c r="I367" i="3" s="1"/>
  <c r="F367" i="3"/>
  <c r="E367" i="3"/>
  <c r="I366" i="3"/>
  <c r="H366" i="3"/>
  <c r="E366" i="3"/>
  <c r="F366" i="3" s="1"/>
  <c r="H365" i="3"/>
  <c r="I365" i="3" s="1"/>
  <c r="E365" i="3"/>
  <c r="F365" i="3" s="1"/>
  <c r="H364" i="3"/>
  <c r="I364" i="3" s="1"/>
  <c r="E364" i="3"/>
  <c r="F364" i="3" s="1"/>
  <c r="H363" i="3"/>
  <c r="I363" i="3" s="1"/>
  <c r="F363" i="3"/>
  <c r="E363" i="3"/>
  <c r="I362" i="3"/>
  <c r="H362" i="3"/>
  <c r="E362" i="3"/>
  <c r="F362" i="3" s="1"/>
  <c r="H361" i="3"/>
  <c r="I361" i="3" s="1"/>
  <c r="E361" i="3"/>
  <c r="F361" i="3" s="1"/>
  <c r="H360" i="3"/>
  <c r="I360" i="3" s="1"/>
  <c r="E360" i="3"/>
  <c r="F360" i="3" s="1"/>
  <c r="I359" i="3"/>
  <c r="H359" i="3"/>
  <c r="F359" i="3"/>
  <c r="E359" i="3"/>
  <c r="I358" i="3"/>
  <c r="H358" i="3"/>
  <c r="E358" i="3"/>
  <c r="F358" i="3" s="1"/>
  <c r="H357" i="3"/>
  <c r="I357" i="3" s="1"/>
  <c r="E357" i="3"/>
  <c r="F357" i="3" s="1"/>
  <c r="H356" i="3"/>
  <c r="I356" i="3" s="1"/>
  <c r="E356" i="3"/>
  <c r="F356" i="3" s="1"/>
  <c r="I355" i="3"/>
  <c r="H355" i="3"/>
  <c r="F355" i="3"/>
  <c r="E355" i="3"/>
  <c r="I354" i="3"/>
  <c r="H354" i="3"/>
  <c r="F354" i="3"/>
  <c r="E354" i="3"/>
  <c r="H353" i="3"/>
  <c r="I353" i="3" s="1"/>
  <c r="E353" i="3"/>
  <c r="F353" i="3" s="1"/>
  <c r="H352" i="3"/>
  <c r="I352" i="3" s="1"/>
  <c r="F352" i="3"/>
  <c r="E352" i="3"/>
  <c r="H351" i="3"/>
  <c r="I351" i="3" s="1"/>
  <c r="F351" i="3"/>
  <c r="E351" i="3"/>
  <c r="H350" i="3"/>
  <c r="I350" i="3" s="1"/>
  <c r="F350" i="3"/>
  <c r="E350" i="3"/>
  <c r="H349" i="3"/>
  <c r="I349" i="3" s="1"/>
  <c r="E349" i="3"/>
  <c r="F349" i="3" s="1"/>
  <c r="H348" i="3"/>
  <c r="I348" i="3" s="1"/>
  <c r="E348" i="3"/>
  <c r="F348" i="3" s="1"/>
  <c r="H347" i="3"/>
  <c r="I347" i="3" s="1"/>
  <c r="F347" i="3"/>
  <c r="E347" i="3"/>
  <c r="H346" i="3"/>
  <c r="I346" i="3" s="1"/>
  <c r="F346" i="3"/>
  <c r="E346" i="3"/>
  <c r="H345" i="3"/>
  <c r="I345" i="3" s="1"/>
  <c r="E345" i="3"/>
  <c r="F345" i="3" s="1"/>
  <c r="H344" i="3"/>
  <c r="I344" i="3" s="1"/>
  <c r="E344" i="3"/>
  <c r="F344" i="3" s="1"/>
  <c r="H343" i="3"/>
  <c r="I343" i="3" s="1"/>
  <c r="F343" i="3"/>
  <c r="E343" i="3"/>
  <c r="H342" i="3"/>
  <c r="I342" i="3" s="1"/>
  <c r="E342" i="3"/>
  <c r="F342" i="3" s="1"/>
  <c r="H341" i="3"/>
  <c r="I341" i="3" s="1"/>
  <c r="E341" i="3"/>
  <c r="F341" i="3" s="1"/>
  <c r="H340" i="3"/>
  <c r="I340" i="3" s="1"/>
  <c r="F340" i="3"/>
  <c r="E340" i="3"/>
  <c r="I339" i="3"/>
  <c r="H339" i="3"/>
  <c r="F339" i="3"/>
  <c r="E339" i="3"/>
  <c r="H338" i="3"/>
  <c r="I338" i="3" s="1"/>
  <c r="E338" i="3"/>
  <c r="F338" i="3" s="1"/>
  <c r="H337" i="3"/>
  <c r="I337" i="3" s="1"/>
  <c r="E337" i="3"/>
  <c r="F337" i="3" s="1"/>
  <c r="J337" i="3" s="1"/>
  <c r="G337" i="3" s="1"/>
  <c r="H336" i="3"/>
  <c r="I336" i="3" s="1"/>
  <c r="F336" i="3"/>
  <c r="E336" i="3"/>
  <c r="I335" i="3"/>
  <c r="H335" i="3"/>
  <c r="F335" i="3"/>
  <c r="E335" i="3"/>
  <c r="H334" i="3"/>
  <c r="I334" i="3" s="1"/>
  <c r="E334" i="3"/>
  <c r="F334" i="3" s="1"/>
  <c r="H333" i="3"/>
  <c r="I333" i="3" s="1"/>
  <c r="E333" i="3"/>
  <c r="F333" i="3" s="1"/>
  <c r="H332" i="3"/>
  <c r="I332" i="3" s="1"/>
  <c r="F332" i="3"/>
  <c r="E332" i="3"/>
  <c r="H331" i="3"/>
  <c r="I331" i="3" s="1"/>
  <c r="F331" i="3"/>
  <c r="J331" i="3" s="1"/>
  <c r="G331" i="3" s="1"/>
  <c r="E331" i="3"/>
  <c r="I330" i="3"/>
  <c r="H330" i="3"/>
  <c r="F330" i="3"/>
  <c r="E330" i="3"/>
  <c r="H329" i="3"/>
  <c r="I329" i="3" s="1"/>
  <c r="E329" i="3"/>
  <c r="F329" i="3" s="1"/>
  <c r="H328" i="3"/>
  <c r="I328" i="3" s="1"/>
  <c r="E328" i="3"/>
  <c r="F328" i="3" s="1"/>
  <c r="H327" i="3"/>
  <c r="I327" i="3" s="1"/>
  <c r="F327" i="3"/>
  <c r="E327" i="3"/>
  <c r="H326" i="3"/>
  <c r="I326" i="3" s="1"/>
  <c r="F326" i="3"/>
  <c r="E326" i="3"/>
  <c r="H325" i="3"/>
  <c r="I325" i="3" s="1"/>
  <c r="E325" i="3"/>
  <c r="F325" i="3" s="1"/>
  <c r="H324" i="3"/>
  <c r="I324" i="3" s="1"/>
  <c r="E324" i="3"/>
  <c r="F324" i="3" s="1"/>
  <c r="H323" i="3"/>
  <c r="I323" i="3" s="1"/>
  <c r="F323" i="3"/>
  <c r="E323" i="3"/>
  <c r="I322" i="3"/>
  <c r="H322" i="3"/>
  <c r="F322" i="3"/>
  <c r="E322" i="3"/>
  <c r="H321" i="3"/>
  <c r="I321" i="3" s="1"/>
  <c r="E321" i="3"/>
  <c r="F321" i="3" s="1"/>
  <c r="H320" i="3"/>
  <c r="I320" i="3" s="1"/>
  <c r="F320" i="3"/>
  <c r="E320" i="3"/>
  <c r="I319" i="3"/>
  <c r="H319" i="3"/>
  <c r="F319" i="3"/>
  <c r="E319" i="3"/>
  <c r="I318" i="3"/>
  <c r="H318" i="3"/>
  <c r="F318" i="3"/>
  <c r="E318" i="3"/>
  <c r="H317" i="3"/>
  <c r="I317" i="3" s="1"/>
  <c r="E317" i="3"/>
  <c r="F317" i="3" s="1"/>
  <c r="H316" i="3"/>
  <c r="I316" i="3" s="1"/>
  <c r="F316" i="3"/>
  <c r="E316" i="3"/>
  <c r="H315" i="3"/>
  <c r="I315" i="3" s="1"/>
  <c r="F315" i="3"/>
  <c r="E315" i="3"/>
  <c r="I314" i="3"/>
  <c r="H314" i="3"/>
  <c r="F314" i="3"/>
  <c r="E314" i="3"/>
  <c r="H313" i="3"/>
  <c r="I313" i="3" s="1"/>
  <c r="E313" i="3"/>
  <c r="F313" i="3" s="1"/>
  <c r="H312" i="3"/>
  <c r="I312" i="3" s="1"/>
  <c r="F312" i="3"/>
  <c r="E312" i="3"/>
  <c r="H311" i="3"/>
  <c r="I311" i="3" s="1"/>
  <c r="F311" i="3"/>
  <c r="E311" i="3"/>
  <c r="I310" i="3"/>
  <c r="H310" i="3"/>
  <c r="F310" i="3"/>
  <c r="E310" i="3"/>
  <c r="H309" i="3"/>
  <c r="I309" i="3" s="1"/>
  <c r="E309" i="3"/>
  <c r="F309" i="3" s="1"/>
  <c r="H308" i="3"/>
  <c r="I308" i="3" s="1"/>
  <c r="F308" i="3"/>
  <c r="E308" i="3"/>
  <c r="H307" i="3"/>
  <c r="I307" i="3" s="1"/>
  <c r="F307" i="3"/>
  <c r="E307" i="3"/>
  <c r="H306" i="3"/>
  <c r="I306" i="3" s="1"/>
  <c r="F306" i="3"/>
  <c r="E306" i="3"/>
  <c r="I305" i="3"/>
  <c r="H305" i="3"/>
  <c r="E305" i="3"/>
  <c r="F305" i="3" s="1"/>
  <c r="H304" i="3"/>
  <c r="I304" i="3" s="1"/>
  <c r="E304" i="3"/>
  <c r="F304" i="3" s="1"/>
  <c r="H303" i="3"/>
  <c r="I303" i="3" s="1"/>
  <c r="F303" i="3"/>
  <c r="E303" i="3"/>
  <c r="I302" i="3"/>
  <c r="H302" i="3"/>
  <c r="F302" i="3"/>
  <c r="E302" i="3"/>
  <c r="H301" i="3"/>
  <c r="I301" i="3" s="1"/>
  <c r="E301" i="3"/>
  <c r="F301" i="3" s="1"/>
  <c r="H300" i="3"/>
  <c r="I300" i="3" s="1"/>
  <c r="E300" i="3"/>
  <c r="F300" i="3" s="1"/>
  <c r="H299" i="3"/>
  <c r="I299" i="3" s="1"/>
  <c r="F299" i="3"/>
  <c r="E299" i="3"/>
  <c r="H298" i="3"/>
  <c r="I298" i="3" s="1"/>
  <c r="E298" i="3"/>
  <c r="F298" i="3" s="1"/>
  <c r="J298" i="3" s="1"/>
  <c r="G298" i="3" s="1"/>
  <c r="H297" i="3"/>
  <c r="I297" i="3" s="1"/>
  <c r="E297" i="3"/>
  <c r="F297" i="3" s="1"/>
  <c r="H296" i="3"/>
  <c r="I296" i="3" s="1"/>
  <c r="E296" i="3"/>
  <c r="F296" i="3" s="1"/>
  <c r="H295" i="3"/>
  <c r="I295" i="3" s="1"/>
  <c r="F295" i="3"/>
  <c r="E295" i="3"/>
  <c r="I294" i="3"/>
  <c r="H294" i="3"/>
  <c r="F294" i="3"/>
  <c r="E294" i="3"/>
  <c r="H293" i="3"/>
  <c r="I293" i="3" s="1"/>
  <c r="E293" i="3"/>
  <c r="F293" i="3" s="1"/>
  <c r="H292" i="3"/>
  <c r="I292" i="3" s="1"/>
  <c r="E292" i="3"/>
  <c r="F292" i="3" s="1"/>
  <c r="J292" i="3" s="1"/>
  <c r="G292" i="3" s="1"/>
  <c r="H291" i="3"/>
  <c r="I291" i="3" s="1"/>
  <c r="F291" i="3"/>
  <c r="E291" i="3"/>
  <c r="I290" i="3"/>
  <c r="H290" i="3"/>
  <c r="F290" i="3"/>
  <c r="E290" i="3"/>
  <c r="J289" i="3"/>
  <c r="G289" i="3" s="1"/>
  <c r="I289" i="3"/>
  <c r="H289" i="3"/>
  <c r="E289" i="3"/>
  <c r="F289" i="3" s="1"/>
  <c r="H288" i="3"/>
  <c r="I288" i="3" s="1"/>
  <c r="E288" i="3"/>
  <c r="F288" i="3" s="1"/>
  <c r="H287" i="3"/>
  <c r="I287" i="3" s="1"/>
  <c r="F287" i="3"/>
  <c r="E287" i="3"/>
  <c r="I286" i="3"/>
  <c r="H286" i="3"/>
  <c r="F286" i="3"/>
  <c r="E286" i="3"/>
  <c r="H285" i="3"/>
  <c r="I285" i="3" s="1"/>
  <c r="E285" i="3"/>
  <c r="F285" i="3" s="1"/>
  <c r="H284" i="3"/>
  <c r="I284" i="3" s="1"/>
  <c r="E284" i="3"/>
  <c r="F284" i="3" s="1"/>
  <c r="H283" i="3"/>
  <c r="I283" i="3" s="1"/>
  <c r="F283" i="3"/>
  <c r="E283" i="3"/>
  <c r="I282" i="3"/>
  <c r="H282" i="3"/>
  <c r="F282" i="3"/>
  <c r="E282" i="3"/>
  <c r="I281" i="3"/>
  <c r="H281" i="3"/>
  <c r="E281" i="3"/>
  <c r="F281" i="3" s="1"/>
  <c r="H280" i="3"/>
  <c r="I280" i="3" s="1"/>
  <c r="E280" i="3"/>
  <c r="F280" i="3" s="1"/>
  <c r="H279" i="3"/>
  <c r="I279" i="3" s="1"/>
  <c r="F279" i="3"/>
  <c r="E279" i="3"/>
  <c r="I278" i="3"/>
  <c r="H278" i="3"/>
  <c r="F278" i="3"/>
  <c r="E278" i="3"/>
  <c r="I277" i="3"/>
  <c r="H277" i="3"/>
  <c r="E277" i="3"/>
  <c r="F277" i="3" s="1"/>
  <c r="H276" i="3"/>
  <c r="I276" i="3" s="1"/>
  <c r="E276" i="3"/>
  <c r="F276" i="3" s="1"/>
  <c r="H275" i="3"/>
  <c r="I275" i="3" s="1"/>
  <c r="F275" i="3"/>
  <c r="E275" i="3"/>
  <c r="I274" i="3"/>
  <c r="H274" i="3"/>
  <c r="F274" i="3"/>
  <c r="E274" i="3"/>
  <c r="I273" i="3"/>
  <c r="H273" i="3"/>
  <c r="E273" i="3"/>
  <c r="F273" i="3" s="1"/>
  <c r="H272" i="3"/>
  <c r="I272" i="3" s="1"/>
  <c r="E272" i="3"/>
  <c r="F272" i="3" s="1"/>
  <c r="H271" i="3"/>
  <c r="I271" i="3" s="1"/>
  <c r="F271" i="3"/>
  <c r="E271" i="3"/>
  <c r="I270" i="3"/>
  <c r="H270" i="3"/>
  <c r="F270" i="3"/>
  <c r="E270" i="3"/>
  <c r="I269" i="3"/>
  <c r="H269" i="3"/>
  <c r="E269" i="3"/>
  <c r="F269" i="3" s="1"/>
  <c r="H268" i="3"/>
  <c r="I268" i="3" s="1"/>
  <c r="E268" i="3"/>
  <c r="F268" i="3" s="1"/>
  <c r="H267" i="3"/>
  <c r="I267" i="3" s="1"/>
  <c r="F267" i="3"/>
  <c r="E267" i="3"/>
  <c r="H266" i="3"/>
  <c r="I266" i="3" s="1"/>
  <c r="F266" i="3"/>
  <c r="E266" i="3"/>
  <c r="I265" i="3"/>
  <c r="H265" i="3"/>
  <c r="E265" i="3"/>
  <c r="F265" i="3" s="1"/>
  <c r="I264" i="3"/>
  <c r="H264" i="3"/>
  <c r="E264" i="3"/>
  <c r="F264" i="3" s="1"/>
  <c r="I263" i="3"/>
  <c r="H263" i="3"/>
  <c r="E263" i="3"/>
  <c r="F263" i="3" s="1"/>
  <c r="H262" i="3"/>
  <c r="I262" i="3" s="1"/>
  <c r="E262" i="3"/>
  <c r="F262" i="3" s="1"/>
  <c r="H261" i="3"/>
  <c r="I261" i="3" s="1"/>
  <c r="E261" i="3"/>
  <c r="F261" i="3" s="1"/>
  <c r="J261" i="3" s="1"/>
  <c r="G261" i="3" s="1"/>
  <c r="I260" i="3"/>
  <c r="H260" i="3"/>
  <c r="E260" i="3"/>
  <c r="F260" i="3" s="1"/>
  <c r="I259" i="3"/>
  <c r="H259" i="3"/>
  <c r="F259" i="3"/>
  <c r="E259" i="3"/>
  <c r="H258" i="3"/>
  <c r="I258" i="3" s="1"/>
  <c r="E258" i="3"/>
  <c r="F258" i="3" s="1"/>
  <c r="H257" i="3"/>
  <c r="I257" i="3" s="1"/>
  <c r="E257" i="3"/>
  <c r="F257" i="3" s="1"/>
  <c r="J257" i="3" s="1"/>
  <c r="G257" i="3" s="1"/>
  <c r="H256" i="3"/>
  <c r="I256" i="3" s="1"/>
  <c r="E256" i="3"/>
  <c r="F256" i="3" s="1"/>
  <c r="J256" i="3" s="1"/>
  <c r="G256" i="3" s="1"/>
  <c r="I255" i="3"/>
  <c r="H255" i="3"/>
  <c r="F255" i="3"/>
  <c r="E255" i="3"/>
  <c r="H254" i="3"/>
  <c r="I254" i="3" s="1"/>
  <c r="E254" i="3"/>
  <c r="F254" i="3" s="1"/>
  <c r="J254" i="3" s="1"/>
  <c r="G254" i="3" s="1"/>
  <c r="H253" i="3"/>
  <c r="I253" i="3" s="1"/>
  <c r="E253" i="3"/>
  <c r="F253" i="3" s="1"/>
  <c r="J253" i="3" s="1"/>
  <c r="G253" i="3" s="1"/>
  <c r="H252" i="3"/>
  <c r="I252" i="3" s="1"/>
  <c r="E252" i="3"/>
  <c r="F252" i="3" s="1"/>
  <c r="I251" i="3"/>
  <c r="H251" i="3"/>
  <c r="F251" i="3"/>
  <c r="E251" i="3"/>
  <c r="H250" i="3"/>
  <c r="I250" i="3" s="1"/>
  <c r="E250" i="3"/>
  <c r="F250" i="3" s="1"/>
  <c r="H249" i="3"/>
  <c r="I249" i="3" s="1"/>
  <c r="E249" i="3"/>
  <c r="F249" i="3" s="1"/>
  <c r="J249" i="3" s="1"/>
  <c r="G249" i="3" s="1"/>
  <c r="I248" i="3"/>
  <c r="H248" i="3"/>
  <c r="E248" i="3"/>
  <c r="F248" i="3" s="1"/>
  <c r="I247" i="3"/>
  <c r="H247" i="3"/>
  <c r="E247" i="3"/>
  <c r="F247" i="3" s="1"/>
  <c r="J247" i="3" s="1"/>
  <c r="G247" i="3" s="1"/>
  <c r="H246" i="3"/>
  <c r="I246" i="3" s="1"/>
  <c r="E246" i="3"/>
  <c r="F246" i="3" s="1"/>
  <c r="H245" i="3"/>
  <c r="I245" i="3" s="1"/>
  <c r="F245" i="3"/>
  <c r="E245" i="3"/>
  <c r="I244" i="3"/>
  <c r="H244" i="3"/>
  <c r="E244" i="3"/>
  <c r="F244" i="3" s="1"/>
  <c r="J244" i="3" s="1"/>
  <c r="G244" i="3" s="1"/>
  <c r="I243" i="3"/>
  <c r="H243" i="3"/>
  <c r="E243" i="3"/>
  <c r="F243" i="3" s="1"/>
  <c r="J243" i="3" s="1"/>
  <c r="G243" i="3" s="1"/>
  <c r="H242" i="3"/>
  <c r="I242" i="3" s="1"/>
  <c r="E242" i="3"/>
  <c r="F242" i="3" s="1"/>
  <c r="H241" i="3"/>
  <c r="I241" i="3" s="1"/>
  <c r="E241" i="3"/>
  <c r="F241" i="3" s="1"/>
  <c r="J241" i="3" s="1"/>
  <c r="I240" i="3"/>
  <c r="H240" i="3"/>
  <c r="E240" i="3"/>
  <c r="F240" i="3" s="1"/>
  <c r="I239" i="3"/>
  <c r="H239" i="3"/>
  <c r="E239" i="3"/>
  <c r="F239" i="3" s="1"/>
  <c r="H238" i="3"/>
  <c r="I238" i="3" s="1"/>
  <c r="E238" i="3"/>
  <c r="F238" i="3" s="1"/>
  <c r="H237" i="3"/>
  <c r="I237" i="3" s="1"/>
  <c r="E237" i="3"/>
  <c r="F237" i="3" s="1"/>
  <c r="J237" i="3" s="1"/>
  <c r="G237" i="3" s="1"/>
  <c r="H236" i="3"/>
  <c r="I236" i="3" s="1"/>
  <c r="E236" i="3"/>
  <c r="F236" i="3" s="1"/>
  <c r="I235" i="3"/>
  <c r="H235" i="3"/>
  <c r="E235" i="3"/>
  <c r="F235" i="3" s="1"/>
  <c r="H234" i="3"/>
  <c r="I234" i="3" s="1"/>
  <c r="E234" i="3"/>
  <c r="F234" i="3" s="1"/>
  <c r="J234" i="3" s="1"/>
  <c r="G234" i="3" s="1"/>
  <c r="H233" i="3"/>
  <c r="I233" i="3" s="1"/>
  <c r="E233" i="3"/>
  <c r="F233" i="3" s="1"/>
  <c r="J233" i="3" s="1"/>
  <c r="G233" i="3" s="1"/>
  <c r="H232" i="3"/>
  <c r="I232" i="3" s="1"/>
  <c r="E232" i="3"/>
  <c r="F232" i="3" s="1"/>
  <c r="I231" i="3"/>
  <c r="H231" i="3"/>
  <c r="E231" i="3"/>
  <c r="F231" i="3" s="1"/>
  <c r="H230" i="3"/>
  <c r="I230" i="3" s="1"/>
  <c r="E230" i="3"/>
  <c r="F230" i="3" s="1"/>
  <c r="H229" i="3"/>
  <c r="I229" i="3" s="1"/>
  <c r="E229" i="3"/>
  <c r="F229" i="3" s="1"/>
  <c r="J229" i="3" s="1"/>
  <c r="G229" i="3" s="1"/>
  <c r="I228" i="3"/>
  <c r="H228" i="3"/>
  <c r="E228" i="3"/>
  <c r="F228" i="3" s="1"/>
  <c r="I227" i="3"/>
  <c r="H227" i="3"/>
  <c r="E227" i="3"/>
  <c r="F227" i="3" s="1"/>
  <c r="H226" i="3"/>
  <c r="I226" i="3" s="1"/>
  <c r="E226" i="3"/>
  <c r="F226" i="3" s="1"/>
  <c r="H225" i="3"/>
  <c r="I225" i="3" s="1"/>
  <c r="F225" i="3"/>
  <c r="E225" i="3"/>
  <c r="H224" i="3"/>
  <c r="I224" i="3" s="1"/>
  <c r="E224" i="3"/>
  <c r="F224" i="3" s="1"/>
  <c r="I223" i="3"/>
  <c r="H223" i="3"/>
  <c r="E223" i="3"/>
  <c r="F223" i="3" s="1"/>
  <c r="H222" i="3"/>
  <c r="I222" i="3" s="1"/>
  <c r="E222" i="3"/>
  <c r="F222" i="3" s="1"/>
  <c r="H221" i="3"/>
  <c r="I221" i="3" s="1"/>
  <c r="E221" i="3"/>
  <c r="F221" i="3" s="1"/>
  <c r="J221" i="3" s="1"/>
  <c r="G221" i="3" s="1"/>
  <c r="I220" i="3"/>
  <c r="H220" i="3"/>
  <c r="E220" i="3"/>
  <c r="F220" i="3" s="1"/>
  <c r="I219" i="3"/>
  <c r="H219" i="3"/>
  <c r="E219" i="3"/>
  <c r="F219" i="3" s="1"/>
  <c r="J219" i="3" s="1"/>
  <c r="G219" i="3" s="1"/>
  <c r="H218" i="3"/>
  <c r="I218" i="3" s="1"/>
  <c r="E218" i="3"/>
  <c r="F218" i="3" s="1"/>
  <c r="H217" i="3"/>
  <c r="I217" i="3" s="1"/>
  <c r="F217" i="3"/>
  <c r="E217" i="3"/>
  <c r="I216" i="3"/>
  <c r="H216" i="3"/>
  <c r="E216" i="3"/>
  <c r="F216" i="3" s="1"/>
  <c r="J216" i="3" s="1"/>
  <c r="G216" i="3" s="1"/>
  <c r="I215" i="3"/>
  <c r="H215" i="3"/>
  <c r="E215" i="3"/>
  <c r="F215" i="3" s="1"/>
  <c r="J215" i="3" s="1"/>
  <c r="G215" i="3" s="1"/>
  <c r="H214" i="3"/>
  <c r="I214" i="3" s="1"/>
  <c r="E214" i="3"/>
  <c r="F214" i="3" s="1"/>
  <c r="H213" i="3"/>
  <c r="I213" i="3" s="1"/>
  <c r="E213" i="3"/>
  <c r="F213" i="3" s="1"/>
  <c r="J213" i="3" s="1"/>
  <c r="G213" i="3" s="1"/>
  <c r="I212" i="3"/>
  <c r="H212" i="3"/>
  <c r="E212" i="3"/>
  <c r="F212" i="3" s="1"/>
  <c r="I211" i="3"/>
  <c r="H211" i="3"/>
  <c r="E211" i="3"/>
  <c r="F211" i="3" s="1"/>
  <c r="H210" i="3"/>
  <c r="I210" i="3" s="1"/>
  <c r="E210" i="3"/>
  <c r="F210" i="3" s="1"/>
  <c r="H209" i="3"/>
  <c r="I209" i="3" s="1"/>
  <c r="E209" i="3"/>
  <c r="F209" i="3" s="1"/>
  <c r="J209" i="3" s="1"/>
  <c r="G209" i="3" s="1"/>
  <c r="I208" i="3"/>
  <c r="H208" i="3"/>
  <c r="E208" i="3"/>
  <c r="F208" i="3" s="1"/>
  <c r="I207" i="3"/>
  <c r="H207" i="3"/>
  <c r="E207" i="3"/>
  <c r="F207" i="3" s="1"/>
  <c r="H206" i="3"/>
  <c r="I206" i="3" s="1"/>
  <c r="E206" i="3"/>
  <c r="F206" i="3" s="1"/>
  <c r="H205" i="3"/>
  <c r="I205" i="3" s="1"/>
  <c r="F205" i="3"/>
  <c r="E205" i="3"/>
  <c r="H204" i="3"/>
  <c r="I204" i="3" s="1"/>
  <c r="E204" i="3"/>
  <c r="F204" i="3" s="1"/>
  <c r="I203" i="3"/>
  <c r="H203" i="3"/>
  <c r="E203" i="3"/>
  <c r="F203" i="3" s="1"/>
  <c r="H202" i="3"/>
  <c r="I202" i="3" s="1"/>
  <c r="E202" i="3"/>
  <c r="F202" i="3" s="1"/>
  <c r="H201" i="3"/>
  <c r="I201" i="3" s="1"/>
  <c r="E201" i="3"/>
  <c r="F201" i="3" s="1"/>
  <c r="J201" i="3" s="1"/>
  <c r="G201" i="3" s="1"/>
  <c r="H200" i="3"/>
  <c r="I200" i="3" s="1"/>
  <c r="F200" i="3"/>
  <c r="E200" i="3"/>
  <c r="I199" i="3"/>
  <c r="H199" i="3"/>
  <c r="E199" i="3"/>
  <c r="F199" i="3" s="1"/>
  <c r="J199" i="3" s="1"/>
  <c r="G199" i="3" s="1"/>
  <c r="H198" i="3"/>
  <c r="I198" i="3" s="1"/>
  <c r="E198" i="3"/>
  <c r="F198" i="3" s="1"/>
  <c r="H197" i="3"/>
  <c r="I197" i="3" s="1"/>
  <c r="F197" i="3"/>
  <c r="E197" i="3"/>
  <c r="H196" i="3"/>
  <c r="I196" i="3" s="1"/>
  <c r="E196" i="3"/>
  <c r="F196" i="3" s="1"/>
  <c r="J195" i="3"/>
  <c r="G195" i="3" s="1"/>
  <c r="I195" i="3"/>
  <c r="H195" i="3"/>
  <c r="E195" i="3"/>
  <c r="F195" i="3" s="1"/>
  <c r="H194" i="3"/>
  <c r="I194" i="3" s="1"/>
  <c r="E194" i="3"/>
  <c r="F194" i="3" s="1"/>
  <c r="H193" i="3"/>
  <c r="I193" i="3" s="1"/>
  <c r="F193" i="3"/>
  <c r="J193" i="3" s="1"/>
  <c r="G193" i="3" s="1"/>
  <c r="E193" i="3"/>
  <c r="H192" i="3"/>
  <c r="I192" i="3" s="1"/>
  <c r="F192" i="3"/>
  <c r="E192" i="3"/>
  <c r="I191" i="3"/>
  <c r="H191" i="3"/>
  <c r="E191" i="3"/>
  <c r="F191" i="3" s="1"/>
  <c r="J191" i="3" s="1"/>
  <c r="G191" i="3" s="1"/>
  <c r="H190" i="3"/>
  <c r="I190" i="3" s="1"/>
  <c r="E190" i="3"/>
  <c r="F190" i="3" s="1"/>
  <c r="H189" i="3"/>
  <c r="I189" i="3" s="1"/>
  <c r="E189" i="3"/>
  <c r="F189" i="3" s="1"/>
  <c r="J189" i="3" s="1"/>
  <c r="G189" i="3" s="1"/>
  <c r="H188" i="3"/>
  <c r="I188" i="3" s="1"/>
  <c r="F188" i="3"/>
  <c r="J188" i="3" s="1"/>
  <c r="G188" i="3" s="1"/>
  <c r="E188" i="3"/>
  <c r="I187" i="3"/>
  <c r="H187" i="3"/>
  <c r="E187" i="3"/>
  <c r="F187" i="3" s="1"/>
  <c r="H186" i="3"/>
  <c r="I186" i="3" s="1"/>
  <c r="E186" i="3"/>
  <c r="F186" i="3" s="1"/>
  <c r="J186" i="3" s="1"/>
  <c r="G186" i="3" s="1"/>
  <c r="H185" i="3"/>
  <c r="I185" i="3" s="1"/>
  <c r="E185" i="3"/>
  <c r="F185" i="3" s="1"/>
  <c r="J185" i="3" s="1"/>
  <c r="G185" i="3" s="1"/>
  <c r="I184" i="3"/>
  <c r="H184" i="3"/>
  <c r="F184" i="3"/>
  <c r="E184" i="3"/>
  <c r="J183" i="3"/>
  <c r="G183" i="3" s="1"/>
  <c r="I183" i="3"/>
  <c r="H183" i="3"/>
  <c r="E183" i="3"/>
  <c r="F183" i="3" s="1"/>
  <c r="H182" i="3"/>
  <c r="I182" i="3" s="1"/>
  <c r="F182" i="3"/>
  <c r="E182" i="3"/>
  <c r="H181" i="3"/>
  <c r="I181" i="3" s="1"/>
  <c r="E181" i="3"/>
  <c r="F181" i="3" s="1"/>
  <c r="J181" i="3" s="1"/>
  <c r="H180" i="3"/>
  <c r="I180" i="3" s="1"/>
  <c r="F180" i="3"/>
  <c r="E180" i="3"/>
  <c r="I179" i="3"/>
  <c r="H179" i="3"/>
  <c r="F179" i="3"/>
  <c r="E179" i="3"/>
  <c r="H178" i="3"/>
  <c r="I178" i="3" s="1"/>
  <c r="F178" i="3"/>
  <c r="E178" i="3"/>
  <c r="H177" i="3"/>
  <c r="I177" i="3" s="1"/>
  <c r="F177" i="3"/>
  <c r="J177" i="3" s="1"/>
  <c r="G177" i="3" s="1"/>
  <c r="E177" i="3"/>
  <c r="H176" i="3"/>
  <c r="I176" i="3" s="1"/>
  <c r="F176" i="3"/>
  <c r="E176" i="3"/>
  <c r="I175" i="3"/>
  <c r="H175" i="3"/>
  <c r="F175" i="3"/>
  <c r="E175" i="3"/>
  <c r="H174" i="3"/>
  <c r="I174" i="3" s="1"/>
  <c r="F174" i="3"/>
  <c r="E174" i="3"/>
  <c r="H173" i="3"/>
  <c r="I173" i="3" s="1"/>
  <c r="E173" i="3"/>
  <c r="F173" i="3" s="1"/>
  <c r="J173" i="3" s="1"/>
  <c r="G173" i="3" s="1"/>
  <c r="H172" i="3"/>
  <c r="I172" i="3" s="1"/>
  <c r="F172" i="3"/>
  <c r="E172" i="3"/>
  <c r="I171" i="3"/>
  <c r="H171" i="3"/>
  <c r="F171" i="3"/>
  <c r="E171" i="3"/>
  <c r="H170" i="3"/>
  <c r="I170" i="3" s="1"/>
  <c r="F170" i="3"/>
  <c r="E170" i="3"/>
  <c r="H169" i="3"/>
  <c r="I169" i="3" s="1"/>
  <c r="E169" i="3"/>
  <c r="F169" i="3" s="1"/>
  <c r="J169" i="3" s="1"/>
  <c r="G169" i="3" s="1"/>
  <c r="H168" i="3"/>
  <c r="I168" i="3" s="1"/>
  <c r="F168" i="3"/>
  <c r="E168" i="3"/>
  <c r="I167" i="3"/>
  <c r="H167" i="3"/>
  <c r="F167" i="3"/>
  <c r="E167" i="3"/>
  <c r="H166" i="3"/>
  <c r="I166" i="3" s="1"/>
  <c r="F166" i="3"/>
  <c r="E166" i="3"/>
  <c r="H165" i="3"/>
  <c r="I165" i="3" s="1"/>
  <c r="E165" i="3"/>
  <c r="F165" i="3" s="1"/>
  <c r="J165" i="3" s="1"/>
  <c r="G165" i="3" s="1"/>
  <c r="H164" i="3"/>
  <c r="I164" i="3" s="1"/>
  <c r="F164" i="3"/>
  <c r="J164" i="3" s="1"/>
  <c r="G164" i="3" s="1"/>
  <c r="E164" i="3"/>
  <c r="I163" i="3"/>
  <c r="H163" i="3"/>
  <c r="E163" i="3"/>
  <c r="F163" i="3" s="1"/>
  <c r="H162" i="3"/>
  <c r="I162" i="3" s="1"/>
  <c r="F162" i="3"/>
  <c r="J162" i="3" s="1"/>
  <c r="G162" i="3" s="1"/>
  <c r="E162" i="3"/>
  <c r="H161" i="3"/>
  <c r="I161" i="3" s="1"/>
  <c r="F161" i="3"/>
  <c r="E161" i="3"/>
  <c r="H160" i="3"/>
  <c r="I160" i="3" s="1"/>
  <c r="F160" i="3"/>
  <c r="E160" i="3"/>
  <c r="J159" i="3"/>
  <c r="G159" i="3" s="1"/>
  <c r="I159" i="3"/>
  <c r="H159" i="3"/>
  <c r="E159" i="3"/>
  <c r="F159" i="3" s="1"/>
  <c r="H158" i="3"/>
  <c r="I158" i="3" s="1"/>
  <c r="F158" i="3"/>
  <c r="E158" i="3"/>
  <c r="H157" i="3"/>
  <c r="I157" i="3" s="1"/>
  <c r="E157" i="3"/>
  <c r="F157" i="3" s="1"/>
  <c r="J157" i="3" s="1"/>
  <c r="G157" i="3" s="1"/>
  <c r="H156" i="3"/>
  <c r="I156" i="3" s="1"/>
  <c r="E156" i="3"/>
  <c r="F156" i="3" s="1"/>
  <c r="I155" i="3"/>
  <c r="H155" i="3"/>
  <c r="E155" i="3"/>
  <c r="F155" i="3" s="1"/>
  <c r="J155" i="3" s="1"/>
  <c r="G155" i="3" s="1"/>
  <c r="H154" i="3"/>
  <c r="I154" i="3" s="1"/>
  <c r="F154" i="3"/>
  <c r="E154" i="3"/>
  <c r="H153" i="3"/>
  <c r="I153" i="3" s="1"/>
  <c r="E153" i="3"/>
  <c r="F153" i="3" s="1"/>
  <c r="J153" i="3" s="1"/>
  <c r="G153" i="3" s="1"/>
  <c r="H152" i="3"/>
  <c r="I152" i="3" s="1"/>
  <c r="F152" i="3"/>
  <c r="E152" i="3"/>
  <c r="I151" i="3"/>
  <c r="H151" i="3"/>
  <c r="F151" i="3"/>
  <c r="E151" i="3"/>
  <c r="H150" i="3"/>
  <c r="I150" i="3" s="1"/>
  <c r="F150" i="3"/>
  <c r="E150" i="3"/>
  <c r="H149" i="3"/>
  <c r="I149" i="3" s="1"/>
  <c r="E149" i="3"/>
  <c r="F149" i="3" s="1"/>
  <c r="J149" i="3" s="1"/>
  <c r="G149" i="3" s="1"/>
  <c r="H148" i="3"/>
  <c r="I148" i="3" s="1"/>
  <c r="F148" i="3"/>
  <c r="J148" i="3" s="1"/>
  <c r="G148" i="3" s="1"/>
  <c r="E148" i="3"/>
  <c r="I147" i="3"/>
  <c r="H147" i="3"/>
  <c r="F147" i="3"/>
  <c r="E147" i="3"/>
  <c r="H146" i="3"/>
  <c r="I146" i="3" s="1"/>
  <c r="F146" i="3"/>
  <c r="E146" i="3"/>
  <c r="H145" i="3"/>
  <c r="I145" i="3" s="1"/>
  <c r="F145" i="3"/>
  <c r="E145" i="3"/>
  <c r="H144" i="3"/>
  <c r="I144" i="3" s="1"/>
  <c r="F144" i="3"/>
  <c r="E144" i="3"/>
  <c r="I143" i="3"/>
  <c r="H143" i="3"/>
  <c r="F143" i="3"/>
  <c r="E143" i="3"/>
  <c r="H142" i="3"/>
  <c r="I142" i="3" s="1"/>
  <c r="E142" i="3"/>
  <c r="F142" i="3" s="1"/>
  <c r="J142" i="3" s="1"/>
  <c r="G142" i="3" s="1"/>
  <c r="H141" i="3"/>
  <c r="I141" i="3" s="1"/>
  <c r="E141" i="3"/>
  <c r="F141" i="3" s="1"/>
  <c r="J141" i="3" s="1"/>
  <c r="G141" i="3" s="1"/>
  <c r="I140" i="3"/>
  <c r="H140" i="3"/>
  <c r="F140" i="3"/>
  <c r="E140" i="3"/>
  <c r="J139" i="3"/>
  <c r="G139" i="3" s="1"/>
  <c r="I139" i="3"/>
  <c r="H139" i="3"/>
  <c r="F139" i="3"/>
  <c r="E139" i="3"/>
  <c r="H138" i="3"/>
  <c r="I138" i="3" s="1"/>
  <c r="E138" i="3"/>
  <c r="F138" i="3" s="1"/>
  <c r="H137" i="3"/>
  <c r="I137" i="3" s="1"/>
  <c r="F137" i="3"/>
  <c r="E137" i="3"/>
  <c r="H136" i="3"/>
  <c r="I136" i="3" s="1"/>
  <c r="F136" i="3"/>
  <c r="E136" i="3"/>
  <c r="I135" i="3"/>
  <c r="H135" i="3"/>
  <c r="E135" i="3"/>
  <c r="F135" i="3" s="1"/>
  <c r="H134" i="3"/>
  <c r="I134" i="3" s="1"/>
  <c r="E134" i="3"/>
  <c r="F134" i="3" s="1"/>
  <c r="H133" i="3"/>
  <c r="I133" i="3" s="1"/>
  <c r="E133" i="3"/>
  <c r="F133" i="3" s="1"/>
  <c r="J133" i="3" s="1"/>
  <c r="G133" i="3" s="1"/>
  <c r="I132" i="3"/>
  <c r="H132" i="3"/>
  <c r="E132" i="3"/>
  <c r="F132" i="3" s="1"/>
  <c r="I131" i="3"/>
  <c r="H131" i="3"/>
  <c r="E131" i="3"/>
  <c r="F131" i="3" s="1"/>
  <c r="J131" i="3" s="1"/>
  <c r="G131" i="3" s="1"/>
  <c r="H130" i="3"/>
  <c r="I130" i="3" s="1"/>
  <c r="E130" i="3"/>
  <c r="F130" i="3" s="1"/>
  <c r="H129" i="3"/>
  <c r="I129" i="3" s="1"/>
  <c r="F129" i="3"/>
  <c r="E129" i="3"/>
  <c r="I128" i="3"/>
  <c r="H128" i="3"/>
  <c r="E128" i="3"/>
  <c r="F128" i="3" s="1"/>
  <c r="J127" i="3"/>
  <c r="G127" i="3" s="1"/>
  <c r="I127" i="3"/>
  <c r="H127" i="3"/>
  <c r="E127" i="3"/>
  <c r="F127" i="3" s="1"/>
  <c r="H126" i="3"/>
  <c r="I126" i="3" s="1"/>
  <c r="E126" i="3"/>
  <c r="F126" i="3" s="1"/>
  <c r="H125" i="3"/>
  <c r="I125" i="3" s="1"/>
  <c r="F125" i="3"/>
  <c r="E125" i="3"/>
  <c r="I124" i="3"/>
  <c r="H124" i="3"/>
  <c r="E124" i="3"/>
  <c r="F124" i="3" s="1"/>
  <c r="I123" i="3"/>
  <c r="H123" i="3"/>
  <c r="E123" i="3"/>
  <c r="F123" i="3" s="1"/>
  <c r="H122" i="3"/>
  <c r="I122" i="3" s="1"/>
  <c r="E122" i="3"/>
  <c r="F122" i="3" s="1"/>
  <c r="H121" i="3"/>
  <c r="I121" i="3" s="1"/>
  <c r="E121" i="3"/>
  <c r="F121" i="3" s="1"/>
  <c r="J121" i="3" s="1"/>
  <c r="G121" i="3" s="1"/>
  <c r="I120" i="3"/>
  <c r="H120" i="3"/>
  <c r="F120" i="3"/>
  <c r="E120" i="3"/>
  <c r="I119" i="3"/>
  <c r="H119" i="3"/>
  <c r="G119" i="3"/>
  <c r="E119" i="3"/>
  <c r="F119" i="3" s="1"/>
  <c r="J119" i="3" s="1"/>
  <c r="H118" i="3"/>
  <c r="I118" i="3" s="1"/>
  <c r="E118" i="3"/>
  <c r="F118" i="3" s="1"/>
  <c r="H117" i="3"/>
  <c r="I117" i="3" s="1"/>
  <c r="E117" i="3"/>
  <c r="F117" i="3" s="1"/>
  <c r="J117" i="3" s="1"/>
  <c r="G117" i="3" s="1"/>
  <c r="I116" i="3"/>
  <c r="H116" i="3"/>
  <c r="F116" i="3"/>
  <c r="E116" i="3"/>
  <c r="I115" i="3"/>
  <c r="H115" i="3"/>
  <c r="E115" i="3"/>
  <c r="F115" i="3" s="1"/>
  <c r="J115" i="3" s="1"/>
  <c r="G115" i="3" s="1"/>
  <c r="H114" i="3"/>
  <c r="I114" i="3" s="1"/>
  <c r="E114" i="3"/>
  <c r="F114" i="3" s="1"/>
  <c r="H113" i="3"/>
  <c r="I113" i="3" s="1"/>
  <c r="E113" i="3"/>
  <c r="F113" i="3" s="1"/>
  <c r="J113" i="3" s="1"/>
  <c r="G113" i="3" s="1"/>
  <c r="I112" i="3"/>
  <c r="H112" i="3"/>
  <c r="E112" i="3"/>
  <c r="F112" i="3" s="1"/>
  <c r="I111" i="3"/>
  <c r="H111" i="3"/>
  <c r="E111" i="3"/>
  <c r="F111" i="3" s="1"/>
  <c r="J111" i="3" s="1"/>
  <c r="G111" i="3" s="1"/>
  <c r="H110" i="3"/>
  <c r="I110" i="3" s="1"/>
  <c r="E110" i="3"/>
  <c r="F110" i="3" s="1"/>
  <c r="H109" i="3"/>
  <c r="I109" i="3" s="1"/>
  <c r="F109" i="3"/>
  <c r="E109" i="3"/>
  <c r="I108" i="3"/>
  <c r="H108" i="3"/>
  <c r="F108" i="3"/>
  <c r="E108" i="3"/>
  <c r="I107" i="3"/>
  <c r="H107" i="3"/>
  <c r="E107" i="3"/>
  <c r="F107" i="3" s="1"/>
  <c r="H106" i="3"/>
  <c r="I106" i="3" s="1"/>
  <c r="E106" i="3"/>
  <c r="F106" i="3" s="1"/>
  <c r="J106" i="3" s="1"/>
  <c r="G106" i="3" s="1"/>
  <c r="H105" i="3"/>
  <c r="I105" i="3" s="1"/>
  <c r="E105" i="3"/>
  <c r="F105" i="3" s="1"/>
  <c r="J105" i="3" s="1"/>
  <c r="G105" i="3" s="1"/>
  <c r="I104" i="3"/>
  <c r="H104" i="3"/>
  <c r="F104" i="3"/>
  <c r="E104" i="3"/>
  <c r="J103" i="3"/>
  <c r="G103" i="3" s="1"/>
  <c r="I103" i="3"/>
  <c r="H103" i="3"/>
  <c r="E103" i="3"/>
  <c r="F103" i="3" s="1"/>
  <c r="H102" i="3"/>
  <c r="I102" i="3" s="1"/>
  <c r="E102" i="3"/>
  <c r="F102" i="3" s="1"/>
  <c r="H101" i="3"/>
  <c r="I101" i="3" s="1"/>
  <c r="F101" i="3"/>
  <c r="E101" i="3"/>
  <c r="I100" i="3"/>
  <c r="H100" i="3"/>
  <c r="F100" i="3"/>
  <c r="E100" i="3"/>
  <c r="I99" i="3"/>
  <c r="H99" i="3"/>
  <c r="E99" i="3"/>
  <c r="F99" i="3" s="1"/>
  <c r="H98" i="3"/>
  <c r="I98" i="3" s="1"/>
  <c r="E98" i="3"/>
  <c r="F98" i="3" s="1"/>
  <c r="H97" i="3"/>
  <c r="I97" i="3" s="1"/>
  <c r="F97" i="3"/>
  <c r="J97" i="3" s="1"/>
  <c r="G97" i="3" s="1"/>
  <c r="E97" i="3"/>
  <c r="I96" i="3"/>
  <c r="H96" i="3"/>
  <c r="F96" i="3"/>
  <c r="E96" i="3"/>
  <c r="I95" i="3"/>
  <c r="H95" i="3"/>
  <c r="F95" i="3"/>
  <c r="E95" i="3"/>
  <c r="H94" i="3"/>
  <c r="I94" i="3" s="1"/>
  <c r="E94" i="3"/>
  <c r="F94" i="3" s="1"/>
  <c r="H93" i="3"/>
  <c r="I93" i="3" s="1"/>
  <c r="F93" i="3"/>
  <c r="J93" i="3" s="1"/>
  <c r="G93" i="3" s="1"/>
  <c r="E93" i="3"/>
  <c r="I92" i="3"/>
  <c r="H92" i="3"/>
  <c r="F92" i="3"/>
  <c r="E92" i="3"/>
  <c r="I91" i="3"/>
  <c r="H91" i="3"/>
  <c r="F91" i="3"/>
  <c r="E91" i="3"/>
  <c r="H90" i="3"/>
  <c r="I90" i="3" s="1"/>
  <c r="E90" i="3"/>
  <c r="F90" i="3" s="1"/>
  <c r="H89" i="3"/>
  <c r="I89" i="3" s="1"/>
  <c r="F89" i="3"/>
  <c r="J89" i="3" s="1"/>
  <c r="G89" i="3" s="1"/>
  <c r="E89" i="3"/>
  <c r="I88" i="3"/>
  <c r="H88" i="3"/>
  <c r="F88" i="3"/>
  <c r="E88" i="3"/>
  <c r="I87" i="3"/>
  <c r="H87" i="3"/>
  <c r="F87" i="3"/>
  <c r="E87" i="3"/>
  <c r="H86" i="3"/>
  <c r="I86" i="3" s="1"/>
  <c r="E86" i="3"/>
  <c r="F86" i="3" s="1"/>
  <c r="H85" i="3"/>
  <c r="I85" i="3" s="1"/>
  <c r="F85" i="3"/>
  <c r="J85" i="3" s="1"/>
  <c r="G85" i="3" s="1"/>
  <c r="E85" i="3"/>
  <c r="I84" i="3"/>
  <c r="H84" i="3"/>
  <c r="F84" i="3"/>
  <c r="E84" i="3"/>
  <c r="I83" i="3"/>
  <c r="H83" i="3"/>
  <c r="F83" i="3"/>
  <c r="E83" i="3"/>
  <c r="H82" i="3"/>
  <c r="I82" i="3" s="1"/>
  <c r="E82" i="3"/>
  <c r="F82" i="3" s="1"/>
  <c r="H81" i="3"/>
  <c r="I81" i="3" s="1"/>
  <c r="F81" i="3"/>
  <c r="J81" i="3" s="1"/>
  <c r="G81" i="3" s="1"/>
  <c r="E81" i="3"/>
  <c r="I80" i="3"/>
  <c r="H80" i="3"/>
  <c r="F80" i="3"/>
  <c r="E80" i="3"/>
  <c r="I79" i="3"/>
  <c r="H79" i="3"/>
  <c r="F79" i="3"/>
  <c r="E79" i="3"/>
  <c r="H78" i="3"/>
  <c r="I78" i="3" s="1"/>
  <c r="E78" i="3"/>
  <c r="F78" i="3" s="1"/>
  <c r="H77" i="3"/>
  <c r="I77" i="3" s="1"/>
  <c r="F77" i="3"/>
  <c r="J77" i="3" s="1"/>
  <c r="G77" i="3" s="1"/>
  <c r="E77" i="3"/>
  <c r="I76" i="3"/>
  <c r="H76" i="3"/>
  <c r="F76" i="3"/>
  <c r="E76" i="3"/>
  <c r="I75" i="3"/>
  <c r="H75" i="3"/>
  <c r="F75" i="3"/>
  <c r="E75" i="3"/>
  <c r="H74" i="3"/>
  <c r="I74" i="3" s="1"/>
  <c r="E74" i="3"/>
  <c r="F74" i="3" s="1"/>
  <c r="H73" i="3"/>
  <c r="I73" i="3" s="1"/>
  <c r="F73" i="3"/>
  <c r="J73" i="3" s="1"/>
  <c r="G73" i="3" s="1"/>
  <c r="E73" i="3"/>
  <c r="I72" i="3"/>
  <c r="H72" i="3"/>
  <c r="F72" i="3"/>
  <c r="E72" i="3"/>
  <c r="I71" i="3"/>
  <c r="H71" i="3"/>
  <c r="F71" i="3"/>
  <c r="E71" i="3"/>
  <c r="H70" i="3"/>
  <c r="I70" i="3" s="1"/>
  <c r="E70" i="3"/>
  <c r="F70" i="3" s="1"/>
  <c r="H69" i="3"/>
  <c r="I69" i="3" s="1"/>
  <c r="F69" i="3"/>
  <c r="J69" i="3" s="1"/>
  <c r="G69" i="3" s="1"/>
  <c r="E69" i="3"/>
  <c r="I68" i="3"/>
  <c r="H68" i="3"/>
  <c r="F68" i="3"/>
  <c r="E68" i="3"/>
  <c r="I67" i="3"/>
  <c r="H67" i="3"/>
  <c r="F67" i="3"/>
  <c r="E67" i="3"/>
  <c r="H66" i="3"/>
  <c r="I66" i="3" s="1"/>
  <c r="E66" i="3"/>
  <c r="F66" i="3" s="1"/>
  <c r="H65" i="3"/>
  <c r="I65" i="3" s="1"/>
  <c r="F65" i="3"/>
  <c r="J65" i="3" s="1"/>
  <c r="G65" i="3" s="1"/>
  <c r="E65" i="3"/>
  <c r="I64" i="3"/>
  <c r="H64" i="3"/>
  <c r="F64" i="3"/>
  <c r="E64" i="3"/>
  <c r="I63" i="3"/>
  <c r="H63" i="3"/>
  <c r="F63" i="3"/>
  <c r="E63" i="3"/>
  <c r="H62" i="3"/>
  <c r="I62" i="3" s="1"/>
  <c r="E62" i="3"/>
  <c r="F62" i="3" s="1"/>
  <c r="H61" i="3"/>
  <c r="I61" i="3" s="1"/>
  <c r="F61" i="3"/>
  <c r="J61" i="3" s="1"/>
  <c r="G61" i="3" s="1"/>
  <c r="E61" i="3"/>
  <c r="I60" i="3"/>
  <c r="H60" i="3"/>
  <c r="F60" i="3"/>
  <c r="E60" i="3"/>
  <c r="I59" i="3"/>
  <c r="H59" i="3"/>
  <c r="F59" i="3"/>
  <c r="E59" i="3"/>
  <c r="H58" i="3"/>
  <c r="I58" i="3" s="1"/>
  <c r="E58" i="3"/>
  <c r="F58" i="3" s="1"/>
  <c r="H57" i="3"/>
  <c r="I57" i="3" s="1"/>
  <c r="F57" i="3"/>
  <c r="J57" i="3" s="1"/>
  <c r="G57" i="3" s="1"/>
  <c r="E57" i="3"/>
  <c r="I56" i="3"/>
  <c r="H56" i="3"/>
  <c r="E56" i="3"/>
  <c r="F56" i="3" s="1"/>
  <c r="I55" i="3"/>
  <c r="H55" i="3"/>
  <c r="G55" i="3"/>
  <c r="E55" i="3"/>
  <c r="F55" i="3" s="1"/>
  <c r="J55" i="3" s="1"/>
  <c r="H54" i="3"/>
  <c r="I54" i="3" s="1"/>
  <c r="E54" i="3"/>
  <c r="F54" i="3" s="1"/>
  <c r="H53" i="3"/>
  <c r="I53" i="3" s="1"/>
  <c r="E53" i="3"/>
  <c r="F53" i="3" s="1"/>
  <c r="J53" i="3" s="1"/>
  <c r="G53" i="3" s="1"/>
  <c r="I52" i="3"/>
  <c r="H52" i="3"/>
  <c r="F52" i="3"/>
  <c r="E52" i="3"/>
  <c r="I51" i="3"/>
  <c r="H51" i="3"/>
  <c r="E51" i="3"/>
  <c r="F51" i="3" s="1"/>
  <c r="J51" i="3" s="1"/>
  <c r="G51" i="3" s="1"/>
  <c r="H50" i="3"/>
  <c r="I50" i="3" s="1"/>
  <c r="E50" i="3"/>
  <c r="F50" i="3" s="1"/>
  <c r="H49" i="3"/>
  <c r="I49" i="3" s="1"/>
  <c r="E49" i="3"/>
  <c r="F49" i="3" s="1"/>
  <c r="J49" i="3" s="1"/>
  <c r="G49" i="3" s="1"/>
  <c r="I48" i="3"/>
  <c r="H48" i="3"/>
  <c r="F48" i="3"/>
  <c r="E48" i="3"/>
  <c r="I47" i="3"/>
  <c r="H47" i="3"/>
  <c r="E47" i="3"/>
  <c r="F47" i="3" s="1"/>
  <c r="J47" i="3" s="1"/>
  <c r="G47" i="3" s="1"/>
  <c r="H46" i="3"/>
  <c r="I46" i="3" s="1"/>
  <c r="E46" i="3"/>
  <c r="F46" i="3" s="1"/>
  <c r="H45" i="3"/>
  <c r="I45" i="3" s="1"/>
  <c r="F45" i="3"/>
  <c r="E45" i="3"/>
  <c r="I44" i="3"/>
  <c r="H44" i="3"/>
  <c r="F44" i="3"/>
  <c r="J44" i="3" s="1"/>
  <c r="G44" i="3" s="1"/>
  <c r="E44" i="3"/>
  <c r="I43" i="3"/>
  <c r="H43" i="3"/>
  <c r="E43" i="3"/>
  <c r="F43" i="3" s="1"/>
  <c r="J43" i="3" s="1"/>
  <c r="G43" i="3" s="1"/>
  <c r="H42" i="3"/>
  <c r="I42" i="3" s="1"/>
  <c r="E42" i="3"/>
  <c r="F42" i="3" s="1"/>
  <c r="H41" i="3"/>
  <c r="I41" i="3" s="1"/>
  <c r="E41" i="3"/>
  <c r="F41" i="3" s="1"/>
  <c r="J41" i="3" s="1"/>
  <c r="G41" i="3" s="1"/>
  <c r="I40" i="3"/>
  <c r="H40" i="3"/>
  <c r="E40" i="3"/>
  <c r="F40" i="3" s="1"/>
  <c r="J39" i="3"/>
  <c r="G39" i="3" s="1"/>
  <c r="I39" i="3"/>
  <c r="H39" i="3"/>
  <c r="E39" i="3"/>
  <c r="F39" i="3" s="1"/>
  <c r="H38" i="3"/>
  <c r="I38" i="3" s="1"/>
  <c r="E38" i="3"/>
  <c r="F38" i="3" s="1"/>
  <c r="H37" i="3"/>
  <c r="I37" i="3" s="1"/>
  <c r="F37" i="3"/>
  <c r="E37" i="3"/>
  <c r="I36" i="3"/>
  <c r="H36" i="3"/>
  <c r="E36" i="3"/>
  <c r="F36" i="3" s="1"/>
  <c r="I35" i="3"/>
  <c r="H35" i="3"/>
  <c r="E35" i="3"/>
  <c r="F35" i="3" s="1"/>
  <c r="H34" i="3"/>
  <c r="I34" i="3" s="1"/>
  <c r="E34" i="3"/>
  <c r="F34" i="3" s="1"/>
  <c r="H33" i="3"/>
  <c r="I33" i="3" s="1"/>
  <c r="E33" i="3"/>
  <c r="F33" i="3" s="1"/>
  <c r="J33" i="3" s="1"/>
  <c r="G33" i="3" s="1"/>
  <c r="I32" i="3"/>
  <c r="H32" i="3"/>
  <c r="E32" i="3"/>
  <c r="F32" i="3" s="1"/>
  <c r="I31" i="3"/>
  <c r="H31" i="3"/>
  <c r="E31" i="3"/>
  <c r="F31" i="3" s="1"/>
  <c r="J31" i="3" s="1"/>
  <c r="G31" i="3" s="1"/>
  <c r="H30" i="3"/>
  <c r="I30" i="3" s="1"/>
  <c r="E30" i="3"/>
  <c r="F30" i="3" s="1"/>
  <c r="H29" i="3"/>
  <c r="I29" i="3" s="1"/>
  <c r="E29" i="3"/>
  <c r="F29" i="3" s="1"/>
  <c r="J29" i="3" s="1"/>
  <c r="G29" i="3" s="1"/>
  <c r="I28" i="3"/>
  <c r="H28" i="3"/>
  <c r="F28" i="3"/>
  <c r="E28" i="3"/>
  <c r="I27" i="3"/>
  <c r="H27" i="3"/>
  <c r="E27" i="3"/>
  <c r="F27" i="3" s="1"/>
  <c r="J27" i="3" s="1"/>
  <c r="G27" i="3" s="1"/>
  <c r="H26" i="3"/>
  <c r="I26" i="3" s="1"/>
  <c r="E26" i="3"/>
  <c r="F26" i="3" s="1"/>
  <c r="H25" i="3"/>
  <c r="I25" i="3" s="1"/>
  <c r="F25" i="3"/>
  <c r="E25" i="3"/>
  <c r="I24" i="3"/>
  <c r="H24" i="3"/>
  <c r="E24" i="3"/>
  <c r="F24" i="3" s="1"/>
  <c r="J24" i="3" s="1"/>
  <c r="G24" i="3" s="1"/>
  <c r="I23" i="3"/>
  <c r="H23" i="3"/>
  <c r="E23" i="3"/>
  <c r="F23" i="3" s="1"/>
  <c r="H22" i="3"/>
  <c r="I22" i="3" s="1"/>
  <c r="E22" i="3"/>
  <c r="F22" i="3" s="1"/>
  <c r="J22" i="3" s="1"/>
  <c r="G22" i="3" s="1"/>
  <c r="H21" i="3"/>
  <c r="I21" i="3" s="1"/>
  <c r="E21" i="3"/>
  <c r="F21" i="3" s="1"/>
  <c r="J21" i="3" s="1"/>
  <c r="G21" i="3" s="1"/>
  <c r="I20" i="3"/>
  <c r="H20" i="3"/>
  <c r="E20" i="3"/>
  <c r="F20" i="3" s="1"/>
  <c r="I19" i="3"/>
  <c r="H19" i="3"/>
  <c r="E19" i="3"/>
  <c r="F19" i="3" s="1"/>
  <c r="H18" i="3"/>
  <c r="I18" i="3" s="1"/>
  <c r="E18" i="3"/>
  <c r="F18" i="3" s="1"/>
  <c r="H17" i="3"/>
  <c r="I17" i="3" s="1"/>
  <c r="F17" i="3"/>
  <c r="J17" i="3" s="1"/>
  <c r="G17" i="3" s="1"/>
  <c r="E17" i="3"/>
  <c r="I16" i="3"/>
  <c r="H16" i="3"/>
  <c r="E16" i="3"/>
  <c r="F16" i="3" s="1"/>
  <c r="I15" i="3"/>
  <c r="H15" i="3"/>
  <c r="E15" i="3"/>
  <c r="F15" i="3" s="1"/>
  <c r="J15" i="3" s="1"/>
  <c r="G15" i="3" s="1"/>
  <c r="H14" i="3"/>
  <c r="I14" i="3" s="1"/>
  <c r="E14" i="3"/>
  <c r="F14" i="3" s="1"/>
  <c r="H13" i="3"/>
  <c r="I13" i="3" s="1"/>
  <c r="E13" i="3"/>
  <c r="F13" i="3" s="1"/>
  <c r="J13" i="3" s="1"/>
  <c r="G13" i="3" s="1"/>
  <c r="I12" i="3"/>
  <c r="H12" i="3"/>
  <c r="F12" i="3"/>
  <c r="E12" i="3"/>
  <c r="I11" i="3"/>
  <c r="H11" i="3"/>
  <c r="E11" i="3"/>
  <c r="F11" i="3" s="1"/>
  <c r="J11" i="3" s="1"/>
  <c r="G11" i="3" s="1"/>
  <c r="H10" i="3"/>
  <c r="I10" i="3" s="1"/>
  <c r="E10" i="3"/>
  <c r="F10" i="3" s="1"/>
  <c r="H9" i="3"/>
  <c r="I9" i="3" s="1"/>
  <c r="E9" i="3"/>
  <c r="F9" i="3" s="1"/>
  <c r="J9" i="3" s="1"/>
  <c r="G9" i="3" s="1"/>
  <c r="I8" i="3"/>
  <c r="H8" i="3"/>
  <c r="F8" i="3"/>
  <c r="E8" i="3"/>
  <c r="I7" i="3"/>
  <c r="H7" i="3"/>
  <c r="E7" i="3"/>
  <c r="F7" i="3" s="1"/>
  <c r="J7" i="3" s="1"/>
  <c r="G7" i="3" s="1"/>
  <c r="H6" i="3"/>
  <c r="I6" i="3" s="1"/>
  <c r="E6" i="3"/>
  <c r="F6" i="3" s="1"/>
  <c r="H5" i="3"/>
  <c r="I5" i="3" s="1"/>
  <c r="F5" i="3"/>
  <c r="E5" i="3"/>
  <c r="I4" i="3"/>
  <c r="H4" i="3"/>
  <c r="F4" i="3"/>
  <c r="J4" i="3" s="1"/>
  <c r="G4" i="3" s="1"/>
  <c r="E4" i="3"/>
  <c r="I3" i="3"/>
  <c r="H3" i="3"/>
  <c r="E3" i="3"/>
  <c r="F3" i="3" s="1"/>
  <c r="J3" i="3" s="1"/>
  <c r="G3" i="3" s="1"/>
  <c r="H2" i="3"/>
  <c r="I2" i="3" s="1"/>
  <c r="E2" i="3"/>
  <c r="F2" i="3" s="1"/>
  <c r="H1067" i="2"/>
  <c r="I1067" i="2" s="1"/>
  <c r="H1066" i="2"/>
  <c r="I1066" i="2" s="1"/>
  <c r="H1065" i="2"/>
  <c r="I1065" i="2" s="1"/>
  <c r="H1064" i="2"/>
  <c r="I1064" i="2" s="1"/>
  <c r="H1062" i="2"/>
  <c r="I1062" i="2" s="1"/>
  <c r="H1061" i="2"/>
  <c r="I1061" i="2" s="1"/>
  <c r="H1060" i="2"/>
  <c r="I1060" i="2" s="1"/>
  <c r="H1059" i="2"/>
  <c r="I1059" i="2" s="1"/>
  <c r="H1058" i="2"/>
  <c r="I1058" i="2" s="1"/>
  <c r="H1057" i="2"/>
  <c r="I1057" i="2" s="1"/>
  <c r="H1056" i="2"/>
  <c r="I1056" i="2" s="1"/>
  <c r="H1053" i="2"/>
  <c r="I1053" i="2" s="1"/>
  <c r="H1052" i="2"/>
  <c r="I1052" i="2" s="1"/>
  <c r="H1051" i="2"/>
  <c r="I1051" i="2" s="1"/>
  <c r="H1050" i="2"/>
  <c r="I1050" i="2" s="1"/>
  <c r="H1049" i="2"/>
  <c r="I1049" i="2" s="1"/>
  <c r="H1048" i="2"/>
  <c r="I1048" i="2" s="1"/>
  <c r="H1047" i="2"/>
  <c r="I1047" i="2" s="1"/>
  <c r="H1045" i="2"/>
  <c r="I1045" i="2" s="1"/>
  <c r="H1044" i="2"/>
  <c r="I1044" i="2" s="1"/>
  <c r="H1043" i="2"/>
  <c r="I1043" i="2" s="1"/>
  <c r="H1042" i="2"/>
  <c r="I1042" i="2" s="1"/>
  <c r="H1041" i="2"/>
  <c r="I1041" i="2" s="1"/>
  <c r="H1040" i="2"/>
  <c r="I1040" i="2" s="1"/>
  <c r="H1037" i="2"/>
  <c r="I1037" i="2" s="1"/>
  <c r="H1036" i="2"/>
  <c r="I1036" i="2" s="1"/>
  <c r="H1035" i="2"/>
  <c r="I1035" i="2" s="1"/>
  <c r="H1034" i="2"/>
  <c r="I1034" i="2" s="1"/>
  <c r="H1033" i="2"/>
  <c r="I1033" i="2" s="1"/>
  <c r="H1032" i="2"/>
  <c r="I1032" i="2" s="1"/>
  <c r="H1029" i="2"/>
  <c r="I1029" i="2" s="1"/>
  <c r="H1028" i="2"/>
  <c r="I1028" i="2" s="1"/>
  <c r="H1027" i="2"/>
  <c r="I1027" i="2" s="1"/>
  <c r="H1026" i="2"/>
  <c r="I1026" i="2" s="1"/>
  <c r="H1025" i="2"/>
  <c r="I1025" i="2" s="1"/>
  <c r="H1024" i="2"/>
  <c r="I1024" i="2" s="1"/>
  <c r="H1021" i="2"/>
  <c r="I1021" i="2" s="1"/>
  <c r="H1020" i="2"/>
  <c r="I1020" i="2" s="1"/>
  <c r="H1019" i="2"/>
  <c r="I1019" i="2" s="1"/>
  <c r="H1018" i="2"/>
  <c r="I1018" i="2" s="1"/>
  <c r="H1017" i="2"/>
  <c r="I1017" i="2" s="1"/>
  <c r="H1016" i="2"/>
  <c r="I1016" i="2" s="1"/>
  <c r="H1014" i="2"/>
  <c r="I1014" i="2" s="1"/>
  <c r="H1013" i="2"/>
  <c r="I1013" i="2" s="1"/>
  <c r="H1012" i="2"/>
  <c r="I1012" i="2" s="1"/>
  <c r="H1011" i="2"/>
  <c r="I1011" i="2" s="1"/>
  <c r="H1010" i="2"/>
  <c r="I1010" i="2" s="1"/>
  <c r="H1009" i="2"/>
  <c r="I1009" i="2" s="1"/>
  <c r="H1008" i="2"/>
  <c r="I1008" i="2" s="1"/>
  <c r="H1006" i="2"/>
  <c r="I1006" i="2" s="1"/>
  <c r="H1005" i="2"/>
  <c r="I1005" i="2" s="1"/>
  <c r="H1004" i="2"/>
  <c r="I1004" i="2" s="1"/>
  <c r="H1003" i="2"/>
  <c r="I1003" i="2" s="1"/>
  <c r="H1002" i="2"/>
  <c r="I1002" i="2" s="1"/>
  <c r="H1001" i="2"/>
  <c r="I1001" i="2" s="1"/>
  <c r="H1000" i="2"/>
  <c r="I1000" i="2" s="1"/>
  <c r="H997" i="2"/>
  <c r="I997" i="2" s="1"/>
  <c r="H996" i="2"/>
  <c r="I996" i="2" s="1"/>
  <c r="H995" i="2"/>
  <c r="I995" i="2" s="1"/>
  <c r="H994" i="2"/>
  <c r="I994" i="2" s="1"/>
  <c r="H993" i="2"/>
  <c r="I993" i="2" s="1"/>
  <c r="H992" i="2"/>
  <c r="I992" i="2" s="1"/>
  <c r="H989" i="2"/>
  <c r="I989" i="2" s="1"/>
  <c r="H988" i="2"/>
  <c r="I988" i="2" s="1"/>
  <c r="H987" i="2"/>
  <c r="I987" i="2" s="1"/>
  <c r="H986" i="2"/>
  <c r="I986" i="2" s="1"/>
  <c r="H985" i="2"/>
  <c r="I985" i="2" s="1"/>
  <c r="H984" i="2"/>
  <c r="I984" i="2" s="1"/>
  <c r="H981" i="2"/>
  <c r="I981" i="2" s="1"/>
  <c r="H980" i="2"/>
  <c r="I980" i="2" s="1"/>
  <c r="H979" i="2"/>
  <c r="I979" i="2" s="1"/>
  <c r="H978" i="2"/>
  <c r="I978" i="2" s="1"/>
  <c r="H977" i="2"/>
  <c r="I977" i="2" s="1"/>
  <c r="H976" i="2"/>
  <c r="I976" i="2" s="1"/>
  <c r="H973" i="2"/>
  <c r="I973" i="2" s="1"/>
  <c r="H972" i="2"/>
  <c r="I972" i="2" s="1"/>
  <c r="H971" i="2"/>
  <c r="I971" i="2" s="1"/>
  <c r="H970" i="2"/>
  <c r="I970" i="2" s="1"/>
  <c r="H969" i="2"/>
  <c r="I969" i="2" s="1"/>
  <c r="H968" i="2"/>
  <c r="I968" i="2" s="1"/>
  <c r="H967" i="2"/>
  <c r="I967" i="2" s="1"/>
  <c r="H965" i="2"/>
  <c r="I965" i="2" s="1"/>
  <c r="H964" i="2"/>
  <c r="I964" i="2" s="1"/>
  <c r="H963" i="2"/>
  <c r="I963" i="2" s="1"/>
  <c r="H962" i="2"/>
  <c r="I962" i="2" s="1"/>
  <c r="H961" i="2"/>
  <c r="I961" i="2" s="1"/>
  <c r="H960" i="2"/>
  <c r="I960" i="2" s="1"/>
  <c r="H957" i="2"/>
  <c r="I957" i="2" s="1"/>
  <c r="H956" i="2"/>
  <c r="I956" i="2" s="1"/>
  <c r="H955" i="2"/>
  <c r="I955" i="2" s="1"/>
  <c r="H954" i="2"/>
  <c r="I954" i="2" s="1"/>
  <c r="H953" i="2"/>
  <c r="I953" i="2" s="1"/>
  <c r="H952" i="2"/>
  <c r="I952" i="2" s="1"/>
  <c r="H949" i="2"/>
  <c r="I949" i="2" s="1"/>
  <c r="H948" i="2"/>
  <c r="I948" i="2" s="1"/>
  <c r="H947" i="2"/>
  <c r="I947" i="2" s="1"/>
  <c r="H946" i="2"/>
  <c r="I946" i="2" s="1"/>
  <c r="H945" i="2"/>
  <c r="I945" i="2" s="1"/>
  <c r="H944" i="2"/>
  <c r="I944" i="2" s="1"/>
  <c r="H941" i="2"/>
  <c r="I941" i="2" s="1"/>
  <c r="H940" i="2"/>
  <c r="I940" i="2" s="1"/>
  <c r="H939" i="2"/>
  <c r="I939" i="2" s="1"/>
  <c r="H938" i="2"/>
  <c r="I938" i="2" s="1"/>
  <c r="H937" i="2"/>
  <c r="I937" i="2" s="1"/>
  <c r="H936" i="2"/>
  <c r="I936" i="2" s="1"/>
  <c r="H933" i="2"/>
  <c r="I933" i="2" s="1"/>
  <c r="H932" i="2"/>
  <c r="I932" i="2" s="1"/>
  <c r="H931" i="2"/>
  <c r="I931" i="2" s="1"/>
  <c r="H930" i="2"/>
  <c r="I930" i="2" s="1"/>
  <c r="H929" i="2"/>
  <c r="I929" i="2" s="1"/>
  <c r="H928" i="2"/>
  <c r="I928" i="2" s="1"/>
  <c r="H925" i="2"/>
  <c r="I925" i="2" s="1"/>
  <c r="H924" i="2"/>
  <c r="I924" i="2" s="1"/>
  <c r="H923" i="2"/>
  <c r="I923" i="2" s="1"/>
  <c r="H922" i="2"/>
  <c r="I922" i="2" s="1"/>
  <c r="H921" i="2"/>
  <c r="I921" i="2" s="1"/>
  <c r="H920" i="2"/>
  <c r="I920" i="2" s="1"/>
  <c r="H918" i="2"/>
  <c r="I918" i="2" s="1"/>
  <c r="H917" i="2"/>
  <c r="I917" i="2" s="1"/>
  <c r="H916" i="2"/>
  <c r="I916" i="2" s="1"/>
  <c r="H915" i="2"/>
  <c r="I915" i="2" s="1"/>
  <c r="H914" i="2"/>
  <c r="I914" i="2" s="1"/>
  <c r="H913" i="2"/>
  <c r="I913" i="2" s="1"/>
  <c r="H912" i="2"/>
  <c r="I912" i="2" s="1"/>
  <c r="H909" i="2"/>
  <c r="I909" i="2" s="1"/>
  <c r="H908" i="2"/>
  <c r="I908" i="2" s="1"/>
  <c r="H907" i="2"/>
  <c r="I907" i="2" s="1"/>
  <c r="H906" i="2"/>
  <c r="I906" i="2" s="1"/>
  <c r="H905" i="2"/>
  <c r="I905" i="2" s="1"/>
  <c r="H904" i="2"/>
  <c r="I904" i="2" s="1"/>
  <c r="H901" i="2"/>
  <c r="I901" i="2" s="1"/>
  <c r="H900" i="2"/>
  <c r="I900" i="2" s="1"/>
  <c r="H899" i="2"/>
  <c r="I899" i="2" s="1"/>
  <c r="H898" i="2"/>
  <c r="I898" i="2" s="1"/>
  <c r="H897" i="2"/>
  <c r="I897" i="2" s="1"/>
  <c r="H896" i="2"/>
  <c r="I896" i="2" s="1"/>
  <c r="H895" i="2"/>
  <c r="I895" i="2" s="1"/>
  <c r="H893" i="2"/>
  <c r="I893" i="2" s="1"/>
  <c r="H892" i="2"/>
  <c r="I892" i="2" s="1"/>
  <c r="H891" i="2"/>
  <c r="I891" i="2" s="1"/>
  <c r="H890" i="2"/>
  <c r="I890" i="2" s="1"/>
  <c r="H889" i="2"/>
  <c r="I889" i="2" s="1"/>
  <c r="H888" i="2"/>
  <c r="I888" i="2" s="1"/>
  <c r="H885" i="2"/>
  <c r="I885" i="2" s="1"/>
  <c r="H884" i="2"/>
  <c r="I884" i="2" s="1"/>
  <c r="H883" i="2"/>
  <c r="I883" i="2" s="1"/>
  <c r="H882" i="2"/>
  <c r="I882" i="2" s="1"/>
  <c r="H881" i="2"/>
  <c r="I881" i="2" s="1"/>
  <c r="H880" i="2"/>
  <c r="I880" i="2" s="1"/>
  <c r="H877" i="2"/>
  <c r="I877" i="2" s="1"/>
  <c r="H876" i="2"/>
  <c r="I876" i="2" s="1"/>
  <c r="H875" i="2"/>
  <c r="I875" i="2" s="1"/>
  <c r="H874" i="2"/>
  <c r="I874" i="2" s="1"/>
  <c r="H873" i="2"/>
  <c r="I873" i="2" s="1"/>
  <c r="H872" i="2"/>
  <c r="I872" i="2" s="1"/>
  <c r="H869" i="2"/>
  <c r="I869" i="2" s="1"/>
  <c r="H868" i="2"/>
  <c r="I868" i="2" s="1"/>
  <c r="H867" i="2"/>
  <c r="I867" i="2" s="1"/>
  <c r="H866" i="2"/>
  <c r="I866" i="2" s="1"/>
  <c r="H865" i="2"/>
  <c r="I865" i="2" s="1"/>
  <c r="H864" i="2"/>
  <c r="I864" i="2" s="1"/>
  <c r="H861" i="2"/>
  <c r="I861" i="2" s="1"/>
  <c r="H860" i="2"/>
  <c r="I860" i="2" s="1"/>
  <c r="H859" i="2"/>
  <c r="I859" i="2" s="1"/>
  <c r="H858" i="2"/>
  <c r="I858" i="2" s="1"/>
  <c r="H857" i="2"/>
  <c r="I857" i="2" s="1"/>
  <c r="H856" i="2"/>
  <c r="I856" i="2" s="1"/>
  <c r="H853" i="2"/>
  <c r="I853" i="2" s="1"/>
  <c r="H852" i="2"/>
  <c r="I852" i="2" s="1"/>
  <c r="H851" i="2"/>
  <c r="I851" i="2" s="1"/>
  <c r="H850" i="2"/>
  <c r="I850" i="2" s="1"/>
  <c r="H849" i="2"/>
  <c r="I849" i="2" s="1"/>
  <c r="H848" i="2"/>
  <c r="I848" i="2" s="1"/>
  <c r="H845" i="2"/>
  <c r="I845" i="2" s="1"/>
  <c r="H844" i="2"/>
  <c r="I844" i="2" s="1"/>
  <c r="H843" i="2"/>
  <c r="I843" i="2" s="1"/>
  <c r="H842" i="2"/>
  <c r="I842" i="2" s="1"/>
  <c r="H841" i="2"/>
  <c r="I841" i="2" s="1"/>
  <c r="H840" i="2"/>
  <c r="I840" i="2" s="1"/>
  <c r="H837" i="2"/>
  <c r="I837" i="2" s="1"/>
  <c r="H836" i="2"/>
  <c r="I836" i="2" s="1"/>
  <c r="H835" i="2"/>
  <c r="I835" i="2" s="1"/>
  <c r="H834" i="2"/>
  <c r="I834" i="2" s="1"/>
  <c r="H833" i="2"/>
  <c r="I833" i="2" s="1"/>
  <c r="H832" i="2"/>
  <c r="I832" i="2" s="1"/>
  <c r="H831" i="2"/>
  <c r="I831" i="2" s="1"/>
  <c r="H829" i="2"/>
  <c r="I829" i="2" s="1"/>
  <c r="H828" i="2"/>
  <c r="I828" i="2" s="1"/>
  <c r="H827" i="2"/>
  <c r="I827" i="2" s="1"/>
  <c r="H826" i="2"/>
  <c r="I826" i="2" s="1"/>
  <c r="H825" i="2"/>
  <c r="I825" i="2" s="1"/>
  <c r="H824" i="2"/>
  <c r="I824" i="2" s="1"/>
  <c r="H822" i="2"/>
  <c r="I822" i="2" s="1"/>
  <c r="H821" i="2"/>
  <c r="I821" i="2" s="1"/>
  <c r="H820" i="2"/>
  <c r="I820" i="2" s="1"/>
  <c r="H819" i="2"/>
  <c r="I819" i="2" s="1"/>
  <c r="H818" i="2"/>
  <c r="I818" i="2" s="1"/>
  <c r="H817" i="2"/>
  <c r="I817" i="2" s="1"/>
  <c r="H816" i="2"/>
  <c r="I816" i="2" s="1"/>
  <c r="H814" i="2"/>
  <c r="I814" i="2" s="1"/>
  <c r="H813" i="2"/>
  <c r="I813" i="2" s="1"/>
  <c r="H812" i="2"/>
  <c r="I812" i="2" s="1"/>
  <c r="H811" i="2"/>
  <c r="I811" i="2" s="1"/>
  <c r="H810" i="2"/>
  <c r="I810" i="2" s="1"/>
  <c r="H809" i="2"/>
  <c r="I809" i="2" s="1"/>
  <c r="H808" i="2"/>
  <c r="I808" i="2" s="1"/>
  <c r="H805" i="2"/>
  <c r="I805" i="2" s="1"/>
  <c r="H804" i="2"/>
  <c r="I804" i="2" s="1"/>
  <c r="H803" i="2"/>
  <c r="I803" i="2" s="1"/>
  <c r="H802" i="2"/>
  <c r="I802" i="2" s="1"/>
  <c r="H801" i="2"/>
  <c r="I801" i="2" s="1"/>
  <c r="H800" i="2"/>
  <c r="I800" i="2" s="1"/>
  <c r="H797" i="2"/>
  <c r="I797" i="2" s="1"/>
  <c r="H796" i="2"/>
  <c r="I796" i="2" s="1"/>
  <c r="H795" i="2"/>
  <c r="I795" i="2" s="1"/>
  <c r="H794" i="2"/>
  <c r="I794" i="2" s="1"/>
  <c r="H793" i="2"/>
  <c r="I793" i="2" s="1"/>
  <c r="H792" i="2"/>
  <c r="I792" i="2" s="1"/>
  <c r="H789" i="2"/>
  <c r="I789" i="2" s="1"/>
  <c r="H788" i="2"/>
  <c r="I788" i="2" s="1"/>
  <c r="H787" i="2"/>
  <c r="I787" i="2" s="1"/>
  <c r="H786" i="2"/>
  <c r="I786" i="2" s="1"/>
  <c r="H785" i="2"/>
  <c r="I785" i="2" s="1"/>
  <c r="H784" i="2"/>
  <c r="I784" i="2" s="1"/>
  <c r="H781" i="2"/>
  <c r="I781" i="2" s="1"/>
  <c r="H780" i="2"/>
  <c r="I780" i="2" s="1"/>
  <c r="H779" i="2"/>
  <c r="I779" i="2" s="1"/>
  <c r="H778" i="2"/>
  <c r="I778" i="2" s="1"/>
  <c r="H777" i="2"/>
  <c r="I777" i="2" s="1"/>
  <c r="H776" i="2"/>
  <c r="I776" i="2" s="1"/>
  <c r="H773" i="2"/>
  <c r="I773" i="2" s="1"/>
  <c r="H772" i="2"/>
  <c r="I772" i="2" s="1"/>
  <c r="H771" i="2"/>
  <c r="I771" i="2" s="1"/>
  <c r="H770" i="2"/>
  <c r="I770" i="2" s="1"/>
  <c r="H769" i="2"/>
  <c r="I769" i="2" s="1"/>
  <c r="H768" i="2"/>
  <c r="I768" i="2" s="1"/>
  <c r="H765" i="2"/>
  <c r="I765" i="2" s="1"/>
  <c r="H764" i="2"/>
  <c r="I764" i="2" s="1"/>
  <c r="H763" i="2"/>
  <c r="I763" i="2" s="1"/>
  <c r="H762" i="2"/>
  <c r="I762" i="2" s="1"/>
  <c r="H761" i="2"/>
  <c r="I761" i="2" s="1"/>
  <c r="H760" i="2"/>
  <c r="I760" i="2" s="1"/>
  <c r="H758" i="2"/>
  <c r="I758" i="2" s="1"/>
  <c r="H757" i="2"/>
  <c r="I757" i="2" s="1"/>
  <c r="H756" i="2"/>
  <c r="I756" i="2" s="1"/>
  <c r="H755" i="2"/>
  <c r="I755" i="2" s="1"/>
  <c r="H754" i="2"/>
  <c r="I754" i="2" s="1"/>
  <c r="H753" i="2"/>
  <c r="I753" i="2" s="1"/>
  <c r="H752" i="2"/>
  <c r="I752" i="2" s="1"/>
  <c r="H750" i="2"/>
  <c r="I750" i="2" s="1"/>
  <c r="H749" i="2"/>
  <c r="I749" i="2" s="1"/>
  <c r="H748" i="2"/>
  <c r="I748" i="2" s="1"/>
  <c r="H747" i="2"/>
  <c r="I747" i="2" s="1"/>
  <c r="H746" i="2"/>
  <c r="I746" i="2" s="1"/>
  <c r="H745" i="2"/>
  <c r="I745" i="2" s="1"/>
  <c r="H744" i="2"/>
  <c r="I744" i="2" s="1"/>
  <c r="H741" i="2"/>
  <c r="I741" i="2" s="1"/>
  <c r="H740" i="2"/>
  <c r="I740" i="2" s="1"/>
  <c r="H739" i="2"/>
  <c r="I739" i="2" s="1"/>
  <c r="H738" i="2"/>
  <c r="I738" i="2" s="1"/>
  <c r="H737" i="2"/>
  <c r="I737" i="2" s="1"/>
  <c r="H736" i="2"/>
  <c r="I736" i="2" s="1"/>
  <c r="H735" i="2"/>
  <c r="I735" i="2" s="1"/>
  <c r="H733" i="2"/>
  <c r="I733" i="2" s="1"/>
  <c r="H732" i="2"/>
  <c r="I732" i="2" s="1"/>
  <c r="H731" i="2"/>
  <c r="I731" i="2" s="1"/>
  <c r="H730" i="2"/>
  <c r="I730" i="2" s="1"/>
  <c r="H729" i="2"/>
  <c r="I729" i="2" s="1"/>
  <c r="H728" i="2"/>
  <c r="I728" i="2" s="1"/>
  <c r="H725" i="2"/>
  <c r="I725" i="2" s="1"/>
  <c r="H724" i="2"/>
  <c r="I724" i="2" s="1"/>
  <c r="H723" i="2"/>
  <c r="I723" i="2" s="1"/>
  <c r="H722" i="2"/>
  <c r="I722" i="2" s="1"/>
  <c r="H721" i="2"/>
  <c r="I721" i="2" s="1"/>
  <c r="H720" i="2"/>
  <c r="I720" i="2" s="1"/>
  <c r="H717" i="2"/>
  <c r="I717" i="2" s="1"/>
  <c r="H716" i="2"/>
  <c r="I716" i="2" s="1"/>
  <c r="H715" i="2"/>
  <c r="I715" i="2" s="1"/>
  <c r="H714" i="2"/>
  <c r="I714" i="2" s="1"/>
  <c r="H713" i="2"/>
  <c r="I713" i="2" s="1"/>
  <c r="H712" i="2"/>
  <c r="I712" i="2" s="1"/>
  <c r="H709" i="2"/>
  <c r="I709" i="2" s="1"/>
  <c r="H708" i="2"/>
  <c r="I708" i="2" s="1"/>
  <c r="H707" i="2"/>
  <c r="I707" i="2" s="1"/>
  <c r="H706" i="2"/>
  <c r="I706" i="2" s="1"/>
  <c r="H705" i="2"/>
  <c r="I705" i="2" s="1"/>
  <c r="H704" i="2"/>
  <c r="I704" i="2" s="1"/>
  <c r="H701" i="2"/>
  <c r="I701" i="2" s="1"/>
  <c r="H700" i="2"/>
  <c r="I700" i="2" s="1"/>
  <c r="H699" i="2"/>
  <c r="I699" i="2" s="1"/>
  <c r="H698" i="2"/>
  <c r="I698" i="2" s="1"/>
  <c r="H697" i="2"/>
  <c r="I697" i="2" s="1"/>
  <c r="H696" i="2"/>
  <c r="I696" i="2" s="1"/>
  <c r="H693" i="2"/>
  <c r="I693" i="2" s="1"/>
  <c r="H692" i="2"/>
  <c r="I692" i="2" s="1"/>
  <c r="H691" i="2"/>
  <c r="I691" i="2" s="1"/>
  <c r="H690" i="2"/>
  <c r="I690" i="2" s="1"/>
  <c r="H689" i="2"/>
  <c r="I689" i="2" s="1"/>
  <c r="H688" i="2"/>
  <c r="I688" i="2" s="1"/>
  <c r="H685" i="2"/>
  <c r="I685" i="2" s="1"/>
  <c r="H684" i="2"/>
  <c r="I684" i="2" s="1"/>
  <c r="H683" i="2"/>
  <c r="I683" i="2" s="1"/>
  <c r="H682" i="2"/>
  <c r="I682" i="2" s="1"/>
  <c r="H681" i="2"/>
  <c r="I681" i="2" s="1"/>
  <c r="H680" i="2"/>
  <c r="I680" i="2" s="1"/>
  <c r="H677" i="2"/>
  <c r="I677" i="2" s="1"/>
  <c r="H676" i="2"/>
  <c r="I676" i="2" s="1"/>
  <c r="H675" i="2"/>
  <c r="I675" i="2" s="1"/>
  <c r="H674" i="2"/>
  <c r="I674" i="2" s="1"/>
  <c r="H673" i="2"/>
  <c r="I673" i="2" s="1"/>
  <c r="H672" i="2"/>
  <c r="I672" i="2" s="1"/>
  <c r="H671" i="2"/>
  <c r="I671" i="2" s="1"/>
  <c r="H669" i="2"/>
  <c r="I669" i="2" s="1"/>
  <c r="H668" i="2"/>
  <c r="I668" i="2" s="1"/>
  <c r="H667" i="2"/>
  <c r="I667" i="2" s="1"/>
  <c r="H666" i="2"/>
  <c r="I666" i="2" s="1"/>
  <c r="H665" i="2"/>
  <c r="I665" i="2" s="1"/>
  <c r="H664" i="2"/>
  <c r="I664" i="2" s="1"/>
  <c r="H661" i="2"/>
  <c r="I661" i="2" s="1"/>
  <c r="H660" i="2"/>
  <c r="I660" i="2" s="1"/>
  <c r="H659" i="2"/>
  <c r="I659" i="2" s="1"/>
  <c r="H658" i="2"/>
  <c r="I658" i="2" s="1"/>
  <c r="H657" i="2"/>
  <c r="I657" i="2" s="1"/>
  <c r="H656" i="2"/>
  <c r="I656" i="2" s="1"/>
  <c r="H653" i="2"/>
  <c r="I653" i="2" s="1"/>
  <c r="H652" i="2"/>
  <c r="I652" i="2" s="1"/>
  <c r="H651" i="2"/>
  <c r="I651" i="2" s="1"/>
  <c r="H650" i="2"/>
  <c r="I650" i="2" s="1"/>
  <c r="H649" i="2"/>
  <c r="I649" i="2" s="1"/>
  <c r="H648" i="2"/>
  <c r="I648" i="2" s="1"/>
  <c r="H645" i="2"/>
  <c r="I645" i="2" s="1"/>
  <c r="H644" i="2"/>
  <c r="I644" i="2" s="1"/>
  <c r="H643" i="2"/>
  <c r="I643" i="2" s="1"/>
  <c r="H642" i="2"/>
  <c r="I642" i="2" s="1"/>
  <c r="H641" i="2"/>
  <c r="I641" i="2" s="1"/>
  <c r="H640" i="2"/>
  <c r="I640" i="2" s="1"/>
  <c r="H637" i="2"/>
  <c r="I637" i="2" s="1"/>
  <c r="H636" i="2"/>
  <c r="I636" i="2" s="1"/>
  <c r="H635" i="2"/>
  <c r="I635" i="2" s="1"/>
  <c r="H634" i="2"/>
  <c r="I634" i="2" s="1"/>
  <c r="H633" i="2"/>
  <c r="I633" i="2" s="1"/>
  <c r="H632" i="2"/>
  <c r="I632" i="2" s="1"/>
  <c r="H629" i="2"/>
  <c r="I629" i="2" s="1"/>
  <c r="H628" i="2"/>
  <c r="I628" i="2" s="1"/>
  <c r="H627" i="2"/>
  <c r="I627" i="2" s="1"/>
  <c r="H626" i="2"/>
  <c r="I626" i="2" s="1"/>
  <c r="H625" i="2"/>
  <c r="I625" i="2" s="1"/>
  <c r="H624" i="2"/>
  <c r="I624" i="2" s="1"/>
  <c r="H621" i="2"/>
  <c r="I621" i="2" s="1"/>
  <c r="H620" i="2"/>
  <c r="I620" i="2" s="1"/>
  <c r="H619" i="2"/>
  <c r="I619" i="2" s="1"/>
  <c r="H618" i="2"/>
  <c r="I618" i="2" s="1"/>
  <c r="H617" i="2"/>
  <c r="I617" i="2" s="1"/>
  <c r="H616" i="2"/>
  <c r="I616" i="2" s="1"/>
  <c r="H613" i="2"/>
  <c r="I613" i="2" s="1"/>
  <c r="H612" i="2"/>
  <c r="I612" i="2" s="1"/>
  <c r="H611" i="2"/>
  <c r="I611" i="2" s="1"/>
  <c r="H610" i="2"/>
  <c r="I610" i="2" s="1"/>
  <c r="H609" i="2"/>
  <c r="I609" i="2" s="1"/>
  <c r="H608" i="2"/>
  <c r="I608" i="2" s="1"/>
  <c r="H607" i="2"/>
  <c r="I607" i="2" s="1"/>
  <c r="H605" i="2"/>
  <c r="I605" i="2" s="1"/>
  <c r="H604" i="2"/>
  <c r="I604" i="2" s="1"/>
  <c r="H603" i="2"/>
  <c r="I603" i="2" s="1"/>
  <c r="H602" i="2"/>
  <c r="I602" i="2" s="1"/>
  <c r="H601" i="2"/>
  <c r="I601" i="2" s="1"/>
  <c r="H600" i="2"/>
  <c r="I600" i="2" s="1"/>
  <c r="H597" i="2"/>
  <c r="I597" i="2" s="1"/>
  <c r="H596" i="2"/>
  <c r="I596" i="2" s="1"/>
  <c r="H595" i="2"/>
  <c r="I595" i="2" s="1"/>
  <c r="H594" i="2"/>
  <c r="I594" i="2" s="1"/>
  <c r="H593" i="2"/>
  <c r="I593" i="2" s="1"/>
  <c r="H592" i="2"/>
  <c r="I592" i="2" s="1"/>
  <c r="H589" i="2"/>
  <c r="I589" i="2" s="1"/>
  <c r="H588" i="2"/>
  <c r="I588" i="2" s="1"/>
  <c r="H587" i="2"/>
  <c r="I587" i="2" s="1"/>
  <c r="H586" i="2"/>
  <c r="I586" i="2" s="1"/>
  <c r="H585" i="2"/>
  <c r="I585" i="2" s="1"/>
  <c r="H584" i="2"/>
  <c r="I584" i="2" s="1"/>
  <c r="H581" i="2"/>
  <c r="I581" i="2" s="1"/>
  <c r="H580" i="2"/>
  <c r="I580" i="2" s="1"/>
  <c r="H579" i="2"/>
  <c r="I579" i="2" s="1"/>
  <c r="H578" i="2"/>
  <c r="I578" i="2" s="1"/>
  <c r="H577" i="2"/>
  <c r="I577" i="2" s="1"/>
  <c r="H576" i="2"/>
  <c r="I576" i="2" s="1"/>
  <c r="H573" i="2"/>
  <c r="I573" i="2" s="1"/>
  <c r="H572" i="2"/>
  <c r="I572" i="2" s="1"/>
  <c r="H571" i="2"/>
  <c r="I571" i="2" s="1"/>
  <c r="H570" i="2"/>
  <c r="I570" i="2" s="1"/>
  <c r="H569" i="2"/>
  <c r="I569" i="2" s="1"/>
  <c r="H568" i="2"/>
  <c r="I568" i="2" s="1"/>
  <c r="H565" i="2"/>
  <c r="I565" i="2" s="1"/>
  <c r="H564" i="2"/>
  <c r="I564" i="2" s="1"/>
  <c r="H563" i="2"/>
  <c r="I563" i="2" s="1"/>
  <c r="H562" i="2"/>
  <c r="I562" i="2" s="1"/>
  <c r="H561" i="2"/>
  <c r="I561" i="2" s="1"/>
  <c r="H560" i="2"/>
  <c r="I560" i="2" s="1"/>
  <c r="H557" i="2"/>
  <c r="I557" i="2" s="1"/>
  <c r="H556" i="2"/>
  <c r="I556" i="2" s="1"/>
  <c r="H555" i="2"/>
  <c r="I555" i="2" s="1"/>
  <c r="H554" i="2"/>
  <c r="I554" i="2" s="1"/>
  <c r="H553" i="2"/>
  <c r="I553" i="2" s="1"/>
  <c r="H552" i="2"/>
  <c r="I552" i="2" s="1"/>
  <c r="H550" i="2"/>
  <c r="I550" i="2" s="1"/>
  <c r="H549" i="2"/>
  <c r="I549" i="2" s="1"/>
  <c r="H548" i="2"/>
  <c r="I548" i="2" s="1"/>
  <c r="H547" i="2"/>
  <c r="I547" i="2" s="1"/>
  <c r="H546" i="2"/>
  <c r="I546" i="2" s="1"/>
  <c r="H545" i="2"/>
  <c r="I545" i="2" s="1"/>
  <c r="H544" i="2"/>
  <c r="I544" i="2" s="1"/>
  <c r="H541" i="2"/>
  <c r="I541" i="2" s="1"/>
  <c r="H540" i="2"/>
  <c r="I540" i="2" s="1"/>
  <c r="H539" i="2"/>
  <c r="I539" i="2" s="1"/>
  <c r="H538" i="2"/>
  <c r="I538" i="2" s="1"/>
  <c r="H537" i="2"/>
  <c r="I537" i="2" s="1"/>
  <c r="H536" i="2"/>
  <c r="I536" i="2" s="1"/>
  <c r="H535" i="2"/>
  <c r="I535" i="2" s="1"/>
  <c r="H533" i="2"/>
  <c r="I533" i="2" s="1"/>
  <c r="H532" i="2"/>
  <c r="I532" i="2" s="1"/>
  <c r="H531" i="2"/>
  <c r="I531" i="2" s="1"/>
  <c r="H530" i="2"/>
  <c r="I530" i="2" s="1"/>
  <c r="H529" i="2"/>
  <c r="I529" i="2" s="1"/>
  <c r="H528" i="2"/>
  <c r="I528" i="2" s="1"/>
  <c r="H525" i="2"/>
  <c r="I525" i="2" s="1"/>
  <c r="H524" i="2"/>
  <c r="I524" i="2" s="1"/>
  <c r="H523" i="2"/>
  <c r="I523" i="2" s="1"/>
  <c r="H522" i="2"/>
  <c r="I522" i="2" s="1"/>
  <c r="H521" i="2"/>
  <c r="I521" i="2" s="1"/>
  <c r="H520" i="2"/>
  <c r="I520" i="2" s="1"/>
  <c r="H517" i="2"/>
  <c r="I517" i="2" s="1"/>
  <c r="H516" i="2"/>
  <c r="I516" i="2" s="1"/>
  <c r="H515" i="2"/>
  <c r="I515" i="2" s="1"/>
  <c r="H514" i="2"/>
  <c r="I514" i="2" s="1"/>
  <c r="H513" i="2"/>
  <c r="I513" i="2" s="1"/>
  <c r="H512" i="2"/>
  <c r="I512" i="2" s="1"/>
  <c r="H509" i="2"/>
  <c r="I509" i="2" s="1"/>
  <c r="H508" i="2"/>
  <c r="I508" i="2" s="1"/>
  <c r="H507" i="2"/>
  <c r="I507" i="2" s="1"/>
  <c r="H506" i="2"/>
  <c r="I506" i="2" s="1"/>
  <c r="H505" i="2"/>
  <c r="I505" i="2" s="1"/>
  <c r="H504" i="2"/>
  <c r="I504" i="2" s="1"/>
  <c r="H501" i="2"/>
  <c r="I501" i="2" s="1"/>
  <c r="H500" i="2"/>
  <c r="I500" i="2" s="1"/>
  <c r="H499" i="2"/>
  <c r="I499" i="2" s="1"/>
  <c r="H498" i="2"/>
  <c r="I498" i="2" s="1"/>
  <c r="H497" i="2"/>
  <c r="I497" i="2" s="1"/>
  <c r="H496" i="2"/>
  <c r="I496" i="2" s="1"/>
  <c r="H493" i="2"/>
  <c r="I493" i="2" s="1"/>
  <c r="H492" i="2"/>
  <c r="I492" i="2" s="1"/>
  <c r="H491" i="2"/>
  <c r="I491" i="2" s="1"/>
  <c r="H490" i="2"/>
  <c r="I490" i="2" s="1"/>
  <c r="H489" i="2"/>
  <c r="I489" i="2" s="1"/>
  <c r="H488" i="2"/>
  <c r="I488" i="2" s="1"/>
  <c r="H485" i="2"/>
  <c r="I485" i="2" s="1"/>
  <c r="H484" i="2"/>
  <c r="I484" i="2" s="1"/>
  <c r="H483" i="2"/>
  <c r="I483" i="2" s="1"/>
  <c r="H482" i="2"/>
  <c r="I482" i="2" s="1"/>
  <c r="H481" i="2"/>
  <c r="I481" i="2" s="1"/>
  <c r="H480" i="2"/>
  <c r="I480" i="2" s="1"/>
  <c r="H477" i="2"/>
  <c r="I477" i="2" s="1"/>
  <c r="H476" i="2"/>
  <c r="I476" i="2" s="1"/>
  <c r="H475" i="2"/>
  <c r="I475" i="2" s="1"/>
  <c r="H474" i="2"/>
  <c r="I474" i="2" s="1"/>
  <c r="H473" i="2"/>
  <c r="I473" i="2" s="1"/>
  <c r="H472" i="2"/>
  <c r="I472" i="2" s="1"/>
  <c r="H471" i="2"/>
  <c r="I471" i="2" s="1"/>
  <c r="H469" i="2"/>
  <c r="I469" i="2" s="1"/>
  <c r="H468" i="2"/>
  <c r="I468" i="2" s="1"/>
  <c r="H467" i="2"/>
  <c r="I467" i="2" s="1"/>
  <c r="H466" i="2"/>
  <c r="I466" i="2" s="1"/>
  <c r="H465" i="2"/>
  <c r="I465" i="2" s="1"/>
  <c r="H464" i="2"/>
  <c r="I464" i="2" s="1"/>
  <c r="H461" i="2"/>
  <c r="I461" i="2" s="1"/>
  <c r="H460" i="2"/>
  <c r="I460" i="2" s="1"/>
  <c r="H459" i="2"/>
  <c r="I459" i="2" s="1"/>
  <c r="H458" i="2"/>
  <c r="I458" i="2" s="1"/>
  <c r="H457" i="2"/>
  <c r="I457" i="2" s="1"/>
  <c r="H456" i="2"/>
  <c r="I456" i="2" s="1"/>
  <c r="H453" i="2"/>
  <c r="I453" i="2" s="1"/>
  <c r="H452" i="2"/>
  <c r="I452" i="2" s="1"/>
  <c r="H451" i="2"/>
  <c r="I451" i="2" s="1"/>
  <c r="H450" i="2"/>
  <c r="I450" i="2" s="1"/>
  <c r="H449" i="2"/>
  <c r="I449" i="2" s="1"/>
  <c r="H448" i="2"/>
  <c r="I448" i="2" s="1"/>
  <c r="H446" i="2"/>
  <c r="I446" i="2" s="1"/>
  <c r="H445" i="2"/>
  <c r="I445" i="2" s="1"/>
  <c r="H444" i="2"/>
  <c r="I444" i="2" s="1"/>
  <c r="H443" i="2"/>
  <c r="I443" i="2" s="1"/>
  <c r="H442" i="2"/>
  <c r="I442" i="2" s="1"/>
  <c r="H441" i="2"/>
  <c r="I441" i="2" s="1"/>
  <c r="H440" i="2"/>
  <c r="I440" i="2" s="1"/>
  <c r="H437" i="2"/>
  <c r="I437" i="2" s="1"/>
  <c r="H436" i="2"/>
  <c r="I436" i="2" s="1"/>
  <c r="H435" i="2"/>
  <c r="I435" i="2" s="1"/>
  <c r="H434" i="2"/>
  <c r="I434" i="2" s="1"/>
  <c r="H433" i="2"/>
  <c r="I433" i="2" s="1"/>
  <c r="H432" i="2"/>
  <c r="I432" i="2" s="1"/>
  <c r="H429" i="2"/>
  <c r="I429" i="2" s="1"/>
  <c r="H428" i="2"/>
  <c r="I428" i="2" s="1"/>
  <c r="H427" i="2"/>
  <c r="I427" i="2" s="1"/>
  <c r="H426" i="2"/>
  <c r="I426" i="2" s="1"/>
  <c r="H425" i="2"/>
  <c r="I425" i="2" s="1"/>
  <c r="H424" i="2"/>
  <c r="I424" i="2" s="1"/>
  <c r="H421" i="2"/>
  <c r="I421" i="2" s="1"/>
  <c r="H420" i="2"/>
  <c r="I420" i="2" s="1"/>
  <c r="H419" i="2"/>
  <c r="I419" i="2" s="1"/>
  <c r="H418" i="2"/>
  <c r="I418" i="2" s="1"/>
  <c r="H417" i="2"/>
  <c r="I417" i="2" s="1"/>
  <c r="H416" i="2"/>
  <c r="I416" i="2" s="1"/>
  <c r="H413" i="2"/>
  <c r="I413" i="2" s="1"/>
  <c r="H412" i="2"/>
  <c r="I412" i="2" s="1"/>
  <c r="H411" i="2"/>
  <c r="I411" i="2" s="1"/>
  <c r="H410" i="2"/>
  <c r="I410" i="2" s="1"/>
  <c r="H409" i="2"/>
  <c r="I409" i="2" s="1"/>
  <c r="H408" i="2"/>
  <c r="I408" i="2" s="1"/>
  <c r="H405" i="2"/>
  <c r="I405" i="2" s="1"/>
  <c r="H404" i="2"/>
  <c r="I404" i="2" s="1"/>
  <c r="H403" i="2"/>
  <c r="I403" i="2" s="1"/>
  <c r="H402" i="2"/>
  <c r="I402" i="2" s="1"/>
  <c r="H401" i="2"/>
  <c r="I401" i="2" s="1"/>
  <c r="H400" i="2"/>
  <c r="I400" i="2" s="1"/>
  <c r="H399" i="2"/>
  <c r="I399" i="2" s="1"/>
  <c r="H398" i="2"/>
  <c r="I398" i="2" s="1"/>
  <c r="H397" i="2"/>
  <c r="I397" i="2" s="1"/>
  <c r="H396" i="2"/>
  <c r="I396" i="2" s="1"/>
  <c r="H395" i="2"/>
  <c r="I395" i="2" s="1"/>
  <c r="H394" i="2"/>
  <c r="I394" i="2" s="1"/>
  <c r="H393" i="2"/>
  <c r="I393" i="2" s="1"/>
  <c r="H392" i="2"/>
  <c r="I392" i="2" s="1"/>
  <c r="H391" i="2"/>
  <c r="I391" i="2" s="1"/>
  <c r="H389" i="2"/>
  <c r="I389" i="2" s="1"/>
  <c r="H388" i="2"/>
  <c r="I388" i="2" s="1"/>
  <c r="H387" i="2"/>
  <c r="I387" i="2" s="1"/>
  <c r="H386" i="2"/>
  <c r="I386" i="2" s="1"/>
  <c r="H385" i="2"/>
  <c r="I385" i="2" s="1"/>
  <c r="H384" i="2"/>
  <c r="I384" i="2" s="1"/>
  <c r="H381" i="2"/>
  <c r="I381" i="2" s="1"/>
  <c r="H380" i="2"/>
  <c r="I380" i="2" s="1"/>
  <c r="H379" i="2"/>
  <c r="I379" i="2" s="1"/>
  <c r="H378" i="2"/>
  <c r="I378" i="2" s="1"/>
  <c r="H377" i="2"/>
  <c r="I377" i="2" s="1"/>
  <c r="H376" i="2"/>
  <c r="I376" i="2" s="1"/>
  <c r="H373" i="2"/>
  <c r="I373" i="2" s="1"/>
  <c r="H372" i="2"/>
  <c r="I372" i="2" s="1"/>
  <c r="H371" i="2"/>
  <c r="I371" i="2" s="1"/>
  <c r="H370" i="2"/>
  <c r="I370" i="2" s="1"/>
  <c r="H369" i="2"/>
  <c r="I369" i="2" s="1"/>
  <c r="H368" i="2"/>
  <c r="I368" i="2" s="1"/>
  <c r="H365" i="2"/>
  <c r="I365" i="2" s="1"/>
  <c r="H364" i="2"/>
  <c r="I364" i="2" s="1"/>
  <c r="H363" i="2"/>
  <c r="I363" i="2" s="1"/>
  <c r="H362" i="2"/>
  <c r="I362" i="2" s="1"/>
  <c r="H361" i="2"/>
  <c r="I361" i="2" s="1"/>
  <c r="H360" i="2"/>
  <c r="I360" i="2" s="1"/>
  <c r="H357" i="2"/>
  <c r="I357" i="2" s="1"/>
  <c r="H356" i="2"/>
  <c r="I356" i="2" s="1"/>
  <c r="H355" i="2"/>
  <c r="I355" i="2" s="1"/>
  <c r="H354" i="2"/>
  <c r="I354" i="2" s="1"/>
  <c r="H353" i="2"/>
  <c r="I353" i="2" s="1"/>
  <c r="H352" i="2"/>
  <c r="I352" i="2" s="1"/>
  <c r="H350" i="2"/>
  <c r="I350" i="2" s="1"/>
  <c r="H349" i="2"/>
  <c r="I349" i="2" s="1"/>
  <c r="H348" i="2"/>
  <c r="I348" i="2" s="1"/>
  <c r="H347" i="2"/>
  <c r="I347" i="2" s="1"/>
  <c r="H346" i="2"/>
  <c r="I346" i="2" s="1"/>
  <c r="H345" i="2"/>
  <c r="I345" i="2" s="1"/>
  <c r="H344" i="2"/>
  <c r="I344" i="2" s="1"/>
  <c r="H341" i="2"/>
  <c r="I341" i="2" s="1"/>
  <c r="H340" i="2"/>
  <c r="I340" i="2" s="1"/>
  <c r="H339" i="2"/>
  <c r="I339" i="2" s="1"/>
  <c r="H338" i="2"/>
  <c r="I338" i="2" s="1"/>
  <c r="H337" i="2"/>
  <c r="I337" i="2" s="1"/>
  <c r="H336" i="2"/>
  <c r="I336" i="2" s="1"/>
  <c r="H333" i="2"/>
  <c r="I333" i="2" s="1"/>
  <c r="H332" i="2"/>
  <c r="I332" i="2" s="1"/>
  <c r="H331" i="2"/>
  <c r="I331" i="2" s="1"/>
  <c r="H330" i="2"/>
  <c r="I330" i="2" s="1"/>
  <c r="H329" i="2"/>
  <c r="I329" i="2" s="1"/>
  <c r="H328" i="2"/>
  <c r="I328" i="2" s="1"/>
  <c r="H325" i="2"/>
  <c r="I325" i="2" s="1"/>
  <c r="H324" i="2"/>
  <c r="I324" i="2" s="1"/>
  <c r="H323" i="2"/>
  <c r="I323" i="2" s="1"/>
  <c r="H322" i="2"/>
  <c r="I322" i="2" s="1"/>
  <c r="H321" i="2"/>
  <c r="I321" i="2" s="1"/>
  <c r="H320" i="2"/>
  <c r="I320" i="2" s="1"/>
  <c r="H319" i="2"/>
  <c r="I319" i="2" s="1"/>
  <c r="H317" i="2"/>
  <c r="I317" i="2" s="1"/>
  <c r="H316" i="2"/>
  <c r="I316" i="2" s="1"/>
  <c r="H315" i="2"/>
  <c r="I315" i="2" s="1"/>
  <c r="H314" i="2"/>
  <c r="I314" i="2" s="1"/>
  <c r="H313" i="2"/>
  <c r="I313" i="2" s="1"/>
  <c r="H312" i="2"/>
  <c r="I312" i="2" s="1"/>
  <c r="H309" i="2"/>
  <c r="I309" i="2" s="1"/>
  <c r="H308" i="2"/>
  <c r="I308" i="2" s="1"/>
  <c r="H307" i="2"/>
  <c r="I307" i="2" s="1"/>
  <c r="H306" i="2"/>
  <c r="I306" i="2" s="1"/>
  <c r="H305" i="2"/>
  <c r="I305" i="2" s="1"/>
  <c r="H304" i="2"/>
  <c r="I304" i="2" s="1"/>
  <c r="H301" i="2"/>
  <c r="I301" i="2" s="1"/>
  <c r="H300" i="2"/>
  <c r="I300" i="2" s="1"/>
  <c r="H299" i="2"/>
  <c r="I299" i="2" s="1"/>
  <c r="H298" i="2"/>
  <c r="I298" i="2" s="1"/>
  <c r="H297" i="2"/>
  <c r="I297" i="2" s="1"/>
  <c r="H296" i="2"/>
  <c r="I296" i="2" s="1"/>
  <c r="H293" i="2"/>
  <c r="I293" i="2" s="1"/>
  <c r="H292" i="2"/>
  <c r="I292" i="2" s="1"/>
  <c r="H291" i="2"/>
  <c r="I291" i="2" s="1"/>
  <c r="H290" i="2"/>
  <c r="I290" i="2" s="1"/>
  <c r="H289" i="2"/>
  <c r="I289" i="2" s="1"/>
  <c r="H288" i="2"/>
  <c r="I288" i="2" s="1"/>
  <c r="H285" i="2"/>
  <c r="I285" i="2" s="1"/>
  <c r="H284" i="2"/>
  <c r="I284" i="2" s="1"/>
  <c r="H283" i="2"/>
  <c r="I283" i="2" s="1"/>
  <c r="H282" i="2"/>
  <c r="I282" i="2" s="1"/>
  <c r="H281" i="2"/>
  <c r="I281" i="2" s="1"/>
  <c r="H280" i="2"/>
  <c r="I280" i="2" s="1"/>
  <c r="H277" i="2"/>
  <c r="I277" i="2" s="1"/>
  <c r="H276" i="2"/>
  <c r="I276" i="2" s="1"/>
  <c r="H275" i="2"/>
  <c r="I275" i="2" s="1"/>
  <c r="H274" i="2"/>
  <c r="I274" i="2" s="1"/>
  <c r="H273" i="2"/>
  <c r="I273" i="2" s="1"/>
  <c r="H272" i="2"/>
  <c r="I272" i="2" s="1"/>
  <c r="H270" i="2"/>
  <c r="I270" i="2" s="1"/>
  <c r="H269" i="2"/>
  <c r="I269" i="2" s="1"/>
  <c r="H268" i="2"/>
  <c r="I268" i="2" s="1"/>
  <c r="H267" i="2"/>
  <c r="I267" i="2" s="1"/>
  <c r="H266" i="2"/>
  <c r="I266" i="2" s="1"/>
  <c r="H265" i="2"/>
  <c r="I265" i="2" s="1"/>
  <c r="H264" i="2"/>
  <c r="I264" i="2" s="1"/>
  <c r="H261" i="2"/>
  <c r="I261" i="2" s="1"/>
  <c r="H260" i="2"/>
  <c r="I260" i="2" s="1"/>
  <c r="H259" i="2"/>
  <c r="I259" i="2" s="1"/>
  <c r="H258" i="2"/>
  <c r="I258" i="2" s="1"/>
  <c r="H257" i="2"/>
  <c r="I257" i="2" s="1"/>
  <c r="H256" i="2"/>
  <c r="I256" i="2" s="1"/>
  <c r="H253" i="2"/>
  <c r="I253" i="2" s="1"/>
  <c r="H252" i="2"/>
  <c r="I252" i="2" s="1"/>
  <c r="H251" i="2"/>
  <c r="I251" i="2" s="1"/>
  <c r="H250" i="2"/>
  <c r="I250" i="2" s="1"/>
  <c r="H249" i="2"/>
  <c r="I249" i="2" s="1"/>
  <c r="H248" i="2"/>
  <c r="I248" i="2" s="1"/>
  <c r="H247" i="2"/>
  <c r="I247" i="2" s="1"/>
  <c r="H245" i="2"/>
  <c r="I245" i="2" s="1"/>
  <c r="H244" i="2"/>
  <c r="I244" i="2" s="1"/>
  <c r="H243" i="2"/>
  <c r="I243" i="2" s="1"/>
  <c r="H242" i="2"/>
  <c r="I242" i="2" s="1"/>
  <c r="H241" i="2"/>
  <c r="I241" i="2" s="1"/>
  <c r="H240" i="2"/>
  <c r="I240" i="2" s="1"/>
  <c r="H237" i="2"/>
  <c r="I237" i="2" s="1"/>
  <c r="H236" i="2"/>
  <c r="I236" i="2" s="1"/>
  <c r="H235" i="2"/>
  <c r="I235" i="2" s="1"/>
  <c r="H234" i="2"/>
  <c r="I234" i="2" s="1"/>
  <c r="H233" i="2"/>
  <c r="I233" i="2" s="1"/>
  <c r="H232" i="2"/>
  <c r="I232" i="2" s="1"/>
  <c r="H229" i="2"/>
  <c r="I229" i="2" s="1"/>
  <c r="H228" i="2"/>
  <c r="I228" i="2" s="1"/>
  <c r="H227" i="2"/>
  <c r="I227" i="2" s="1"/>
  <c r="H226" i="2"/>
  <c r="I226" i="2" s="1"/>
  <c r="H225" i="2"/>
  <c r="I225" i="2" s="1"/>
  <c r="H224" i="2"/>
  <c r="I224" i="2" s="1"/>
  <c r="H221" i="2"/>
  <c r="I221" i="2" s="1"/>
  <c r="H220" i="2"/>
  <c r="I220" i="2" s="1"/>
  <c r="H219" i="2"/>
  <c r="I219" i="2" s="1"/>
  <c r="H218" i="2"/>
  <c r="I218" i="2" s="1"/>
  <c r="H217" i="2"/>
  <c r="I217" i="2" s="1"/>
  <c r="H216" i="2"/>
  <c r="I216" i="2" s="1"/>
  <c r="H213" i="2"/>
  <c r="I213" i="2" s="1"/>
  <c r="H212" i="2"/>
  <c r="I212" i="2" s="1"/>
  <c r="H211" i="2"/>
  <c r="I211" i="2" s="1"/>
  <c r="H210" i="2"/>
  <c r="I210" i="2" s="1"/>
  <c r="H209" i="2"/>
  <c r="I209" i="2" s="1"/>
  <c r="H208" i="2"/>
  <c r="I208" i="2" s="1"/>
  <c r="H206" i="2"/>
  <c r="I206" i="2" s="1"/>
  <c r="H205" i="2"/>
  <c r="I205" i="2" s="1"/>
  <c r="H204" i="2"/>
  <c r="I204" i="2" s="1"/>
  <c r="H203" i="2"/>
  <c r="I203" i="2" s="1"/>
  <c r="H202" i="2"/>
  <c r="I202" i="2" s="1"/>
  <c r="H201" i="2"/>
  <c r="I201" i="2" s="1"/>
  <c r="H200" i="2"/>
  <c r="I200" i="2" s="1"/>
  <c r="H197" i="2"/>
  <c r="I197" i="2" s="1"/>
  <c r="H196" i="2"/>
  <c r="I196" i="2" s="1"/>
  <c r="H195" i="2"/>
  <c r="I195" i="2" s="1"/>
  <c r="H194" i="2"/>
  <c r="I194" i="2" s="1"/>
  <c r="H193" i="2"/>
  <c r="I193" i="2" s="1"/>
  <c r="H192" i="2"/>
  <c r="I192" i="2" s="1"/>
  <c r="H189" i="2"/>
  <c r="I189" i="2" s="1"/>
  <c r="H188" i="2"/>
  <c r="I188" i="2" s="1"/>
  <c r="H187" i="2"/>
  <c r="I187" i="2" s="1"/>
  <c r="H186" i="2"/>
  <c r="I186" i="2" s="1"/>
  <c r="H185" i="2"/>
  <c r="I185" i="2" s="1"/>
  <c r="H184" i="2"/>
  <c r="I184" i="2" s="1"/>
  <c r="H181" i="2"/>
  <c r="I181" i="2" s="1"/>
  <c r="H180" i="2"/>
  <c r="I180" i="2" s="1"/>
  <c r="H179" i="2"/>
  <c r="I179" i="2" s="1"/>
  <c r="H178" i="2"/>
  <c r="I178" i="2" s="1"/>
  <c r="H177" i="2"/>
  <c r="I177" i="2" s="1"/>
  <c r="H176" i="2"/>
  <c r="I176" i="2" s="1"/>
  <c r="H175" i="2"/>
  <c r="I175" i="2" s="1"/>
  <c r="H173" i="2"/>
  <c r="I173" i="2" s="1"/>
  <c r="H172" i="2"/>
  <c r="I172" i="2" s="1"/>
  <c r="H171" i="2"/>
  <c r="I171" i="2" s="1"/>
  <c r="H170" i="2"/>
  <c r="I170" i="2" s="1"/>
  <c r="H169" i="2"/>
  <c r="I169" i="2" s="1"/>
  <c r="H168" i="2"/>
  <c r="I168" i="2" s="1"/>
  <c r="H165" i="2"/>
  <c r="I165" i="2" s="1"/>
  <c r="H164" i="2"/>
  <c r="I164" i="2" s="1"/>
  <c r="H163" i="2"/>
  <c r="I163" i="2" s="1"/>
  <c r="H162" i="2"/>
  <c r="I162" i="2" s="1"/>
  <c r="H161" i="2"/>
  <c r="I161" i="2" s="1"/>
  <c r="H160" i="2"/>
  <c r="I160" i="2" s="1"/>
  <c r="H157" i="2"/>
  <c r="I157" i="2" s="1"/>
  <c r="H156" i="2"/>
  <c r="I156" i="2" s="1"/>
  <c r="H155" i="2"/>
  <c r="I155" i="2" s="1"/>
  <c r="H154" i="2"/>
  <c r="I154" i="2" s="1"/>
  <c r="H153" i="2"/>
  <c r="I153" i="2" s="1"/>
  <c r="H152" i="2"/>
  <c r="I152" i="2" s="1"/>
  <c r="H149" i="2"/>
  <c r="I149" i="2" s="1"/>
  <c r="H148" i="2"/>
  <c r="I148" i="2" s="1"/>
  <c r="H147" i="2"/>
  <c r="I147" i="2" s="1"/>
  <c r="H146" i="2"/>
  <c r="I146" i="2" s="1"/>
  <c r="H145" i="2"/>
  <c r="I145" i="2" s="1"/>
  <c r="H144" i="2"/>
  <c r="I144" i="2" s="1"/>
  <c r="H141" i="2"/>
  <c r="I141" i="2" s="1"/>
  <c r="H140" i="2"/>
  <c r="I140" i="2" s="1"/>
  <c r="H139" i="2"/>
  <c r="I139" i="2" s="1"/>
  <c r="H138" i="2"/>
  <c r="I138" i="2" s="1"/>
  <c r="H137" i="2"/>
  <c r="I137" i="2" s="1"/>
  <c r="H136" i="2"/>
  <c r="I136" i="2" s="1"/>
  <c r="H133" i="2"/>
  <c r="I133" i="2" s="1"/>
  <c r="H132" i="2"/>
  <c r="I132" i="2" s="1"/>
  <c r="H131" i="2"/>
  <c r="I131" i="2" s="1"/>
  <c r="H130" i="2"/>
  <c r="I130" i="2" s="1"/>
  <c r="H129" i="2"/>
  <c r="I129" i="2" s="1"/>
  <c r="H128" i="2"/>
  <c r="I128" i="2" s="1"/>
  <c r="H125" i="2"/>
  <c r="I125" i="2" s="1"/>
  <c r="H124" i="2"/>
  <c r="I124" i="2" s="1"/>
  <c r="H123" i="2"/>
  <c r="I123" i="2" s="1"/>
  <c r="H122" i="2"/>
  <c r="I122" i="2" s="1"/>
  <c r="H121" i="2"/>
  <c r="I121" i="2" s="1"/>
  <c r="H120" i="2"/>
  <c r="I120" i="2" s="1"/>
  <c r="H117" i="2"/>
  <c r="I117" i="2" s="1"/>
  <c r="H116" i="2"/>
  <c r="I116" i="2" s="1"/>
  <c r="H115" i="2"/>
  <c r="I115" i="2" s="1"/>
  <c r="H114" i="2"/>
  <c r="I114" i="2" s="1"/>
  <c r="H113" i="2"/>
  <c r="I113" i="2" s="1"/>
  <c r="H112" i="2"/>
  <c r="I112" i="2" s="1"/>
  <c r="H111" i="2"/>
  <c r="I111" i="2" s="1"/>
  <c r="H109" i="2"/>
  <c r="I109" i="2" s="1"/>
  <c r="H108" i="2"/>
  <c r="I108" i="2" s="1"/>
  <c r="H107" i="2"/>
  <c r="I107" i="2" s="1"/>
  <c r="H106" i="2"/>
  <c r="I106" i="2" s="1"/>
  <c r="H105" i="2"/>
  <c r="I105" i="2" s="1"/>
  <c r="H104" i="2"/>
  <c r="I104" i="2" s="1"/>
  <c r="H101" i="2"/>
  <c r="I101" i="2" s="1"/>
  <c r="H100" i="2"/>
  <c r="I100" i="2" s="1"/>
  <c r="H99" i="2"/>
  <c r="I99" i="2" s="1"/>
  <c r="H98" i="2"/>
  <c r="I98" i="2" s="1"/>
  <c r="H97" i="2"/>
  <c r="I97" i="2" s="1"/>
  <c r="H96" i="2"/>
  <c r="I96" i="2" s="1"/>
  <c r="H93" i="2"/>
  <c r="I93" i="2" s="1"/>
  <c r="H92" i="2"/>
  <c r="I92" i="2" s="1"/>
  <c r="H91" i="2"/>
  <c r="I91" i="2" s="1"/>
  <c r="H90" i="2"/>
  <c r="I90" i="2" s="1"/>
  <c r="H89" i="2"/>
  <c r="I89" i="2" s="1"/>
  <c r="H88" i="2"/>
  <c r="I88" i="2" s="1"/>
  <c r="H85" i="2"/>
  <c r="I85" i="2" s="1"/>
  <c r="H84" i="2"/>
  <c r="I84" i="2" s="1"/>
  <c r="H83" i="2"/>
  <c r="I83" i="2" s="1"/>
  <c r="H82" i="2"/>
  <c r="I82" i="2" s="1"/>
  <c r="H81" i="2"/>
  <c r="I81" i="2" s="1"/>
  <c r="H80" i="2"/>
  <c r="I80" i="2" s="1"/>
  <c r="H77" i="2"/>
  <c r="I77" i="2" s="1"/>
  <c r="H76" i="2"/>
  <c r="I76" i="2" s="1"/>
  <c r="H75" i="2"/>
  <c r="I75" i="2" s="1"/>
  <c r="H74" i="2"/>
  <c r="I74" i="2" s="1"/>
  <c r="H73" i="2"/>
  <c r="I73" i="2" s="1"/>
  <c r="H72" i="2"/>
  <c r="I72" i="2" s="1"/>
  <c r="H69" i="2"/>
  <c r="I69" i="2" s="1"/>
  <c r="H68" i="2"/>
  <c r="I68" i="2" s="1"/>
  <c r="H67" i="2"/>
  <c r="I67" i="2" s="1"/>
  <c r="H66" i="2"/>
  <c r="I66" i="2" s="1"/>
  <c r="H65" i="2"/>
  <c r="I65" i="2" s="1"/>
  <c r="H64" i="2"/>
  <c r="I64" i="2" s="1"/>
  <c r="H61" i="2"/>
  <c r="I61" i="2" s="1"/>
  <c r="H60" i="2"/>
  <c r="I60" i="2" s="1"/>
  <c r="H59" i="2"/>
  <c r="I59" i="2" s="1"/>
  <c r="H58" i="2"/>
  <c r="I58" i="2" s="1"/>
  <c r="H57" i="2"/>
  <c r="I57" i="2" s="1"/>
  <c r="H56" i="2"/>
  <c r="I56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5" i="2"/>
  <c r="I45" i="2" s="1"/>
  <c r="H44" i="2"/>
  <c r="I44" i="2" s="1"/>
  <c r="H43" i="2"/>
  <c r="I43" i="2" s="1"/>
  <c r="H42" i="2"/>
  <c r="I42" i="2" s="1"/>
  <c r="H41" i="2"/>
  <c r="I41" i="2" s="1"/>
  <c r="H40" i="2"/>
  <c r="I40" i="2" s="1"/>
  <c r="H37" i="2"/>
  <c r="I37" i="2" s="1"/>
  <c r="H36" i="2"/>
  <c r="I36" i="2" s="1"/>
  <c r="H35" i="2"/>
  <c r="I35" i="2" s="1"/>
  <c r="H34" i="2"/>
  <c r="I34" i="2" s="1"/>
  <c r="H33" i="2"/>
  <c r="I33" i="2" s="1"/>
  <c r="H32" i="2"/>
  <c r="I32" i="2" s="1"/>
  <c r="H29" i="2"/>
  <c r="I29" i="2" s="1"/>
  <c r="H28" i="2"/>
  <c r="I28" i="2" s="1"/>
  <c r="H27" i="2"/>
  <c r="I27" i="2" s="1"/>
  <c r="H26" i="2"/>
  <c r="I26" i="2" s="1"/>
  <c r="H25" i="2"/>
  <c r="I25" i="2" s="1"/>
  <c r="H24" i="2"/>
  <c r="I24" i="2" s="1"/>
  <c r="H21" i="2"/>
  <c r="I21" i="2" s="1"/>
  <c r="H20" i="2"/>
  <c r="I20" i="2" s="1"/>
  <c r="H19" i="2"/>
  <c r="I19" i="2" s="1"/>
  <c r="H18" i="2"/>
  <c r="I18" i="2" s="1"/>
  <c r="H17" i="2"/>
  <c r="I17" i="2" s="1"/>
  <c r="H16" i="2"/>
  <c r="I16" i="2" s="1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5" i="2"/>
  <c r="I5" i="2" s="1"/>
  <c r="H4" i="2"/>
  <c r="I4" i="2" s="1"/>
  <c r="H3" i="2"/>
  <c r="I3" i="2" s="1"/>
  <c r="E3" i="2"/>
  <c r="E4" i="2" s="1"/>
  <c r="E5" i="2" s="1"/>
  <c r="D5" i="1" l="1"/>
  <c r="D6" i="6"/>
  <c r="D4" i="6" s="1"/>
  <c r="F3" i="2"/>
  <c r="J3" i="2" s="1"/>
  <c r="G3" i="2" s="1"/>
  <c r="F4" i="2"/>
  <c r="J4" i="2" s="1"/>
  <c r="G4" i="2" s="1"/>
  <c r="G241" i="3"/>
  <c r="G181" i="3"/>
  <c r="J1065" i="3"/>
  <c r="G1065" i="3" s="1"/>
  <c r="J1052" i="3"/>
  <c r="G1052" i="3" s="1"/>
  <c r="J1020" i="3"/>
  <c r="G1020" i="3" s="1"/>
  <c r="J988" i="3"/>
  <c r="G988" i="3" s="1"/>
  <c r="J969" i="3"/>
  <c r="G969" i="3" s="1"/>
  <c r="J956" i="3"/>
  <c r="G956" i="3" s="1"/>
  <c r="J937" i="3"/>
  <c r="G937" i="3" s="1"/>
  <c r="J1036" i="3"/>
  <c r="G1036" i="3" s="1"/>
  <c r="J1016" i="3"/>
  <c r="G1016" i="3" s="1"/>
  <c r="J984" i="3"/>
  <c r="G984" i="3" s="1"/>
  <c r="J1049" i="3"/>
  <c r="G1049" i="3" s="1"/>
  <c r="J1033" i="3"/>
  <c r="G1033" i="3" s="1"/>
  <c r="J924" i="3"/>
  <c r="G924" i="3" s="1"/>
  <c r="J1004" i="3"/>
  <c r="G1004" i="3" s="1"/>
  <c r="J972" i="3"/>
  <c r="G972" i="3" s="1"/>
  <c r="J940" i="3"/>
  <c r="G940" i="3" s="1"/>
  <c r="J1037" i="3"/>
  <c r="G1037" i="3" s="1"/>
  <c r="J1007" i="3"/>
  <c r="G1007" i="3" s="1"/>
  <c r="J1000" i="3"/>
  <c r="G1000" i="3" s="1"/>
  <c r="J992" i="3"/>
  <c r="G992" i="3" s="1"/>
  <c r="J975" i="3"/>
  <c r="G975" i="3" s="1"/>
  <c r="J1056" i="3"/>
  <c r="G1056" i="3" s="1"/>
  <c r="J1024" i="3"/>
  <c r="G1024" i="3" s="1"/>
  <c r="J936" i="3"/>
  <c r="G936" i="3" s="1"/>
  <c r="J925" i="3"/>
  <c r="G925" i="3" s="1"/>
  <c r="J920" i="3"/>
  <c r="G920" i="3" s="1"/>
  <c r="J908" i="3"/>
  <c r="G908" i="3" s="1"/>
  <c r="J891" i="3"/>
  <c r="G891" i="3" s="1"/>
  <c r="J803" i="3"/>
  <c r="G803" i="3" s="1"/>
  <c r="J883" i="3"/>
  <c r="G883" i="3" s="1"/>
  <c r="J1040" i="3"/>
  <c r="G1040" i="3" s="1"/>
  <c r="J911" i="3"/>
  <c r="G911" i="3" s="1"/>
  <c r="J1005" i="3"/>
  <c r="G1005" i="3" s="1"/>
  <c r="J875" i="3"/>
  <c r="G875" i="3" s="1"/>
  <c r="J815" i="3"/>
  <c r="G815" i="3" s="1"/>
  <c r="J705" i="3"/>
  <c r="G705" i="3" s="1"/>
  <c r="J839" i="3"/>
  <c r="G839" i="3" s="1"/>
  <c r="J725" i="3"/>
  <c r="G725" i="3" s="1"/>
  <c r="J819" i="3"/>
  <c r="G819" i="3" s="1"/>
  <c r="J777" i="3"/>
  <c r="G777" i="3" s="1"/>
  <c r="J733" i="3"/>
  <c r="G733" i="3" s="1"/>
  <c r="J717" i="3"/>
  <c r="G717" i="3" s="1"/>
  <c r="J855" i="3"/>
  <c r="G855" i="3" s="1"/>
  <c r="J685" i="3"/>
  <c r="G685" i="3" s="1"/>
  <c r="J681" i="3"/>
  <c r="G681" i="3" s="1"/>
  <c r="J677" i="3"/>
  <c r="G677" i="3" s="1"/>
  <c r="J673" i="3"/>
  <c r="G673" i="3" s="1"/>
  <c r="J721" i="3"/>
  <c r="G721" i="3" s="1"/>
  <c r="J797" i="3"/>
  <c r="G797" i="3" s="1"/>
  <c r="J789" i="3"/>
  <c r="G789" i="3" s="1"/>
  <c r="J781" i="3"/>
  <c r="G781" i="3" s="1"/>
  <c r="J701" i="3"/>
  <c r="G701" i="3" s="1"/>
  <c r="J698" i="3"/>
  <c r="G698" i="3" s="1"/>
  <c r="J694" i="3"/>
  <c r="G694" i="3" s="1"/>
  <c r="J690" i="3"/>
  <c r="G690" i="3" s="1"/>
  <c r="J686" i="3"/>
  <c r="G686" i="3" s="1"/>
  <c r="J682" i="3"/>
  <c r="G682" i="3" s="1"/>
  <c r="J678" i="3"/>
  <c r="G678" i="3" s="1"/>
  <c r="J674" i="3"/>
  <c r="G674" i="3" s="1"/>
  <c r="J670" i="3"/>
  <c r="G670" i="3" s="1"/>
  <c r="J666" i="3"/>
  <c r="G666" i="3" s="1"/>
  <c r="J662" i="3"/>
  <c r="G662" i="3" s="1"/>
  <c r="J658" i="3"/>
  <c r="G658" i="3" s="1"/>
  <c r="J654" i="3"/>
  <c r="G654" i="3" s="1"/>
  <c r="J650" i="3"/>
  <c r="G650" i="3" s="1"/>
  <c r="J638" i="3"/>
  <c r="G638" i="3" s="1"/>
  <c r="J614" i="3"/>
  <c r="G614" i="3" s="1"/>
  <c r="J610" i="3"/>
  <c r="G610" i="3" s="1"/>
  <c r="J761" i="3"/>
  <c r="G761" i="3" s="1"/>
  <c r="J753" i="3"/>
  <c r="G753" i="3" s="1"/>
  <c r="J745" i="3"/>
  <c r="G745" i="3" s="1"/>
  <c r="J737" i="3"/>
  <c r="G737" i="3" s="1"/>
  <c r="J713" i="3"/>
  <c r="G713" i="3" s="1"/>
  <c r="J570" i="3"/>
  <c r="G570" i="3" s="1"/>
  <c r="J566" i="3"/>
  <c r="G566" i="3" s="1"/>
  <c r="J562" i="3"/>
  <c r="G562" i="3" s="1"/>
  <c r="J558" i="3"/>
  <c r="G558" i="3" s="1"/>
  <c r="J554" i="3"/>
  <c r="G554" i="3" s="1"/>
  <c r="J550" i="3"/>
  <c r="G550" i="3" s="1"/>
  <c r="J546" i="3"/>
  <c r="G546" i="3" s="1"/>
  <c r="J542" i="3"/>
  <c r="G542" i="3" s="1"/>
  <c r="J538" i="3"/>
  <c r="G538" i="3" s="1"/>
  <c r="J534" i="3"/>
  <c r="G534" i="3" s="1"/>
  <c r="J530" i="3"/>
  <c r="G530" i="3" s="1"/>
  <c r="J518" i="3"/>
  <c r="G518" i="3" s="1"/>
  <c r="J514" i="3"/>
  <c r="G514" i="3" s="1"/>
  <c r="J510" i="3"/>
  <c r="G510" i="3" s="1"/>
  <c r="J563" i="3"/>
  <c r="G563" i="3" s="1"/>
  <c r="J519" i="3"/>
  <c r="G519" i="3" s="1"/>
  <c r="J463" i="3"/>
  <c r="G463" i="3" s="1"/>
  <c r="J455" i="3"/>
  <c r="G455" i="3" s="1"/>
  <c r="J467" i="3"/>
  <c r="G467" i="3" s="1"/>
  <c r="J440" i="3"/>
  <c r="G440" i="3" s="1"/>
  <c r="J515" i="3"/>
  <c r="G515" i="3" s="1"/>
  <c r="J459" i="3"/>
  <c r="G459" i="3" s="1"/>
  <c r="J483" i="3"/>
  <c r="G483" i="3" s="1"/>
  <c r="J421" i="3"/>
  <c r="G421" i="3" s="1"/>
  <c r="J491" i="3"/>
  <c r="G491" i="3" s="1"/>
  <c r="J447" i="3"/>
  <c r="G447" i="3" s="1"/>
  <c r="J499" i="3"/>
  <c r="G499" i="3" s="1"/>
  <c r="J441" i="3"/>
  <c r="G441" i="3" s="1"/>
  <c r="J507" i="3"/>
  <c r="G507" i="3" s="1"/>
  <c r="J417" i="3"/>
  <c r="G417" i="3" s="1"/>
  <c r="J166" i="3"/>
  <c r="G166" i="3" s="1"/>
  <c r="J425" i="3"/>
  <c r="G425" i="3" s="1"/>
  <c r="J277" i="3"/>
  <c r="G277" i="3" s="1"/>
  <c r="J19" i="3"/>
  <c r="G19" i="3" s="1"/>
  <c r="J38" i="3"/>
  <c r="G38" i="3" s="1"/>
  <c r="J40" i="3"/>
  <c r="G40" i="3" s="1"/>
  <c r="J99" i="3"/>
  <c r="G99" i="3" s="1"/>
  <c r="J102" i="3"/>
  <c r="G102" i="3" s="1"/>
  <c r="J108" i="3"/>
  <c r="G108" i="3" s="1"/>
  <c r="J126" i="3"/>
  <c r="G126" i="3" s="1"/>
  <c r="J128" i="3"/>
  <c r="G128" i="3" s="1"/>
  <c r="J138" i="3"/>
  <c r="G138" i="3" s="1"/>
  <c r="J144" i="3"/>
  <c r="G144" i="3" s="1"/>
  <c r="J196" i="3"/>
  <c r="G196" i="3" s="1"/>
  <c r="J203" i="3"/>
  <c r="G203" i="3" s="1"/>
  <c r="J214" i="3"/>
  <c r="G214" i="3" s="1"/>
  <c r="J223" i="3"/>
  <c r="G223" i="3" s="1"/>
  <c r="J242" i="3"/>
  <c r="G242" i="3" s="1"/>
  <c r="J263" i="3"/>
  <c r="G263" i="3" s="1"/>
  <c r="J287" i="3"/>
  <c r="G287" i="3" s="1"/>
  <c r="J329" i="3"/>
  <c r="G329" i="3" s="1"/>
  <c r="J370" i="3"/>
  <c r="G370" i="3" s="1"/>
  <c r="J373" i="3"/>
  <c r="G373" i="3" s="1"/>
  <c r="J376" i="3"/>
  <c r="G376" i="3" s="1"/>
  <c r="J385" i="3"/>
  <c r="G385" i="3" s="1"/>
  <c r="J419" i="3"/>
  <c r="G419" i="3" s="1"/>
  <c r="J429" i="3"/>
  <c r="G429" i="3" s="1"/>
  <c r="J495" i="3"/>
  <c r="G495" i="3" s="1"/>
  <c r="J18" i="3"/>
  <c r="G18" i="3" s="1"/>
  <c r="J20" i="3"/>
  <c r="G20" i="3" s="1"/>
  <c r="J35" i="3"/>
  <c r="G35" i="3" s="1"/>
  <c r="J58" i="3"/>
  <c r="G58" i="3" s="1"/>
  <c r="J59" i="3"/>
  <c r="G59" i="3" s="1"/>
  <c r="J62" i="3"/>
  <c r="G62" i="3" s="1"/>
  <c r="J63" i="3"/>
  <c r="G63" i="3" s="1"/>
  <c r="J66" i="3"/>
  <c r="G66" i="3" s="1"/>
  <c r="J67" i="3"/>
  <c r="G67" i="3" s="1"/>
  <c r="J70" i="3"/>
  <c r="G70" i="3" s="1"/>
  <c r="J71" i="3"/>
  <c r="G71" i="3" s="1"/>
  <c r="J74" i="3"/>
  <c r="G74" i="3" s="1"/>
  <c r="J75" i="3"/>
  <c r="G75" i="3" s="1"/>
  <c r="J78" i="3"/>
  <c r="G78" i="3" s="1"/>
  <c r="J79" i="3"/>
  <c r="G79" i="3" s="1"/>
  <c r="J82" i="3"/>
  <c r="G82" i="3" s="1"/>
  <c r="J83" i="3"/>
  <c r="G83" i="3" s="1"/>
  <c r="J86" i="3"/>
  <c r="G86" i="3" s="1"/>
  <c r="J87" i="3"/>
  <c r="G87" i="3" s="1"/>
  <c r="J90" i="3"/>
  <c r="G90" i="3" s="1"/>
  <c r="J91" i="3"/>
  <c r="G91" i="3" s="1"/>
  <c r="J94" i="3"/>
  <c r="G94" i="3" s="1"/>
  <c r="J95" i="3"/>
  <c r="G95" i="3" s="1"/>
  <c r="J98" i="3"/>
  <c r="G98" i="3" s="1"/>
  <c r="J104" i="3"/>
  <c r="G104" i="3" s="1"/>
  <c r="J123" i="3"/>
  <c r="G123" i="3" s="1"/>
  <c r="J135" i="3"/>
  <c r="G135" i="3" s="1"/>
  <c r="J140" i="3"/>
  <c r="G140" i="3" s="1"/>
  <c r="J158" i="3"/>
  <c r="G158" i="3" s="1"/>
  <c r="J160" i="3"/>
  <c r="G160" i="3" s="1"/>
  <c r="J179" i="3"/>
  <c r="G179" i="3" s="1"/>
  <c r="J182" i="3"/>
  <c r="G182" i="3" s="1"/>
  <c r="J184" i="3"/>
  <c r="G184" i="3" s="1"/>
  <c r="J194" i="3"/>
  <c r="G194" i="3" s="1"/>
  <c r="J204" i="3"/>
  <c r="G204" i="3" s="1"/>
  <c r="J211" i="3"/>
  <c r="G211" i="3" s="1"/>
  <c r="J224" i="3"/>
  <c r="G224" i="3" s="1"/>
  <c r="J231" i="3"/>
  <c r="G231" i="3" s="1"/>
  <c r="J239" i="3"/>
  <c r="G239" i="3" s="1"/>
  <c r="J251" i="3"/>
  <c r="G251" i="3" s="1"/>
  <c r="J264" i="3"/>
  <c r="G264" i="3" s="1"/>
  <c r="J279" i="3"/>
  <c r="G279" i="3" s="1"/>
  <c r="J282" i="3"/>
  <c r="G282" i="3" s="1"/>
  <c r="J285" i="3"/>
  <c r="G285" i="3" s="1"/>
  <c r="J293" i="3"/>
  <c r="G293" i="3" s="1"/>
  <c r="J305" i="3"/>
  <c r="G305" i="3" s="1"/>
  <c r="J326" i="3"/>
  <c r="G326" i="3" s="1"/>
  <c r="J433" i="3"/>
  <c r="G433" i="3" s="1"/>
  <c r="J34" i="3"/>
  <c r="G34" i="3" s="1"/>
  <c r="J36" i="3"/>
  <c r="G36" i="3" s="1"/>
  <c r="J100" i="3"/>
  <c r="G100" i="3" s="1"/>
  <c r="J122" i="3"/>
  <c r="G122" i="3" s="1"/>
  <c r="J124" i="3"/>
  <c r="G124" i="3" s="1"/>
  <c r="J175" i="3"/>
  <c r="G175" i="3" s="1"/>
  <c r="J178" i="3"/>
  <c r="G178" i="3" s="1"/>
  <c r="J202" i="3"/>
  <c r="G202" i="3" s="1"/>
  <c r="J212" i="3"/>
  <c r="G212" i="3" s="1"/>
  <c r="J222" i="3"/>
  <c r="G222" i="3" s="1"/>
  <c r="J232" i="3"/>
  <c r="G232" i="3" s="1"/>
  <c r="J240" i="3"/>
  <c r="G240" i="3" s="1"/>
  <c r="J250" i="3"/>
  <c r="G250" i="3" s="1"/>
  <c r="J252" i="3"/>
  <c r="G252" i="3" s="1"/>
  <c r="J262" i="3"/>
  <c r="G262" i="3" s="1"/>
  <c r="J323" i="3"/>
  <c r="G323" i="3" s="1"/>
  <c r="J341" i="3"/>
  <c r="G341" i="3" s="1"/>
  <c r="J364" i="3"/>
  <c r="G364" i="3" s="1"/>
  <c r="J367" i="3"/>
  <c r="G367" i="3" s="1"/>
  <c r="J377" i="3"/>
  <c r="G377" i="3" s="1"/>
  <c r="J407" i="3"/>
  <c r="G407" i="3" s="1"/>
  <c r="J413" i="3"/>
  <c r="G413" i="3" s="1"/>
  <c r="J475" i="3"/>
  <c r="G475" i="3" s="1"/>
  <c r="J478" i="3"/>
  <c r="G478" i="3" s="1"/>
  <c r="J487" i="3"/>
  <c r="G487" i="3" s="1"/>
  <c r="J5" i="3"/>
  <c r="G5" i="3" s="1"/>
  <c r="J14" i="3"/>
  <c r="G14" i="3" s="1"/>
  <c r="J16" i="3"/>
  <c r="G16" i="3" s="1"/>
  <c r="J25" i="3"/>
  <c r="G25" i="3" s="1"/>
  <c r="J45" i="3"/>
  <c r="G45" i="3" s="1"/>
  <c r="J54" i="3"/>
  <c r="G54" i="3" s="1"/>
  <c r="J56" i="3"/>
  <c r="G56" i="3" s="1"/>
  <c r="J60" i="3"/>
  <c r="G60" i="3" s="1"/>
  <c r="J64" i="3"/>
  <c r="G64" i="3" s="1"/>
  <c r="J68" i="3"/>
  <c r="G68" i="3" s="1"/>
  <c r="J72" i="3"/>
  <c r="G72" i="3" s="1"/>
  <c r="J76" i="3"/>
  <c r="G76" i="3" s="1"/>
  <c r="J80" i="3"/>
  <c r="G80" i="3" s="1"/>
  <c r="J84" i="3"/>
  <c r="G84" i="3" s="1"/>
  <c r="J88" i="3"/>
  <c r="G88" i="3" s="1"/>
  <c r="J92" i="3"/>
  <c r="G92" i="3" s="1"/>
  <c r="J96" i="3"/>
  <c r="G96" i="3" s="1"/>
  <c r="J118" i="3"/>
  <c r="G118" i="3" s="1"/>
  <c r="J134" i="3"/>
  <c r="G134" i="3" s="1"/>
  <c r="J136" i="3"/>
  <c r="G136" i="3" s="1"/>
  <c r="J145" i="3"/>
  <c r="G145" i="3" s="1"/>
  <c r="J156" i="3"/>
  <c r="G156" i="3" s="1"/>
  <c r="J171" i="3"/>
  <c r="G171" i="3" s="1"/>
  <c r="J174" i="3"/>
  <c r="G174" i="3" s="1"/>
  <c r="J180" i="3"/>
  <c r="G180" i="3" s="1"/>
  <c r="J197" i="3"/>
  <c r="G197" i="3" s="1"/>
  <c r="J210" i="3"/>
  <c r="G210" i="3" s="1"/>
  <c r="J217" i="3"/>
  <c r="G217" i="3" s="1"/>
  <c r="J230" i="3"/>
  <c r="G230" i="3" s="1"/>
  <c r="J238" i="3"/>
  <c r="G238" i="3" s="1"/>
  <c r="J245" i="3"/>
  <c r="G245" i="3" s="1"/>
  <c r="J259" i="3"/>
  <c r="G259" i="3" s="1"/>
  <c r="J269" i="3"/>
  <c r="G269" i="3" s="1"/>
  <c r="J272" i="3"/>
  <c r="G272" i="3" s="1"/>
  <c r="J313" i="3"/>
  <c r="G313" i="3" s="1"/>
  <c r="J321" i="3"/>
  <c r="G321" i="3" s="1"/>
  <c r="J353" i="3"/>
  <c r="G353" i="3" s="1"/>
  <c r="J361" i="3"/>
  <c r="G361" i="3" s="1"/>
  <c r="J470" i="3"/>
  <c r="G470" i="3" s="1"/>
  <c r="J10" i="3"/>
  <c r="G10" i="3" s="1"/>
  <c r="J30" i="3"/>
  <c r="G30" i="3" s="1"/>
  <c r="J32" i="3"/>
  <c r="G32" i="3" s="1"/>
  <c r="J50" i="3"/>
  <c r="G50" i="3" s="1"/>
  <c r="J109" i="3"/>
  <c r="G109" i="3" s="1"/>
  <c r="J114" i="3"/>
  <c r="G114" i="3" s="1"/>
  <c r="J120" i="3"/>
  <c r="G120" i="3" s="1"/>
  <c r="J129" i="3"/>
  <c r="G129" i="3" s="1"/>
  <c r="J151" i="3"/>
  <c r="G151" i="3" s="1"/>
  <c r="J154" i="3"/>
  <c r="G154" i="3" s="1"/>
  <c r="J161" i="3"/>
  <c r="G161" i="3" s="1"/>
  <c r="J167" i="3"/>
  <c r="G167" i="3" s="1"/>
  <c r="J170" i="3"/>
  <c r="G170" i="3" s="1"/>
  <c r="J176" i="3"/>
  <c r="G176" i="3" s="1"/>
  <c r="J190" i="3"/>
  <c r="G190" i="3" s="1"/>
  <c r="J192" i="3"/>
  <c r="G192" i="3" s="1"/>
  <c r="J205" i="3"/>
  <c r="G205" i="3" s="1"/>
  <c r="J207" i="3"/>
  <c r="G207" i="3" s="1"/>
  <c r="J220" i="3"/>
  <c r="G220" i="3" s="1"/>
  <c r="J225" i="3"/>
  <c r="G225" i="3" s="1"/>
  <c r="J227" i="3"/>
  <c r="G227" i="3" s="1"/>
  <c r="J248" i="3"/>
  <c r="G248" i="3" s="1"/>
  <c r="J258" i="3"/>
  <c r="G258" i="3" s="1"/>
  <c r="J260" i="3"/>
  <c r="G260" i="3" s="1"/>
  <c r="J265" i="3"/>
  <c r="G265" i="3" s="1"/>
  <c r="J267" i="3"/>
  <c r="G267" i="3" s="1"/>
  <c r="J311" i="3"/>
  <c r="G311" i="3" s="1"/>
  <c r="J316" i="3"/>
  <c r="G316" i="3" s="1"/>
  <c r="J333" i="3"/>
  <c r="G333" i="3" s="1"/>
  <c r="J342" i="3"/>
  <c r="G342" i="3" s="1"/>
  <c r="J348" i="3"/>
  <c r="G348" i="3" s="1"/>
  <c r="J351" i="3"/>
  <c r="G351" i="3" s="1"/>
  <c r="J356" i="3"/>
  <c r="G356" i="3" s="1"/>
  <c r="J365" i="3"/>
  <c r="G365" i="3" s="1"/>
  <c r="J401" i="3"/>
  <c r="G401" i="3" s="1"/>
  <c r="J405" i="3"/>
  <c r="G405" i="3" s="1"/>
  <c r="J443" i="3"/>
  <c r="G443" i="3" s="1"/>
  <c r="J6" i="3"/>
  <c r="G6" i="3" s="1"/>
  <c r="J12" i="3"/>
  <c r="G12" i="3" s="1"/>
  <c r="J26" i="3"/>
  <c r="G26" i="3" s="1"/>
  <c r="J46" i="3"/>
  <c r="G46" i="3" s="1"/>
  <c r="J52" i="3"/>
  <c r="G52" i="3" s="1"/>
  <c r="J116" i="3"/>
  <c r="G116" i="3" s="1"/>
  <c r="J132" i="3"/>
  <c r="G132" i="3" s="1"/>
  <c r="J147" i="3"/>
  <c r="G147" i="3" s="1"/>
  <c r="J150" i="3"/>
  <c r="G150" i="3" s="1"/>
  <c r="J163" i="3"/>
  <c r="G163" i="3" s="1"/>
  <c r="J172" i="3"/>
  <c r="G172" i="3" s="1"/>
  <c r="J187" i="3"/>
  <c r="G187" i="3" s="1"/>
  <c r="J198" i="3"/>
  <c r="G198" i="3" s="1"/>
  <c r="J200" i="3"/>
  <c r="G200" i="3" s="1"/>
  <c r="J208" i="3"/>
  <c r="G208" i="3" s="1"/>
  <c r="J218" i="3"/>
  <c r="G218" i="3" s="1"/>
  <c r="J228" i="3"/>
  <c r="G228" i="3" s="1"/>
  <c r="J235" i="3"/>
  <c r="G235" i="3" s="1"/>
  <c r="J246" i="3"/>
  <c r="G246" i="3" s="1"/>
  <c r="J273" i="3"/>
  <c r="G273" i="3" s="1"/>
  <c r="J281" i="3"/>
  <c r="G281" i="3" s="1"/>
  <c r="J303" i="3"/>
  <c r="G303" i="3" s="1"/>
  <c r="J306" i="3"/>
  <c r="G306" i="3" s="1"/>
  <c r="J309" i="3"/>
  <c r="G309" i="3" s="1"/>
  <c r="J345" i="3"/>
  <c r="G345" i="3" s="1"/>
  <c r="J389" i="3"/>
  <c r="G389" i="3" s="1"/>
  <c r="J393" i="3"/>
  <c r="G393" i="3" s="1"/>
  <c r="J396" i="3"/>
  <c r="G396" i="3" s="1"/>
  <c r="J431" i="3"/>
  <c r="G431" i="3" s="1"/>
  <c r="J437" i="3"/>
  <c r="G437" i="3" s="1"/>
  <c r="J2" i="3"/>
  <c r="G2" i="3" s="1"/>
  <c r="J8" i="3"/>
  <c r="G8" i="3" s="1"/>
  <c r="J23" i="3"/>
  <c r="G23" i="3" s="1"/>
  <c r="J28" i="3"/>
  <c r="G28" i="3" s="1"/>
  <c r="J37" i="3"/>
  <c r="G37" i="3" s="1"/>
  <c r="J42" i="3"/>
  <c r="G42" i="3" s="1"/>
  <c r="J48" i="3"/>
  <c r="G48" i="3" s="1"/>
  <c r="J101" i="3"/>
  <c r="G101" i="3" s="1"/>
  <c r="J107" i="3"/>
  <c r="G107" i="3" s="1"/>
  <c r="J110" i="3"/>
  <c r="G110" i="3" s="1"/>
  <c r="J112" i="3"/>
  <c r="G112" i="3" s="1"/>
  <c r="J125" i="3"/>
  <c r="G125" i="3" s="1"/>
  <c r="J130" i="3"/>
  <c r="G130" i="3" s="1"/>
  <c r="J137" i="3"/>
  <c r="G137" i="3" s="1"/>
  <c r="J143" i="3"/>
  <c r="G143" i="3" s="1"/>
  <c r="J146" i="3"/>
  <c r="G146" i="3" s="1"/>
  <c r="J152" i="3"/>
  <c r="G152" i="3" s="1"/>
  <c r="J168" i="3"/>
  <c r="G168" i="3" s="1"/>
  <c r="J206" i="3"/>
  <c r="G206" i="3" s="1"/>
  <c r="J226" i="3"/>
  <c r="G226" i="3" s="1"/>
  <c r="J236" i="3"/>
  <c r="G236" i="3" s="1"/>
  <c r="J255" i="3"/>
  <c r="G255" i="3" s="1"/>
  <c r="J297" i="3"/>
  <c r="G297" i="3" s="1"/>
  <c r="J301" i="3"/>
  <c r="G301" i="3" s="1"/>
  <c r="J317" i="3"/>
  <c r="G317" i="3" s="1"/>
  <c r="J325" i="3"/>
  <c r="G325" i="3" s="1"/>
  <c r="J334" i="3"/>
  <c r="G334" i="3" s="1"/>
  <c r="J349" i="3"/>
  <c r="G349" i="3" s="1"/>
  <c r="J357" i="3"/>
  <c r="G357" i="3" s="1"/>
  <c r="J369" i="3"/>
  <c r="G369" i="3" s="1"/>
  <c r="J384" i="3"/>
  <c r="G384" i="3" s="1"/>
  <c r="J390" i="3"/>
  <c r="G390" i="3" s="1"/>
  <c r="J409" i="3"/>
  <c r="G409" i="3" s="1"/>
  <c r="J428" i="3"/>
  <c r="G428" i="3" s="1"/>
  <c r="J529" i="3"/>
  <c r="G529" i="3" s="1"/>
  <c r="J535" i="3"/>
  <c r="G535" i="3" s="1"/>
  <c r="J561" i="3"/>
  <c r="G561" i="3" s="1"/>
  <c r="J567" i="3"/>
  <c r="G567" i="3" s="1"/>
  <c r="J270" i="3"/>
  <c r="G270" i="3" s="1"/>
  <c r="J280" i="3"/>
  <c r="G280" i="3" s="1"/>
  <c r="J290" i="3"/>
  <c r="G290" i="3" s="1"/>
  <c r="J295" i="3"/>
  <c r="G295" i="3" s="1"/>
  <c r="J304" i="3"/>
  <c r="G304" i="3" s="1"/>
  <c r="J314" i="3"/>
  <c r="G314" i="3" s="1"/>
  <c r="J354" i="3"/>
  <c r="G354" i="3" s="1"/>
  <c r="J359" i="3"/>
  <c r="G359" i="3" s="1"/>
  <c r="J362" i="3"/>
  <c r="G362" i="3" s="1"/>
  <c r="J379" i="3"/>
  <c r="G379" i="3" s="1"/>
  <c r="J382" i="3"/>
  <c r="G382" i="3" s="1"/>
  <c r="J387" i="3"/>
  <c r="G387" i="3" s="1"/>
  <c r="J399" i="3"/>
  <c r="G399" i="3" s="1"/>
  <c r="J402" i="3"/>
  <c r="G402" i="3" s="1"/>
  <c r="J408" i="3"/>
  <c r="G408" i="3" s="1"/>
  <c r="J411" i="3"/>
  <c r="G411" i="3" s="1"/>
  <c r="J414" i="3"/>
  <c r="G414" i="3" s="1"/>
  <c r="J420" i="3"/>
  <c r="G420" i="3" s="1"/>
  <c r="J432" i="3"/>
  <c r="G432" i="3" s="1"/>
  <c r="J435" i="3"/>
  <c r="G435" i="3" s="1"/>
  <c r="J438" i="3"/>
  <c r="G438" i="3" s="1"/>
  <c r="J479" i="3"/>
  <c r="G479" i="3" s="1"/>
  <c r="J527" i="3"/>
  <c r="G527" i="3" s="1"/>
  <c r="J553" i="3"/>
  <c r="G553" i="3" s="1"/>
  <c r="J559" i="3"/>
  <c r="G559" i="3" s="1"/>
  <c r="J571" i="3"/>
  <c r="G571" i="3" s="1"/>
  <c r="J268" i="3"/>
  <c r="G268" i="3" s="1"/>
  <c r="J275" i="3"/>
  <c r="G275" i="3" s="1"/>
  <c r="J288" i="3"/>
  <c r="G288" i="3" s="1"/>
  <c r="J319" i="3"/>
  <c r="G319" i="3" s="1"/>
  <c r="J324" i="3"/>
  <c r="G324" i="3" s="1"/>
  <c r="J332" i="3"/>
  <c r="G332" i="3" s="1"/>
  <c r="J335" i="3"/>
  <c r="G335" i="3" s="1"/>
  <c r="J340" i="3"/>
  <c r="G340" i="3" s="1"/>
  <c r="J343" i="3"/>
  <c r="G343" i="3" s="1"/>
  <c r="J346" i="3"/>
  <c r="G346" i="3" s="1"/>
  <c r="J368" i="3"/>
  <c r="G368" i="3" s="1"/>
  <c r="J374" i="3"/>
  <c r="G374" i="3" s="1"/>
  <c r="J423" i="3"/>
  <c r="G423" i="3" s="1"/>
  <c r="J426" i="3"/>
  <c r="G426" i="3" s="1"/>
  <c r="J462" i="3"/>
  <c r="G462" i="3" s="1"/>
  <c r="J471" i="3"/>
  <c r="G471" i="3" s="1"/>
  <c r="J539" i="3"/>
  <c r="G539" i="3" s="1"/>
  <c r="J644" i="3"/>
  <c r="G644" i="3" s="1"/>
  <c r="J278" i="3"/>
  <c r="G278" i="3" s="1"/>
  <c r="J296" i="3"/>
  <c r="G296" i="3" s="1"/>
  <c r="J299" i="3"/>
  <c r="G299" i="3" s="1"/>
  <c r="J302" i="3"/>
  <c r="G302" i="3" s="1"/>
  <c r="J307" i="3"/>
  <c r="G307" i="3" s="1"/>
  <c r="J312" i="3"/>
  <c r="G312" i="3" s="1"/>
  <c r="J327" i="3"/>
  <c r="G327" i="3" s="1"/>
  <c r="J330" i="3"/>
  <c r="G330" i="3" s="1"/>
  <c r="J338" i="3"/>
  <c r="G338" i="3" s="1"/>
  <c r="J352" i="3"/>
  <c r="G352" i="3" s="1"/>
  <c r="J371" i="3"/>
  <c r="G371" i="3" s="1"/>
  <c r="J380" i="3"/>
  <c r="G380" i="3" s="1"/>
  <c r="J388" i="3"/>
  <c r="G388" i="3" s="1"/>
  <c r="J391" i="3"/>
  <c r="G391" i="3" s="1"/>
  <c r="J394" i="3"/>
  <c r="G394" i="3" s="1"/>
  <c r="J400" i="3"/>
  <c r="G400" i="3" s="1"/>
  <c r="J412" i="3"/>
  <c r="G412" i="3" s="1"/>
  <c r="J436" i="3"/>
  <c r="G436" i="3" s="1"/>
  <c r="J545" i="3"/>
  <c r="G545" i="3" s="1"/>
  <c r="J551" i="3"/>
  <c r="G551" i="3" s="1"/>
  <c r="J276" i="3"/>
  <c r="G276" i="3" s="1"/>
  <c r="J283" i="3"/>
  <c r="G283" i="3" s="1"/>
  <c r="J286" i="3"/>
  <c r="G286" i="3" s="1"/>
  <c r="J310" i="3"/>
  <c r="G310" i="3" s="1"/>
  <c r="J322" i="3"/>
  <c r="G322" i="3" s="1"/>
  <c r="J344" i="3"/>
  <c r="G344" i="3" s="1"/>
  <c r="J360" i="3"/>
  <c r="G360" i="3" s="1"/>
  <c r="J366" i="3"/>
  <c r="G366" i="3" s="1"/>
  <c r="J403" i="3"/>
  <c r="G403" i="3" s="1"/>
  <c r="J406" i="3"/>
  <c r="G406" i="3" s="1"/>
  <c r="J415" i="3"/>
  <c r="G415" i="3" s="1"/>
  <c r="J418" i="3"/>
  <c r="G418" i="3" s="1"/>
  <c r="J424" i="3"/>
  <c r="G424" i="3" s="1"/>
  <c r="J430" i="3"/>
  <c r="G430" i="3" s="1"/>
  <c r="J439" i="3"/>
  <c r="G439" i="3" s="1"/>
  <c r="J502" i="3"/>
  <c r="G502" i="3" s="1"/>
  <c r="J531" i="3"/>
  <c r="G531" i="3" s="1"/>
  <c r="J266" i="3"/>
  <c r="G266" i="3" s="1"/>
  <c r="J271" i="3"/>
  <c r="G271" i="3" s="1"/>
  <c r="J291" i="3"/>
  <c r="G291" i="3" s="1"/>
  <c r="J294" i="3"/>
  <c r="G294" i="3" s="1"/>
  <c r="J300" i="3"/>
  <c r="G300" i="3" s="1"/>
  <c r="J315" i="3"/>
  <c r="G315" i="3" s="1"/>
  <c r="J328" i="3"/>
  <c r="G328" i="3" s="1"/>
  <c r="J347" i="3"/>
  <c r="G347" i="3" s="1"/>
  <c r="J350" i="3"/>
  <c r="G350" i="3" s="1"/>
  <c r="J355" i="3"/>
  <c r="G355" i="3" s="1"/>
  <c r="J358" i="3"/>
  <c r="G358" i="3" s="1"/>
  <c r="J363" i="3"/>
  <c r="G363" i="3" s="1"/>
  <c r="J372" i="3"/>
  <c r="G372" i="3" s="1"/>
  <c r="J378" i="3"/>
  <c r="G378" i="3" s="1"/>
  <c r="J383" i="3"/>
  <c r="G383" i="3" s="1"/>
  <c r="J386" i="3"/>
  <c r="G386" i="3" s="1"/>
  <c r="J392" i="3"/>
  <c r="G392" i="3" s="1"/>
  <c r="J427" i="3"/>
  <c r="G427" i="3" s="1"/>
  <c r="J442" i="3"/>
  <c r="G442" i="3" s="1"/>
  <c r="J451" i="3"/>
  <c r="G451" i="3" s="1"/>
  <c r="J494" i="3"/>
  <c r="G494" i="3" s="1"/>
  <c r="J511" i="3"/>
  <c r="G511" i="3" s="1"/>
  <c r="J537" i="3"/>
  <c r="G537" i="3" s="1"/>
  <c r="J543" i="3"/>
  <c r="G543" i="3" s="1"/>
  <c r="J274" i="3"/>
  <c r="G274" i="3" s="1"/>
  <c r="J284" i="3"/>
  <c r="G284" i="3" s="1"/>
  <c r="J308" i="3"/>
  <c r="G308" i="3" s="1"/>
  <c r="J318" i="3"/>
  <c r="G318" i="3" s="1"/>
  <c r="J320" i="3"/>
  <c r="G320" i="3" s="1"/>
  <c r="J336" i="3"/>
  <c r="G336" i="3" s="1"/>
  <c r="J339" i="3"/>
  <c r="G339" i="3" s="1"/>
  <c r="J375" i="3"/>
  <c r="G375" i="3" s="1"/>
  <c r="J395" i="3"/>
  <c r="G395" i="3" s="1"/>
  <c r="J398" i="3"/>
  <c r="G398" i="3" s="1"/>
  <c r="J404" i="3"/>
  <c r="G404" i="3" s="1"/>
  <c r="J410" i="3"/>
  <c r="G410" i="3" s="1"/>
  <c r="J416" i="3"/>
  <c r="G416" i="3" s="1"/>
  <c r="J434" i="3"/>
  <c r="G434" i="3" s="1"/>
  <c r="J486" i="3"/>
  <c r="G486" i="3" s="1"/>
  <c r="J503" i="3"/>
  <c r="G503" i="3" s="1"/>
  <c r="J555" i="3"/>
  <c r="G555" i="3" s="1"/>
  <c r="J445" i="3"/>
  <c r="G445" i="3" s="1"/>
  <c r="J448" i="3"/>
  <c r="G448" i="3" s="1"/>
  <c r="J454" i="3"/>
  <c r="G454" i="3" s="1"/>
  <c r="J481" i="3"/>
  <c r="G481" i="3" s="1"/>
  <c r="J489" i="3"/>
  <c r="G489" i="3" s="1"/>
  <c r="J497" i="3"/>
  <c r="G497" i="3" s="1"/>
  <c r="J505" i="3"/>
  <c r="G505" i="3" s="1"/>
  <c r="J532" i="3"/>
  <c r="G532" i="3" s="1"/>
  <c r="J540" i="3"/>
  <c r="G540" i="3" s="1"/>
  <c r="J548" i="3"/>
  <c r="G548" i="3" s="1"/>
  <c r="J556" i="3"/>
  <c r="G556" i="3" s="1"/>
  <c r="J564" i="3"/>
  <c r="G564" i="3" s="1"/>
  <c r="J641" i="3"/>
  <c r="G641" i="3" s="1"/>
  <c r="J680" i="3"/>
  <c r="G680" i="3" s="1"/>
  <c r="J457" i="3"/>
  <c r="G457" i="3" s="1"/>
  <c r="J473" i="3"/>
  <c r="G473" i="3" s="1"/>
  <c r="J476" i="3"/>
  <c r="G476" i="3" s="1"/>
  <c r="J484" i="3"/>
  <c r="G484" i="3" s="1"/>
  <c r="J492" i="3"/>
  <c r="G492" i="3" s="1"/>
  <c r="J500" i="3"/>
  <c r="G500" i="3" s="1"/>
  <c r="J508" i="3"/>
  <c r="G508" i="3" s="1"/>
  <c r="J513" i="3"/>
  <c r="G513" i="3" s="1"/>
  <c r="J521" i="3"/>
  <c r="G521" i="3" s="1"/>
  <c r="J524" i="3"/>
  <c r="G524" i="3" s="1"/>
  <c r="J573" i="3"/>
  <c r="G573" i="3" s="1"/>
  <c r="J635" i="3"/>
  <c r="G635" i="3" s="1"/>
  <c r="J672" i="3"/>
  <c r="G672" i="3" s="1"/>
  <c r="J446" i="3"/>
  <c r="G446" i="3" s="1"/>
  <c r="J460" i="3"/>
  <c r="G460" i="3" s="1"/>
  <c r="J465" i="3"/>
  <c r="G465" i="3" s="1"/>
  <c r="J468" i="3"/>
  <c r="G468" i="3" s="1"/>
  <c r="J506" i="3"/>
  <c r="G506" i="3" s="1"/>
  <c r="J516" i="3"/>
  <c r="G516" i="3" s="1"/>
  <c r="J632" i="3"/>
  <c r="G632" i="3" s="1"/>
  <c r="J449" i="3"/>
  <c r="G449" i="3" s="1"/>
  <c r="J452" i="3"/>
  <c r="G452" i="3" s="1"/>
  <c r="J474" i="3"/>
  <c r="G474" i="3" s="1"/>
  <c r="J482" i="3"/>
  <c r="G482" i="3" s="1"/>
  <c r="J490" i="3"/>
  <c r="G490" i="3" s="1"/>
  <c r="J498" i="3"/>
  <c r="G498" i="3" s="1"/>
  <c r="J522" i="3"/>
  <c r="G522" i="3" s="1"/>
  <c r="J533" i="3"/>
  <c r="G533" i="3" s="1"/>
  <c r="J541" i="3"/>
  <c r="G541" i="3" s="1"/>
  <c r="J549" i="3"/>
  <c r="G549" i="3" s="1"/>
  <c r="J557" i="3"/>
  <c r="G557" i="3" s="1"/>
  <c r="J565" i="3"/>
  <c r="G565" i="3" s="1"/>
  <c r="J568" i="3"/>
  <c r="G568" i="3" s="1"/>
  <c r="J587" i="3"/>
  <c r="G587" i="3" s="1"/>
  <c r="J626" i="3"/>
  <c r="G626" i="3" s="1"/>
  <c r="J629" i="3"/>
  <c r="G629" i="3" s="1"/>
  <c r="J664" i="3"/>
  <c r="G664" i="3" s="1"/>
  <c r="J458" i="3"/>
  <c r="G458" i="3" s="1"/>
  <c r="J466" i="3"/>
  <c r="G466" i="3" s="1"/>
  <c r="J477" i="3"/>
  <c r="G477" i="3" s="1"/>
  <c r="J485" i="3"/>
  <c r="G485" i="3" s="1"/>
  <c r="J493" i="3"/>
  <c r="G493" i="3" s="1"/>
  <c r="J509" i="3"/>
  <c r="G509" i="3" s="1"/>
  <c r="J525" i="3"/>
  <c r="G525" i="3" s="1"/>
  <c r="J528" i="3"/>
  <c r="G528" i="3" s="1"/>
  <c r="J536" i="3"/>
  <c r="G536" i="3" s="1"/>
  <c r="J544" i="3"/>
  <c r="G544" i="3" s="1"/>
  <c r="J552" i="3"/>
  <c r="G552" i="3" s="1"/>
  <c r="J560" i="3"/>
  <c r="G560" i="3" s="1"/>
  <c r="J585" i="3"/>
  <c r="G585" i="3" s="1"/>
  <c r="J444" i="3"/>
  <c r="G444" i="3" s="1"/>
  <c r="J450" i="3"/>
  <c r="G450" i="3" s="1"/>
  <c r="J461" i="3"/>
  <c r="G461" i="3" s="1"/>
  <c r="J469" i="3"/>
  <c r="G469" i="3" s="1"/>
  <c r="J472" i="3"/>
  <c r="G472" i="3" s="1"/>
  <c r="J480" i="3"/>
  <c r="G480" i="3" s="1"/>
  <c r="J488" i="3"/>
  <c r="G488" i="3" s="1"/>
  <c r="J496" i="3"/>
  <c r="G496" i="3" s="1"/>
  <c r="J501" i="3"/>
  <c r="G501" i="3" s="1"/>
  <c r="J504" i="3"/>
  <c r="G504" i="3" s="1"/>
  <c r="J517" i="3"/>
  <c r="G517" i="3" s="1"/>
  <c r="J580" i="3"/>
  <c r="G580" i="3" s="1"/>
  <c r="J620" i="3"/>
  <c r="G620" i="3" s="1"/>
  <c r="J656" i="3"/>
  <c r="G656" i="3" s="1"/>
  <c r="J453" i="3"/>
  <c r="G453" i="3" s="1"/>
  <c r="J456" i="3"/>
  <c r="G456" i="3" s="1"/>
  <c r="J464" i="3"/>
  <c r="G464" i="3" s="1"/>
  <c r="J512" i="3"/>
  <c r="G512" i="3" s="1"/>
  <c r="J520" i="3"/>
  <c r="G520" i="3" s="1"/>
  <c r="J526" i="3"/>
  <c r="G526" i="3" s="1"/>
  <c r="J569" i="3"/>
  <c r="G569" i="3" s="1"/>
  <c r="J572" i="3"/>
  <c r="G572" i="3" s="1"/>
  <c r="J611" i="3"/>
  <c r="G611" i="3" s="1"/>
  <c r="J647" i="3"/>
  <c r="G647" i="3" s="1"/>
  <c r="J575" i="3"/>
  <c r="G575" i="3" s="1"/>
  <c r="J590" i="3"/>
  <c r="G590" i="3" s="1"/>
  <c r="J600" i="3"/>
  <c r="G600" i="3" s="1"/>
  <c r="J606" i="3"/>
  <c r="G606" i="3" s="1"/>
  <c r="J609" i="3"/>
  <c r="G609" i="3" s="1"/>
  <c r="J623" i="3"/>
  <c r="G623" i="3" s="1"/>
  <c r="J691" i="3"/>
  <c r="G691" i="3" s="1"/>
  <c r="J709" i="3"/>
  <c r="G709" i="3" s="1"/>
  <c r="J773" i="3"/>
  <c r="G773" i="3" s="1"/>
  <c r="J578" i="3"/>
  <c r="G578" i="3" s="1"/>
  <c r="J588" i="3"/>
  <c r="G588" i="3" s="1"/>
  <c r="J593" i="3"/>
  <c r="G593" i="3" s="1"/>
  <c r="J595" i="3"/>
  <c r="G595" i="3" s="1"/>
  <c r="J603" i="3"/>
  <c r="G603" i="3" s="1"/>
  <c r="J612" i="3"/>
  <c r="G612" i="3" s="1"/>
  <c r="J618" i="3"/>
  <c r="G618" i="3" s="1"/>
  <c r="J621" i="3"/>
  <c r="G621" i="3" s="1"/>
  <c r="J633" i="3"/>
  <c r="G633" i="3" s="1"/>
  <c r="J636" i="3"/>
  <c r="G636" i="3" s="1"/>
  <c r="J645" i="3"/>
  <c r="G645" i="3" s="1"/>
  <c r="J648" i="3"/>
  <c r="G648" i="3" s="1"/>
  <c r="J657" i="3"/>
  <c r="G657" i="3" s="1"/>
  <c r="J659" i="3"/>
  <c r="G659" i="3" s="1"/>
  <c r="J665" i="3"/>
  <c r="G665" i="3" s="1"/>
  <c r="J667" i="3"/>
  <c r="G667" i="3" s="1"/>
  <c r="J675" i="3"/>
  <c r="G675" i="3" s="1"/>
  <c r="J683" i="3"/>
  <c r="G683" i="3" s="1"/>
  <c r="J741" i="3"/>
  <c r="G741" i="3" s="1"/>
  <c r="J576" i="3"/>
  <c r="G576" i="3" s="1"/>
  <c r="J581" i="3"/>
  <c r="G581" i="3" s="1"/>
  <c r="J583" i="3"/>
  <c r="G583" i="3" s="1"/>
  <c r="J598" i="3"/>
  <c r="G598" i="3" s="1"/>
  <c r="J601" i="3"/>
  <c r="G601" i="3" s="1"/>
  <c r="J615" i="3"/>
  <c r="G615" i="3" s="1"/>
  <c r="J624" i="3"/>
  <c r="G624" i="3" s="1"/>
  <c r="J630" i="3"/>
  <c r="G630" i="3" s="1"/>
  <c r="J642" i="3"/>
  <c r="G642" i="3" s="1"/>
  <c r="J651" i="3"/>
  <c r="G651" i="3" s="1"/>
  <c r="J689" i="3"/>
  <c r="G689" i="3" s="1"/>
  <c r="J692" i="3"/>
  <c r="G692" i="3" s="1"/>
  <c r="J729" i="3"/>
  <c r="G729" i="3" s="1"/>
  <c r="J586" i="3"/>
  <c r="G586" i="3" s="1"/>
  <c r="J596" i="3"/>
  <c r="G596" i="3" s="1"/>
  <c r="J604" i="3"/>
  <c r="G604" i="3" s="1"/>
  <c r="J613" i="3"/>
  <c r="G613" i="3" s="1"/>
  <c r="J627" i="3"/>
  <c r="G627" i="3" s="1"/>
  <c r="J637" i="3"/>
  <c r="G637" i="3" s="1"/>
  <c r="J639" i="3"/>
  <c r="G639" i="3" s="1"/>
  <c r="J649" i="3"/>
  <c r="G649" i="3" s="1"/>
  <c r="J660" i="3"/>
  <c r="G660" i="3" s="1"/>
  <c r="J668" i="3"/>
  <c r="G668" i="3" s="1"/>
  <c r="J676" i="3"/>
  <c r="G676" i="3" s="1"/>
  <c r="J684" i="3"/>
  <c r="G684" i="3" s="1"/>
  <c r="J695" i="3"/>
  <c r="G695" i="3" s="1"/>
  <c r="J765" i="3"/>
  <c r="G765" i="3" s="1"/>
  <c r="J801" i="3"/>
  <c r="G801" i="3" s="1"/>
  <c r="J584" i="3"/>
  <c r="G584" i="3" s="1"/>
  <c r="J589" i="3"/>
  <c r="G589" i="3" s="1"/>
  <c r="J591" i="3"/>
  <c r="G591" i="3" s="1"/>
  <c r="J607" i="3"/>
  <c r="G607" i="3" s="1"/>
  <c r="J616" i="3"/>
  <c r="G616" i="3" s="1"/>
  <c r="J622" i="3"/>
  <c r="G622" i="3" s="1"/>
  <c r="J625" i="3"/>
  <c r="G625" i="3" s="1"/>
  <c r="J634" i="3"/>
  <c r="G634" i="3" s="1"/>
  <c r="J646" i="3"/>
  <c r="G646" i="3" s="1"/>
  <c r="J652" i="3"/>
  <c r="G652" i="3" s="1"/>
  <c r="J574" i="3"/>
  <c r="G574" i="3" s="1"/>
  <c r="J577" i="3"/>
  <c r="G577" i="3" s="1"/>
  <c r="J579" i="3"/>
  <c r="G579" i="3" s="1"/>
  <c r="J594" i="3"/>
  <c r="G594" i="3" s="1"/>
  <c r="J602" i="3"/>
  <c r="G602" i="3" s="1"/>
  <c r="J605" i="3"/>
  <c r="G605" i="3" s="1"/>
  <c r="J619" i="3"/>
  <c r="G619" i="3" s="1"/>
  <c r="J628" i="3"/>
  <c r="G628" i="3" s="1"/>
  <c r="J631" i="3"/>
  <c r="G631" i="3" s="1"/>
  <c r="J640" i="3"/>
  <c r="G640" i="3" s="1"/>
  <c r="J643" i="3"/>
  <c r="G643" i="3" s="1"/>
  <c r="J655" i="3"/>
  <c r="G655" i="3" s="1"/>
  <c r="J661" i="3"/>
  <c r="G661" i="3" s="1"/>
  <c r="J663" i="3"/>
  <c r="G663" i="3" s="1"/>
  <c r="J669" i="3"/>
  <c r="G669" i="3" s="1"/>
  <c r="J671" i="3"/>
  <c r="G671" i="3" s="1"/>
  <c r="J679" i="3"/>
  <c r="G679" i="3" s="1"/>
  <c r="J687" i="3"/>
  <c r="G687" i="3" s="1"/>
  <c r="J693" i="3"/>
  <c r="G693" i="3" s="1"/>
  <c r="J696" i="3"/>
  <c r="G696" i="3" s="1"/>
  <c r="J699" i="3"/>
  <c r="G699" i="3" s="1"/>
  <c r="J757" i="3"/>
  <c r="G757" i="3" s="1"/>
  <c r="J793" i="3"/>
  <c r="G793" i="3" s="1"/>
  <c r="J582" i="3"/>
  <c r="G582" i="3" s="1"/>
  <c r="J592" i="3"/>
  <c r="G592" i="3" s="1"/>
  <c r="J597" i="3"/>
  <c r="G597" i="3" s="1"/>
  <c r="J599" i="3"/>
  <c r="G599" i="3" s="1"/>
  <c r="J608" i="3"/>
  <c r="G608" i="3" s="1"/>
  <c r="J617" i="3"/>
  <c r="G617" i="3" s="1"/>
  <c r="J653" i="3"/>
  <c r="G653" i="3" s="1"/>
  <c r="J769" i="3"/>
  <c r="G769" i="3" s="1"/>
  <c r="J706" i="3"/>
  <c r="G706" i="3" s="1"/>
  <c r="J711" i="3"/>
  <c r="G711" i="3" s="1"/>
  <c r="J716" i="3"/>
  <c r="G716" i="3" s="1"/>
  <c r="J743" i="3"/>
  <c r="G743" i="3" s="1"/>
  <c r="J751" i="3"/>
  <c r="G751" i="3" s="1"/>
  <c r="J759" i="3"/>
  <c r="G759" i="3" s="1"/>
  <c r="J767" i="3"/>
  <c r="G767" i="3" s="1"/>
  <c r="J770" i="3"/>
  <c r="G770" i="3" s="1"/>
  <c r="J784" i="3"/>
  <c r="G784" i="3" s="1"/>
  <c r="J792" i="3"/>
  <c r="G792" i="3" s="1"/>
  <c r="J800" i="3"/>
  <c r="G800" i="3" s="1"/>
  <c r="J826" i="3"/>
  <c r="G826" i="3" s="1"/>
  <c r="J843" i="3"/>
  <c r="G843" i="3" s="1"/>
  <c r="J915" i="3"/>
  <c r="G915" i="3" s="1"/>
  <c r="J714" i="3"/>
  <c r="G714" i="3" s="1"/>
  <c r="J724" i="3"/>
  <c r="G724" i="3" s="1"/>
  <c r="J732" i="3"/>
  <c r="G732" i="3" s="1"/>
  <c r="J735" i="3"/>
  <c r="G735" i="3" s="1"/>
  <c r="J738" i="3"/>
  <c r="G738" i="3" s="1"/>
  <c r="J746" i="3"/>
  <c r="G746" i="3" s="1"/>
  <c r="J754" i="3"/>
  <c r="G754" i="3" s="1"/>
  <c r="J762" i="3"/>
  <c r="G762" i="3" s="1"/>
  <c r="J776" i="3"/>
  <c r="G776" i="3" s="1"/>
  <c r="J779" i="3"/>
  <c r="G779" i="3" s="1"/>
  <c r="J787" i="3"/>
  <c r="G787" i="3" s="1"/>
  <c r="J795" i="3"/>
  <c r="G795" i="3" s="1"/>
  <c r="J806" i="3"/>
  <c r="G806" i="3" s="1"/>
  <c r="J835" i="3"/>
  <c r="G835" i="3" s="1"/>
  <c r="J863" i="3"/>
  <c r="G863" i="3" s="1"/>
  <c r="J941" i="3"/>
  <c r="G941" i="3" s="1"/>
  <c r="J702" i="3"/>
  <c r="G702" i="3" s="1"/>
  <c r="J704" i="3"/>
  <c r="G704" i="3" s="1"/>
  <c r="J719" i="3"/>
  <c r="G719" i="3" s="1"/>
  <c r="J727" i="3"/>
  <c r="G727" i="3" s="1"/>
  <c r="J782" i="3"/>
  <c r="G782" i="3" s="1"/>
  <c r="J790" i="3"/>
  <c r="G790" i="3" s="1"/>
  <c r="J798" i="3"/>
  <c r="G798" i="3" s="1"/>
  <c r="J824" i="3"/>
  <c r="G824" i="3" s="1"/>
  <c r="J827" i="3"/>
  <c r="G827" i="3" s="1"/>
  <c r="J896" i="3"/>
  <c r="G896" i="3" s="1"/>
  <c r="J899" i="3"/>
  <c r="G899" i="3" s="1"/>
  <c r="J973" i="3"/>
  <c r="G973" i="3" s="1"/>
  <c r="J707" i="3"/>
  <c r="G707" i="3" s="1"/>
  <c r="J712" i="3"/>
  <c r="G712" i="3" s="1"/>
  <c r="J722" i="3"/>
  <c r="G722" i="3" s="1"/>
  <c r="J730" i="3"/>
  <c r="G730" i="3" s="1"/>
  <c r="J744" i="3"/>
  <c r="G744" i="3" s="1"/>
  <c r="J752" i="3"/>
  <c r="G752" i="3" s="1"/>
  <c r="J760" i="3"/>
  <c r="G760" i="3" s="1"/>
  <c r="J768" i="3"/>
  <c r="G768" i="3" s="1"/>
  <c r="J771" i="3"/>
  <c r="G771" i="3" s="1"/>
  <c r="J774" i="3"/>
  <c r="G774" i="3" s="1"/>
  <c r="J804" i="3"/>
  <c r="G804" i="3" s="1"/>
  <c r="J807" i="3"/>
  <c r="G807" i="3" s="1"/>
  <c r="J813" i="3"/>
  <c r="G813" i="3" s="1"/>
  <c r="J847" i="3"/>
  <c r="G847" i="3" s="1"/>
  <c r="J710" i="3"/>
  <c r="G710" i="3" s="1"/>
  <c r="J736" i="3"/>
  <c r="G736" i="3" s="1"/>
  <c r="J739" i="3"/>
  <c r="G739" i="3" s="1"/>
  <c r="J747" i="3"/>
  <c r="G747" i="3" s="1"/>
  <c r="J755" i="3"/>
  <c r="G755" i="3" s="1"/>
  <c r="J763" i="3"/>
  <c r="G763" i="3" s="1"/>
  <c r="J780" i="3"/>
  <c r="G780" i="3" s="1"/>
  <c r="J788" i="3"/>
  <c r="G788" i="3" s="1"/>
  <c r="J796" i="3"/>
  <c r="G796" i="3" s="1"/>
  <c r="J867" i="3"/>
  <c r="G867" i="3" s="1"/>
  <c r="J715" i="3"/>
  <c r="G715" i="3" s="1"/>
  <c r="J720" i="3"/>
  <c r="G720" i="3" s="1"/>
  <c r="J728" i="3"/>
  <c r="G728" i="3" s="1"/>
  <c r="J742" i="3"/>
  <c r="G742" i="3" s="1"/>
  <c r="J750" i="3"/>
  <c r="G750" i="3" s="1"/>
  <c r="J758" i="3"/>
  <c r="G758" i="3" s="1"/>
  <c r="J766" i="3"/>
  <c r="G766" i="3" s="1"/>
  <c r="J783" i="3"/>
  <c r="G783" i="3" s="1"/>
  <c r="J791" i="3"/>
  <c r="G791" i="3" s="1"/>
  <c r="J799" i="3"/>
  <c r="G799" i="3" s="1"/>
  <c r="J859" i="3"/>
  <c r="G859" i="3" s="1"/>
  <c r="J708" i="3"/>
  <c r="G708" i="3" s="1"/>
  <c r="J718" i="3"/>
  <c r="G718" i="3" s="1"/>
  <c r="J723" i="3"/>
  <c r="G723" i="3" s="1"/>
  <c r="J731" i="3"/>
  <c r="G731" i="3" s="1"/>
  <c r="J734" i="3"/>
  <c r="G734" i="3" s="1"/>
  <c r="J772" i="3"/>
  <c r="G772" i="3" s="1"/>
  <c r="J775" i="3"/>
  <c r="G775" i="3" s="1"/>
  <c r="J778" i="3"/>
  <c r="G778" i="3" s="1"/>
  <c r="J786" i="3"/>
  <c r="G786" i="3" s="1"/>
  <c r="J794" i="3"/>
  <c r="G794" i="3" s="1"/>
  <c r="J811" i="3"/>
  <c r="G811" i="3" s="1"/>
  <c r="J831" i="3"/>
  <c r="G831" i="3" s="1"/>
  <c r="J851" i="3"/>
  <c r="G851" i="3" s="1"/>
  <c r="J871" i="3"/>
  <c r="G871" i="3" s="1"/>
  <c r="J894" i="3"/>
  <c r="G894" i="3" s="1"/>
  <c r="J901" i="3"/>
  <c r="G901" i="3" s="1"/>
  <c r="J703" i="3"/>
  <c r="G703" i="3" s="1"/>
  <c r="J726" i="3"/>
  <c r="G726" i="3" s="1"/>
  <c r="J740" i="3"/>
  <c r="G740" i="3" s="1"/>
  <c r="J748" i="3"/>
  <c r="G748" i="3" s="1"/>
  <c r="J756" i="3"/>
  <c r="G756" i="3" s="1"/>
  <c r="J764" i="3"/>
  <c r="G764" i="3" s="1"/>
  <c r="J823" i="3"/>
  <c r="G823" i="3" s="1"/>
  <c r="J862" i="3"/>
  <c r="G862" i="3" s="1"/>
  <c r="J878" i="3"/>
  <c r="G878" i="3" s="1"/>
  <c r="J947" i="3"/>
  <c r="G947" i="3" s="1"/>
  <c r="J953" i="3"/>
  <c r="G953" i="3" s="1"/>
  <c r="J977" i="3"/>
  <c r="G977" i="3" s="1"/>
  <c r="J991" i="3"/>
  <c r="G991" i="3" s="1"/>
  <c r="J999" i="3"/>
  <c r="G999" i="3" s="1"/>
  <c r="J1019" i="3"/>
  <c r="G1019" i="3" s="1"/>
  <c r="J1045" i="3"/>
  <c r="G1045" i="3" s="1"/>
  <c r="J1058" i="3"/>
  <c r="G1058" i="3" s="1"/>
  <c r="J820" i="3"/>
  <c r="G820" i="3" s="1"/>
  <c r="J822" i="3"/>
  <c r="G822" i="3" s="1"/>
  <c r="J833" i="3"/>
  <c r="G833" i="3" s="1"/>
  <c r="J840" i="3"/>
  <c r="G840" i="3" s="1"/>
  <c r="J842" i="3"/>
  <c r="G842" i="3" s="1"/>
  <c r="J849" i="3"/>
  <c r="G849" i="3" s="1"/>
  <c r="J856" i="3"/>
  <c r="G856" i="3" s="1"/>
  <c r="J858" i="3"/>
  <c r="G858" i="3" s="1"/>
  <c r="J882" i="3"/>
  <c r="G882" i="3" s="1"/>
  <c r="J888" i="3"/>
  <c r="G888" i="3" s="1"/>
  <c r="J893" i="3"/>
  <c r="G893" i="3" s="1"/>
  <c r="J927" i="3"/>
  <c r="G927" i="3" s="1"/>
  <c r="J970" i="3"/>
  <c r="G970" i="3" s="1"/>
  <c r="J983" i="3"/>
  <c r="G983" i="3" s="1"/>
  <c r="J989" i="3"/>
  <c r="G989" i="3" s="1"/>
  <c r="J1008" i="3"/>
  <c r="G1008" i="3" s="1"/>
  <c r="J1017" i="3"/>
  <c r="G1017" i="3" s="1"/>
  <c r="J1031" i="3"/>
  <c r="G1031" i="3" s="1"/>
  <c r="J802" i="3"/>
  <c r="G802" i="3" s="1"/>
  <c r="J809" i="3"/>
  <c r="G809" i="3" s="1"/>
  <c r="J816" i="3"/>
  <c r="G816" i="3" s="1"/>
  <c r="J818" i="3"/>
  <c r="G818" i="3" s="1"/>
  <c r="J865" i="3"/>
  <c r="G865" i="3" s="1"/>
  <c r="J870" i="3"/>
  <c r="G870" i="3" s="1"/>
  <c r="J873" i="3"/>
  <c r="G873" i="3" s="1"/>
  <c r="J876" i="3"/>
  <c r="G876" i="3" s="1"/>
  <c r="J879" i="3"/>
  <c r="G879" i="3" s="1"/>
  <c r="J885" i="3"/>
  <c r="G885" i="3" s="1"/>
  <c r="J900" i="3"/>
  <c r="G900" i="3" s="1"/>
  <c r="J919" i="3"/>
  <c r="G919" i="3" s="1"/>
  <c r="J935" i="3"/>
  <c r="G935" i="3" s="1"/>
  <c r="J945" i="3"/>
  <c r="G945" i="3" s="1"/>
  <c r="J959" i="3"/>
  <c r="G959" i="3" s="1"/>
  <c r="J967" i="3"/>
  <c r="G967" i="3" s="1"/>
  <c r="J986" i="3"/>
  <c r="G986" i="3" s="1"/>
  <c r="J994" i="3"/>
  <c r="G994" i="3" s="1"/>
  <c r="J997" i="3"/>
  <c r="G997" i="3" s="1"/>
  <c r="J1042" i="3"/>
  <c r="G1042" i="3" s="1"/>
  <c r="J829" i="3"/>
  <c r="G829" i="3" s="1"/>
  <c r="J836" i="3"/>
  <c r="G836" i="3" s="1"/>
  <c r="J838" i="3"/>
  <c r="G838" i="3" s="1"/>
  <c r="J845" i="3"/>
  <c r="G845" i="3" s="1"/>
  <c r="J852" i="3"/>
  <c r="G852" i="3" s="1"/>
  <c r="J854" i="3"/>
  <c r="G854" i="3" s="1"/>
  <c r="J897" i="3"/>
  <c r="G897" i="3" s="1"/>
  <c r="J903" i="3"/>
  <c r="G903" i="3" s="1"/>
  <c r="J906" i="3"/>
  <c r="G906" i="3" s="1"/>
  <c r="J909" i="3"/>
  <c r="G909" i="3" s="1"/>
  <c r="J922" i="3"/>
  <c r="G922" i="3" s="1"/>
  <c r="J943" i="3"/>
  <c r="G943" i="3" s="1"/>
  <c r="J951" i="3"/>
  <c r="G951" i="3" s="1"/>
  <c r="J957" i="3"/>
  <c r="G957" i="3" s="1"/>
  <c r="J978" i="3"/>
  <c r="G978" i="3" s="1"/>
  <c r="J981" i="3"/>
  <c r="G981" i="3" s="1"/>
  <c r="J1011" i="3"/>
  <c r="G1011" i="3" s="1"/>
  <c r="J1023" i="3"/>
  <c r="G1023" i="3" s="1"/>
  <c r="J805" i="3"/>
  <c r="G805" i="3" s="1"/>
  <c r="J812" i="3"/>
  <c r="G812" i="3" s="1"/>
  <c r="J814" i="3"/>
  <c r="G814" i="3" s="1"/>
  <c r="J825" i="3"/>
  <c r="G825" i="3" s="1"/>
  <c r="J861" i="3"/>
  <c r="G861" i="3" s="1"/>
  <c r="J868" i="3"/>
  <c r="G868" i="3" s="1"/>
  <c r="J874" i="3"/>
  <c r="G874" i="3" s="1"/>
  <c r="J880" i="3"/>
  <c r="G880" i="3" s="1"/>
  <c r="J889" i="3"/>
  <c r="G889" i="3" s="1"/>
  <c r="J917" i="3"/>
  <c r="G917" i="3" s="1"/>
  <c r="J928" i="3"/>
  <c r="G928" i="3" s="1"/>
  <c r="J933" i="3"/>
  <c r="G933" i="3" s="1"/>
  <c r="J938" i="3"/>
  <c r="G938" i="3" s="1"/>
  <c r="J954" i="3"/>
  <c r="G954" i="3" s="1"/>
  <c r="J962" i="3"/>
  <c r="G962" i="3" s="1"/>
  <c r="J965" i="3"/>
  <c r="G965" i="3" s="1"/>
  <c r="J968" i="3"/>
  <c r="G968" i="3" s="1"/>
  <c r="J976" i="3"/>
  <c r="G976" i="3" s="1"/>
  <c r="J1001" i="3"/>
  <c r="G1001" i="3" s="1"/>
  <c r="J1015" i="3"/>
  <c r="G1015" i="3" s="1"/>
  <c r="J1021" i="3"/>
  <c r="G1021" i="3" s="1"/>
  <c r="J1029" i="3"/>
  <c r="G1029" i="3" s="1"/>
  <c r="J1035" i="3"/>
  <c r="G1035" i="3" s="1"/>
  <c r="J1063" i="3"/>
  <c r="G1063" i="3" s="1"/>
  <c r="J821" i="3"/>
  <c r="G821" i="3" s="1"/>
  <c r="J832" i="3"/>
  <c r="G832" i="3" s="1"/>
  <c r="J834" i="3"/>
  <c r="G834" i="3" s="1"/>
  <c r="J841" i="3"/>
  <c r="G841" i="3" s="1"/>
  <c r="J848" i="3"/>
  <c r="G848" i="3" s="1"/>
  <c r="J850" i="3"/>
  <c r="G850" i="3" s="1"/>
  <c r="J857" i="3"/>
  <c r="G857" i="3" s="1"/>
  <c r="J877" i="3"/>
  <c r="G877" i="3" s="1"/>
  <c r="J886" i="3"/>
  <c r="G886" i="3" s="1"/>
  <c r="J892" i="3"/>
  <c r="G892" i="3" s="1"/>
  <c r="J904" i="3"/>
  <c r="G904" i="3" s="1"/>
  <c r="J912" i="3"/>
  <c r="G912" i="3" s="1"/>
  <c r="J946" i="3"/>
  <c r="G946" i="3" s="1"/>
  <c r="J949" i="3"/>
  <c r="G949" i="3" s="1"/>
  <c r="J960" i="3"/>
  <c r="G960" i="3" s="1"/>
  <c r="J987" i="3"/>
  <c r="G987" i="3" s="1"/>
  <c r="J1009" i="3"/>
  <c r="G1009" i="3" s="1"/>
  <c r="J1018" i="3"/>
  <c r="G1018" i="3" s="1"/>
  <c r="J1055" i="3"/>
  <c r="G1055" i="3" s="1"/>
  <c r="J808" i="3"/>
  <c r="G808" i="3" s="1"/>
  <c r="J810" i="3"/>
  <c r="G810" i="3" s="1"/>
  <c r="J817" i="3"/>
  <c r="G817" i="3" s="1"/>
  <c r="J864" i="3"/>
  <c r="G864" i="3" s="1"/>
  <c r="J866" i="3"/>
  <c r="G866" i="3" s="1"/>
  <c r="J890" i="3"/>
  <c r="G890" i="3" s="1"/>
  <c r="J895" i="3"/>
  <c r="G895" i="3" s="1"/>
  <c r="J898" i="3"/>
  <c r="G898" i="3" s="1"/>
  <c r="J907" i="3"/>
  <c r="G907" i="3" s="1"/>
  <c r="J923" i="3"/>
  <c r="G923" i="3" s="1"/>
  <c r="J926" i="3"/>
  <c r="G926" i="3" s="1"/>
  <c r="J944" i="3"/>
  <c r="G944" i="3" s="1"/>
  <c r="J952" i="3"/>
  <c r="G952" i="3" s="1"/>
  <c r="J979" i="3"/>
  <c r="G979" i="3" s="1"/>
  <c r="J985" i="3"/>
  <c r="G985" i="3" s="1"/>
  <c r="J1026" i="3"/>
  <c r="G1026" i="3" s="1"/>
  <c r="J1047" i="3"/>
  <c r="G1047" i="3" s="1"/>
  <c r="J1053" i="3"/>
  <c r="G1053" i="3" s="1"/>
  <c r="J1061" i="3"/>
  <c r="G1061" i="3" s="1"/>
  <c r="J828" i="3"/>
  <c r="G828" i="3" s="1"/>
  <c r="J830" i="3"/>
  <c r="G830" i="3" s="1"/>
  <c r="J837" i="3"/>
  <c r="G837" i="3" s="1"/>
  <c r="J844" i="3"/>
  <c r="G844" i="3" s="1"/>
  <c r="J846" i="3"/>
  <c r="G846" i="3" s="1"/>
  <c r="J853" i="3"/>
  <c r="G853" i="3" s="1"/>
  <c r="J860" i="3"/>
  <c r="G860" i="3" s="1"/>
  <c r="J869" i="3"/>
  <c r="G869" i="3" s="1"/>
  <c r="J872" i="3"/>
  <c r="G872" i="3" s="1"/>
  <c r="J881" i="3"/>
  <c r="G881" i="3" s="1"/>
  <c r="J884" i="3"/>
  <c r="G884" i="3" s="1"/>
  <c r="J887" i="3"/>
  <c r="G887" i="3" s="1"/>
  <c r="J905" i="3"/>
  <c r="G905" i="3" s="1"/>
  <c r="J910" i="3"/>
  <c r="G910" i="3" s="1"/>
  <c r="J921" i="3"/>
  <c r="G921" i="3" s="1"/>
  <c r="J955" i="3"/>
  <c r="G955" i="3" s="1"/>
  <c r="J1002" i="3"/>
  <c r="G1002" i="3" s="1"/>
  <c r="J1013" i="3"/>
  <c r="G1013" i="3" s="1"/>
  <c r="J1039" i="3"/>
  <c r="G1039" i="3" s="1"/>
  <c r="J902" i="3"/>
  <c r="G902" i="3" s="1"/>
  <c r="J929" i="3"/>
  <c r="G929" i="3" s="1"/>
  <c r="J931" i="3"/>
  <c r="G931" i="3" s="1"/>
  <c r="J1051" i="3"/>
  <c r="G1051" i="3" s="1"/>
  <c r="J942" i="3"/>
  <c r="G942" i="3" s="1"/>
  <c r="J974" i="3"/>
  <c r="G974" i="3" s="1"/>
  <c r="J1006" i="3"/>
  <c r="G1006" i="3" s="1"/>
  <c r="J1041" i="3"/>
  <c r="G1041" i="3" s="1"/>
  <c r="J1043" i="3"/>
  <c r="G1043" i="3" s="1"/>
  <c r="J914" i="3"/>
  <c r="G914" i="3" s="1"/>
  <c r="J916" i="3"/>
  <c r="G916" i="3" s="1"/>
  <c r="J948" i="3"/>
  <c r="G948" i="3" s="1"/>
  <c r="J950" i="3"/>
  <c r="G950" i="3" s="1"/>
  <c r="J980" i="3"/>
  <c r="G980" i="3" s="1"/>
  <c r="J982" i="3"/>
  <c r="G982" i="3" s="1"/>
  <c r="J1012" i="3"/>
  <c r="G1012" i="3" s="1"/>
  <c r="J1014" i="3"/>
  <c r="G1014" i="3" s="1"/>
  <c r="J1025" i="3"/>
  <c r="G1025" i="3" s="1"/>
  <c r="J1027" i="3"/>
  <c r="G1027" i="3" s="1"/>
  <c r="J1057" i="3"/>
  <c r="G1057" i="3" s="1"/>
  <c r="J1059" i="3"/>
  <c r="G1059" i="3" s="1"/>
  <c r="J918" i="3"/>
  <c r="G918" i="3" s="1"/>
  <c r="J932" i="3"/>
  <c r="G932" i="3" s="1"/>
  <c r="J939" i="3"/>
  <c r="G939" i="3" s="1"/>
  <c r="J961" i="3"/>
  <c r="G961" i="3" s="1"/>
  <c r="J963" i="3"/>
  <c r="G963" i="3" s="1"/>
  <c r="J971" i="3"/>
  <c r="G971" i="3" s="1"/>
  <c r="J993" i="3"/>
  <c r="G993" i="3" s="1"/>
  <c r="J995" i="3"/>
  <c r="G995" i="3" s="1"/>
  <c r="J1003" i="3"/>
  <c r="G1003" i="3" s="1"/>
  <c r="J1032" i="3"/>
  <c r="G1032" i="3" s="1"/>
  <c r="J1038" i="3"/>
  <c r="G1038" i="3" s="1"/>
  <c r="J1010" i="3"/>
  <c r="G1010" i="3" s="1"/>
  <c r="J1022" i="3"/>
  <c r="G1022" i="3" s="1"/>
  <c r="J1030" i="3"/>
  <c r="G1030" i="3" s="1"/>
  <c r="J1034" i="3"/>
  <c r="G1034" i="3" s="1"/>
  <c r="J1044" i="3"/>
  <c r="G1044" i="3" s="1"/>
  <c r="J1048" i="3"/>
  <c r="G1048" i="3" s="1"/>
  <c r="J1054" i="3"/>
  <c r="G1054" i="3" s="1"/>
  <c r="J913" i="3"/>
  <c r="G913" i="3" s="1"/>
  <c r="J930" i="3"/>
  <c r="G930" i="3" s="1"/>
  <c r="J958" i="3"/>
  <c r="G958" i="3" s="1"/>
  <c r="J990" i="3"/>
  <c r="G990" i="3" s="1"/>
  <c r="J1028" i="3"/>
  <c r="G1028" i="3" s="1"/>
  <c r="J1050" i="3"/>
  <c r="G1050" i="3" s="1"/>
  <c r="J1060" i="3"/>
  <c r="G1060" i="3" s="1"/>
  <c r="J1064" i="3"/>
  <c r="G1064" i="3" s="1"/>
  <c r="J1066" i="3"/>
  <c r="G1066" i="3" s="1"/>
  <c r="J964" i="3"/>
  <c r="G964" i="3" s="1"/>
  <c r="J966" i="3"/>
  <c r="G966" i="3" s="1"/>
  <c r="J996" i="3"/>
  <c r="G996" i="3" s="1"/>
  <c r="J998" i="3"/>
  <c r="G998" i="3" s="1"/>
  <c r="J934" i="3"/>
  <c r="G934" i="3" s="1"/>
  <c r="J1046" i="3"/>
  <c r="G1046" i="3" s="1"/>
  <c r="J1062" i="3"/>
  <c r="G1062" i="3" s="1"/>
  <c r="D6" i="1" l="1"/>
  <c r="F5" i="1"/>
  <c r="E26" i="6"/>
  <c r="E28" i="6"/>
  <c r="E27" i="6"/>
  <c r="E25" i="6"/>
  <c r="E29" i="6"/>
  <c r="I4" i="6"/>
  <c r="E4" i="6"/>
  <c r="J8" i="6" s="1"/>
  <c r="E6" i="6"/>
  <c r="F5" i="2"/>
  <c r="J5" i="2" s="1"/>
  <c r="G5" i="2" s="1"/>
  <c r="E6" i="2"/>
  <c r="F6" i="1" l="1"/>
  <c r="D7" i="1"/>
  <c r="I27" i="6"/>
  <c r="I23" i="6"/>
  <c r="I19" i="6"/>
  <c r="I9" i="6"/>
  <c r="I15" i="6"/>
  <c r="I12" i="6"/>
  <c r="I20" i="6"/>
  <c r="I26" i="6"/>
  <c r="I22" i="6"/>
  <c r="I18" i="6"/>
  <c r="I11" i="6"/>
  <c r="I8" i="6"/>
  <c r="I13" i="6"/>
  <c r="I16" i="6"/>
  <c r="I25" i="6"/>
  <c r="I21" i="6"/>
  <c r="I17" i="6"/>
  <c r="I14" i="6"/>
  <c r="I7" i="6"/>
  <c r="I24" i="6"/>
  <c r="I10" i="6"/>
  <c r="J10" i="6"/>
  <c r="E7" i="2"/>
  <c r="F6" i="2"/>
  <c r="J6" i="2" s="1"/>
  <c r="G6" i="2" s="1"/>
  <c r="D8" i="1" l="1"/>
  <c r="F7" i="1"/>
  <c r="J12" i="6"/>
  <c r="E8" i="2"/>
  <c r="F7" i="2"/>
  <c r="J7" i="2" s="1"/>
  <c r="G7" i="2" s="1"/>
  <c r="F8" i="1" l="1"/>
  <c r="D9" i="1"/>
  <c r="F8" i="2"/>
  <c r="J8" i="2" s="1"/>
  <c r="G8" i="2" s="1"/>
  <c r="E9" i="2"/>
  <c r="D10" i="1" l="1"/>
  <c r="F9" i="1"/>
  <c r="F9" i="2"/>
  <c r="J9" i="2" s="1"/>
  <c r="G9" i="2" s="1"/>
  <c r="E10" i="2"/>
  <c r="F10" i="1" l="1"/>
  <c r="D11" i="1"/>
  <c r="E11" i="2"/>
  <c r="F10" i="2"/>
  <c r="J10" i="2" s="1"/>
  <c r="G10" i="2" s="1"/>
  <c r="D12" i="1" l="1"/>
  <c r="F11" i="1"/>
  <c r="E12" i="2"/>
  <c r="F11" i="2"/>
  <c r="J11" i="2" s="1"/>
  <c r="G11" i="2" s="1"/>
  <c r="F12" i="1" l="1"/>
  <c r="D13" i="1"/>
  <c r="F12" i="2"/>
  <c r="J12" i="2" s="1"/>
  <c r="G12" i="2" s="1"/>
  <c r="E13" i="2"/>
  <c r="D14" i="1" l="1"/>
  <c r="F13" i="1"/>
  <c r="F13" i="2"/>
  <c r="J13" i="2" s="1"/>
  <c r="G13" i="2" s="1"/>
  <c r="E14" i="2"/>
  <c r="F14" i="1" l="1"/>
  <c r="D15" i="1"/>
  <c r="F14" i="2"/>
  <c r="J14" i="2" s="1"/>
  <c r="G14" i="2" s="1"/>
  <c r="E15" i="2"/>
  <c r="D16" i="1" l="1"/>
  <c r="F15" i="1"/>
  <c r="E16" i="2"/>
  <c r="F15" i="2"/>
  <c r="J15" i="2" s="1"/>
  <c r="G15" i="2" s="1"/>
  <c r="F16" i="1" l="1"/>
  <c r="D17" i="1"/>
  <c r="F16" i="2"/>
  <c r="J16" i="2" s="1"/>
  <c r="G16" i="2" s="1"/>
  <c r="E17" i="2"/>
  <c r="D18" i="1" l="1"/>
  <c r="F17" i="1"/>
  <c r="F17" i="2"/>
  <c r="J17" i="2" s="1"/>
  <c r="G17" i="2" s="1"/>
  <c r="E18" i="2"/>
  <c r="F18" i="1" l="1"/>
  <c r="D19" i="1"/>
  <c r="E19" i="2"/>
  <c r="F18" i="2"/>
  <c r="J18" i="2" s="1"/>
  <c r="G18" i="2" s="1"/>
  <c r="D20" i="1" l="1"/>
  <c r="F19" i="1"/>
  <c r="E20" i="2"/>
  <c r="F19" i="2"/>
  <c r="J19" i="2" s="1"/>
  <c r="G19" i="2" s="1"/>
  <c r="F20" i="1" l="1"/>
  <c r="D21" i="1"/>
  <c r="F20" i="2"/>
  <c r="J20" i="2" s="1"/>
  <c r="G20" i="2" s="1"/>
  <c r="E21" i="2"/>
  <c r="D22" i="1" l="1"/>
  <c r="F21" i="1"/>
  <c r="F21" i="2"/>
  <c r="J21" i="2" s="1"/>
  <c r="G21" i="2" s="1"/>
  <c r="E22" i="2"/>
  <c r="F22" i="1" l="1"/>
  <c r="D23" i="1"/>
  <c r="E23" i="2"/>
  <c r="F22" i="2"/>
  <c r="J22" i="2" s="1"/>
  <c r="G22" i="2" s="1"/>
  <c r="D24" i="1" l="1"/>
  <c r="F23" i="1"/>
  <c r="E24" i="2"/>
  <c r="F23" i="2"/>
  <c r="J23" i="2" s="1"/>
  <c r="G23" i="2" s="1"/>
  <c r="F24" i="1" l="1"/>
  <c r="D25" i="1"/>
  <c r="F24" i="2"/>
  <c r="J24" i="2" s="1"/>
  <c r="G24" i="2" s="1"/>
  <c r="E25" i="2"/>
  <c r="D26" i="1" l="1"/>
  <c r="F25" i="1"/>
  <c r="F25" i="2"/>
  <c r="J25" i="2" s="1"/>
  <c r="G25" i="2" s="1"/>
  <c r="E26" i="2"/>
  <c r="F26" i="1" l="1"/>
  <c r="D27" i="1"/>
  <c r="F26" i="2"/>
  <c r="J26" i="2" s="1"/>
  <c r="G26" i="2" s="1"/>
  <c r="E27" i="2"/>
  <c r="D28" i="1" l="1"/>
  <c r="F27" i="1"/>
  <c r="E28" i="2"/>
  <c r="F27" i="2"/>
  <c r="J27" i="2" s="1"/>
  <c r="G27" i="2" s="1"/>
  <c r="F28" i="1" l="1"/>
  <c r="D29" i="1"/>
  <c r="F28" i="2"/>
  <c r="J28" i="2" s="1"/>
  <c r="G28" i="2" s="1"/>
  <c r="E29" i="2"/>
  <c r="D30" i="1" l="1"/>
  <c r="F29" i="1"/>
  <c r="F29" i="2"/>
  <c r="J29" i="2" s="1"/>
  <c r="G29" i="2" s="1"/>
  <c r="E30" i="2"/>
  <c r="F30" i="1" l="1"/>
  <c r="D31" i="1"/>
  <c r="E31" i="2"/>
  <c r="F30" i="2"/>
  <c r="J30" i="2" s="1"/>
  <c r="G30" i="2" s="1"/>
  <c r="D32" i="1" l="1"/>
  <c r="F31" i="1"/>
  <c r="E32" i="2"/>
  <c r="F31" i="2"/>
  <c r="J31" i="2" s="1"/>
  <c r="G31" i="2" s="1"/>
  <c r="F32" i="1" l="1"/>
  <c r="D33" i="1"/>
  <c r="F32" i="2"/>
  <c r="J32" i="2" s="1"/>
  <c r="G32" i="2" s="1"/>
  <c r="E33" i="2"/>
  <c r="D34" i="1" l="1"/>
  <c r="F33" i="1"/>
  <c r="F33" i="2"/>
  <c r="J33" i="2" s="1"/>
  <c r="G33" i="2" s="1"/>
  <c r="E34" i="2"/>
  <c r="F34" i="1" l="1"/>
  <c r="D35" i="1"/>
  <c r="E35" i="2"/>
  <c r="F34" i="2"/>
  <c r="J34" i="2" s="1"/>
  <c r="G34" i="2" s="1"/>
  <c r="D36" i="1" l="1"/>
  <c r="F35" i="1"/>
  <c r="E36" i="2"/>
  <c r="F35" i="2"/>
  <c r="J35" i="2" s="1"/>
  <c r="G35" i="2" s="1"/>
  <c r="F36" i="1" l="1"/>
  <c r="D37" i="1"/>
  <c r="F36" i="2"/>
  <c r="J36" i="2" s="1"/>
  <c r="G36" i="2" s="1"/>
  <c r="E37" i="2"/>
  <c r="D38" i="1" l="1"/>
  <c r="F37" i="1"/>
  <c r="F37" i="2"/>
  <c r="J37" i="2" s="1"/>
  <c r="G37" i="2" s="1"/>
  <c r="E38" i="2"/>
  <c r="F38" i="1" l="1"/>
  <c r="D39" i="1"/>
  <c r="E39" i="2"/>
  <c r="F38" i="2"/>
  <c r="J38" i="2" s="1"/>
  <c r="G38" i="2" s="1"/>
  <c r="D40" i="1" l="1"/>
  <c r="F39" i="1"/>
  <c r="E40" i="2"/>
  <c r="F39" i="2"/>
  <c r="J39" i="2" s="1"/>
  <c r="G39" i="2" s="1"/>
  <c r="F40" i="1" l="1"/>
  <c r="D41" i="1"/>
  <c r="F40" i="2"/>
  <c r="J40" i="2" s="1"/>
  <c r="G40" i="2" s="1"/>
  <c r="E41" i="2"/>
  <c r="D42" i="1" l="1"/>
  <c r="F41" i="1"/>
  <c r="F41" i="2"/>
  <c r="J41" i="2" s="1"/>
  <c r="G41" i="2" s="1"/>
  <c r="E42" i="2"/>
  <c r="F42" i="1" l="1"/>
  <c r="D43" i="1"/>
  <c r="E43" i="2"/>
  <c r="F42" i="2"/>
  <c r="J42" i="2" s="1"/>
  <c r="G42" i="2" s="1"/>
  <c r="D44" i="1" l="1"/>
  <c r="F43" i="1"/>
  <c r="E44" i="2"/>
  <c r="F43" i="2"/>
  <c r="J43" i="2" s="1"/>
  <c r="G43" i="2" s="1"/>
  <c r="F44" i="1" l="1"/>
  <c r="D45" i="1"/>
  <c r="F44" i="2"/>
  <c r="J44" i="2" s="1"/>
  <c r="G44" i="2" s="1"/>
  <c r="E45" i="2"/>
  <c r="D46" i="1" l="1"/>
  <c r="F45" i="1"/>
  <c r="F45" i="2"/>
  <c r="J45" i="2" s="1"/>
  <c r="G45" i="2" s="1"/>
  <c r="E46" i="2"/>
  <c r="F46" i="1" l="1"/>
  <c r="D47" i="1"/>
  <c r="F46" i="2"/>
  <c r="J46" i="2" s="1"/>
  <c r="G46" i="2" s="1"/>
  <c r="E47" i="2"/>
  <c r="D48" i="1" l="1"/>
  <c r="F47" i="1"/>
  <c r="E48" i="2"/>
  <c r="F47" i="2"/>
  <c r="J47" i="2" s="1"/>
  <c r="G47" i="2" s="1"/>
  <c r="F48" i="1" l="1"/>
  <c r="D49" i="1"/>
  <c r="F48" i="2"/>
  <c r="J48" i="2" s="1"/>
  <c r="G48" i="2" s="1"/>
  <c r="E49" i="2"/>
  <c r="D50" i="1" l="1"/>
  <c r="F49" i="1"/>
  <c r="F49" i="2"/>
  <c r="J49" i="2" s="1"/>
  <c r="G49" i="2" s="1"/>
  <c r="E50" i="2"/>
  <c r="F50" i="1" l="1"/>
  <c r="D51" i="1"/>
  <c r="E51" i="2"/>
  <c r="F50" i="2"/>
  <c r="J50" i="2" s="1"/>
  <c r="G50" i="2" s="1"/>
  <c r="D52" i="1" l="1"/>
  <c r="F51" i="1"/>
  <c r="E52" i="2"/>
  <c r="F51" i="2"/>
  <c r="J51" i="2" s="1"/>
  <c r="G51" i="2" s="1"/>
  <c r="F52" i="1" l="1"/>
  <c r="D53" i="1"/>
  <c r="F52" i="2"/>
  <c r="J52" i="2" s="1"/>
  <c r="G52" i="2" s="1"/>
  <c r="E53" i="2"/>
  <c r="D54" i="1" l="1"/>
  <c r="F53" i="1"/>
  <c r="F53" i="2"/>
  <c r="J53" i="2" s="1"/>
  <c r="G53" i="2" s="1"/>
  <c r="E54" i="2"/>
  <c r="F54" i="1" l="1"/>
  <c r="D55" i="1"/>
  <c r="E55" i="2"/>
  <c r="F54" i="2"/>
  <c r="J54" i="2" s="1"/>
  <c r="G54" i="2" s="1"/>
  <c r="D56" i="1" l="1"/>
  <c r="F55" i="1"/>
  <c r="E56" i="2"/>
  <c r="F55" i="2"/>
  <c r="J55" i="2" s="1"/>
  <c r="G55" i="2" s="1"/>
  <c r="F56" i="1" l="1"/>
  <c r="D57" i="1"/>
  <c r="F56" i="2"/>
  <c r="J56" i="2" s="1"/>
  <c r="G56" i="2" s="1"/>
  <c r="E57" i="2"/>
  <c r="D58" i="1" l="1"/>
  <c r="F57" i="1"/>
  <c r="F57" i="2"/>
  <c r="J57" i="2" s="1"/>
  <c r="G57" i="2" s="1"/>
  <c r="E58" i="2"/>
  <c r="F58" i="1" l="1"/>
  <c r="D59" i="1"/>
  <c r="F58" i="2"/>
  <c r="J58" i="2" s="1"/>
  <c r="G58" i="2" s="1"/>
  <c r="E59" i="2"/>
  <c r="D60" i="1" l="1"/>
  <c r="F59" i="1"/>
  <c r="E60" i="2"/>
  <c r="F59" i="2"/>
  <c r="J59" i="2" s="1"/>
  <c r="G59" i="2" s="1"/>
  <c r="F60" i="1" l="1"/>
  <c r="D61" i="1"/>
  <c r="F60" i="2"/>
  <c r="J60" i="2" s="1"/>
  <c r="G60" i="2" s="1"/>
  <c r="E61" i="2"/>
  <c r="F61" i="1" l="1"/>
  <c r="D62" i="1"/>
  <c r="F61" i="2"/>
  <c r="J61" i="2" s="1"/>
  <c r="G61" i="2" s="1"/>
  <c r="E62" i="2"/>
  <c r="D63" i="1" l="1"/>
  <c r="F62" i="1"/>
  <c r="E63" i="2"/>
  <c r="F62" i="2"/>
  <c r="J62" i="2" s="1"/>
  <c r="G62" i="2" s="1"/>
  <c r="F63" i="1" l="1"/>
  <c r="D64" i="1"/>
  <c r="E64" i="2"/>
  <c r="F63" i="2"/>
  <c r="J63" i="2" s="1"/>
  <c r="G63" i="2" s="1"/>
  <c r="D65" i="1" l="1"/>
  <c r="F64" i="1"/>
  <c r="F64" i="2"/>
  <c r="J64" i="2" s="1"/>
  <c r="G64" i="2" s="1"/>
  <c r="E65" i="2"/>
  <c r="F65" i="1" l="1"/>
  <c r="D66" i="1"/>
  <c r="F65" i="2"/>
  <c r="J65" i="2" s="1"/>
  <c r="G65" i="2" s="1"/>
  <c r="E66" i="2"/>
  <c r="D67" i="1" l="1"/>
  <c r="F66" i="1"/>
  <c r="E67" i="2"/>
  <c r="F66" i="2"/>
  <c r="J66" i="2" s="1"/>
  <c r="G66" i="2" s="1"/>
  <c r="F67" i="1" l="1"/>
  <c r="D68" i="1"/>
  <c r="E68" i="2"/>
  <c r="F67" i="2"/>
  <c r="J67" i="2" s="1"/>
  <c r="G67" i="2" s="1"/>
  <c r="D69" i="1" l="1"/>
  <c r="F68" i="1"/>
  <c r="F68" i="2"/>
  <c r="J68" i="2" s="1"/>
  <c r="G68" i="2" s="1"/>
  <c r="E69" i="2"/>
  <c r="F69" i="1" l="1"/>
  <c r="D70" i="1"/>
  <c r="F69" i="2"/>
  <c r="J69" i="2" s="1"/>
  <c r="G69" i="2" s="1"/>
  <c r="E70" i="2"/>
  <c r="D71" i="1" l="1"/>
  <c r="F70" i="1"/>
  <c r="E71" i="2"/>
  <c r="F70" i="2"/>
  <c r="J70" i="2" s="1"/>
  <c r="G70" i="2" s="1"/>
  <c r="F71" i="1" l="1"/>
  <c r="D72" i="1"/>
  <c r="E72" i="2"/>
  <c r="F71" i="2"/>
  <c r="J71" i="2" s="1"/>
  <c r="G71" i="2" s="1"/>
  <c r="D73" i="1" l="1"/>
  <c r="F72" i="1"/>
  <c r="F72" i="2"/>
  <c r="J72" i="2" s="1"/>
  <c r="G72" i="2" s="1"/>
  <c r="E73" i="2"/>
  <c r="F73" i="1" l="1"/>
  <c r="D74" i="1"/>
  <c r="F73" i="2"/>
  <c r="J73" i="2" s="1"/>
  <c r="G73" i="2" s="1"/>
  <c r="E74" i="2"/>
  <c r="D75" i="1" l="1"/>
  <c r="F74" i="1"/>
  <c r="E75" i="2"/>
  <c r="F74" i="2"/>
  <c r="J74" i="2" s="1"/>
  <c r="G74" i="2" s="1"/>
  <c r="F75" i="1" l="1"/>
  <c r="D76" i="1"/>
  <c r="E76" i="2"/>
  <c r="F75" i="2"/>
  <c r="J75" i="2" s="1"/>
  <c r="G75" i="2" s="1"/>
  <c r="D77" i="1" l="1"/>
  <c r="F76" i="1"/>
  <c r="F76" i="2"/>
  <c r="J76" i="2" s="1"/>
  <c r="G76" i="2" s="1"/>
  <c r="E77" i="2"/>
  <c r="F77" i="1" l="1"/>
  <c r="D78" i="1"/>
  <c r="F77" i="2"/>
  <c r="J77" i="2" s="1"/>
  <c r="G77" i="2" s="1"/>
  <c r="E78" i="2"/>
  <c r="D79" i="1" l="1"/>
  <c r="F78" i="1"/>
  <c r="F78" i="2"/>
  <c r="J78" i="2" s="1"/>
  <c r="G78" i="2" s="1"/>
  <c r="E79" i="2"/>
  <c r="F79" i="1" l="1"/>
  <c r="D80" i="1"/>
  <c r="E80" i="2"/>
  <c r="F79" i="2"/>
  <c r="J79" i="2" s="1"/>
  <c r="G79" i="2" s="1"/>
  <c r="D81" i="1" l="1"/>
  <c r="F80" i="1"/>
  <c r="F80" i="2"/>
  <c r="J80" i="2" s="1"/>
  <c r="G80" i="2" s="1"/>
  <c r="E81" i="2"/>
  <c r="F81" i="1" l="1"/>
  <c r="D82" i="1"/>
  <c r="F81" i="2"/>
  <c r="J81" i="2" s="1"/>
  <c r="G81" i="2" s="1"/>
  <c r="E82" i="2"/>
  <c r="D83" i="1" l="1"/>
  <c r="F82" i="1"/>
  <c r="E83" i="2"/>
  <c r="F82" i="2"/>
  <c r="J82" i="2" s="1"/>
  <c r="G82" i="2" s="1"/>
  <c r="F83" i="1" l="1"/>
  <c r="D84" i="1"/>
  <c r="E84" i="2"/>
  <c r="F83" i="2"/>
  <c r="J83" i="2" s="1"/>
  <c r="G83" i="2" s="1"/>
  <c r="D85" i="1" l="1"/>
  <c r="F84" i="1"/>
  <c r="F84" i="2"/>
  <c r="J84" i="2" s="1"/>
  <c r="G84" i="2" s="1"/>
  <c r="E85" i="2"/>
  <c r="F85" i="1" l="1"/>
  <c r="D86" i="1"/>
  <c r="F85" i="2"/>
  <c r="J85" i="2" s="1"/>
  <c r="G85" i="2" s="1"/>
  <c r="E86" i="2"/>
  <c r="D87" i="1" l="1"/>
  <c r="F86" i="1"/>
  <c r="E87" i="2"/>
  <c r="F86" i="2"/>
  <c r="J86" i="2" s="1"/>
  <c r="G86" i="2" s="1"/>
  <c r="F87" i="1" l="1"/>
  <c r="D88" i="1"/>
  <c r="E88" i="2"/>
  <c r="F87" i="2"/>
  <c r="J87" i="2" s="1"/>
  <c r="G87" i="2" s="1"/>
  <c r="D89" i="1" l="1"/>
  <c r="F88" i="1"/>
  <c r="F88" i="2"/>
  <c r="J88" i="2" s="1"/>
  <c r="G88" i="2" s="1"/>
  <c r="E89" i="2"/>
  <c r="F89" i="1" l="1"/>
  <c r="D90" i="1"/>
  <c r="F89" i="2"/>
  <c r="J89" i="2" s="1"/>
  <c r="G89" i="2" s="1"/>
  <c r="E90" i="2"/>
  <c r="D91" i="1" l="1"/>
  <c r="F90" i="1"/>
  <c r="F90" i="2"/>
  <c r="J90" i="2" s="1"/>
  <c r="G90" i="2" s="1"/>
  <c r="E91" i="2"/>
  <c r="F91" i="1" l="1"/>
  <c r="D92" i="1"/>
  <c r="E92" i="2"/>
  <c r="F91" i="2"/>
  <c r="J91" i="2" s="1"/>
  <c r="G91" i="2" s="1"/>
  <c r="D93" i="1" l="1"/>
  <c r="F92" i="1"/>
  <c r="F92" i="2"/>
  <c r="J92" i="2" s="1"/>
  <c r="G92" i="2" s="1"/>
  <c r="E93" i="2"/>
  <c r="F93" i="1" l="1"/>
  <c r="D94" i="1"/>
  <c r="F93" i="2"/>
  <c r="J93" i="2" s="1"/>
  <c r="G93" i="2" s="1"/>
  <c r="E94" i="2"/>
  <c r="D95" i="1" l="1"/>
  <c r="F94" i="1"/>
  <c r="E95" i="2"/>
  <c r="F94" i="2"/>
  <c r="J94" i="2" s="1"/>
  <c r="G94" i="2" s="1"/>
  <c r="F95" i="1" l="1"/>
  <c r="D96" i="1"/>
  <c r="E96" i="2"/>
  <c r="F95" i="2"/>
  <c r="J95" i="2" s="1"/>
  <c r="G95" i="2" s="1"/>
  <c r="D97" i="1" l="1"/>
  <c r="F96" i="1"/>
  <c r="F96" i="2"/>
  <c r="J96" i="2" s="1"/>
  <c r="G96" i="2" s="1"/>
  <c r="E97" i="2"/>
  <c r="F97" i="1" l="1"/>
  <c r="D98" i="1"/>
  <c r="F97" i="2"/>
  <c r="J97" i="2" s="1"/>
  <c r="G97" i="2" s="1"/>
  <c r="E98" i="2"/>
  <c r="D99" i="1" l="1"/>
  <c r="F98" i="1"/>
  <c r="E99" i="2"/>
  <c r="F98" i="2"/>
  <c r="J98" i="2" s="1"/>
  <c r="G98" i="2" s="1"/>
  <c r="F99" i="1" l="1"/>
  <c r="D100" i="1"/>
  <c r="E100" i="2"/>
  <c r="F99" i="2"/>
  <c r="J99" i="2" s="1"/>
  <c r="G99" i="2" s="1"/>
  <c r="D101" i="1" l="1"/>
  <c r="F100" i="1"/>
  <c r="F100" i="2"/>
  <c r="J100" i="2" s="1"/>
  <c r="G100" i="2" s="1"/>
  <c r="E101" i="2"/>
  <c r="F101" i="1" l="1"/>
  <c r="D102" i="1"/>
  <c r="F101" i="2"/>
  <c r="J101" i="2" s="1"/>
  <c r="G101" i="2" s="1"/>
  <c r="E102" i="2"/>
  <c r="D103" i="1" l="1"/>
  <c r="F102" i="1"/>
  <c r="E103" i="2"/>
  <c r="F102" i="2"/>
  <c r="J102" i="2" s="1"/>
  <c r="G102" i="2" s="1"/>
  <c r="F103" i="1" l="1"/>
  <c r="D104" i="1"/>
  <c r="E104" i="2"/>
  <c r="F103" i="2"/>
  <c r="J103" i="2" s="1"/>
  <c r="G103" i="2" s="1"/>
  <c r="D105" i="1" l="1"/>
  <c r="F104" i="1"/>
  <c r="F104" i="2"/>
  <c r="J104" i="2" s="1"/>
  <c r="G104" i="2" s="1"/>
  <c r="E105" i="2"/>
  <c r="F105" i="1" l="1"/>
  <c r="D106" i="1"/>
  <c r="F105" i="2"/>
  <c r="J105" i="2" s="1"/>
  <c r="G105" i="2" s="1"/>
  <c r="E106" i="2"/>
  <c r="D107" i="1" l="1"/>
  <c r="F106" i="1"/>
  <c r="E107" i="2"/>
  <c r="F106" i="2"/>
  <c r="J106" i="2" s="1"/>
  <c r="G106" i="2" s="1"/>
  <c r="F107" i="1" l="1"/>
  <c r="D108" i="1"/>
  <c r="E108" i="2"/>
  <c r="F107" i="2"/>
  <c r="J107" i="2" s="1"/>
  <c r="G107" i="2" s="1"/>
  <c r="D109" i="1" l="1"/>
  <c r="F108" i="1"/>
  <c r="F108" i="2"/>
  <c r="J108" i="2" s="1"/>
  <c r="G108" i="2" s="1"/>
  <c r="E109" i="2"/>
  <c r="F109" i="1" l="1"/>
  <c r="D110" i="1"/>
  <c r="F109" i="2"/>
  <c r="J109" i="2" s="1"/>
  <c r="G109" i="2" s="1"/>
  <c r="E110" i="2"/>
  <c r="D111" i="1" l="1"/>
  <c r="F110" i="1"/>
  <c r="F110" i="2"/>
  <c r="J110" i="2" s="1"/>
  <c r="G110" i="2" s="1"/>
  <c r="E111" i="2"/>
  <c r="F111" i="1" l="1"/>
  <c r="D112" i="1"/>
  <c r="E112" i="2"/>
  <c r="F111" i="2"/>
  <c r="J111" i="2" s="1"/>
  <c r="G111" i="2" s="1"/>
  <c r="D113" i="1" l="1"/>
  <c r="F112" i="1"/>
  <c r="F112" i="2"/>
  <c r="J112" i="2" s="1"/>
  <c r="G112" i="2" s="1"/>
  <c r="E113" i="2"/>
  <c r="F113" i="1" l="1"/>
  <c r="D114" i="1"/>
  <c r="F113" i="2"/>
  <c r="J113" i="2" s="1"/>
  <c r="G113" i="2" s="1"/>
  <c r="E114" i="2"/>
  <c r="D115" i="1" l="1"/>
  <c r="F114" i="1"/>
  <c r="E115" i="2"/>
  <c r="F114" i="2"/>
  <c r="J114" i="2" s="1"/>
  <c r="G114" i="2" s="1"/>
  <c r="F115" i="1" l="1"/>
  <c r="D116" i="1"/>
  <c r="E116" i="2"/>
  <c r="F115" i="2"/>
  <c r="J115" i="2" s="1"/>
  <c r="G115" i="2" s="1"/>
  <c r="D117" i="1" l="1"/>
  <c r="F116" i="1"/>
  <c r="F116" i="2"/>
  <c r="J116" i="2" s="1"/>
  <c r="G116" i="2" s="1"/>
  <c r="E117" i="2"/>
  <c r="F117" i="1" l="1"/>
  <c r="D118" i="1"/>
  <c r="F117" i="2"/>
  <c r="J117" i="2" s="1"/>
  <c r="G117" i="2" s="1"/>
  <c r="E118" i="2"/>
  <c r="D119" i="1" l="1"/>
  <c r="F118" i="1"/>
  <c r="E119" i="2"/>
  <c r="F118" i="2"/>
  <c r="J118" i="2" s="1"/>
  <c r="G118" i="2" s="1"/>
  <c r="F119" i="1" l="1"/>
  <c r="D120" i="1"/>
  <c r="E120" i="2"/>
  <c r="F119" i="2"/>
  <c r="J119" i="2" s="1"/>
  <c r="G119" i="2" s="1"/>
  <c r="D121" i="1" l="1"/>
  <c r="F120" i="1"/>
  <c r="F120" i="2"/>
  <c r="J120" i="2" s="1"/>
  <c r="G120" i="2" s="1"/>
  <c r="E121" i="2"/>
  <c r="F121" i="1" l="1"/>
  <c r="D122" i="1"/>
  <c r="F121" i="2"/>
  <c r="J121" i="2" s="1"/>
  <c r="G121" i="2" s="1"/>
  <c r="E122" i="2"/>
  <c r="D123" i="1" l="1"/>
  <c r="F122" i="1"/>
  <c r="F122" i="2"/>
  <c r="J122" i="2" s="1"/>
  <c r="G122" i="2" s="1"/>
  <c r="E123" i="2"/>
  <c r="F123" i="1" l="1"/>
  <c r="D124" i="1"/>
  <c r="E124" i="2"/>
  <c r="F123" i="2"/>
  <c r="J123" i="2" s="1"/>
  <c r="G123" i="2" s="1"/>
  <c r="D125" i="1" l="1"/>
  <c r="F124" i="1"/>
  <c r="F124" i="2"/>
  <c r="J124" i="2" s="1"/>
  <c r="G124" i="2" s="1"/>
  <c r="E125" i="2"/>
  <c r="F125" i="1" l="1"/>
  <c r="D126" i="1"/>
  <c r="F125" i="2"/>
  <c r="J125" i="2" s="1"/>
  <c r="G125" i="2" s="1"/>
  <c r="E126" i="2"/>
  <c r="D127" i="1" l="1"/>
  <c r="F126" i="1"/>
  <c r="F126" i="2"/>
  <c r="J126" i="2" s="1"/>
  <c r="G126" i="2" s="1"/>
  <c r="E127" i="2"/>
  <c r="F127" i="1" l="1"/>
  <c r="D128" i="1"/>
  <c r="E128" i="2"/>
  <c r="F127" i="2"/>
  <c r="J127" i="2" s="1"/>
  <c r="G127" i="2" s="1"/>
  <c r="D129" i="1" l="1"/>
  <c r="F128" i="1"/>
  <c r="F128" i="2"/>
  <c r="J128" i="2" s="1"/>
  <c r="G128" i="2" s="1"/>
  <c r="E129" i="2"/>
  <c r="F129" i="1" l="1"/>
  <c r="D130" i="1"/>
  <c r="F129" i="2"/>
  <c r="J129" i="2" s="1"/>
  <c r="G129" i="2" s="1"/>
  <c r="E130" i="2"/>
  <c r="D131" i="1" l="1"/>
  <c r="F130" i="1"/>
  <c r="F130" i="2"/>
  <c r="J130" i="2" s="1"/>
  <c r="G130" i="2" s="1"/>
  <c r="E131" i="2"/>
  <c r="F131" i="1" l="1"/>
  <c r="D132" i="1"/>
  <c r="E132" i="2"/>
  <c r="F131" i="2"/>
  <c r="J131" i="2" s="1"/>
  <c r="G131" i="2" s="1"/>
  <c r="D133" i="1" l="1"/>
  <c r="F132" i="1"/>
  <c r="F132" i="2"/>
  <c r="J132" i="2" s="1"/>
  <c r="G132" i="2" s="1"/>
  <c r="E133" i="2"/>
  <c r="F133" i="1" l="1"/>
  <c r="D134" i="1"/>
  <c r="F133" i="2"/>
  <c r="J133" i="2" s="1"/>
  <c r="G133" i="2" s="1"/>
  <c r="E134" i="2"/>
  <c r="D135" i="1" l="1"/>
  <c r="F134" i="1"/>
  <c r="F134" i="2"/>
  <c r="J134" i="2" s="1"/>
  <c r="G134" i="2" s="1"/>
  <c r="E135" i="2"/>
  <c r="F135" i="1" l="1"/>
  <c r="D136" i="1"/>
  <c r="E136" i="2"/>
  <c r="F135" i="2"/>
  <c r="J135" i="2" s="1"/>
  <c r="G135" i="2" s="1"/>
  <c r="D137" i="1" l="1"/>
  <c r="F136" i="1"/>
  <c r="F136" i="2"/>
  <c r="J136" i="2" s="1"/>
  <c r="G136" i="2" s="1"/>
  <c r="E137" i="2"/>
  <c r="F137" i="1" l="1"/>
  <c r="D138" i="1"/>
  <c r="F137" i="2"/>
  <c r="J137" i="2" s="1"/>
  <c r="G137" i="2" s="1"/>
  <c r="E138" i="2"/>
  <c r="D139" i="1" l="1"/>
  <c r="F138" i="1"/>
  <c r="F138" i="2"/>
  <c r="J138" i="2" s="1"/>
  <c r="G138" i="2" s="1"/>
  <c r="E139" i="2"/>
  <c r="F139" i="1" l="1"/>
  <c r="D140" i="1"/>
  <c r="E140" i="2"/>
  <c r="F139" i="2"/>
  <c r="J139" i="2" s="1"/>
  <c r="G139" i="2" s="1"/>
  <c r="D141" i="1" l="1"/>
  <c r="F140" i="1"/>
  <c r="F140" i="2"/>
  <c r="J140" i="2" s="1"/>
  <c r="G140" i="2" s="1"/>
  <c r="E141" i="2"/>
  <c r="F141" i="1" l="1"/>
  <c r="D142" i="1"/>
  <c r="F141" i="2"/>
  <c r="J141" i="2" s="1"/>
  <c r="G141" i="2" s="1"/>
  <c r="E142" i="2"/>
  <c r="D143" i="1" l="1"/>
  <c r="F142" i="1"/>
  <c r="F142" i="2"/>
  <c r="J142" i="2" s="1"/>
  <c r="G142" i="2" s="1"/>
  <c r="E143" i="2"/>
  <c r="F143" i="1" l="1"/>
  <c r="D144" i="1"/>
  <c r="E144" i="2"/>
  <c r="F143" i="2"/>
  <c r="J143" i="2" s="1"/>
  <c r="G143" i="2" s="1"/>
  <c r="D145" i="1" l="1"/>
  <c r="F144" i="1"/>
  <c r="F144" i="2"/>
  <c r="J144" i="2" s="1"/>
  <c r="G144" i="2" s="1"/>
  <c r="E145" i="2"/>
  <c r="F145" i="1" l="1"/>
  <c r="D146" i="1"/>
  <c r="F145" i="2"/>
  <c r="J145" i="2" s="1"/>
  <c r="G145" i="2" s="1"/>
  <c r="E146" i="2"/>
  <c r="D147" i="1" l="1"/>
  <c r="F146" i="1"/>
  <c r="F146" i="2"/>
  <c r="J146" i="2" s="1"/>
  <c r="G146" i="2" s="1"/>
  <c r="E147" i="2"/>
  <c r="F147" i="1" l="1"/>
  <c r="D148" i="1"/>
  <c r="E148" i="2"/>
  <c r="F147" i="2"/>
  <c r="J147" i="2" s="1"/>
  <c r="G147" i="2" s="1"/>
  <c r="D149" i="1" l="1"/>
  <c r="F148" i="1"/>
  <c r="F148" i="2"/>
  <c r="J148" i="2" s="1"/>
  <c r="G148" i="2" s="1"/>
  <c r="E149" i="2"/>
  <c r="F149" i="1" l="1"/>
  <c r="D150" i="1"/>
  <c r="F149" i="2"/>
  <c r="J149" i="2" s="1"/>
  <c r="G149" i="2" s="1"/>
  <c r="E150" i="2"/>
  <c r="D151" i="1" l="1"/>
  <c r="F150" i="1"/>
  <c r="F150" i="2"/>
  <c r="J150" i="2" s="1"/>
  <c r="G150" i="2" s="1"/>
  <c r="E151" i="2"/>
  <c r="F151" i="1" l="1"/>
  <c r="D152" i="1"/>
  <c r="E152" i="2"/>
  <c r="F151" i="2"/>
  <c r="J151" i="2" s="1"/>
  <c r="G151" i="2" s="1"/>
  <c r="D153" i="1" l="1"/>
  <c r="F152" i="1"/>
  <c r="F152" i="2"/>
  <c r="J152" i="2" s="1"/>
  <c r="G152" i="2" s="1"/>
  <c r="E153" i="2"/>
  <c r="F153" i="1" l="1"/>
  <c r="D154" i="1"/>
  <c r="F153" i="2"/>
  <c r="J153" i="2" s="1"/>
  <c r="G153" i="2" s="1"/>
  <c r="E154" i="2"/>
  <c r="D155" i="1" l="1"/>
  <c r="F154" i="1"/>
  <c r="F154" i="2"/>
  <c r="J154" i="2" s="1"/>
  <c r="G154" i="2" s="1"/>
  <c r="E155" i="2"/>
  <c r="F155" i="1" l="1"/>
  <c r="D156" i="1"/>
  <c r="E156" i="2"/>
  <c r="F155" i="2"/>
  <c r="J155" i="2" s="1"/>
  <c r="G155" i="2" s="1"/>
  <c r="D157" i="1" l="1"/>
  <c r="F156" i="1"/>
  <c r="F156" i="2"/>
  <c r="J156" i="2" s="1"/>
  <c r="G156" i="2" s="1"/>
  <c r="E157" i="2"/>
  <c r="F157" i="1" l="1"/>
  <c r="D158" i="1"/>
  <c r="F157" i="2"/>
  <c r="J157" i="2" s="1"/>
  <c r="G157" i="2" s="1"/>
  <c r="E158" i="2"/>
  <c r="D159" i="1" l="1"/>
  <c r="F158" i="1"/>
  <c r="F158" i="2"/>
  <c r="J158" i="2" s="1"/>
  <c r="G158" i="2" s="1"/>
  <c r="E159" i="2"/>
  <c r="F159" i="1" l="1"/>
  <c r="D160" i="1"/>
  <c r="E160" i="2"/>
  <c r="F159" i="2"/>
  <c r="J159" i="2" s="1"/>
  <c r="G159" i="2" s="1"/>
  <c r="D161" i="1" l="1"/>
  <c r="F160" i="1"/>
  <c r="F160" i="2"/>
  <c r="J160" i="2" s="1"/>
  <c r="G160" i="2" s="1"/>
  <c r="E161" i="2"/>
  <c r="F161" i="1" l="1"/>
  <c r="D162" i="1"/>
  <c r="F161" i="2"/>
  <c r="J161" i="2" s="1"/>
  <c r="G161" i="2" s="1"/>
  <c r="E162" i="2"/>
  <c r="D163" i="1" l="1"/>
  <c r="F162" i="1"/>
  <c r="F162" i="2"/>
  <c r="J162" i="2" s="1"/>
  <c r="G162" i="2" s="1"/>
  <c r="E163" i="2"/>
  <c r="F163" i="1" l="1"/>
  <c r="D164" i="1"/>
  <c r="E164" i="2"/>
  <c r="F163" i="2"/>
  <c r="J163" i="2" s="1"/>
  <c r="G163" i="2" s="1"/>
  <c r="D165" i="1" l="1"/>
  <c r="F164" i="1"/>
  <c r="F164" i="2"/>
  <c r="J164" i="2" s="1"/>
  <c r="G164" i="2" s="1"/>
  <c r="E165" i="2"/>
  <c r="F165" i="1" l="1"/>
  <c r="D166" i="1"/>
  <c r="F165" i="2"/>
  <c r="J165" i="2" s="1"/>
  <c r="G165" i="2" s="1"/>
  <c r="E166" i="2"/>
  <c r="D167" i="1" l="1"/>
  <c r="F166" i="1"/>
  <c r="F166" i="2"/>
  <c r="J166" i="2" s="1"/>
  <c r="G166" i="2" s="1"/>
  <c r="E167" i="2"/>
  <c r="F167" i="1" l="1"/>
  <c r="D168" i="1"/>
  <c r="E168" i="2"/>
  <c r="F167" i="2"/>
  <c r="J167" i="2" s="1"/>
  <c r="G167" i="2" s="1"/>
  <c r="D169" i="1" l="1"/>
  <c r="F168" i="1"/>
  <c r="F168" i="2"/>
  <c r="J168" i="2" s="1"/>
  <c r="G168" i="2" s="1"/>
  <c r="E169" i="2"/>
  <c r="F169" i="1" l="1"/>
  <c r="D170" i="1"/>
  <c r="F169" i="2"/>
  <c r="J169" i="2" s="1"/>
  <c r="G169" i="2" s="1"/>
  <c r="E170" i="2"/>
  <c r="D171" i="1" l="1"/>
  <c r="F170" i="1"/>
  <c r="F170" i="2"/>
  <c r="J170" i="2" s="1"/>
  <c r="G170" i="2" s="1"/>
  <c r="E171" i="2"/>
  <c r="F171" i="1" l="1"/>
  <c r="D172" i="1"/>
  <c r="E172" i="2"/>
  <c r="F171" i="2"/>
  <c r="J171" i="2" s="1"/>
  <c r="G171" i="2" s="1"/>
  <c r="D173" i="1" l="1"/>
  <c r="F172" i="1"/>
  <c r="F172" i="2"/>
  <c r="J172" i="2" s="1"/>
  <c r="G172" i="2" s="1"/>
  <c r="E173" i="2"/>
  <c r="F173" i="1" l="1"/>
  <c r="D174" i="1"/>
  <c r="F173" i="2"/>
  <c r="J173" i="2" s="1"/>
  <c r="G173" i="2" s="1"/>
  <c r="E174" i="2"/>
  <c r="D175" i="1" l="1"/>
  <c r="F174" i="1"/>
  <c r="F174" i="2"/>
  <c r="J174" i="2" s="1"/>
  <c r="G174" i="2" s="1"/>
  <c r="E175" i="2"/>
  <c r="F175" i="1" l="1"/>
  <c r="D176" i="1"/>
  <c r="E176" i="2"/>
  <c r="F175" i="2"/>
  <c r="J175" i="2" s="1"/>
  <c r="G175" i="2" s="1"/>
  <c r="D177" i="1" l="1"/>
  <c r="F176" i="1"/>
  <c r="F176" i="2"/>
  <c r="J176" i="2" s="1"/>
  <c r="G176" i="2" s="1"/>
  <c r="E177" i="2"/>
  <c r="F177" i="1" l="1"/>
  <c r="D178" i="1"/>
  <c r="F177" i="2"/>
  <c r="J177" i="2" s="1"/>
  <c r="G177" i="2" s="1"/>
  <c r="E178" i="2"/>
  <c r="D179" i="1" l="1"/>
  <c r="F178" i="1"/>
  <c r="F178" i="2"/>
  <c r="J178" i="2" s="1"/>
  <c r="G178" i="2" s="1"/>
  <c r="E179" i="2"/>
  <c r="F179" i="1" l="1"/>
  <c r="D180" i="1"/>
  <c r="E180" i="2"/>
  <c r="F179" i="2"/>
  <c r="J179" i="2" s="1"/>
  <c r="G179" i="2" s="1"/>
  <c r="D181" i="1" l="1"/>
  <c r="F180" i="1"/>
  <c r="F180" i="2"/>
  <c r="J180" i="2" s="1"/>
  <c r="G180" i="2" s="1"/>
  <c r="E181" i="2"/>
  <c r="F181" i="1" l="1"/>
  <c r="D182" i="1"/>
  <c r="F181" i="2"/>
  <c r="J181" i="2" s="1"/>
  <c r="G181" i="2" s="1"/>
  <c r="E182" i="2"/>
  <c r="D183" i="1" l="1"/>
  <c r="F182" i="1"/>
  <c r="F182" i="2"/>
  <c r="J182" i="2" s="1"/>
  <c r="G182" i="2" s="1"/>
  <c r="E183" i="2"/>
  <c r="F183" i="1" l="1"/>
  <c r="D184" i="1"/>
  <c r="E184" i="2"/>
  <c r="F183" i="2"/>
  <c r="J183" i="2" s="1"/>
  <c r="G183" i="2" s="1"/>
  <c r="D185" i="1" l="1"/>
  <c r="F184" i="1"/>
  <c r="F184" i="2"/>
  <c r="J184" i="2" s="1"/>
  <c r="G184" i="2" s="1"/>
  <c r="E185" i="2"/>
  <c r="F185" i="1" l="1"/>
  <c r="D186" i="1"/>
  <c r="F185" i="2"/>
  <c r="J185" i="2" s="1"/>
  <c r="G185" i="2" s="1"/>
  <c r="E186" i="2"/>
  <c r="D187" i="1" l="1"/>
  <c r="F186" i="1"/>
  <c r="F186" i="2"/>
  <c r="J186" i="2" s="1"/>
  <c r="G186" i="2" s="1"/>
  <c r="E187" i="2"/>
  <c r="F187" i="1" l="1"/>
  <c r="D188" i="1"/>
  <c r="E188" i="2"/>
  <c r="F187" i="2"/>
  <c r="J187" i="2" s="1"/>
  <c r="G187" i="2" s="1"/>
  <c r="D189" i="1" l="1"/>
  <c r="F188" i="1"/>
  <c r="F188" i="2"/>
  <c r="J188" i="2" s="1"/>
  <c r="G188" i="2" s="1"/>
  <c r="E189" i="2"/>
  <c r="F189" i="1" l="1"/>
  <c r="D190" i="1"/>
  <c r="F189" i="2"/>
  <c r="J189" i="2" s="1"/>
  <c r="G189" i="2" s="1"/>
  <c r="E190" i="2"/>
  <c r="D191" i="1" l="1"/>
  <c r="F190" i="1"/>
  <c r="F190" i="2"/>
  <c r="J190" i="2" s="1"/>
  <c r="G190" i="2" s="1"/>
  <c r="E191" i="2"/>
  <c r="F191" i="1" l="1"/>
  <c r="D192" i="1"/>
  <c r="E192" i="2"/>
  <c r="F191" i="2"/>
  <c r="J191" i="2" s="1"/>
  <c r="G191" i="2" s="1"/>
  <c r="D193" i="1" l="1"/>
  <c r="F192" i="1"/>
  <c r="F192" i="2"/>
  <c r="J192" i="2" s="1"/>
  <c r="G192" i="2" s="1"/>
  <c r="E193" i="2"/>
  <c r="F193" i="1" l="1"/>
  <c r="D194" i="1"/>
  <c r="E194" i="2"/>
  <c r="F193" i="2"/>
  <c r="J193" i="2" s="1"/>
  <c r="G193" i="2" s="1"/>
  <c r="D195" i="1" l="1"/>
  <c r="F194" i="1"/>
  <c r="F194" i="2"/>
  <c r="J194" i="2" s="1"/>
  <c r="G194" i="2" s="1"/>
  <c r="E195" i="2"/>
  <c r="F195" i="1" l="1"/>
  <c r="D196" i="1"/>
  <c r="E196" i="2"/>
  <c r="F195" i="2"/>
  <c r="J195" i="2" s="1"/>
  <c r="G195" i="2" s="1"/>
  <c r="D197" i="1" l="1"/>
  <c r="F196" i="1"/>
  <c r="E197" i="2"/>
  <c r="F196" i="2"/>
  <c r="J196" i="2" s="1"/>
  <c r="G196" i="2" s="1"/>
  <c r="F197" i="1" l="1"/>
  <c r="D198" i="1"/>
  <c r="F197" i="2"/>
  <c r="J197" i="2" s="1"/>
  <c r="G197" i="2" s="1"/>
  <c r="E198" i="2"/>
  <c r="D199" i="1" l="1"/>
  <c r="F198" i="1"/>
  <c r="F198" i="2"/>
  <c r="J198" i="2" s="1"/>
  <c r="G198" i="2" s="1"/>
  <c r="E199" i="2"/>
  <c r="F199" i="1" l="1"/>
  <c r="D200" i="1"/>
  <c r="E200" i="2"/>
  <c r="F199" i="2"/>
  <c r="J199" i="2" s="1"/>
  <c r="G199" i="2" s="1"/>
  <c r="D201" i="1" l="1"/>
  <c r="F200" i="1"/>
  <c r="E201" i="2"/>
  <c r="F200" i="2"/>
  <c r="J200" i="2" s="1"/>
  <c r="G200" i="2" s="1"/>
  <c r="F201" i="1" l="1"/>
  <c r="D202" i="1"/>
  <c r="F201" i="2"/>
  <c r="J201" i="2" s="1"/>
  <c r="G201" i="2" s="1"/>
  <c r="E202" i="2"/>
  <c r="D203" i="1" l="1"/>
  <c r="F202" i="1"/>
  <c r="F202" i="2"/>
  <c r="J202" i="2" s="1"/>
  <c r="G202" i="2" s="1"/>
  <c r="E203" i="2"/>
  <c r="F203" i="1" l="1"/>
  <c r="D204" i="1"/>
  <c r="E204" i="2"/>
  <c r="F203" i="2"/>
  <c r="J203" i="2" s="1"/>
  <c r="G203" i="2" s="1"/>
  <c r="D205" i="1" l="1"/>
  <c r="F204" i="1"/>
  <c r="E205" i="2"/>
  <c r="F204" i="2"/>
  <c r="J204" i="2" s="1"/>
  <c r="G204" i="2" s="1"/>
  <c r="F205" i="1" l="1"/>
  <c r="D206" i="1"/>
  <c r="F205" i="2"/>
  <c r="J205" i="2" s="1"/>
  <c r="G205" i="2" s="1"/>
  <c r="E206" i="2"/>
  <c r="D207" i="1" l="1"/>
  <c r="F206" i="1"/>
  <c r="F206" i="2"/>
  <c r="J206" i="2" s="1"/>
  <c r="G206" i="2" s="1"/>
  <c r="E207" i="2"/>
  <c r="F207" i="1" l="1"/>
  <c r="D208" i="1"/>
  <c r="E208" i="2"/>
  <c r="F207" i="2"/>
  <c r="J207" i="2" s="1"/>
  <c r="G207" i="2" s="1"/>
  <c r="D209" i="1" l="1"/>
  <c r="F208" i="1"/>
  <c r="E209" i="2"/>
  <c r="F208" i="2"/>
  <c r="J208" i="2" s="1"/>
  <c r="G208" i="2" s="1"/>
  <c r="F209" i="1" l="1"/>
  <c r="D210" i="1"/>
  <c r="F209" i="2"/>
  <c r="J209" i="2" s="1"/>
  <c r="G209" i="2" s="1"/>
  <c r="E210" i="2"/>
  <c r="D211" i="1" l="1"/>
  <c r="F210" i="1"/>
  <c r="F210" i="2"/>
  <c r="J210" i="2" s="1"/>
  <c r="G210" i="2" s="1"/>
  <c r="E211" i="2"/>
  <c r="F211" i="1" l="1"/>
  <c r="D212" i="1"/>
  <c r="E212" i="2"/>
  <c r="F211" i="2"/>
  <c r="J211" i="2" s="1"/>
  <c r="G211" i="2" s="1"/>
  <c r="D213" i="1" l="1"/>
  <c r="F212" i="1"/>
  <c r="E213" i="2"/>
  <c r="F212" i="2"/>
  <c r="J212" i="2" s="1"/>
  <c r="G212" i="2" s="1"/>
  <c r="F213" i="1" l="1"/>
  <c r="D214" i="1"/>
  <c r="F213" i="2"/>
  <c r="J213" i="2" s="1"/>
  <c r="G213" i="2" s="1"/>
  <c r="E214" i="2"/>
  <c r="D215" i="1" l="1"/>
  <c r="F214" i="1"/>
  <c r="F214" i="2"/>
  <c r="J214" i="2" s="1"/>
  <c r="G214" i="2" s="1"/>
  <c r="E215" i="2"/>
  <c r="F215" i="1" l="1"/>
  <c r="D216" i="1"/>
  <c r="E216" i="2"/>
  <c r="F215" i="2"/>
  <c r="J215" i="2" s="1"/>
  <c r="G215" i="2" s="1"/>
  <c r="D217" i="1" l="1"/>
  <c r="F216" i="1"/>
  <c r="E217" i="2"/>
  <c r="F216" i="2"/>
  <c r="J216" i="2" s="1"/>
  <c r="G216" i="2" s="1"/>
  <c r="F217" i="1" l="1"/>
  <c r="D218" i="1"/>
  <c r="F217" i="2"/>
  <c r="J217" i="2" s="1"/>
  <c r="G217" i="2" s="1"/>
  <c r="E218" i="2"/>
  <c r="D219" i="1" l="1"/>
  <c r="F218" i="1"/>
  <c r="F218" i="2"/>
  <c r="J218" i="2" s="1"/>
  <c r="G218" i="2" s="1"/>
  <c r="E219" i="2"/>
  <c r="F219" i="1" l="1"/>
  <c r="D220" i="1"/>
  <c r="E220" i="2"/>
  <c r="F219" i="2"/>
  <c r="J219" i="2" s="1"/>
  <c r="G219" i="2" s="1"/>
  <c r="D221" i="1" l="1"/>
  <c r="F220" i="1"/>
  <c r="E221" i="2"/>
  <c r="F220" i="2"/>
  <c r="J220" i="2" s="1"/>
  <c r="G220" i="2" s="1"/>
  <c r="F221" i="1" l="1"/>
  <c r="D222" i="1"/>
  <c r="F221" i="2"/>
  <c r="J221" i="2" s="1"/>
  <c r="G221" i="2" s="1"/>
  <c r="E222" i="2"/>
  <c r="D223" i="1" l="1"/>
  <c r="F222" i="1"/>
  <c r="F222" i="2"/>
  <c r="J222" i="2" s="1"/>
  <c r="G222" i="2" s="1"/>
  <c r="E223" i="2"/>
  <c r="F223" i="1" l="1"/>
  <c r="D224" i="1"/>
  <c r="E224" i="2"/>
  <c r="F223" i="2"/>
  <c r="J223" i="2" s="1"/>
  <c r="G223" i="2" s="1"/>
  <c r="D225" i="1" l="1"/>
  <c r="F224" i="1"/>
  <c r="E225" i="2"/>
  <c r="F224" i="2"/>
  <c r="J224" i="2" s="1"/>
  <c r="G224" i="2" s="1"/>
  <c r="F225" i="1" l="1"/>
  <c r="D226" i="1"/>
  <c r="F225" i="2"/>
  <c r="J225" i="2" s="1"/>
  <c r="G225" i="2" s="1"/>
  <c r="E226" i="2"/>
  <c r="D227" i="1" l="1"/>
  <c r="F226" i="1"/>
  <c r="F226" i="2"/>
  <c r="J226" i="2" s="1"/>
  <c r="G226" i="2" s="1"/>
  <c r="E227" i="2"/>
  <c r="F227" i="1" l="1"/>
  <c r="D228" i="1"/>
  <c r="E228" i="2"/>
  <c r="F227" i="2"/>
  <c r="J227" i="2" s="1"/>
  <c r="G227" i="2" s="1"/>
  <c r="D229" i="1" l="1"/>
  <c r="F228" i="1"/>
  <c r="E229" i="2"/>
  <c r="F228" i="2"/>
  <c r="J228" i="2" s="1"/>
  <c r="G228" i="2" s="1"/>
  <c r="F229" i="1" l="1"/>
  <c r="D230" i="1"/>
  <c r="F229" i="2"/>
  <c r="J229" i="2" s="1"/>
  <c r="G229" i="2" s="1"/>
  <c r="E230" i="2"/>
  <c r="D231" i="1" l="1"/>
  <c r="F230" i="1"/>
  <c r="F230" i="2"/>
  <c r="J230" i="2" s="1"/>
  <c r="G230" i="2" s="1"/>
  <c r="E231" i="2"/>
  <c r="F231" i="1" l="1"/>
  <c r="D232" i="1"/>
  <c r="E232" i="2"/>
  <c r="F231" i="2"/>
  <c r="J231" i="2" s="1"/>
  <c r="G231" i="2" s="1"/>
  <c r="D233" i="1" l="1"/>
  <c r="F232" i="1"/>
  <c r="E233" i="2"/>
  <c r="F232" i="2"/>
  <c r="J232" i="2" s="1"/>
  <c r="G232" i="2" s="1"/>
  <c r="F233" i="1" l="1"/>
  <c r="D234" i="1"/>
  <c r="F233" i="2"/>
  <c r="J233" i="2" s="1"/>
  <c r="G233" i="2" s="1"/>
  <c r="E234" i="2"/>
  <c r="D235" i="1" l="1"/>
  <c r="F234" i="1"/>
  <c r="F234" i="2"/>
  <c r="J234" i="2" s="1"/>
  <c r="G234" i="2" s="1"/>
  <c r="E235" i="2"/>
  <c r="F235" i="1" l="1"/>
  <c r="D236" i="1"/>
  <c r="E236" i="2"/>
  <c r="F235" i="2"/>
  <c r="J235" i="2" s="1"/>
  <c r="G235" i="2" s="1"/>
  <c r="D237" i="1" l="1"/>
  <c r="F236" i="1"/>
  <c r="E237" i="2"/>
  <c r="F236" i="2"/>
  <c r="J236" i="2" s="1"/>
  <c r="G236" i="2" s="1"/>
  <c r="F237" i="1" l="1"/>
  <c r="D238" i="1"/>
  <c r="F237" i="2"/>
  <c r="J237" i="2" s="1"/>
  <c r="G237" i="2" s="1"/>
  <c r="E238" i="2"/>
  <c r="D239" i="1" l="1"/>
  <c r="F238" i="1"/>
  <c r="F238" i="2"/>
  <c r="J238" i="2" s="1"/>
  <c r="G238" i="2" s="1"/>
  <c r="E239" i="2"/>
  <c r="F239" i="1" l="1"/>
  <c r="D240" i="1"/>
  <c r="E240" i="2"/>
  <c r="F239" i="2"/>
  <c r="J239" i="2" s="1"/>
  <c r="G239" i="2" s="1"/>
  <c r="D241" i="1" l="1"/>
  <c r="F240" i="1"/>
  <c r="E241" i="2"/>
  <c r="F240" i="2"/>
  <c r="J240" i="2" s="1"/>
  <c r="G240" i="2" s="1"/>
  <c r="F241" i="1" l="1"/>
  <c r="D242" i="1"/>
  <c r="F241" i="2"/>
  <c r="J241" i="2" s="1"/>
  <c r="G241" i="2" s="1"/>
  <c r="E242" i="2"/>
  <c r="D243" i="1" l="1"/>
  <c r="F242" i="1"/>
  <c r="F242" i="2"/>
  <c r="J242" i="2" s="1"/>
  <c r="G242" i="2" s="1"/>
  <c r="E243" i="2"/>
  <c r="F243" i="1" l="1"/>
  <c r="D244" i="1"/>
  <c r="E244" i="2"/>
  <c r="F243" i="2"/>
  <c r="J243" i="2" s="1"/>
  <c r="G243" i="2" s="1"/>
  <c r="D245" i="1" l="1"/>
  <c r="F244" i="1"/>
  <c r="E245" i="2"/>
  <c r="F244" i="2"/>
  <c r="J244" i="2" s="1"/>
  <c r="G244" i="2" s="1"/>
  <c r="F245" i="1" l="1"/>
  <c r="D246" i="1"/>
  <c r="F245" i="2"/>
  <c r="J245" i="2" s="1"/>
  <c r="G245" i="2" s="1"/>
  <c r="E246" i="2"/>
  <c r="D247" i="1" l="1"/>
  <c r="F246" i="1"/>
  <c r="F246" i="2"/>
  <c r="J246" i="2" s="1"/>
  <c r="G246" i="2" s="1"/>
  <c r="E247" i="2"/>
  <c r="F247" i="1" l="1"/>
  <c r="D248" i="1"/>
  <c r="E248" i="2"/>
  <c r="F247" i="2"/>
  <c r="J247" i="2" s="1"/>
  <c r="G247" i="2" s="1"/>
  <c r="D249" i="1" l="1"/>
  <c r="F248" i="1"/>
  <c r="E249" i="2"/>
  <c r="F248" i="2"/>
  <c r="J248" i="2" s="1"/>
  <c r="G248" i="2" s="1"/>
  <c r="F249" i="1" l="1"/>
  <c r="D250" i="1"/>
  <c r="F249" i="2"/>
  <c r="J249" i="2" s="1"/>
  <c r="G249" i="2" s="1"/>
  <c r="E250" i="2"/>
  <c r="D251" i="1" l="1"/>
  <c r="F250" i="1"/>
  <c r="F250" i="2"/>
  <c r="J250" i="2" s="1"/>
  <c r="G250" i="2" s="1"/>
  <c r="E251" i="2"/>
  <c r="F251" i="1" l="1"/>
  <c r="D252" i="1"/>
  <c r="E252" i="2"/>
  <c r="F251" i="2"/>
  <c r="J251" i="2" s="1"/>
  <c r="G251" i="2" s="1"/>
  <c r="D253" i="1" l="1"/>
  <c r="F252" i="1"/>
  <c r="E253" i="2"/>
  <c r="F252" i="2"/>
  <c r="J252" i="2" s="1"/>
  <c r="G252" i="2" s="1"/>
  <c r="F253" i="1" l="1"/>
  <c r="D254" i="1"/>
  <c r="F253" i="2"/>
  <c r="J253" i="2" s="1"/>
  <c r="G253" i="2" s="1"/>
  <c r="E254" i="2"/>
  <c r="D255" i="1" l="1"/>
  <c r="F254" i="1"/>
  <c r="F254" i="2"/>
  <c r="J254" i="2" s="1"/>
  <c r="G254" i="2" s="1"/>
  <c r="E255" i="2"/>
  <c r="F255" i="1" l="1"/>
  <c r="D256" i="1"/>
  <c r="E256" i="2"/>
  <c r="F255" i="2"/>
  <c r="J255" i="2" s="1"/>
  <c r="G255" i="2" s="1"/>
  <c r="D257" i="1" l="1"/>
  <c r="F256" i="1"/>
  <c r="E257" i="2"/>
  <c r="F256" i="2"/>
  <c r="J256" i="2" s="1"/>
  <c r="G256" i="2" s="1"/>
  <c r="F257" i="1" l="1"/>
  <c r="D258" i="1"/>
  <c r="F257" i="2"/>
  <c r="J257" i="2" s="1"/>
  <c r="G257" i="2" s="1"/>
  <c r="E258" i="2"/>
  <c r="D259" i="1" l="1"/>
  <c r="F258" i="1"/>
  <c r="F258" i="2"/>
  <c r="J258" i="2" s="1"/>
  <c r="G258" i="2" s="1"/>
  <c r="E259" i="2"/>
  <c r="F259" i="1" l="1"/>
  <c r="D260" i="1"/>
  <c r="E260" i="2"/>
  <c r="F259" i="2"/>
  <c r="J259" i="2" s="1"/>
  <c r="G259" i="2" s="1"/>
  <c r="D261" i="1" l="1"/>
  <c r="F260" i="1"/>
  <c r="E261" i="2"/>
  <c r="F260" i="2"/>
  <c r="J260" i="2" s="1"/>
  <c r="G260" i="2" s="1"/>
  <c r="F261" i="1" l="1"/>
  <c r="D262" i="1"/>
  <c r="F261" i="2"/>
  <c r="J261" i="2" s="1"/>
  <c r="G261" i="2" s="1"/>
  <c r="E262" i="2"/>
  <c r="D263" i="1" l="1"/>
  <c r="F262" i="1"/>
  <c r="F262" i="2"/>
  <c r="J262" i="2" s="1"/>
  <c r="G262" i="2" s="1"/>
  <c r="E263" i="2"/>
  <c r="F263" i="1" l="1"/>
  <c r="D264" i="1"/>
  <c r="E264" i="2"/>
  <c r="F263" i="2"/>
  <c r="J263" i="2" s="1"/>
  <c r="G263" i="2" s="1"/>
  <c r="D265" i="1" l="1"/>
  <c r="F264" i="1"/>
  <c r="E265" i="2"/>
  <c r="F264" i="2"/>
  <c r="J264" i="2" s="1"/>
  <c r="G264" i="2" s="1"/>
  <c r="F265" i="1" l="1"/>
  <c r="D266" i="1"/>
  <c r="F265" i="2"/>
  <c r="J265" i="2" s="1"/>
  <c r="G265" i="2" s="1"/>
  <c r="E266" i="2"/>
  <c r="D267" i="1" l="1"/>
  <c r="F266" i="1"/>
  <c r="F266" i="2"/>
  <c r="J266" i="2" s="1"/>
  <c r="G266" i="2" s="1"/>
  <c r="E267" i="2"/>
  <c r="F267" i="1" l="1"/>
  <c r="D268" i="1"/>
  <c r="E268" i="2"/>
  <c r="F267" i="2"/>
  <c r="J267" i="2" s="1"/>
  <c r="G267" i="2" s="1"/>
  <c r="D269" i="1" l="1"/>
  <c r="F268" i="1"/>
  <c r="E269" i="2"/>
  <c r="F268" i="2"/>
  <c r="J268" i="2" s="1"/>
  <c r="G268" i="2" s="1"/>
  <c r="F269" i="1" l="1"/>
  <c r="D270" i="1"/>
  <c r="F269" i="2"/>
  <c r="J269" i="2" s="1"/>
  <c r="G269" i="2" s="1"/>
  <c r="E270" i="2"/>
  <c r="D271" i="1" l="1"/>
  <c r="F270" i="1"/>
  <c r="F270" i="2"/>
  <c r="J270" i="2" s="1"/>
  <c r="G270" i="2" s="1"/>
  <c r="E271" i="2"/>
  <c r="F271" i="1" l="1"/>
  <c r="D272" i="1"/>
  <c r="E272" i="2"/>
  <c r="F271" i="2"/>
  <c r="J271" i="2" s="1"/>
  <c r="G271" i="2" s="1"/>
  <c r="D273" i="1" l="1"/>
  <c r="F272" i="1"/>
  <c r="E273" i="2"/>
  <c r="F272" i="2"/>
  <c r="J272" i="2" s="1"/>
  <c r="G272" i="2" s="1"/>
  <c r="F273" i="1" l="1"/>
  <c r="D274" i="1"/>
  <c r="F273" i="2"/>
  <c r="J273" i="2" s="1"/>
  <c r="G273" i="2" s="1"/>
  <c r="E274" i="2"/>
  <c r="D275" i="1" l="1"/>
  <c r="F274" i="1"/>
  <c r="F274" i="2"/>
  <c r="J274" i="2" s="1"/>
  <c r="G274" i="2" s="1"/>
  <c r="E275" i="2"/>
  <c r="F275" i="1" l="1"/>
  <c r="D276" i="1"/>
  <c r="E276" i="2"/>
  <c r="F275" i="2"/>
  <c r="J275" i="2" s="1"/>
  <c r="G275" i="2" s="1"/>
  <c r="D277" i="1" l="1"/>
  <c r="F276" i="1"/>
  <c r="E277" i="2"/>
  <c r="F276" i="2"/>
  <c r="J276" i="2" s="1"/>
  <c r="G276" i="2" s="1"/>
  <c r="F277" i="1" l="1"/>
  <c r="D278" i="1"/>
  <c r="F277" i="2"/>
  <c r="J277" i="2" s="1"/>
  <c r="G277" i="2" s="1"/>
  <c r="E278" i="2"/>
  <c r="D279" i="1" l="1"/>
  <c r="F278" i="1"/>
  <c r="F278" i="2"/>
  <c r="J278" i="2" s="1"/>
  <c r="G278" i="2" s="1"/>
  <c r="E279" i="2"/>
  <c r="F279" i="1" l="1"/>
  <c r="D280" i="1"/>
  <c r="E280" i="2"/>
  <c r="F279" i="2"/>
  <c r="J279" i="2" s="1"/>
  <c r="G279" i="2" s="1"/>
  <c r="D281" i="1" l="1"/>
  <c r="F280" i="1"/>
  <c r="E281" i="2"/>
  <c r="F280" i="2"/>
  <c r="J280" i="2" s="1"/>
  <c r="G280" i="2" s="1"/>
  <c r="F281" i="1" l="1"/>
  <c r="D282" i="1"/>
  <c r="F281" i="2"/>
  <c r="J281" i="2" s="1"/>
  <c r="G281" i="2" s="1"/>
  <c r="E282" i="2"/>
  <c r="D283" i="1" l="1"/>
  <c r="F282" i="1"/>
  <c r="F282" i="2"/>
  <c r="J282" i="2" s="1"/>
  <c r="G282" i="2" s="1"/>
  <c r="E283" i="2"/>
  <c r="F283" i="1" l="1"/>
  <c r="D284" i="1"/>
  <c r="E284" i="2"/>
  <c r="F283" i="2"/>
  <c r="J283" i="2" s="1"/>
  <c r="G283" i="2" s="1"/>
  <c r="D285" i="1" l="1"/>
  <c r="F284" i="1"/>
  <c r="E285" i="2"/>
  <c r="F284" i="2"/>
  <c r="J284" i="2" s="1"/>
  <c r="G284" i="2" s="1"/>
  <c r="F285" i="1" l="1"/>
  <c r="D286" i="1"/>
  <c r="F285" i="2"/>
  <c r="J285" i="2" s="1"/>
  <c r="G285" i="2" s="1"/>
  <c r="E286" i="2"/>
  <c r="D287" i="1" l="1"/>
  <c r="F286" i="1"/>
  <c r="F286" i="2"/>
  <c r="J286" i="2" s="1"/>
  <c r="G286" i="2" s="1"/>
  <c r="E287" i="2"/>
  <c r="F287" i="1" l="1"/>
  <c r="D288" i="1"/>
  <c r="E288" i="2"/>
  <c r="F287" i="2"/>
  <c r="J287" i="2" s="1"/>
  <c r="G287" i="2" s="1"/>
  <c r="D289" i="1" l="1"/>
  <c r="F288" i="1"/>
  <c r="E289" i="2"/>
  <c r="F288" i="2"/>
  <c r="J288" i="2" s="1"/>
  <c r="G288" i="2" s="1"/>
  <c r="F289" i="1" l="1"/>
  <c r="D290" i="1"/>
  <c r="F289" i="2"/>
  <c r="J289" i="2" s="1"/>
  <c r="G289" i="2" s="1"/>
  <c r="E290" i="2"/>
  <c r="D291" i="1" l="1"/>
  <c r="F290" i="1"/>
  <c r="F290" i="2"/>
  <c r="J290" i="2" s="1"/>
  <c r="G290" i="2" s="1"/>
  <c r="E291" i="2"/>
  <c r="F291" i="1" l="1"/>
  <c r="D292" i="1"/>
  <c r="E292" i="2"/>
  <c r="F291" i="2"/>
  <c r="J291" i="2" s="1"/>
  <c r="G291" i="2" s="1"/>
  <c r="D293" i="1" l="1"/>
  <c r="F292" i="1"/>
  <c r="E293" i="2"/>
  <c r="F292" i="2"/>
  <c r="J292" i="2" s="1"/>
  <c r="G292" i="2" s="1"/>
  <c r="F293" i="1" l="1"/>
  <c r="D294" i="1"/>
  <c r="F293" i="2"/>
  <c r="J293" i="2" s="1"/>
  <c r="G293" i="2" s="1"/>
  <c r="E294" i="2"/>
  <c r="D295" i="1" l="1"/>
  <c r="F294" i="1"/>
  <c r="F294" i="2"/>
  <c r="J294" i="2" s="1"/>
  <c r="G294" i="2" s="1"/>
  <c r="E295" i="2"/>
  <c r="F295" i="1" l="1"/>
  <c r="D296" i="1"/>
  <c r="E296" i="2"/>
  <c r="F295" i="2"/>
  <c r="J295" i="2" s="1"/>
  <c r="G295" i="2" s="1"/>
  <c r="D297" i="1" l="1"/>
  <c r="F296" i="1"/>
  <c r="E297" i="2"/>
  <c r="F296" i="2"/>
  <c r="J296" i="2" s="1"/>
  <c r="G296" i="2" s="1"/>
  <c r="F297" i="1" l="1"/>
  <c r="D298" i="1"/>
  <c r="F297" i="2"/>
  <c r="J297" i="2" s="1"/>
  <c r="G297" i="2" s="1"/>
  <c r="E298" i="2"/>
  <c r="D299" i="1" l="1"/>
  <c r="F298" i="1"/>
  <c r="F298" i="2"/>
  <c r="J298" i="2" s="1"/>
  <c r="G298" i="2" s="1"/>
  <c r="E299" i="2"/>
  <c r="F299" i="1" l="1"/>
  <c r="D300" i="1"/>
  <c r="E300" i="2"/>
  <c r="F299" i="2"/>
  <c r="J299" i="2" s="1"/>
  <c r="G299" i="2" s="1"/>
  <c r="D301" i="1" l="1"/>
  <c r="F300" i="1"/>
  <c r="E301" i="2"/>
  <c r="F300" i="2"/>
  <c r="J300" i="2" s="1"/>
  <c r="G300" i="2" s="1"/>
  <c r="F301" i="1" l="1"/>
  <c r="D302" i="1"/>
  <c r="F301" i="2"/>
  <c r="J301" i="2" s="1"/>
  <c r="G301" i="2" s="1"/>
  <c r="E302" i="2"/>
  <c r="D303" i="1" l="1"/>
  <c r="F302" i="1"/>
  <c r="F302" i="2"/>
  <c r="J302" i="2" s="1"/>
  <c r="G302" i="2" s="1"/>
  <c r="E303" i="2"/>
  <c r="F303" i="1" l="1"/>
  <c r="D304" i="1"/>
  <c r="E304" i="2"/>
  <c r="F303" i="2"/>
  <c r="J303" i="2" s="1"/>
  <c r="G303" i="2" s="1"/>
  <c r="D305" i="1" l="1"/>
  <c r="F304" i="1"/>
  <c r="E305" i="2"/>
  <c r="F304" i="2"/>
  <c r="J304" i="2" s="1"/>
  <c r="G304" i="2" s="1"/>
  <c r="F305" i="1" l="1"/>
  <c r="D306" i="1"/>
  <c r="F305" i="2"/>
  <c r="J305" i="2" s="1"/>
  <c r="G305" i="2" s="1"/>
  <c r="E306" i="2"/>
  <c r="D307" i="1" l="1"/>
  <c r="F306" i="1"/>
  <c r="F306" i="2"/>
  <c r="J306" i="2" s="1"/>
  <c r="G306" i="2" s="1"/>
  <c r="E307" i="2"/>
  <c r="F307" i="1" l="1"/>
  <c r="D308" i="1"/>
  <c r="E308" i="2"/>
  <c r="F307" i="2"/>
  <c r="J307" i="2" s="1"/>
  <c r="G307" i="2" s="1"/>
  <c r="D309" i="1" l="1"/>
  <c r="F308" i="1"/>
  <c r="E309" i="2"/>
  <c r="F308" i="2"/>
  <c r="J308" i="2" s="1"/>
  <c r="G308" i="2" s="1"/>
  <c r="F309" i="1" l="1"/>
  <c r="D310" i="1"/>
  <c r="F309" i="2"/>
  <c r="J309" i="2" s="1"/>
  <c r="G309" i="2" s="1"/>
  <c r="E310" i="2"/>
  <c r="D311" i="1" l="1"/>
  <c r="F310" i="1"/>
  <c r="F310" i="2"/>
  <c r="J310" i="2" s="1"/>
  <c r="G310" i="2" s="1"/>
  <c r="E311" i="2"/>
  <c r="F311" i="1" l="1"/>
  <c r="D312" i="1"/>
  <c r="E312" i="2"/>
  <c r="F311" i="2"/>
  <c r="J311" i="2" s="1"/>
  <c r="G311" i="2" s="1"/>
  <c r="D313" i="1" l="1"/>
  <c r="F312" i="1"/>
  <c r="E313" i="2"/>
  <c r="F312" i="2"/>
  <c r="J312" i="2" s="1"/>
  <c r="G312" i="2" s="1"/>
  <c r="D314" i="1" l="1"/>
  <c r="F313" i="1"/>
  <c r="F313" i="2"/>
  <c r="J313" i="2" s="1"/>
  <c r="G313" i="2" s="1"/>
  <c r="E314" i="2"/>
  <c r="D315" i="1" l="1"/>
  <c r="F314" i="1"/>
  <c r="F314" i="2"/>
  <c r="J314" i="2" s="1"/>
  <c r="G314" i="2" s="1"/>
  <c r="E315" i="2"/>
  <c r="F315" i="1" l="1"/>
  <c r="D316" i="1"/>
  <c r="E316" i="2"/>
  <c r="F315" i="2"/>
  <c r="J315" i="2" s="1"/>
  <c r="G315" i="2" s="1"/>
  <c r="F316" i="1" l="1"/>
  <c r="D317" i="1"/>
  <c r="E317" i="2"/>
  <c r="F316" i="2"/>
  <c r="J316" i="2" s="1"/>
  <c r="G316" i="2" s="1"/>
  <c r="D318" i="1" l="1"/>
  <c r="F317" i="1"/>
  <c r="F317" i="2"/>
  <c r="J317" i="2" s="1"/>
  <c r="G317" i="2" s="1"/>
  <c r="E318" i="2"/>
  <c r="F318" i="1" l="1"/>
  <c r="D319" i="1"/>
  <c r="F318" i="2"/>
  <c r="J318" i="2" s="1"/>
  <c r="G318" i="2" s="1"/>
  <c r="E319" i="2"/>
  <c r="F319" i="1" l="1"/>
  <c r="D320" i="1"/>
  <c r="E320" i="2"/>
  <c r="F319" i="2"/>
  <c r="J319" i="2" s="1"/>
  <c r="G319" i="2" s="1"/>
  <c r="F320" i="1" l="1"/>
  <c r="D321" i="1"/>
  <c r="E321" i="2"/>
  <c r="F320" i="2"/>
  <c r="J320" i="2" s="1"/>
  <c r="G320" i="2" s="1"/>
  <c r="F321" i="1" l="1"/>
  <c r="D322" i="1"/>
  <c r="F321" i="2"/>
  <c r="J321" i="2" s="1"/>
  <c r="G321" i="2" s="1"/>
  <c r="E322" i="2"/>
  <c r="F322" i="1" l="1"/>
  <c r="D323" i="1"/>
  <c r="F322" i="2"/>
  <c r="J322" i="2" s="1"/>
  <c r="G322" i="2" s="1"/>
  <c r="E323" i="2"/>
  <c r="F323" i="1" l="1"/>
  <c r="D324" i="1"/>
  <c r="E324" i="2"/>
  <c r="F323" i="2"/>
  <c r="J323" i="2" s="1"/>
  <c r="G323" i="2" s="1"/>
  <c r="F324" i="1" l="1"/>
  <c r="D325" i="1"/>
  <c r="E325" i="2"/>
  <c r="F324" i="2"/>
  <c r="J324" i="2" s="1"/>
  <c r="G324" i="2" s="1"/>
  <c r="D326" i="1" l="1"/>
  <c r="F325" i="1"/>
  <c r="F325" i="2"/>
  <c r="J325" i="2" s="1"/>
  <c r="G325" i="2" s="1"/>
  <c r="E326" i="2"/>
  <c r="F326" i="1" l="1"/>
  <c r="D327" i="1"/>
  <c r="F326" i="2"/>
  <c r="J326" i="2" s="1"/>
  <c r="G326" i="2" s="1"/>
  <c r="E327" i="2"/>
  <c r="F327" i="1" l="1"/>
  <c r="D328" i="1"/>
  <c r="E328" i="2"/>
  <c r="F327" i="2"/>
  <c r="J327" i="2" s="1"/>
  <c r="G327" i="2" s="1"/>
  <c r="F328" i="1" l="1"/>
  <c r="D329" i="1"/>
  <c r="E329" i="2"/>
  <c r="F328" i="2"/>
  <c r="J328" i="2" s="1"/>
  <c r="G328" i="2" s="1"/>
  <c r="F329" i="1" l="1"/>
  <c r="D330" i="1"/>
  <c r="F329" i="2"/>
  <c r="J329" i="2" s="1"/>
  <c r="G329" i="2" s="1"/>
  <c r="E330" i="2"/>
  <c r="F330" i="1" l="1"/>
  <c r="D331" i="1"/>
  <c r="F330" i="2"/>
  <c r="J330" i="2" s="1"/>
  <c r="G330" i="2" s="1"/>
  <c r="E331" i="2"/>
  <c r="F331" i="1" l="1"/>
  <c r="D332" i="1"/>
  <c r="E332" i="2"/>
  <c r="F331" i="2"/>
  <c r="J331" i="2" s="1"/>
  <c r="G331" i="2" s="1"/>
  <c r="F332" i="1" l="1"/>
  <c r="D333" i="1"/>
  <c r="E333" i="2"/>
  <c r="F332" i="2"/>
  <c r="J332" i="2" s="1"/>
  <c r="G332" i="2" s="1"/>
  <c r="D334" i="1" l="1"/>
  <c r="F333" i="1"/>
  <c r="F333" i="2"/>
  <c r="J333" i="2" s="1"/>
  <c r="G333" i="2" s="1"/>
  <c r="E334" i="2"/>
  <c r="F334" i="1" l="1"/>
  <c r="D335" i="1"/>
  <c r="F334" i="2"/>
  <c r="J334" i="2" s="1"/>
  <c r="G334" i="2" s="1"/>
  <c r="E335" i="2"/>
  <c r="F335" i="1" l="1"/>
  <c r="D336" i="1"/>
  <c r="E336" i="2"/>
  <c r="F335" i="2"/>
  <c r="J335" i="2" s="1"/>
  <c r="G335" i="2" s="1"/>
  <c r="F336" i="1" l="1"/>
  <c r="D337" i="1"/>
  <c r="E337" i="2"/>
  <c r="F336" i="2"/>
  <c r="J336" i="2" s="1"/>
  <c r="G336" i="2" s="1"/>
  <c r="F337" i="1" l="1"/>
  <c r="D338" i="1"/>
  <c r="F337" i="2"/>
  <c r="J337" i="2" s="1"/>
  <c r="G337" i="2" s="1"/>
  <c r="E338" i="2"/>
  <c r="F338" i="1" l="1"/>
  <c r="D339" i="1"/>
  <c r="F338" i="2"/>
  <c r="J338" i="2" s="1"/>
  <c r="G338" i="2" s="1"/>
  <c r="E339" i="2"/>
  <c r="F339" i="1" l="1"/>
  <c r="D340" i="1"/>
  <c r="E340" i="2"/>
  <c r="F339" i="2"/>
  <c r="J339" i="2" s="1"/>
  <c r="G339" i="2" s="1"/>
  <c r="F340" i="1" l="1"/>
  <c r="D341" i="1"/>
  <c r="E341" i="2"/>
  <c r="F340" i="2"/>
  <c r="J340" i="2" s="1"/>
  <c r="G340" i="2" s="1"/>
  <c r="D342" i="1" l="1"/>
  <c r="F341" i="1"/>
  <c r="F341" i="2"/>
  <c r="J341" i="2" s="1"/>
  <c r="G341" i="2" s="1"/>
  <c r="E342" i="2"/>
  <c r="F342" i="1" l="1"/>
  <c r="D343" i="1"/>
  <c r="F342" i="2"/>
  <c r="J342" i="2" s="1"/>
  <c r="G342" i="2" s="1"/>
  <c r="E343" i="2"/>
  <c r="F343" i="1" l="1"/>
  <c r="D344" i="1"/>
  <c r="E344" i="2"/>
  <c r="F343" i="2"/>
  <c r="J343" i="2" s="1"/>
  <c r="G343" i="2" s="1"/>
  <c r="F344" i="1" l="1"/>
  <c r="D345" i="1"/>
  <c r="E345" i="2"/>
  <c r="F344" i="2"/>
  <c r="J344" i="2" s="1"/>
  <c r="G344" i="2" s="1"/>
  <c r="F345" i="1" l="1"/>
  <c r="D346" i="1"/>
  <c r="F345" i="2"/>
  <c r="J345" i="2" s="1"/>
  <c r="G345" i="2" s="1"/>
  <c r="E346" i="2"/>
  <c r="F346" i="1" l="1"/>
  <c r="D347" i="1"/>
  <c r="F346" i="2"/>
  <c r="J346" i="2" s="1"/>
  <c r="G346" i="2" s="1"/>
  <c r="E347" i="2"/>
  <c r="F347" i="1" l="1"/>
  <c r="D348" i="1"/>
  <c r="E348" i="2"/>
  <c r="F347" i="2"/>
  <c r="J347" i="2" s="1"/>
  <c r="G347" i="2" s="1"/>
  <c r="F348" i="1" l="1"/>
  <c r="D349" i="1"/>
  <c r="E349" i="2"/>
  <c r="F348" i="2"/>
  <c r="J348" i="2" s="1"/>
  <c r="G348" i="2" s="1"/>
  <c r="D350" i="1" l="1"/>
  <c r="F349" i="1"/>
  <c r="F349" i="2"/>
  <c r="J349" i="2" s="1"/>
  <c r="G349" i="2" s="1"/>
  <c r="E350" i="2"/>
  <c r="F350" i="1" l="1"/>
  <c r="D351" i="1"/>
  <c r="F350" i="2"/>
  <c r="J350" i="2" s="1"/>
  <c r="G350" i="2" s="1"/>
  <c r="E351" i="2"/>
  <c r="F351" i="1" l="1"/>
  <c r="D352" i="1"/>
  <c r="E352" i="2"/>
  <c r="F351" i="2"/>
  <c r="J351" i="2" s="1"/>
  <c r="G351" i="2" s="1"/>
  <c r="F352" i="1" l="1"/>
  <c r="D353" i="1"/>
  <c r="E353" i="2"/>
  <c r="F352" i="2"/>
  <c r="J352" i="2" s="1"/>
  <c r="G352" i="2" s="1"/>
  <c r="F353" i="1" l="1"/>
  <c r="D354" i="1"/>
  <c r="F353" i="2"/>
  <c r="J353" i="2" s="1"/>
  <c r="G353" i="2" s="1"/>
  <c r="E354" i="2"/>
  <c r="F354" i="1" l="1"/>
  <c r="D355" i="1"/>
  <c r="F354" i="2"/>
  <c r="J354" i="2" s="1"/>
  <c r="G354" i="2" s="1"/>
  <c r="E355" i="2"/>
  <c r="F355" i="1" l="1"/>
  <c r="D356" i="1"/>
  <c r="E356" i="2"/>
  <c r="F355" i="2"/>
  <c r="J355" i="2" s="1"/>
  <c r="G355" i="2" s="1"/>
  <c r="F356" i="1" l="1"/>
  <c r="D357" i="1"/>
  <c r="E357" i="2"/>
  <c r="F356" i="2"/>
  <c r="J356" i="2" s="1"/>
  <c r="G356" i="2" s="1"/>
  <c r="D358" i="1" l="1"/>
  <c r="F357" i="1"/>
  <c r="F357" i="2"/>
  <c r="J357" i="2" s="1"/>
  <c r="G357" i="2" s="1"/>
  <c r="E358" i="2"/>
  <c r="F358" i="1" l="1"/>
  <c r="D359" i="1"/>
  <c r="F358" i="2"/>
  <c r="J358" i="2" s="1"/>
  <c r="G358" i="2" s="1"/>
  <c r="E359" i="2"/>
  <c r="F359" i="1" l="1"/>
  <c r="D360" i="1"/>
  <c r="E360" i="2"/>
  <c r="F359" i="2"/>
  <c r="J359" i="2" s="1"/>
  <c r="G359" i="2" s="1"/>
  <c r="F360" i="1" l="1"/>
  <c r="D361" i="1"/>
  <c r="E361" i="2"/>
  <c r="F360" i="2"/>
  <c r="J360" i="2" s="1"/>
  <c r="G360" i="2" s="1"/>
  <c r="F361" i="1" l="1"/>
  <c r="D362" i="1"/>
  <c r="F361" i="2"/>
  <c r="J361" i="2" s="1"/>
  <c r="G361" i="2" s="1"/>
  <c r="E362" i="2"/>
  <c r="F362" i="1" l="1"/>
  <c r="D363" i="1"/>
  <c r="F362" i="2"/>
  <c r="J362" i="2" s="1"/>
  <c r="G362" i="2" s="1"/>
  <c r="E363" i="2"/>
  <c r="F363" i="1" l="1"/>
  <c r="D364" i="1"/>
  <c r="E364" i="2"/>
  <c r="F363" i="2"/>
  <c r="J363" i="2" s="1"/>
  <c r="G363" i="2" s="1"/>
  <c r="F364" i="1" l="1"/>
  <c r="D365" i="1"/>
  <c r="E365" i="2"/>
  <c r="F364" i="2"/>
  <c r="J364" i="2" s="1"/>
  <c r="G364" i="2" s="1"/>
  <c r="D366" i="1" l="1"/>
  <c r="F365" i="1"/>
  <c r="F365" i="2"/>
  <c r="J365" i="2" s="1"/>
  <c r="G365" i="2" s="1"/>
  <c r="E366" i="2"/>
  <c r="F366" i="1" l="1"/>
  <c r="D367" i="1"/>
  <c r="F366" i="2"/>
  <c r="J366" i="2" s="1"/>
  <c r="G366" i="2" s="1"/>
  <c r="E367" i="2"/>
  <c r="F367" i="1" l="1"/>
  <c r="D368" i="1"/>
  <c r="E368" i="2"/>
  <c r="F367" i="2"/>
  <c r="J367" i="2" s="1"/>
  <c r="G367" i="2" s="1"/>
  <c r="F368" i="1" l="1"/>
  <c r="D369" i="1"/>
  <c r="E369" i="2"/>
  <c r="F368" i="2"/>
  <c r="J368" i="2" s="1"/>
  <c r="G368" i="2" s="1"/>
  <c r="F369" i="1" l="1"/>
  <c r="D370" i="1"/>
  <c r="F369" i="2"/>
  <c r="J369" i="2" s="1"/>
  <c r="G369" i="2" s="1"/>
  <c r="E370" i="2"/>
  <c r="F370" i="1" l="1"/>
  <c r="D371" i="1"/>
  <c r="F370" i="2"/>
  <c r="J370" i="2" s="1"/>
  <c r="G370" i="2" s="1"/>
  <c r="E371" i="2"/>
  <c r="F371" i="1" l="1"/>
  <c r="D372" i="1"/>
  <c r="E372" i="2"/>
  <c r="F371" i="2"/>
  <c r="J371" i="2" s="1"/>
  <c r="G371" i="2" s="1"/>
  <c r="F372" i="1" l="1"/>
  <c r="D373" i="1"/>
  <c r="E373" i="2"/>
  <c r="F372" i="2"/>
  <c r="J372" i="2" s="1"/>
  <c r="G372" i="2" s="1"/>
  <c r="D374" i="1" l="1"/>
  <c r="F373" i="1"/>
  <c r="F373" i="2"/>
  <c r="J373" i="2" s="1"/>
  <c r="G373" i="2" s="1"/>
  <c r="E374" i="2"/>
  <c r="F374" i="1" l="1"/>
  <c r="D375" i="1"/>
  <c r="F374" i="2"/>
  <c r="J374" i="2" s="1"/>
  <c r="G374" i="2" s="1"/>
  <c r="E375" i="2"/>
  <c r="F375" i="1" l="1"/>
  <c r="D376" i="1"/>
  <c r="E376" i="2"/>
  <c r="F375" i="2"/>
  <c r="J375" i="2" s="1"/>
  <c r="G375" i="2" s="1"/>
  <c r="F376" i="1" l="1"/>
  <c r="D377" i="1"/>
  <c r="E377" i="2"/>
  <c r="F376" i="2"/>
  <c r="J376" i="2" s="1"/>
  <c r="G376" i="2" s="1"/>
  <c r="F377" i="1" l="1"/>
  <c r="D378" i="1"/>
  <c r="F377" i="2"/>
  <c r="J377" i="2" s="1"/>
  <c r="G377" i="2" s="1"/>
  <c r="E378" i="2"/>
  <c r="F378" i="1" l="1"/>
  <c r="D379" i="1"/>
  <c r="F378" i="2"/>
  <c r="J378" i="2" s="1"/>
  <c r="G378" i="2" s="1"/>
  <c r="E379" i="2"/>
  <c r="F379" i="1" l="1"/>
  <c r="D380" i="1"/>
  <c r="E380" i="2"/>
  <c r="F379" i="2"/>
  <c r="J379" i="2" s="1"/>
  <c r="G379" i="2" s="1"/>
  <c r="F380" i="1" l="1"/>
  <c r="D381" i="1"/>
  <c r="E381" i="2"/>
  <c r="F380" i="2"/>
  <c r="J380" i="2" s="1"/>
  <c r="G380" i="2" s="1"/>
  <c r="D382" i="1" l="1"/>
  <c r="F381" i="1"/>
  <c r="F381" i="2"/>
  <c r="J381" i="2" s="1"/>
  <c r="G381" i="2" s="1"/>
  <c r="E382" i="2"/>
  <c r="F382" i="1" l="1"/>
  <c r="D383" i="1"/>
  <c r="F382" i="2"/>
  <c r="J382" i="2" s="1"/>
  <c r="G382" i="2" s="1"/>
  <c r="E383" i="2"/>
  <c r="F383" i="1" l="1"/>
  <c r="D384" i="1"/>
  <c r="E384" i="2"/>
  <c r="F383" i="2"/>
  <c r="J383" i="2" s="1"/>
  <c r="G383" i="2" s="1"/>
  <c r="F384" i="1" l="1"/>
  <c r="D385" i="1"/>
  <c r="E385" i="2"/>
  <c r="F384" i="2"/>
  <c r="J384" i="2" s="1"/>
  <c r="G384" i="2" s="1"/>
  <c r="F385" i="1" l="1"/>
  <c r="D386" i="1"/>
  <c r="F385" i="2"/>
  <c r="J385" i="2" s="1"/>
  <c r="G385" i="2" s="1"/>
  <c r="E386" i="2"/>
  <c r="F386" i="1" l="1"/>
  <c r="D387" i="1"/>
  <c r="F386" i="2"/>
  <c r="J386" i="2" s="1"/>
  <c r="G386" i="2" s="1"/>
  <c r="E387" i="2"/>
  <c r="F387" i="1" l="1"/>
  <c r="D388" i="1"/>
  <c r="E388" i="2"/>
  <c r="F387" i="2"/>
  <c r="J387" i="2" s="1"/>
  <c r="G387" i="2" s="1"/>
  <c r="F388" i="1" l="1"/>
  <c r="D389" i="1"/>
  <c r="E389" i="2"/>
  <c r="F388" i="2"/>
  <c r="J388" i="2" s="1"/>
  <c r="G388" i="2" s="1"/>
  <c r="D390" i="1" l="1"/>
  <c r="F389" i="1"/>
  <c r="F389" i="2"/>
  <c r="J389" i="2" s="1"/>
  <c r="G389" i="2" s="1"/>
  <c r="E390" i="2"/>
  <c r="F390" i="1" l="1"/>
  <c r="D391" i="1"/>
  <c r="F390" i="2"/>
  <c r="J390" i="2" s="1"/>
  <c r="G390" i="2" s="1"/>
  <c r="E391" i="2"/>
  <c r="F391" i="1" l="1"/>
  <c r="D392" i="1"/>
  <c r="E392" i="2"/>
  <c r="F391" i="2"/>
  <c r="J391" i="2" s="1"/>
  <c r="G391" i="2" s="1"/>
  <c r="F392" i="1" l="1"/>
  <c r="D393" i="1"/>
  <c r="E393" i="2"/>
  <c r="F392" i="2"/>
  <c r="J392" i="2" s="1"/>
  <c r="G392" i="2" s="1"/>
  <c r="F393" i="1" l="1"/>
  <c r="D394" i="1"/>
  <c r="F393" i="2"/>
  <c r="J393" i="2" s="1"/>
  <c r="G393" i="2" s="1"/>
  <c r="E394" i="2"/>
  <c r="F394" i="1" l="1"/>
  <c r="D395" i="1"/>
  <c r="F394" i="2"/>
  <c r="J394" i="2" s="1"/>
  <c r="G394" i="2" s="1"/>
  <c r="E395" i="2"/>
  <c r="F395" i="1" l="1"/>
  <c r="D396" i="1"/>
  <c r="E396" i="2"/>
  <c r="F395" i="2"/>
  <c r="J395" i="2" s="1"/>
  <c r="G395" i="2" s="1"/>
  <c r="F396" i="1" l="1"/>
  <c r="D397" i="1"/>
  <c r="E397" i="2"/>
  <c r="F396" i="2"/>
  <c r="J396" i="2" s="1"/>
  <c r="G396" i="2" s="1"/>
  <c r="D398" i="1" l="1"/>
  <c r="F397" i="1"/>
  <c r="F397" i="2"/>
  <c r="J397" i="2" s="1"/>
  <c r="G397" i="2" s="1"/>
  <c r="E398" i="2"/>
  <c r="F398" i="1" l="1"/>
  <c r="D399" i="1"/>
  <c r="F398" i="2"/>
  <c r="J398" i="2" s="1"/>
  <c r="G398" i="2" s="1"/>
  <c r="E399" i="2"/>
  <c r="F399" i="1" l="1"/>
  <c r="D400" i="1"/>
  <c r="E400" i="2"/>
  <c r="F399" i="2"/>
  <c r="J399" i="2" s="1"/>
  <c r="G399" i="2" s="1"/>
  <c r="F400" i="1" l="1"/>
  <c r="D401" i="1"/>
  <c r="E401" i="2"/>
  <c r="F400" i="2"/>
  <c r="J400" i="2" s="1"/>
  <c r="G400" i="2" s="1"/>
  <c r="F401" i="1" l="1"/>
  <c r="D402" i="1"/>
  <c r="F401" i="2"/>
  <c r="J401" i="2" s="1"/>
  <c r="G401" i="2" s="1"/>
  <c r="E402" i="2"/>
  <c r="F402" i="1" l="1"/>
  <c r="D403" i="1"/>
  <c r="F402" i="2"/>
  <c r="J402" i="2" s="1"/>
  <c r="G402" i="2" s="1"/>
  <c r="E403" i="2"/>
  <c r="F403" i="1" l="1"/>
  <c r="D404" i="1"/>
  <c r="E404" i="2"/>
  <c r="F403" i="2"/>
  <c r="J403" i="2" s="1"/>
  <c r="G403" i="2" s="1"/>
  <c r="F404" i="1" l="1"/>
  <c r="D405" i="1"/>
  <c r="E405" i="2"/>
  <c r="F404" i="2"/>
  <c r="J404" i="2" s="1"/>
  <c r="G404" i="2" s="1"/>
  <c r="F405" i="1" l="1"/>
  <c r="D406" i="1"/>
  <c r="F405" i="2"/>
  <c r="J405" i="2" s="1"/>
  <c r="G405" i="2" s="1"/>
  <c r="E406" i="2"/>
  <c r="F406" i="1" l="1"/>
  <c r="D407" i="1"/>
  <c r="F406" i="2"/>
  <c r="J406" i="2" s="1"/>
  <c r="G406" i="2" s="1"/>
  <c r="E407" i="2"/>
  <c r="F407" i="1" l="1"/>
  <c r="D408" i="1"/>
  <c r="E408" i="2"/>
  <c r="F407" i="2"/>
  <c r="J407" i="2" s="1"/>
  <c r="G407" i="2" s="1"/>
  <c r="F408" i="1" l="1"/>
  <c r="D409" i="1"/>
  <c r="E409" i="2"/>
  <c r="F408" i="2"/>
  <c r="J408" i="2" s="1"/>
  <c r="G408" i="2" s="1"/>
  <c r="F409" i="1" l="1"/>
  <c r="D410" i="1"/>
  <c r="F409" i="2"/>
  <c r="J409" i="2" s="1"/>
  <c r="G409" i="2" s="1"/>
  <c r="E410" i="2"/>
  <c r="F410" i="1" l="1"/>
  <c r="D411" i="1"/>
  <c r="F410" i="2"/>
  <c r="J410" i="2" s="1"/>
  <c r="G410" i="2" s="1"/>
  <c r="E411" i="2"/>
  <c r="D412" i="1" l="1"/>
  <c r="F411" i="1"/>
  <c r="E412" i="2"/>
  <c r="F411" i="2"/>
  <c r="J411" i="2" s="1"/>
  <c r="G411" i="2" s="1"/>
  <c r="F412" i="1" l="1"/>
  <c r="D413" i="1"/>
  <c r="E413" i="2"/>
  <c r="F412" i="2"/>
  <c r="J412" i="2" s="1"/>
  <c r="G412" i="2" s="1"/>
  <c r="F413" i="1" l="1"/>
  <c r="D414" i="1"/>
  <c r="F413" i="2"/>
  <c r="J413" i="2" s="1"/>
  <c r="G413" i="2" s="1"/>
  <c r="E414" i="2"/>
  <c r="F414" i="1" l="1"/>
  <c r="D415" i="1"/>
  <c r="F414" i="2"/>
  <c r="J414" i="2" s="1"/>
  <c r="G414" i="2" s="1"/>
  <c r="E415" i="2"/>
  <c r="F415" i="1" l="1"/>
  <c r="D416" i="1"/>
  <c r="E416" i="2"/>
  <c r="F415" i="2"/>
  <c r="J415" i="2" s="1"/>
  <c r="G415" i="2" s="1"/>
  <c r="F416" i="1" l="1"/>
  <c r="D417" i="1"/>
  <c r="E417" i="2"/>
  <c r="F416" i="2"/>
  <c r="J416" i="2" s="1"/>
  <c r="G416" i="2" s="1"/>
  <c r="F417" i="1" l="1"/>
  <c r="D418" i="1"/>
  <c r="F417" i="2"/>
  <c r="J417" i="2" s="1"/>
  <c r="G417" i="2" s="1"/>
  <c r="E418" i="2"/>
  <c r="F418" i="1" l="1"/>
  <c r="D419" i="1"/>
  <c r="F418" i="2"/>
  <c r="J418" i="2" s="1"/>
  <c r="G418" i="2" s="1"/>
  <c r="E419" i="2"/>
  <c r="F419" i="1" l="1"/>
  <c r="D420" i="1"/>
  <c r="E420" i="2"/>
  <c r="F419" i="2"/>
  <c r="J419" i="2" s="1"/>
  <c r="G419" i="2" s="1"/>
  <c r="F420" i="1" l="1"/>
  <c r="D421" i="1"/>
  <c r="E421" i="2"/>
  <c r="F420" i="2"/>
  <c r="J420" i="2" s="1"/>
  <c r="G420" i="2" s="1"/>
  <c r="F421" i="1" l="1"/>
  <c r="D422" i="1"/>
  <c r="F421" i="2"/>
  <c r="J421" i="2" s="1"/>
  <c r="G421" i="2" s="1"/>
  <c r="E422" i="2"/>
  <c r="F422" i="1" l="1"/>
  <c r="D423" i="1"/>
  <c r="F422" i="2"/>
  <c r="J422" i="2" s="1"/>
  <c r="G422" i="2" s="1"/>
  <c r="E423" i="2"/>
  <c r="F423" i="1" l="1"/>
  <c r="D424" i="1"/>
  <c r="E424" i="2"/>
  <c r="F423" i="2"/>
  <c r="J423" i="2" s="1"/>
  <c r="G423" i="2" s="1"/>
  <c r="F424" i="1" l="1"/>
  <c r="D425" i="1"/>
  <c r="E425" i="2"/>
  <c r="F424" i="2"/>
  <c r="J424" i="2" s="1"/>
  <c r="G424" i="2" s="1"/>
  <c r="F425" i="1" l="1"/>
  <c r="D426" i="1"/>
  <c r="F425" i="2"/>
  <c r="J425" i="2" s="1"/>
  <c r="G425" i="2" s="1"/>
  <c r="E426" i="2"/>
  <c r="F426" i="1" l="1"/>
  <c r="D427" i="1"/>
  <c r="E427" i="2"/>
  <c r="F426" i="2"/>
  <c r="J426" i="2" s="1"/>
  <c r="G426" i="2" s="1"/>
  <c r="F427" i="1" l="1"/>
  <c r="D428" i="1"/>
  <c r="F427" i="2"/>
  <c r="J427" i="2" s="1"/>
  <c r="G427" i="2" s="1"/>
  <c r="E428" i="2"/>
  <c r="F428" i="1" l="1"/>
  <c r="D429" i="1"/>
  <c r="F428" i="2"/>
  <c r="J428" i="2" s="1"/>
  <c r="G428" i="2" s="1"/>
  <c r="E429" i="2"/>
  <c r="D430" i="1" l="1"/>
  <c r="F429" i="1"/>
  <c r="F429" i="2"/>
  <c r="J429" i="2" s="1"/>
  <c r="G429" i="2" s="1"/>
  <c r="E430" i="2"/>
  <c r="F430" i="1" l="1"/>
  <c r="D431" i="1"/>
  <c r="F430" i="2"/>
  <c r="J430" i="2" s="1"/>
  <c r="G430" i="2" s="1"/>
  <c r="E431" i="2"/>
  <c r="F431" i="1" l="1"/>
  <c r="D432" i="1"/>
  <c r="F431" i="2"/>
  <c r="J431" i="2" s="1"/>
  <c r="G431" i="2" s="1"/>
  <c r="E432" i="2"/>
  <c r="F432" i="1" l="1"/>
  <c r="D433" i="1"/>
  <c r="F432" i="2"/>
  <c r="J432" i="2" s="1"/>
  <c r="G432" i="2" s="1"/>
  <c r="E433" i="2"/>
  <c r="F433" i="1" l="1"/>
  <c r="D434" i="1"/>
  <c r="F433" i="2"/>
  <c r="J433" i="2" s="1"/>
  <c r="G433" i="2" s="1"/>
  <c r="E434" i="2"/>
  <c r="F434" i="1" l="1"/>
  <c r="D435" i="1"/>
  <c r="E435" i="2"/>
  <c r="F434" i="2"/>
  <c r="J434" i="2" s="1"/>
  <c r="G434" i="2" s="1"/>
  <c r="F435" i="1" l="1"/>
  <c r="D436" i="1"/>
  <c r="F435" i="2"/>
  <c r="J435" i="2" s="1"/>
  <c r="G435" i="2" s="1"/>
  <c r="E436" i="2"/>
  <c r="F436" i="1" l="1"/>
  <c r="D437" i="1"/>
  <c r="F436" i="2"/>
  <c r="J436" i="2" s="1"/>
  <c r="G436" i="2" s="1"/>
  <c r="E437" i="2"/>
  <c r="D438" i="1" l="1"/>
  <c r="F437" i="1"/>
  <c r="F437" i="2"/>
  <c r="J437" i="2" s="1"/>
  <c r="G437" i="2" s="1"/>
  <c r="E438" i="2"/>
  <c r="F438" i="1" l="1"/>
  <c r="D439" i="1"/>
  <c r="E439" i="2"/>
  <c r="F438" i="2"/>
  <c r="J438" i="2" s="1"/>
  <c r="G438" i="2" s="1"/>
  <c r="F439" i="1" l="1"/>
  <c r="D440" i="1"/>
  <c r="F439" i="2"/>
  <c r="J439" i="2" s="1"/>
  <c r="G439" i="2" s="1"/>
  <c r="E440" i="2"/>
  <c r="D441" i="1" l="1"/>
  <c r="F440" i="1"/>
  <c r="F440" i="2"/>
  <c r="J440" i="2" s="1"/>
  <c r="G440" i="2" s="1"/>
  <c r="E441" i="2"/>
  <c r="F441" i="1" l="1"/>
  <c r="D442" i="1"/>
  <c r="E442" i="2"/>
  <c r="F441" i="2"/>
  <c r="J441" i="2" s="1"/>
  <c r="G441" i="2" s="1"/>
  <c r="D443" i="1" l="1"/>
  <c r="F442" i="1"/>
  <c r="E443" i="2"/>
  <c r="F442" i="2"/>
  <c r="J442" i="2" s="1"/>
  <c r="G442" i="2" s="1"/>
  <c r="F443" i="1" l="1"/>
  <c r="D444" i="1"/>
  <c r="F443" i="2"/>
  <c r="J443" i="2" s="1"/>
  <c r="G443" i="2" s="1"/>
  <c r="E444" i="2"/>
  <c r="D445" i="1" l="1"/>
  <c r="F444" i="1"/>
  <c r="F444" i="2"/>
  <c r="J444" i="2" s="1"/>
  <c r="G444" i="2" s="1"/>
  <c r="E445" i="2"/>
  <c r="F445" i="1" l="1"/>
  <c r="D446" i="1"/>
  <c r="E446" i="2"/>
  <c r="F445" i="2"/>
  <c r="J445" i="2" s="1"/>
  <c r="G445" i="2" s="1"/>
  <c r="D447" i="1" l="1"/>
  <c r="F446" i="1"/>
  <c r="E447" i="2"/>
  <c r="F446" i="2"/>
  <c r="J446" i="2" s="1"/>
  <c r="G446" i="2" s="1"/>
  <c r="F447" i="1" l="1"/>
  <c r="D448" i="1"/>
  <c r="F447" i="2"/>
  <c r="J447" i="2" s="1"/>
  <c r="G447" i="2" s="1"/>
  <c r="E448" i="2"/>
  <c r="D449" i="1" l="1"/>
  <c r="F448" i="1"/>
  <c r="F448" i="2"/>
  <c r="J448" i="2" s="1"/>
  <c r="G448" i="2" s="1"/>
  <c r="E449" i="2"/>
  <c r="F449" i="1" l="1"/>
  <c r="D450" i="1"/>
  <c r="E450" i="2"/>
  <c r="F449" i="2"/>
  <c r="J449" i="2" s="1"/>
  <c r="G449" i="2" s="1"/>
  <c r="D451" i="1" l="1"/>
  <c r="F450" i="1"/>
  <c r="E451" i="2"/>
  <c r="F450" i="2"/>
  <c r="J450" i="2" s="1"/>
  <c r="G450" i="2" s="1"/>
  <c r="F451" i="1" l="1"/>
  <c r="D452" i="1"/>
  <c r="F451" i="2"/>
  <c r="J451" i="2" s="1"/>
  <c r="G451" i="2" s="1"/>
  <c r="E452" i="2"/>
  <c r="D453" i="1" l="1"/>
  <c r="F452" i="1"/>
  <c r="F452" i="2"/>
  <c r="J452" i="2" s="1"/>
  <c r="G452" i="2" s="1"/>
  <c r="E453" i="2"/>
  <c r="F453" i="1" l="1"/>
  <c r="D454" i="1"/>
  <c r="E454" i="2"/>
  <c r="F453" i="2"/>
  <c r="J453" i="2" s="1"/>
  <c r="G453" i="2" s="1"/>
  <c r="D455" i="1" l="1"/>
  <c r="F454" i="1"/>
  <c r="E455" i="2"/>
  <c r="F454" i="2"/>
  <c r="J454" i="2" s="1"/>
  <c r="G454" i="2" s="1"/>
  <c r="F455" i="1" l="1"/>
  <c r="D456" i="1"/>
  <c r="F455" i="2"/>
  <c r="J455" i="2" s="1"/>
  <c r="G455" i="2" s="1"/>
  <c r="E456" i="2"/>
  <c r="D457" i="1" l="1"/>
  <c r="F456" i="1"/>
  <c r="F456" i="2"/>
  <c r="J456" i="2" s="1"/>
  <c r="G456" i="2" s="1"/>
  <c r="E457" i="2"/>
  <c r="F457" i="1" l="1"/>
  <c r="D458" i="1"/>
  <c r="E458" i="2"/>
  <c r="F457" i="2"/>
  <c r="J457" i="2" s="1"/>
  <c r="G457" i="2" s="1"/>
  <c r="D459" i="1" l="1"/>
  <c r="F458" i="1"/>
  <c r="E459" i="2"/>
  <c r="F458" i="2"/>
  <c r="J458" i="2" s="1"/>
  <c r="G458" i="2" s="1"/>
  <c r="F459" i="1" l="1"/>
  <c r="D460" i="1"/>
  <c r="F459" i="2"/>
  <c r="J459" i="2" s="1"/>
  <c r="G459" i="2" s="1"/>
  <c r="E460" i="2"/>
  <c r="D461" i="1" l="1"/>
  <c r="F460" i="1"/>
  <c r="F460" i="2"/>
  <c r="J460" i="2" s="1"/>
  <c r="G460" i="2" s="1"/>
  <c r="E461" i="2"/>
  <c r="F461" i="1" l="1"/>
  <c r="D462" i="1"/>
  <c r="E462" i="2"/>
  <c r="F461" i="2"/>
  <c r="J461" i="2" s="1"/>
  <c r="G461" i="2" s="1"/>
  <c r="D463" i="1" l="1"/>
  <c r="F462" i="1"/>
  <c r="E463" i="2"/>
  <c r="F462" i="2"/>
  <c r="J462" i="2" s="1"/>
  <c r="G462" i="2" s="1"/>
  <c r="F463" i="1" l="1"/>
  <c r="D464" i="1"/>
  <c r="F463" i="2"/>
  <c r="J463" i="2" s="1"/>
  <c r="G463" i="2" s="1"/>
  <c r="E464" i="2"/>
  <c r="D465" i="1" l="1"/>
  <c r="F464" i="1"/>
  <c r="F464" i="2"/>
  <c r="J464" i="2" s="1"/>
  <c r="G464" i="2" s="1"/>
  <c r="E465" i="2"/>
  <c r="F465" i="1" l="1"/>
  <c r="D466" i="1"/>
  <c r="E466" i="2"/>
  <c r="F465" i="2"/>
  <c r="J465" i="2" s="1"/>
  <c r="G465" i="2" s="1"/>
  <c r="D467" i="1" l="1"/>
  <c r="F466" i="1"/>
  <c r="E467" i="2"/>
  <c r="F466" i="2"/>
  <c r="J466" i="2" s="1"/>
  <c r="G466" i="2" s="1"/>
  <c r="F467" i="1" l="1"/>
  <c r="D468" i="1"/>
  <c r="F467" i="2"/>
  <c r="J467" i="2" s="1"/>
  <c r="G467" i="2" s="1"/>
  <c r="E468" i="2"/>
  <c r="D469" i="1" l="1"/>
  <c r="F468" i="1"/>
  <c r="F468" i="2"/>
  <c r="J468" i="2" s="1"/>
  <c r="G468" i="2" s="1"/>
  <c r="E469" i="2"/>
  <c r="F469" i="1" l="1"/>
  <c r="D470" i="1"/>
  <c r="E470" i="2"/>
  <c r="F469" i="2"/>
  <c r="J469" i="2" s="1"/>
  <c r="G469" i="2" s="1"/>
  <c r="D471" i="1" l="1"/>
  <c r="F470" i="1"/>
  <c r="E471" i="2"/>
  <c r="F470" i="2"/>
  <c r="J470" i="2" s="1"/>
  <c r="G470" i="2" s="1"/>
  <c r="F471" i="1" l="1"/>
  <c r="D472" i="1"/>
  <c r="F471" i="2"/>
  <c r="J471" i="2" s="1"/>
  <c r="G471" i="2" s="1"/>
  <c r="E472" i="2"/>
  <c r="D473" i="1" l="1"/>
  <c r="F472" i="1"/>
  <c r="F472" i="2"/>
  <c r="J472" i="2" s="1"/>
  <c r="G472" i="2" s="1"/>
  <c r="E473" i="2"/>
  <c r="F473" i="1" l="1"/>
  <c r="D474" i="1"/>
  <c r="E474" i="2"/>
  <c r="F473" i="2"/>
  <c r="J473" i="2" s="1"/>
  <c r="G473" i="2" s="1"/>
  <c r="D475" i="1" l="1"/>
  <c r="F474" i="1"/>
  <c r="E475" i="2"/>
  <c r="F474" i="2"/>
  <c r="J474" i="2" s="1"/>
  <c r="G474" i="2" s="1"/>
  <c r="F475" i="1" l="1"/>
  <c r="D476" i="1"/>
  <c r="F475" i="2"/>
  <c r="J475" i="2" s="1"/>
  <c r="G475" i="2" s="1"/>
  <c r="E476" i="2"/>
  <c r="D477" i="1" l="1"/>
  <c r="F476" i="1"/>
  <c r="F476" i="2"/>
  <c r="J476" i="2" s="1"/>
  <c r="G476" i="2" s="1"/>
  <c r="E477" i="2"/>
  <c r="F477" i="1" l="1"/>
  <c r="D478" i="1"/>
  <c r="E478" i="2"/>
  <c r="F477" i="2"/>
  <c r="J477" i="2" s="1"/>
  <c r="G477" i="2" s="1"/>
  <c r="D479" i="1" l="1"/>
  <c r="F478" i="1"/>
  <c r="E479" i="2"/>
  <c r="F478" i="2"/>
  <c r="J478" i="2" s="1"/>
  <c r="G478" i="2" s="1"/>
  <c r="F479" i="1" l="1"/>
  <c r="D480" i="1"/>
  <c r="F479" i="2"/>
  <c r="J479" i="2" s="1"/>
  <c r="G479" i="2" s="1"/>
  <c r="E480" i="2"/>
  <c r="D481" i="1" l="1"/>
  <c r="F480" i="1"/>
  <c r="F480" i="2"/>
  <c r="J480" i="2" s="1"/>
  <c r="G480" i="2" s="1"/>
  <c r="E481" i="2"/>
  <c r="F481" i="1" l="1"/>
  <c r="D482" i="1"/>
  <c r="E482" i="2"/>
  <c r="F481" i="2"/>
  <c r="J481" i="2" s="1"/>
  <c r="G481" i="2" s="1"/>
  <c r="D483" i="1" l="1"/>
  <c r="F482" i="1"/>
  <c r="E483" i="2"/>
  <c r="F482" i="2"/>
  <c r="J482" i="2" s="1"/>
  <c r="G482" i="2" s="1"/>
  <c r="F483" i="1" l="1"/>
  <c r="D484" i="1"/>
  <c r="F483" i="2"/>
  <c r="J483" i="2" s="1"/>
  <c r="G483" i="2" s="1"/>
  <c r="E484" i="2"/>
  <c r="D485" i="1" l="1"/>
  <c r="F484" i="1"/>
  <c r="F484" i="2"/>
  <c r="J484" i="2" s="1"/>
  <c r="G484" i="2" s="1"/>
  <c r="E485" i="2"/>
  <c r="F485" i="1" l="1"/>
  <c r="D486" i="1"/>
  <c r="E486" i="2"/>
  <c r="F485" i="2"/>
  <c r="J485" i="2" s="1"/>
  <c r="G485" i="2" s="1"/>
  <c r="D487" i="1" l="1"/>
  <c r="F486" i="1"/>
  <c r="E487" i="2"/>
  <c r="F486" i="2"/>
  <c r="J486" i="2" s="1"/>
  <c r="G486" i="2" s="1"/>
  <c r="F487" i="1" l="1"/>
  <c r="D488" i="1"/>
  <c r="F487" i="2"/>
  <c r="J487" i="2" s="1"/>
  <c r="G487" i="2" s="1"/>
  <c r="E488" i="2"/>
  <c r="D489" i="1" l="1"/>
  <c r="F488" i="1"/>
  <c r="F488" i="2"/>
  <c r="J488" i="2" s="1"/>
  <c r="G488" i="2" s="1"/>
  <c r="E489" i="2"/>
  <c r="F489" i="1" l="1"/>
  <c r="D490" i="1"/>
  <c r="E490" i="2"/>
  <c r="F489" i="2"/>
  <c r="J489" i="2" s="1"/>
  <c r="G489" i="2" s="1"/>
  <c r="D491" i="1" l="1"/>
  <c r="F490" i="1"/>
  <c r="E491" i="2"/>
  <c r="F490" i="2"/>
  <c r="J490" i="2" s="1"/>
  <c r="G490" i="2" s="1"/>
  <c r="F491" i="1" l="1"/>
  <c r="D492" i="1"/>
  <c r="F491" i="2"/>
  <c r="J491" i="2" s="1"/>
  <c r="G491" i="2" s="1"/>
  <c r="E492" i="2"/>
  <c r="D493" i="1" l="1"/>
  <c r="F492" i="1"/>
  <c r="F492" i="2"/>
  <c r="J492" i="2" s="1"/>
  <c r="G492" i="2" s="1"/>
  <c r="E493" i="2"/>
  <c r="F493" i="1" l="1"/>
  <c r="D494" i="1"/>
  <c r="E494" i="2"/>
  <c r="F493" i="2"/>
  <c r="J493" i="2" s="1"/>
  <c r="G493" i="2" s="1"/>
  <c r="D495" i="1" l="1"/>
  <c r="F494" i="1"/>
  <c r="E495" i="2"/>
  <c r="F494" i="2"/>
  <c r="J494" i="2" s="1"/>
  <c r="G494" i="2" s="1"/>
  <c r="F495" i="1" l="1"/>
  <c r="D496" i="1"/>
  <c r="F495" i="2"/>
  <c r="J495" i="2" s="1"/>
  <c r="G495" i="2" s="1"/>
  <c r="E496" i="2"/>
  <c r="D497" i="1" l="1"/>
  <c r="F496" i="1"/>
  <c r="F496" i="2"/>
  <c r="J496" i="2" s="1"/>
  <c r="G496" i="2" s="1"/>
  <c r="E497" i="2"/>
  <c r="F497" i="1" l="1"/>
  <c r="D498" i="1"/>
  <c r="E498" i="2"/>
  <c r="F497" i="2"/>
  <c r="J497" i="2" s="1"/>
  <c r="G497" i="2" s="1"/>
  <c r="D499" i="1" l="1"/>
  <c r="F498" i="1"/>
  <c r="E499" i="2"/>
  <c r="F498" i="2"/>
  <c r="J498" i="2" s="1"/>
  <c r="G498" i="2" s="1"/>
  <c r="F499" i="1" l="1"/>
  <c r="D500" i="1"/>
  <c r="F499" i="2"/>
  <c r="J499" i="2" s="1"/>
  <c r="G499" i="2" s="1"/>
  <c r="E500" i="2"/>
  <c r="D501" i="1" l="1"/>
  <c r="F500" i="1"/>
  <c r="F500" i="2"/>
  <c r="J500" i="2" s="1"/>
  <c r="G500" i="2" s="1"/>
  <c r="E501" i="2"/>
  <c r="F501" i="1" l="1"/>
  <c r="D502" i="1"/>
  <c r="E502" i="2"/>
  <c r="F501" i="2"/>
  <c r="J501" i="2" s="1"/>
  <c r="G501" i="2" s="1"/>
  <c r="D503" i="1" l="1"/>
  <c r="F502" i="1"/>
  <c r="E503" i="2"/>
  <c r="F502" i="2"/>
  <c r="J502" i="2" s="1"/>
  <c r="G502" i="2" s="1"/>
  <c r="F503" i="1" l="1"/>
  <c r="D504" i="1"/>
  <c r="F503" i="2"/>
  <c r="J503" i="2" s="1"/>
  <c r="G503" i="2" s="1"/>
  <c r="E504" i="2"/>
  <c r="D505" i="1" l="1"/>
  <c r="F504" i="1"/>
  <c r="F504" i="2"/>
  <c r="J504" i="2" s="1"/>
  <c r="G504" i="2" s="1"/>
  <c r="E505" i="2"/>
  <c r="F505" i="1" l="1"/>
  <c r="D506" i="1"/>
  <c r="E506" i="2"/>
  <c r="F505" i="2"/>
  <c r="J505" i="2" s="1"/>
  <c r="G505" i="2" s="1"/>
  <c r="D507" i="1" l="1"/>
  <c r="F506" i="1"/>
  <c r="E507" i="2"/>
  <c r="F506" i="2"/>
  <c r="J506" i="2" s="1"/>
  <c r="G506" i="2" s="1"/>
  <c r="F507" i="1" l="1"/>
  <c r="D508" i="1"/>
  <c r="F507" i="2"/>
  <c r="J507" i="2" s="1"/>
  <c r="G507" i="2" s="1"/>
  <c r="E508" i="2"/>
  <c r="D509" i="1" l="1"/>
  <c r="F508" i="1"/>
  <c r="F508" i="2"/>
  <c r="J508" i="2" s="1"/>
  <c r="G508" i="2" s="1"/>
  <c r="E509" i="2"/>
  <c r="F509" i="1" l="1"/>
  <c r="D510" i="1"/>
  <c r="E510" i="2"/>
  <c r="F509" i="2"/>
  <c r="J509" i="2" s="1"/>
  <c r="G509" i="2" s="1"/>
  <c r="D511" i="1" l="1"/>
  <c r="F510" i="1"/>
  <c r="E511" i="2"/>
  <c r="F510" i="2"/>
  <c r="J510" i="2" s="1"/>
  <c r="G510" i="2" s="1"/>
  <c r="F511" i="1" l="1"/>
  <c r="D512" i="1"/>
  <c r="F511" i="2"/>
  <c r="J511" i="2" s="1"/>
  <c r="G511" i="2" s="1"/>
  <c r="E512" i="2"/>
  <c r="D513" i="1" l="1"/>
  <c r="F512" i="1"/>
  <c r="F512" i="2"/>
  <c r="J512" i="2" s="1"/>
  <c r="G512" i="2" s="1"/>
  <c r="E513" i="2"/>
  <c r="F513" i="1" l="1"/>
  <c r="D514" i="1"/>
  <c r="E514" i="2"/>
  <c r="F513" i="2"/>
  <c r="J513" i="2" s="1"/>
  <c r="G513" i="2" s="1"/>
  <c r="D515" i="1" l="1"/>
  <c r="F514" i="1"/>
  <c r="E515" i="2"/>
  <c r="F514" i="2"/>
  <c r="J514" i="2" s="1"/>
  <c r="G514" i="2" s="1"/>
  <c r="F515" i="1" l="1"/>
  <c r="D516" i="1"/>
  <c r="F515" i="2"/>
  <c r="J515" i="2" s="1"/>
  <c r="G515" i="2" s="1"/>
  <c r="E516" i="2"/>
  <c r="D517" i="1" l="1"/>
  <c r="F516" i="1"/>
  <c r="F516" i="2"/>
  <c r="J516" i="2" s="1"/>
  <c r="G516" i="2" s="1"/>
  <c r="E517" i="2"/>
  <c r="F517" i="1" l="1"/>
  <c r="D518" i="1"/>
  <c r="E518" i="2"/>
  <c r="F517" i="2"/>
  <c r="J517" i="2" s="1"/>
  <c r="G517" i="2" s="1"/>
  <c r="D519" i="1" l="1"/>
  <c r="F518" i="1"/>
  <c r="E519" i="2"/>
  <c r="F518" i="2"/>
  <c r="J518" i="2" s="1"/>
  <c r="G518" i="2" s="1"/>
  <c r="F519" i="1" l="1"/>
  <c r="D520" i="1"/>
  <c r="F519" i="2"/>
  <c r="J519" i="2" s="1"/>
  <c r="G519" i="2" s="1"/>
  <c r="E520" i="2"/>
  <c r="D521" i="1" l="1"/>
  <c r="F520" i="1"/>
  <c r="F520" i="2"/>
  <c r="J520" i="2" s="1"/>
  <c r="G520" i="2" s="1"/>
  <c r="E521" i="2"/>
  <c r="F521" i="1" l="1"/>
  <c r="D522" i="1"/>
  <c r="E522" i="2"/>
  <c r="F521" i="2"/>
  <c r="J521" i="2" s="1"/>
  <c r="G521" i="2" s="1"/>
  <c r="D523" i="1" l="1"/>
  <c r="F522" i="1"/>
  <c r="E523" i="2"/>
  <c r="F522" i="2"/>
  <c r="J522" i="2" s="1"/>
  <c r="G522" i="2" s="1"/>
  <c r="F523" i="1" l="1"/>
  <c r="D524" i="1"/>
  <c r="F523" i="2"/>
  <c r="J523" i="2" s="1"/>
  <c r="G523" i="2" s="1"/>
  <c r="E524" i="2"/>
  <c r="D525" i="1" l="1"/>
  <c r="F524" i="1"/>
  <c r="F524" i="2"/>
  <c r="J524" i="2" s="1"/>
  <c r="G524" i="2" s="1"/>
  <c r="E525" i="2"/>
  <c r="F525" i="1" l="1"/>
  <c r="D526" i="1"/>
  <c r="E526" i="2"/>
  <c r="F525" i="2"/>
  <c r="J525" i="2" s="1"/>
  <c r="G525" i="2" s="1"/>
  <c r="D527" i="1" l="1"/>
  <c r="F526" i="1"/>
  <c r="E527" i="2"/>
  <c r="F526" i="2"/>
  <c r="J526" i="2" s="1"/>
  <c r="G526" i="2" s="1"/>
  <c r="F527" i="1" l="1"/>
  <c r="D528" i="1"/>
  <c r="F527" i="2"/>
  <c r="J527" i="2" s="1"/>
  <c r="G527" i="2" s="1"/>
  <c r="E528" i="2"/>
  <c r="D529" i="1" l="1"/>
  <c r="F528" i="1"/>
  <c r="F528" i="2"/>
  <c r="J528" i="2" s="1"/>
  <c r="G528" i="2" s="1"/>
  <c r="E529" i="2"/>
  <c r="F529" i="1" l="1"/>
  <c r="D530" i="1"/>
  <c r="E530" i="2"/>
  <c r="F529" i="2"/>
  <c r="J529" i="2" s="1"/>
  <c r="G529" i="2" s="1"/>
  <c r="D531" i="1" l="1"/>
  <c r="F530" i="1"/>
  <c r="E531" i="2"/>
  <c r="F530" i="2"/>
  <c r="J530" i="2" s="1"/>
  <c r="G530" i="2" s="1"/>
  <c r="F531" i="1" l="1"/>
  <c r="D532" i="1"/>
  <c r="F531" i="2"/>
  <c r="J531" i="2" s="1"/>
  <c r="G531" i="2" s="1"/>
  <c r="E532" i="2"/>
  <c r="D533" i="1" l="1"/>
  <c r="F532" i="1"/>
  <c r="F532" i="2"/>
  <c r="J532" i="2" s="1"/>
  <c r="G532" i="2" s="1"/>
  <c r="E533" i="2"/>
  <c r="F533" i="1" l="1"/>
  <c r="D534" i="1"/>
  <c r="E534" i="2"/>
  <c r="F533" i="2"/>
  <c r="J533" i="2" s="1"/>
  <c r="G533" i="2" s="1"/>
  <c r="D535" i="1" l="1"/>
  <c r="F534" i="1"/>
  <c r="E535" i="2"/>
  <c r="F534" i="2"/>
  <c r="J534" i="2" s="1"/>
  <c r="G534" i="2" s="1"/>
  <c r="F535" i="1" l="1"/>
  <c r="D536" i="1"/>
  <c r="F535" i="2"/>
  <c r="J535" i="2" s="1"/>
  <c r="G535" i="2" s="1"/>
  <c r="E536" i="2"/>
  <c r="D537" i="1" l="1"/>
  <c r="F536" i="1"/>
  <c r="F536" i="2"/>
  <c r="J536" i="2" s="1"/>
  <c r="G536" i="2" s="1"/>
  <c r="E537" i="2"/>
  <c r="F537" i="1" l="1"/>
  <c r="D538" i="1"/>
  <c r="E538" i="2"/>
  <c r="F537" i="2"/>
  <c r="J537" i="2" s="1"/>
  <c r="G537" i="2" s="1"/>
  <c r="D539" i="1" l="1"/>
  <c r="F538" i="1"/>
  <c r="E539" i="2"/>
  <c r="F538" i="2"/>
  <c r="J538" i="2" s="1"/>
  <c r="G538" i="2" s="1"/>
  <c r="F539" i="1" l="1"/>
  <c r="D540" i="1"/>
  <c r="F539" i="2"/>
  <c r="J539" i="2" s="1"/>
  <c r="G539" i="2" s="1"/>
  <c r="E540" i="2"/>
  <c r="D541" i="1" l="1"/>
  <c r="F540" i="1"/>
  <c r="F540" i="2"/>
  <c r="J540" i="2" s="1"/>
  <c r="G540" i="2" s="1"/>
  <c r="E541" i="2"/>
  <c r="F541" i="1" l="1"/>
  <c r="D542" i="1"/>
  <c r="E542" i="2"/>
  <c r="F541" i="2"/>
  <c r="J541" i="2" s="1"/>
  <c r="G541" i="2" s="1"/>
  <c r="D543" i="1" l="1"/>
  <c r="F542" i="1"/>
  <c r="E543" i="2"/>
  <c r="F542" i="2"/>
  <c r="J542" i="2" s="1"/>
  <c r="G542" i="2" s="1"/>
  <c r="F543" i="1" l="1"/>
  <c r="D544" i="1"/>
  <c r="F543" i="2"/>
  <c r="J543" i="2" s="1"/>
  <c r="G543" i="2" s="1"/>
  <c r="E544" i="2"/>
  <c r="D545" i="1" l="1"/>
  <c r="F544" i="1"/>
  <c r="F544" i="2"/>
  <c r="J544" i="2" s="1"/>
  <c r="G544" i="2" s="1"/>
  <c r="E545" i="2"/>
  <c r="F545" i="1" l="1"/>
  <c r="D546" i="1"/>
  <c r="E546" i="2"/>
  <c r="F545" i="2"/>
  <c r="J545" i="2" s="1"/>
  <c r="G545" i="2" s="1"/>
  <c r="D547" i="1" l="1"/>
  <c r="F546" i="1"/>
  <c r="E547" i="2"/>
  <c r="F546" i="2"/>
  <c r="J546" i="2" s="1"/>
  <c r="G546" i="2" s="1"/>
  <c r="F547" i="1" l="1"/>
  <c r="D548" i="1"/>
  <c r="F547" i="2"/>
  <c r="J547" i="2" s="1"/>
  <c r="G547" i="2" s="1"/>
  <c r="E548" i="2"/>
  <c r="D549" i="1" l="1"/>
  <c r="F548" i="1"/>
  <c r="F548" i="2"/>
  <c r="J548" i="2" s="1"/>
  <c r="G548" i="2" s="1"/>
  <c r="E549" i="2"/>
  <c r="F549" i="1" l="1"/>
  <c r="D550" i="1"/>
  <c r="E550" i="2"/>
  <c r="F549" i="2"/>
  <c r="J549" i="2" s="1"/>
  <c r="G549" i="2" s="1"/>
  <c r="D551" i="1" l="1"/>
  <c r="F550" i="1"/>
  <c r="E551" i="2"/>
  <c r="F550" i="2"/>
  <c r="J550" i="2" s="1"/>
  <c r="G550" i="2" s="1"/>
  <c r="F551" i="1" l="1"/>
  <c r="D552" i="1"/>
  <c r="F551" i="2"/>
  <c r="J551" i="2" s="1"/>
  <c r="G551" i="2" s="1"/>
  <c r="E552" i="2"/>
  <c r="D553" i="1" l="1"/>
  <c r="F552" i="1"/>
  <c r="F552" i="2"/>
  <c r="J552" i="2" s="1"/>
  <c r="G552" i="2" s="1"/>
  <c r="E553" i="2"/>
  <c r="F553" i="1" l="1"/>
  <c r="D554" i="1"/>
  <c r="E554" i="2"/>
  <c r="F553" i="2"/>
  <c r="J553" i="2" s="1"/>
  <c r="G553" i="2" s="1"/>
  <c r="D555" i="1" l="1"/>
  <c r="F554" i="1"/>
  <c r="E555" i="2"/>
  <c r="F554" i="2"/>
  <c r="J554" i="2" s="1"/>
  <c r="G554" i="2" s="1"/>
  <c r="F555" i="1" l="1"/>
  <c r="D556" i="1"/>
  <c r="F555" i="2"/>
  <c r="J555" i="2" s="1"/>
  <c r="G555" i="2" s="1"/>
  <c r="E556" i="2"/>
  <c r="D557" i="1" l="1"/>
  <c r="F556" i="1"/>
  <c r="F556" i="2"/>
  <c r="J556" i="2" s="1"/>
  <c r="G556" i="2" s="1"/>
  <c r="E557" i="2"/>
  <c r="F557" i="1" l="1"/>
  <c r="D558" i="1"/>
  <c r="E558" i="2"/>
  <c r="F557" i="2"/>
  <c r="J557" i="2" s="1"/>
  <c r="G557" i="2" s="1"/>
  <c r="D559" i="1" l="1"/>
  <c r="F558" i="1"/>
  <c r="E559" i="2"/>
  <c r="F558" i="2"/>
  <c r="J558" i="2" s="1"/>
  <c r="G558" i="2" s="1"/>
  <c r="F559" i="1" l="1"/>
  <c r="D560" i="1"/>
  <c r="F559" i="2"/>
  <c r="J559" i="2" s="1"/>
  <c r="G559" i="2" s="1"/>
  <c r="E560" i="2"/>
  <c r="F560" i="1" l="1"/>
  <c r="D561" i="1"/>
  <c r="F560" i="2"/>
  <c r="J560" i="2" s="1"/>
  <c r="G560" i="2" s="1"/>
  <c r="E561" i="2"/>
  <c r="F561" i="1" l="1"/>
  <c r="D562" i="1"/>
  <c r="E562" i="2"/>
  <c r="F561" i="2"/>
  <c r="J561" i="2" s="1"/>
  <c r="G561" i="2" s="1"/>
  <c r="F562" i="1" l="1"/>
  <c r="D563" i="1"/>
  <c r="E563" i="2"/>
  <c r="F562" i="2"/>
  <c r="J562" i="2" s="1"/>
  <c r="G562" i="2" s="1"/>
  <c r="F563" i="1" l="1"/>
  <c r="D564" i="1"/>
  <c r="F563" i="2"/>
  <c r="J563" i="2" s="1"/>
  <c r="G563" i="2" s="1"/>
  <c r="E564" i="2"/>
  <c r="D565" i="1" l="1"/>
  <c r="F564" i="1"/>
  <c r="F564" i="2"/>
  <c r="J564" i="2" s="1"/>
  <c r="G564" i="2" s="1"/>
  <c r="E565" i="2"/>
  <c r="F565" i="1" l="1"/>
  <c r="D566" i="1"/>
  <c r="E566" i="2"/>
  <c r="F565" i="2"/>
  <c r="J565" i="2" s="1"/>
  <c r="G565" i="2" s="1"/>
  <c r="F566" i="1" l="1"/>
  <c r="D567" i="1"/>
  <c r="E567" i="2"/>
  <c r="F566" i="2"/>
  <c r="J566" i="2" s="1"/>
  <c r="G566" i="2" s="1"/>
  <c r="F567" i="1" l="1"/>
  <c r="D568" i="1"/>
  <c r="F567" i="2"/>
  <c r="J567" i="2" s="1"/>
  <c r="G567" i="2" s="1"/>
  <c r="E568" i="2"/>
  <c r="F568" i="1" l="1"/>
  <c r="D569" i="1"/>
  <c r="F568" i="2"/>
  <c r="J568" i="2" s="1"/>
  <c r="G568" i="2" s="1"/>
  <c r="E569" i="2"/>
  <c r="F569" i="1" l="1"/>
  <c r="D570" i="1"/>
  <c r="E570" i="2"/>
  <c r="F569" i="2"/>
  <c r="J569" i="2" s="1"/>
  <c r="G569" i="2" s="1"/>
  <c r="D571" i="1" l="1"/>
  <c r="F570" i="1"/>
  <c r="E571" i="2"/>
  <c r="F570" i="2"/>
  <c r="J570" i="2" s="1"/>
  <c r="G570" i="2" s="1"/>
  <c r="F571" i="1" l="1"/>
  <c r="D572" i="1"/>
  <c r="F571" i="2"/>
  <c r="J571" i="2" s="1"/>
  <c r="G571" i="2" s="1"/>
  <c r="E572" i="2"/>
  <c r="D573" i="1" l="1"/>
  <c r="F572" i="1"/>
  <c r="F572" i="2"/>
  <c r="J572" i="2" s="1"/>
  <c r="G572" i="2" s="1"/>
  <c r="E573" i="2"/>
  <c r="F573" i="1" l="1"/>
  <c r="D574" i="1"/>
  <c r="E574" i="2"/>
  <c r="F573" i="2"/>
  <c r="J573" i="2" s="1"/>
  <c r="G573" i="2" s="1"/>
  <c r="F574" i="1" l="1"/>
  <c r="D575" i="1"/>
  <c r="E575" i="2"/>
  <c r="F574" i="2"/>
  <c r="J574" i="2" s="1"/>
  <c r="G574" i="2" s="1"/>
  <c r="F575" i="1" l="1"/>
  <c r="D576" i="1"/>
  <c r="F575" i="2"/>
  <c r="J575" i="2" s="1"/>
  <c r="G575" i="2" s="1"/>
  <c r="E576" i="2"/>
  <c r="F576" i="1" l="1"/>
  <c r="D577" i="1"/>
  <c r="F576" i="2"/>
  <c r="J576" i="2" s="1"/>
  <c r="G576" i="2" s="1"/>
  <c r="E577" i="2"/>
  <c r="F577" i="1" l="1"/>
  <c r="D578" i="1"/>
  <c r="E578" i="2"/>
  <c r="F577" i="2"/>
  <c r="J577" i="2" s="1"/>
  <c r="G577" i="2" s="1"/>
  <c r="F578" i="1" l="1"/>
  <c r="D579" i="1"/>
  <c r="E579" i="2"/>
  <c r="F578" i="2"/>
  <c r="J578" i="2" s="1"/>
  <c r="G578" i="2" s="1"/>
  <c r="F579" i="1" l="1"/>
  <c r="D580" i="1"/>
  <c r="F579" i="2"/>
  <c r="J579" i="2" s="1"/>
  <c r="G579" i="2" s="1"/>
  <c r="E580" i="2"/>
  <c r="F580" i="1" l="1"/>
  <c r="D581" i="1"/>
  <c r="F580" i="2"/>
  <c r="J580" i="2" s="1"/>
  <c r="G580" i="2" s="1"/>
  <c r="E581" i="2"/>
  <c r="F581" i="1" l="1"/>
  <c r="D582" i="1"/>
  <c r="E582" i="2"/>
  <c r="F581" i="2"/>
  <c r="J581" i="2" s="1"/>
  <c r="G581" i="2" s="1"/>
  <c r="F582" i="1" l="1"/>
  <c r="D583" i="1"/>
  <c r="E583" i="2"/>
  <c r="F582" i="2"/>
  <c r="J582" i="2" s="1"/>
  <c r="G582" i="2" s="1"/>
  <c r="F583" i="1" l="1"/>
  <c r="D584" i="1"/>
  <c r="F583" i="2"/>
  <c r="J583" i="2" s="1"/>
  <c r="G583" i="2" s="1"/>
  <c r="E584" i="2"/>
  <c r="F584" i="1" l="1"/>
  <c r="D585" i="1"/>
  <c r="F584" i="2"/>
  <c r="J584" i="2" s="1"/>
  <c r="G584" i="2" s="1"/>
  <c r="E585" i="2"/>
  <c r="F585" i="1" l="1"/>
  <c r="D586" i="1"/>
  <c r="E586" i="2"/>
  <c r="F585" i="2"/>
  <c r="J585" i="2" s="1"/>
  <c r="G585" i="2" s="1"/>
  <c r="F586" i="1" l="1"/>
  <c r="D587" i="1"/>
  <c r="E587" i="2"/>
  <c r="F586" i="2"/>
  <c r="J586" i="2" s="1"/>
  <c r="G586" i="2" s="1"/>
  <c r="F587" i="1" l="1"/>
  <c r="D588" i="1"/>
  <c r="F587" i="2"/>
  <c r="J587" i="2" s="1"/>
  <c r="G587" i="2" s="1"/>
  <c r="E588" i="2"/>
  <c r="F588" i="1" l="1"/>
  <c r="D589" i="1"/>
  <c r="F588" i="2"/>
  <c r="J588" i="2" s="1"/>
  <c r="G588" i="2" s="1"/>
  <c r="E589" i="2"/>
  <c r="F589" i="1" l="1"/>
  <c r="D590" i="1"/>
  <c r="E590" i="2"/>
  <c r="F589" i="2"/>
  <c r="J589" i="2" s="1"/>
  <c r="G589" i="2" s="1"/>
  <c r="F590" i="1" l="1"/>
  <c r="D591" i="1"/>
  <c r="E591" i="2"/>
  <c r="F590" i="2"/>
  <c r="J590" i="2" s="1"/>
  <c r="G590" i="2" s="1"/>
  <c r="F591" i="1" l="1"/>
  <c r="D592" i="1"/>
  <c r="F591" i="2"/>
  <c r="J591" i="2" s="1"/>
  <c r="G591" i="2" s="1"/>
  <c r="E592" i="2"/>
  <c r="F592" i="1" l="1"/>
  <c r="D593" i="1"/>
  <c r="F592" i="2"/>
  <c r="J592" i="2" s="1"/>
  <c r="G592" i="2" s="1"/>
  <c r="E593" i="2"/>
  <c r="F593" i="1" l="1"/>
  <c r="D594" i="1"/>
  <c r="E594" i="2"/>
  <c r="F593" i="2"/>
  <c r="J593" i="2" s="1"/>
  <c r="G593" i="2" s="1"/>
  <c r="F594" i="1" l="1"/>
  <c r="D595" i="1"/>
  <c r="E595" i="2"/>
  <c r="F594" i="2"/>
  <c r="J594" i="2" s="1"/>
  <c r="G594" i="2" s="1"/>
  <c r="F595" i="1" l="1"/>
  <c r="D596" i="1"/>
  <c r="F595" i="2"/>
  <c r="J595" i="2" s="1"/>
  <c r="G595" i="2" s="1"/>
  <c r="E596" i="2"/>
  <c r="F596" i="1" l="1"/>
  <c r="D597" i="1"/>
  <c r="F596" i="2"/>
  <c r="J596" i="2" s="1"/>
  <c r="G596" i="2" s="1"/>
  <c r="E597" i="2"/>
  <c r="F597" i="1" l="1"/>
  <c r="D598" i="1"/>
  <c r="E598" i="2"/>
  <c r="F597" i="2"/>
  <c r="J597" i="2" s="1"/>
  <c r="G597" i="2" s="1"/>
  <c r="F598" i="1" l="1"/>
  <c r="D599" i="1"/>
  <c r="E599" i="2"/>
  <c r="F598" i="2"/>
  <c r="J598" i="2" s="1"/>
  <c r="G598" i="2" s="1"/>
  <c r="F599" i="1" l="1"/>
  <c r="D600" i="1"/>
  <c r="F599" i="2"/>
  <c r="J599" i="2" s="1"/>
  <c r="G599" i="2" s="1"/>
  <c r="E600" i="2"/>
  <c r="F600" i="1" l="1"/>
  <c r="D601" i="1"/>
  <c r="F600" i="2"/>
  <c r="J600" i="2" s="1"/>
  <c r="G600" i="2" s="1"/>
  <c r="E601" i="2"/>
  <c r="F601" i="1" l="1"/>
  <c r="D602" i="1"/>
  <c r="E602" i="2"/>
  <c r="F601" i="2"/>
  <c r="J601" i="2" s="1"/>
  <c r="G601" i="2" s="1"/>
  <c r="F602" i="1" l="1"/>
  <c r="D603" i="1"/>
  <c r="E603" i="2"/>
  <c r="F602" i="2"/>
  <c r="J602" i="2" s="1"/>
  <c r="G602" i="2" s="1"/>
  <c r="F603" i="1" l="1"/>
  <c r="D604" i="1"/>
  <c r="F603" i="2"/>
  <c r="J603" i="2" s="1"/>
  <c r="G603" i="2" s="1"/>
  <c r="E604" i="2"/>
  <c r="F604" i="1" l="1"/>
  <c r="D605" i="1"/>
  <c r="F604" i="2"/>
  <c r="J604" i="2" s="1"/>
  <c r="G604" i="2" s="1"/>
  <c r="E605" i="2"/>
  <c r="F605" i="1" l="1"/>
  <c r="D606" i="1"/>
  <c r="E606" i="2"/>
  <c r="F605" i="2"/>
  <c r="J605" i="2" s="1"/>
  <c r="G605" i="2" s="1"/>
  <c r="F606" i="1" l="1"/>
  <c r="D607" i="1"/>
  <c r="E607" i="2"/>
  <c r="F606" i="2"/>
  <c r="J606" i="2" s="1"/>
  <c r="G606" i="2" s="1"/>
  <c r="F607" i="1" l="1"/>
  <c r="D608" i="1"/>
  <c r="F607" i="2"/>
  <c r="J607" i="2" s="1"/>
  <c r="G607" i="2" s="1"/>
  <c r="E608" i="2"/>
  <c r="F608" i="1" l="1"/>
  <c r="D609" i="1"/>
  <c r="F608" i="2"/>
  <c r="J608" i="2" s="1"/>
  <c r="G608" i="2" s="1"/>
  <c r="E609" i="2"/>
  <c r="F609" i="1" l="1"/>
  <c r="D610" i="1"/>
  <c r="E610" i="2"/>
  <c r="F609" i="2"/>
  <c r="J609" i="2" s="1"/>
  <c r="G609" i="2" s="1"/>
  <c r="F610" i="1" l="1"/>
  <c r="D611" i="1"/>
  <c r="E611" i="2"/>
  <c r="F610" i="2"/>
  <c r="J610" i="2" s="1"/>
  <c r="G610" i="2" s="1"/>
  <c r="F611" i="1" l="1"/>
  <c r="D612" i="1"/>
  <c r="F611" i="2"/>
  <c r="J611" i="2" s="1"/>
  <c r="G611" i="2" s="1"/>
  <c r="E612" i="2"/>
  <c r="F612" i="1" l="1"/>
  <c r="D613" i="1"/>
  <c r="F612" i="2"/>
  <c r="J612" i="2" s="1"/>
  <c r="G612" i="2" s="1"/>
  <c r="E613" i="2"/>
  <c r="F613" i="1" l="1"/>
  <c r="D614" i="1"/>
  <c r="E614" i="2"/>
  <c r="F613" i="2"/>
  <c r="J613" i="2" s="1"/>
  <c r="G613" i="2" s="1"/>
  <c r="F614" i="1" l="1"/>
  <c r="D615" i="1"/>
  <c r="E615" i="2"/>
  <c r="F614" i="2"/>
  <c r="J614" i="2" s="1"/>
  <c r="G614" i="2" s="1"/>
  <c r="F615" i="1" l="1"/>
  <c r="D616" i="1"/>
  <c r="F615" i="2"/>
  <c r="J615" i="2" s="1"/>
  <c r="G615" i="2" s="1"/>
  <c r="E616" i="2"/>
  <c r="F616" i="1" l="1"/>
  <c r="D617" i="1"/>
  <c r="F616" i="2"/>
  <c r="J616" i="2" s="1"/>
  <c r="G616" i="2" s="1"/>
  <c r="E617" i="2"/>
  <c r="F617" i="1" l="1"/>
  <c r="D618" i="1"/>
  <c r="E618" i="2"/>
  <c r="F617" i="2"/>
  <c r="J617" i="2" s="1"/>
  <c r="G617" i="2" s="1"/>
  <c r="F618" i="1" l="1"/>
  <c r="D619" i="1"/>
  <c r="E619" i="2"/>
  <c r="F618" i="2"/>
  <c r="J618" i="2" s="1"/>
  <c r="G618" i="2" s="1"/>
  <c r="F619" i="1" l="1"/>
  <c r="D620" i="1"/>
  <c r="F619" i="2"/>
  <c r="J619" i="2" s="1"/>
  <c r="G619" i="2" s="1"/>
  <c r="E620" i="2"/>
  <c r="F620" i="1" l="1"/>
  <c r="D621" i="1"/>
  <c r="F620" i="2"/>
  <c r="J620" i="2" s="1"/>
  <c r="G620" i="2" s="1"/>
  <c r="E621" i="2"/>
  <c r="F621" i="1" l="1"/>
  <c r="D622" i="1"/>
  <c r="E622" i="2"/>
  <c r="F621" i="2"/>
  <c r="J621" i="2" s="1"/>
  <c r="G621" i="2" s="1"/>
  <c r="F622" i="1" l="1"/>
  <c r="D623" i="1"/>
  <c r="E623" i="2"/>
  <c r="F622" i="2"/>
  <c r="J622" i="2" s="1"/>
  <c r="G622" i="2" s="1"/>
  <c r="F623" i="1" l="1"/>
  <c r="D624" i="1"/>
  <c r="F623" i="2"/>
  <c r="J623" i="2" s="1"/>
  <c r="G623" i="2" s="1"/>
  <c r="E624" i="2"/>
  <c r="F624" i="1" l="1"/>
  <c r="D625" i="1"/>
  <c r="F624" i="2"/>
  <c r="J624" i="2" s="1"/>
  <c r="G624" i="2" s="1"/>
  <c r="E625" i="2"/>
  <c r="F625" i="1" l="1"/>
  <c r="D626" i="1"/>
  <c r="E626" i="2"/>
  <c r="F625" i="2"/>
  <c r="J625" i="2" s="1"/>
  <c r="G625" i="2" s="1"/>
  <c r="F626" i="1" l="1"/>
  <c r="D627" i="1"/>
  <c r="E627" i="2"/>
  <c r="F626" i="2"/>
  <c r="J626" i="2" s="1"/>
  <c r="G626" i="2" s="1"/>
  <c r="F627" i="1" l="1"/>
  <c r="D628" i="1"/>
  <c r="F627" i="2"/>
  <c r="J627" i="2" s="1"/>
  <c r="G627" i="2" s="1"/>
  <c r="E628" i="2"/>
  <c r="F628" i="1" l="1"/>
  <c r="D629" i="1"/>
  <c r="F628" i="2"/>
  <c r="J628" i="2" s="1"/>
  <c r="G628" i="2" s="1"/>
  <c r="E629" i="2"/>
  <c r="F629" i="1" l="1"/>
  <c r="D630" i="1"/>
  <c r="E630" i="2"/>
  <c r="F629" i="2"/>
  <c r="J629" i="2" s="1"/>
  <c r="G629" i="2" s="1"/>
  <c r="F630" i="1" l="1"/>
  <c r="D631" i="1"/>
  <c r="E631" i="2"/>
  <c r="F630" i="2"/>
  <c r="J630" i="2" s="1"/>
  <c r="G630" i="2" s="1"/>
  <c r="F631" i="1" l="1"/>
  <c r="D632" i="1"/>
  <c r="F631" i="2"/>
  <c r="J631" i="2" s="1"/>
  <c r="G631" i="2" s="1"/>
  <c r="E632" i="2"/>
  <c r="F632" i="1" l="1"/>
  <c r="D633" i="1"/>
  <c r="F632" i="2"/>
  <c r="J632" i="2" s="1"/>
  <c r="G632" i="2" s="1"/>
  <c r="E633" i="2"/>
  <c r="F633" i="1" l="1"/>
  <c r="D634" i="1"/>
  <c r="E634" i="2"/>
  <c r="F633" i="2"/>
  <c r="J633" i="2" s="1"/>
  <c r="G633" i="2" s="1"/>
  <c r="F634" i="1" l="1"/>
  <c r="D635" i="1"/>
  <c r="E635" i="2"/>
  <c r="F634" i="2"/>
  <c r="J634" i="2" s="1"/>
  <c r="G634" i="2" s="1"/>
  <c r="F635" i="1" l="1"/>
  <c r="D636" i="1"/>
  <c r="F635" i="2"/>
  <c r="J635" i="2" s="1"/>
  <c r="G635" i="2" s="1"/>
  <c r="E636" i="2"/>
  <c r="F636" i="1" l="1"/>
  <c r="D637" i="1"/>
  <c r="F636" i="2"/>
  <c r="J636" i="2" s="1"/>
  <c r="G636" i="2" s="1"/>
  <c r="E637" i="2"/>
  <c r="F637" i="1" l="1"/>
  <c r="D638" i="1"/>
  <c r="E638" i="2"/>
  <c r="F637" i="2"/>
  <c r="J637" i="2" s="1"/>
  <c r="G637" i="2" s="1"/>
  <c r="F638" i="1" l="1"/>
  <c r="D639" i="1"/>
  <c r="E639" i="2"/>
  <c r="F638" i="2"/>
  <c r="J638" i="2" s="1"/>
  <c r="G638" i="2" s="1"/>
  <c r="F639" i="1" l="1"/>
  <c r="D640" i="1"/>
  <c r="F639" i="2"/>
  <c r="J639" i="2" s="1"/>
  <c r="G639" i="2" s="1"/>
  <c r="E640" i="2"/>
  <c r="F640" i="1" l="1"/>
  <c r="D641" i="1"/>
  <c r="F640" i="2"/>
  <c r="J640" i="2" s="1"/>
  <c r="G640" i="2" s="1"/>
  <c r="E641" i="2"/>
  <c r="F641" i="1" l="1"/>
  <c r="D642" i="1"/>
  <c r="E642" i="2"/>
  <c r="F641" i="2"/>
  <c r="J641" i="2" s="1"/>
  <c r="G641" i="2" s="1"/>
  <c r="F642" i="1" l="1"/>
  <c r="D643" i="1"/>
  <c r="E643" i="2"/>
  <c r="F642" i="2"/>
  <c r="J642" i="2" s="1"/>
  <c r="G642" i="2" s="1"/>
  <c r="F643" i="1" l="1"/>
  <c r="D644" i="1"/>
  <c r="F643" i="2"/>
  <c r="J643" i="2" s="1"/>
  <c r="G643" i="2" s="1"/>
  <c r="E644" i="2"/>
  <c r="F644" i="1" l="1"/>
  <c r="D645" i="1"/>
  <c r="F644" i="2"/>
  <c r="J644" i="2" s="1"/>
  <c r="G644" i="2" s="1"/>
  <c r="E645" i="2"/>
  <c r="F645" i="1" l="1"/>
  <c r="D646" i="1"/>
  <c r="E646" i="2"/>
  <c r="F645" i="2"/>
  <c r="J645" i="2" s="1"/>
  <c r="G645" i="2" s="1"/>
  <c r="F646" i="1" l="1"/>
  <c r="D647" i="1"/>
  <c r="E647" i="2"/>
  <c r="F646" i="2"/>
  <c r="J646" i="2" s="1"/>
  <c r="G646" i="2" s="1"/>
  <c r="F647" i="1" l="1"/>
  <c r="D648" i="1"/>
  <c r="F647" i="2"/>
  <c r="J647" i="2" s="1"/>
  <c r="G647" i="2" s="1"/>
  <c r="E648" i="2"/>
  <c r="F648" i="1" l="1"/>
  <c r="D649" i="1"/>
  <c r="F648" i="2"/>
  <c r="J648" i="2" s="1"/>
  <c r="G648" i="2" s="1"/>
  <c r="E649" i="2"/>
  <c r="F649" i="1" l="1"/>
  <c r="D650" i="1"/>
  <c r="E650" i="2"/>
  <c r="F649" i="2"/>
  <c r="J649" i="2" s="1"/>
  <c r="G649" i="2" s="1"/>
  <c r="F650" i="1" l="1"/>
  <c r="D651" i="1"/>
  <c r="E651" i="2"/>
  <c r="F650" i="2"/>
  <c r="J650" i="2" s="1"/>
  <c r="G650" i="2" s="1"/>
  <c r="F651" i="1" l="1"/>
  <c r="D652" i="1"/>
  <c r="F651" i="2"/>
  <c r="J651" i="2" s="1"/>
  <c r="G651" i="2" s="1"/>
  <c r="E652" i="2"/>
  <c r="F652" i="1" l="1"/>
  <c r="D653" i="1"/>
  <c r="F652" i="2"/>
  <c r="J652" i="2" s="1"/>
  <c r="G652" i="2" s="1"/>
  <c r="E653" i="2"/>
  <c r="F653" i="1" l="1"/>
  <c r="D654" i="1"/>
  <c r="E654" i="2"/>
  <c r="F653" i="2"/>
  <c r="J653" i="2" s="1"/>
  <c r="G653" i="2" s="1"/>
  <c r="F654" i="1" l="1"/>
  <c r="D655" i="1"/>
  <c r="E655" i="2"/>
  <c r="F654" i="2"/>
  <c r="J654" i="2" s="1"/>
  <c r="G654" i="2" s="1"/>
  <c r="F655" i="1" l="1"/>
  <c r="D656" i="1"/>
  <c r="F655" i="2"/>
  <c r="J655" i="2" s="1"/>
  <c r="G655" i="2" s="1"/>
  <c r="E656" i="2"/>
  <c r="F656" i="1" l="1"/>
  <c r="D657" i="1"/>
  <c r="F656" i="2"/>
  <c r="J656" i="2" s="1"/>
  <c r="G656" i="2" s="1"/>
  <c r="E657" i="2"/>
  <c r="F657" i="1" l="1"/>
  <c r="D658" i="1"/>
  <c r="E658" i="2"/>
  <c r="F657" i="2"/>
  <c r="J657" i="2" s="1"/>
  <c r="G657" i="2" s="1"/>
  <c r="F658" i="1" l="1"/>
  <c r="D659" i="1"/>
  <c r="E659" i="2"/>
  <c r="F658" i="2"/>
  <c r="J658" i="2" s="1"/>
  <c r="G658" i="2" s="1"/>
  <c r="F659" i="1" l="1"/>
  <c r="D660" i="1"/>
  <c r="F659" i="2"/>
  <c r="J659" i="2" s="1"/>
  <c r="G659" i="2" s="1"/>
  <c r="E660" i="2"/>
  <c r="F660" i="1" l="1"/>
  <c r="D661" i="1"/>
  <c r="F660" i="2"/>
  <c r="J660" i="2" s="1"/>
  <c r="G660" i="2" s="1"/>
  <c r="E661" i="2"/>
  <c r="F661" i="1" l="1"/>
  <c r="D662" i="1"/>
  <c r="E662" i="2"/>
  <c r="F661" i="2"/>
  <c r="J661" i="2" s="1"/>
  <c r="G661" i="2" s="1"/>
  <c r="F662" i="1" l="1"/>
  <c r="D663" i="1"/>
  <c r="E663" i="2"/>
  <c r="F662" i="2"/>
  <c r="J662" i="2" s="1"/>
  <c r="G662" i="2" s="1"/>
  <c r="F663" i="1" l="1"/>
  <c r="D664" i="1"/>
  <c r="F663" i="2"/>
  <c r="J663" i="2" s="1"/>
  <c r="G663" i="2" s="1"/>
  <c r="E664" i="2"/>
  <c r="F664" i="1" l="1"/>
  <c r="D665" i="1"/>
  <c r="F664" i="2"/>
  <c r="J664" i="2" s="1"/>
  <c r="G664" i="2" s="1"/>
  <c r="E665" i="2"/>
  <c r="F665" i="1" l="1"/>
  <c r="D666" i="1"/>
  <c r="E666" i="2"/>
  <c r="F665" i="2"/>
  <c r="J665" i="2" s="1"/>
  <c r="G665" i="2" s="1"/>
  <c r="F666" i="1" l="1"/>
  <c r="D667" i="1"/>
  <c r="F666" i="2"/>
  <c r="J666" i="2" s="1"/>
  <c r="G666" i="2" s="1"/>
  <c r="E667" i="2"/>
  <c r="F667" i="1" l="1"/>
  <c r="D668" i="1"/>
  <c r="F667" i="2"/>
  <c r="J667" i="2" s="1"/>
  <c r="G667" i="2" s="1"/>
  <c r="E668" i="2"/>
  <c r="F668" i="1" l="1"/>
  <c r="D669" i="1"/>
  <c r="F668" i="2"/>
  <c r="J668" i="2" s="1"/>
  <c r="G668" i="2" s="1"/>
  <c r="E669" i="2"/>
  <c r="F669" i="1" l="1"/>
  <c r="D670" i="1"/>
  <c r="F669" i="2"/>
  <c r="J669" i="2" s="1"/>
  <c r="G669" i="2" s="1"/>
  <c r="E670" i="2"/>
  <c r="F670" i="1" l="1"/>
  <c r="D671" i="1"/>
  <c r="E671" i="2"/>
  <c r="F670" i="2"/>
  <c r="J670" i="2" s="1"/>
  <c r="G670" i="2" s="1"/>
  <c r="F671" i="1" l="1"/>
  <c r="D672" i="1"/>
  <c r="F671" i="2"/>
  <c r="J671" i="2" s="1"/>
  <c r="G671" i="2" s="1"/>
  <c r="E672" i="2"/>
  <c r="F672" i="1" l="1"/>
  <c r="D673" i="1"/>
  <c r="E673" i="2"/>
  <c r="F672" i="2"/>
  <c r="J672" i="2" s="1"/>
  <c r="G672" i="2" s="1"/>
  <c r="F673" i="1" l="1"/>
  <c r="D674" i="1"/>
  <c r="E674" i="2"/>
  <c r="F673" i="2"/>
  <c r="J673" i="2" s="1"/>
  <c r="G673" i="2" s="1"/>
  <c r="F674" i="1" l="1"/>
  <c r="D675" i="1"/>
  <c r="F674" i="2"/>
  <c r="J674" i="2" s="1"/>
  <c r="G674" i="2" s="1"/>
  <c r="E675" i="2"/>
  <c r="F675" i="1" l="1"/>
  <c r="D676" i="1"/>
  <c r="F675" i="2"/>
  <c r="J675" i="2" s="1"/>
  <c r="G675" i="2" s="1"/>
  <c r="E676" i="2"/>
  <c r="F676" i="1" l="1"/>
  <c r="D677" i="1"/>
  <c r="F676" i="2"/>
  <c r="J676" i="2" s="1"/>
  <c r="G676" i="2" s="1"/>
  <c r="E677" i="2"/>
  <c r="F677" i="1" l="1"/>
  <c r="D678" i="1"/>
  <c r="E678" i="2"/>
  <c r="F677" i="2"/>
  <c r="J677" i="2" s="1"/>
  <c r="G677" i="2" s="1"/>
  <c r="F678" i="1" l="1"/>
  <c r="D679" i="1"/>
  <c r="F678" i="2"/>
  <c r="J678" i="2" s="1"/>
  <c r="G678" i="2" s="1"/>
  <c r="E679" i="2"/>
  <c r="F679" i="1" l="1"/>
  <c r="D680" i="1"/>
  <c r="F679" i="2"/>
  <c r="J679" i="2" s="1"/>
  <c r="G679" i="2" s="1"/>
  <c r="E680" i="2"/>
  <c r="F680" i="1" l="1"/>
  <c r="D681" i="1"/>
  <c r="E681" i="2"/>
  <c r="F680" i="2"/>
  <c r="J680" i="2" s="1"/>
  <c r="G680" i="2" s="1"/>
  <c r="F681" i="1" l="1"/>
  <c r="D682" i="1"/>
  <c r="F681" i="2"/>
  <c r="J681" i="2" s="1"/>
  <c r="G681" i="2" s="1"/>
  <c r="E682" i="2"/>
  <c r="F682" i="1" l="1"/>
  <c r="D683" i="1"/>
  <c r="E683" i="2"/>
  <c r="F682" i="2"/>
  <c r="J682" i="2" s="1"/>
  <c r="G682" i="2" s="1"/>
  <c r="F683" i="1" l="1"/>
  <c r="D684" i="1"/>
  <c r="F683" i="2"/>
  <c r="J683" i="2" s="1"/>
  <c r="G683" i="2" s="1"/>
  <c r="E684" i="2"/>
  <c r="F684" i="1" l="1"/>
  <c r="D685" i="1"/>
  <c r="E685" i="2"/>
  <c r="F684" i="2"/>
  <c r="J684" i="2" s="1"/>
  <c r="G684" i="2" s="1"/>
  <c r="F685" i="1" l="1"/>
  <c r="D686" i="1"/>
  <c r="E686" i="2"/>
  <c r="F685" i="2"/>
  <c r="J685" i="2" s="1"/>
  <c r="G685" i="2" s="1"/>
  <c r="F686" i="1" l="1"/>
  <c r="D687" i="1"/>
  <c r="F686" i="2"/>
  <c r="J686" i="2" s="1"/>
  <c r="G686" i="2" s="1"/>
  <c r="E687" i="2"/>
  <c r="F687" i="1" l="1"/>
  <c r="D688" i="1"/>
  <c r="F687" i="2"/>
  <c r="J687" i="2" s="1"/>
  <c r="G687" i="2" s="1"/>
  <c r="E688" i="2"/>
  <c r="F688" i="1" l="1"/>
  <c r="D689" i="1"/>
  <c r="E689" i="2"/>
  <c r="F688" i="2"/>
  <c r="J688" i="2" s="1"/>
  <c r="G688" i="2" s="1"/>
  <c r="F689" i="1" l="1"/>
  <c r="D690" i="1"/>
  <c r="E690" i="2"/>
  <c r="F689" i="2"/>
  <c r="J689" i="2" s="1"/>
  <c r="G689" i="2" s="1"/>
  <c r="F690" i="1" l="1"/>
  <c r="D691" i="1"/>
  <c r="F690" i="2"/>
  <c r="J690" i="2" s="1"/>
  <c r="G690" i="2" s="1"/>
  <c r="E691" i="2"/>
  <c r="D692" i="1" l="1"/>
  <c r="F691" i="1"/>
  <c r="F691" i="2"/>
  <c r="J691" i="2" s="1"/>
  <c r="G691" i="2" s="1"/>
  <c r="E692" i="2"/>
  <c r="F692" i="1" l="1"/>
  <c r="D693" i="1"/>
  <c r="E693" i="2"/>
  <c r="F692" i="2"/>
  <c r="J692" i="2" s="1"/>
  <c r="G692" i="2" s="1"/>
  <c r="D694" i="1" l="1"/>
  <c r="F693" i="1"/>
  <c r="E694" i="2"/>
  <c r="F693" i="2"/>
  <c r="J693" i="2" s="1"/>
  <c r="G693" i="2" s="1"/>
  <c r="F694" i="1" l="1"/>
  <c r="D695" i="1"/>
  <c r="F694" i="2"/>
  <c r="J694" i="2" s="1"/>
  <c r="G694" i="2" s="1"/>
  <c r="E695" i="2"/>
  <c r="D696" i="1" l="1"/>
  <c r="F695" i="1"/>
  <c r="F695" i="2"/>
  <c r="J695" i="2" s="1"/>
  <c r="G695" i="2" s="1"/>
  <c r="E696" i="2"/>
  <c r="F696" i="1" l="1"/>
  <c r="D697" i="1"/>
  <c r="E697" i="2"/>
  <c r="F696" i="2"/>
  <c r="J696" i="2" s="1"/>
  <c r="G696" i="2" s="1"/>
  <c r="D698" i="1" l="1"/>
  <c r="F697" i="1"/>
  <c r="E698" i="2"/>
  <c r="F697" i="2"/>
  <c r="J697" i="2" s="1"/>
  <c r="G697" i="2" s="1"/>
  <c r="F698" i="1" l="1"/>
  <c r="D699" i="1"/>
  <c r="F698" i="2"/>
  <c r="J698" i="2" s="1"/>
  <c r="G698" i="2" s="1"/>
  <c r="E699" i="2"/>
  <c r="D700" i="1" l="1"/>
  <c r="F699" i="1"/>
  <c r="F699" i="2"/>
  <c r="J699" i="2" s="1"/>
  <c r="G699" i="2" s="1"/>
  <c r="E700" i="2"/>
  <c r="F700" i="1" l="1"/>
  <c r="D701" i="1"/>
  <c r="E701" i="2"/>
  <c r="F700" i="2"/>
  <c r="J700" i="2" s="1"/>
  <c r="G700" i="2" s="1"/>
  <c r="D702" i="1" l="1"/>
  <c r="F701" i="1"/>
  <c r="E702" i="2"/>
  <c r="F701" i="2"/>
  <c r="J701" i="2" s="1"/>
  <c r="G701" i="2" s="1"/>
  <c r="F702" i="1" l="1"/>
  <c r="D703" i="1"/>
  <c r="F702" i="2"/>
  <c r="J702" i="2" s="1"/>
  <c r="G702" i="2" s="1"/>
  <c r="E703" i="2"/>
  <c r="D704" i="1" l="1"/>
  <c r="F703" i="1"/>
  <c r="F703" i="2"/>
  <c r="J703" i="2" s="1"/>
  <c r="G703" i="2" s="1"/>
  <c r="E704" i="2"/>
  <c r="F704" i="1" l="1"/>
  <c r="D705" i="1"/>
  <c r="E705" i="2"/>
  <c r="F704" i="2"/>
  <c r="J704" i="2" s="1"/>
  <c r="G704" i="2" s="1"/>
  <c r="D706" i="1" l="1"/>
  <c r="F705" i="1"/>
  <c r="E706" i="2"/>
  <c r="F705" i="2"/>
  <c r="J705" i="2" s="1"/>
  <c r="G705" i="2" s="1"/>
  <c r="F706" i="1" l="1"/>
  <c r="D707" i="1"/>
  <c r="F706" i="2"/>
  <c r="J706" i="2" s="1"/>
  <c r="G706" i="2" s="1"/>
  <c r="E707" i="2"/>
  <c r="D708" i="1" l="1"/>
  <c r="F707" i="1"/>
  <c r="F707" i="2"/>
  <c r="J707" i="2" s="1"/>
  <c r="G707" i="2" s="1"/>
  <c r="E708" i="2"/>
  <c r="F708" i="1" l="1"/>
  <c r="D709" i="1"/>
  <c r="E709" i="2"/>
  <c r="F708" i="2"/>
  <c r="J708" i="2" s="1"/>
  <c r="G708" i="2" s="1"/>
  <c r="D710" i="1" l="1"/>
  <c r="F709" i="1"/>
  <c r="E710" i="2"/>
  <c r="F709" i="2"/>
  <c r="J709" i="2" s="1"/>
  <c r="G709" i="2" s="1"/>
  <c r="F710" i="1" l="1"/>
  <c r="D711" i="1"/>
  <c r="F710" i="2"/>
  <c r="J710" i="2" s="1"/>
  <c r="G710" i="2" s="1"/>
  <c r="E711" i="2"/>
  <c r="D712" i="1" l="1"/>
  <c r="F711" i="1"/>
  <c r="F711" i="2"/>
  <c r="J711" i="2" s="1"/>
  <c r="G711" i="2" s="1"/>
  <c r="E712" i="2"/>
  <c r="F712" i="1" l="1"/>
  <c r="D713" i="1"/>
  <c r="E713" i="2"/>
  <c r="F712" i="2"/>
  <c r="J712" i="2" s="1"/>
  <c r="G712" i="2" s="1"/>
  <c r="D714" i="1" l="1"/>
  <c r="F713" i="1"/>
  <c r="E714" i="2"/>
  <c r="F713" i="2"/>
  <c r="J713" i="2" s="1"/>
  <c r="G713" i="2" s="1"/>
  <c r="F714" i="1" l="1"/>
  <c r="D715" i="1"/>
  <c r="F714" i="2"/>
  <c r="J714" i="2" s="1"/>
  <c r="G714" i="2" s="1"/>
  <c r="E715" i="2"/>
  <c r="D716" i="1" l="1"/>
  <c r="F715" i="1"/>
  <c r="F715" i="2"/>
  <c r="J715" i="2" s="1"/>
  <c r="G715" i="2" s="1"/>
  <c r="E716" i="2"/>
  <c r="F716" i="1" l="1"/>
  <c r="D717" i="1"/>
  <c r="E717" i="2"/>
  <c r="F716" i="2"/>
  <c r="J716" i="2" s="1"/>
  <c r="G716" i="2" s="1"/>
  <c r="D718" i="1" l="1"/>
  <c r="F717" i="1"/>
  <c r="E718" i="2"/>
  <c r="F717" i="2"/>
  <c r="J717" i="2" s="1"/>
  <c r="G717" i="2" s="1"/>
  <c r="F718" i="1" l="1"/>
  <c r="D719" i="1"/>
  <c r="F718" i="2"/>
  <c r="J718" i="2" s="1"/>
  <c r="G718" i="2" s="1"/>
  <c r="E719" i="2"/>
  <c r="D720" i="1" l="1"/>
  <c r="F719" i="1"/>
  <c r="F719" i="2"/>
  <c r="J719" i="2" s="1"/>
  <c r="G719" i="2" s="1"/>
  <c r="E720" i="2"/>
  <c r="F720" i="1" l="1"/>
  <c r="D721" i="1"/>
  <c r="E721" i="2"/>
  <c r="F720" i="2"/>
  <c r="J720" i="2" s="1"/>
  <c r="G720" i="2" s="1"/>
  <c r="D722" i="1" l="1"/>
  <c r="F721" i="1"/>
  <c r="E722" i="2"/>
  <c r="F721" i="2"/>
  <c r="J721" i="2" s="1"/>
  <c r="G721" i="2" s="1"/>
  <c r="F722" i="1" l="1"/>
  <c r="D723" i="1"/>
  <c r="F722" i="2"/>
  <c r="J722" i="2" s="1"/>
  <c r="G722" i="2" s="1"/>
  <c r="E723" i="2"/>
  <c r="D724" i="1" l="1"/>
  <c r="F723" i="1"/>
  <c r="F723" i="2"/>
  <c r="J723" i="2" s="1"/>
  <c r="G723" i="2" s="1"/>
  <c r="E724" i="2"/>
  <c r="F724" i="1" l="1"/>
  <c r="D725" i="1"/>
  <c r="E725" i="2"/>
  <c r="F724" i="2"/>
  <c r="J724" i="2" s="1"/>
  <c r="G724" i="2" s="1"/>
  <c r="D726" i="1" l="1"/>
  <c r="F725" i="1"/>
  <c r="E726" i="2"/>
  <c r="F725" i="2"/>
  <c r="J725" i="2" s="1"/>
  <c r="G725" i="2" s="1"/>
  <c r="F726" i="1" l="1"/>
  <c r="D727" i="1"/>
  <c r="F726" i="2"/>
  <c r="J726" i="2" s="1"/>
  <c r="G726" i="2" s="1"/>
  <c r="E727" i="2"/>
  <c r="D728" i="1" l="1"/>
  <c r="F727" i="1"/>
  <c r="F727" i="2"/>
  <c r="J727" i="2" s="1"/>
  <c r="G727" i="2" s="1"/>
  <c r="E728" i="2"/>
  <c r="F728" i="1" l="1"/>
  <c r="D729" i="1"/>
  <c r="E729" i="2"/>
  <c r="F728" i="2"/>
  <c r="J728" i="2" s="1"/>
  <c r="G728" i="2" s="1"/>
  <c r="D730" i="1" l="1"/>
  <c r="F729" i="1"/>
  <c r="E730" i="2"/>
  <c r="F729" i="2"/>
  <c r="J729" i="2" s="1"/>
  <c r="G729" i="2" s="1"/>
  <c r="F730" i="1" l="1"/>
  <c r="D731" i="1"/>
  <c r="F730" i="2"/>
  <c r="J730" i="2" s="1"/>
  <c r="G730" i="2" s="1"/>
  <c r="E731" i="2"/>
  <c r="D732" i="1" l="1"/>
  <c r="F731" i="1"/>
  <c r="F731" i="2"/>
  <c r="J731" i="2" s="1"/>
  <c r="G731" i="2" s="1"/>
  <c r="E732" i="2"/>
  <c r="F732" i="1" l="1"/>
  <c r="D733" i="1"/>
  <c r="E733" i="2"/>
  <c r="F732" i="2"/>
  <c r="J732" i="2" s="1"/>
  <c r="G732" i="2" s="1"/>
  <c r="D734" i="1" l="1"/>
  <c r="F733" i="1"/>
  <c r="E734" i="2"/>
  <c r="F733" i="2"/>
  <c r="J733" i="2" s="1"/>
  <c r="G733" i="2" s="1"/>
  <c r="F734" i="1" l="1"/>
  <c r="D735" i="1"/>
  <c r="F734" i="2"/>
  <c r="J734" i="2" s="1"/>
  <c r="G734" i="2" s="1"/>
  <c r="E735" i="2"/>
  <c r="D736" i="1" l="1"/>
  <c r="F735" i="1"/>
  <c r="F735" i="2"/>
  <c r="J735" i="2" s="1"/>
  <c r="G735" i="2" s="1"/>
  <c r="E736" i="2"/>
  <c r="F736" i="1" l="1"/>
  <c r="D737" i="1"/>
  <c r="E737" i="2"/>
  <c r="F736" i="2"/>
  <c r="J736" i="2" s="1"/>
  <c r="G736" i="2" s="1"/>
  <c r="D738" i="1" l="1"/>
  <c r="F737" i="1"/>
  <c r="E738" i="2"/>
  <c r="F737" i="2"/>
  <c r="J737" i="2" s="1"/>
  <c r="G737" i="2" s="1"/>
  <c r="F738" i="1" l="1"/>
  <c r="D739" i="1"/>
  <c r="F738" i="2"/>
  <c r="J738" i="2" s="1"/>
  <c r="G738" i="2" s="1"/>
  <c r="E739" i="2"/>
  <c r="D740" i="1" l="1"/>
  <c r="F739" i="1"/>
  <c r="F739" i="2"/>
  <c r="J739" i="2" s="1"/>
  <c r="G739" i="2" s="1"/>
  <c r="E740" i="2"/>
  <c r="F740" i="1" l="1"/>
  <c r="D741" i="1"/>
  <c r="E741" i="2"/>
  <c r="F740" i="2"/>
  <c r="J740" i="2" s="1"/>
  <c r="G740" i="2" s="1"/>
  <c r="D742" i="1" l="1"/>
  <c r="F741" i="1"/>
  <c r="E742" i="2"/>
  <c r="F741" i="2"/>
  <c r="J741" i="2" s="1"/>
  <c r="G741" i="2" s="1"/>
  <c r="F742" i="1" l="1"/>
  <c r="D743" i="1"/>
  <c r="F742" i="2"/>
  <c r="J742" i="2" s="1"/>
  <c r="G742" i="2" s="1"/>
  <c r="E743" i="2"/>
  <c r="D744" i="1" l="1"/>
  <c r="F743" i="1"/>
  <c r="F743" i="2"/>
  <c r="J743" i="2" s="1"/>
  <c r="G743" i="2" s="1"/>
  <c r="E744" i="2"/>
  <c r="F744" i="1" l="1"/>
  <c r="D745" i="1"/>
  <c r="E745" i="2"/>
  <c r="F744" i="2"/>
  <c r="J744" i="2" s="1"/>
  <c r="G744" i="2" s="1"/>
  <c r="D746" i="1" l="1"/>
  <c r="F745" i="1"/>
  <c r="E746" i="2"/>
  <c r="F745" i="2"/>
  <c r="J745" i="2" s="1"/>
  <c r="G745" i="2" s="1"/>
  <c r="F746" i="1" l="1"/>
  <c r="D747" i="1"/>
  <c r="F746" i="2"/>
  <c r="J746" i="2" s="1"/>
  <c r="G746" i="2" s="1"/>
  <c r="E747" i="2"/>
  <c r="D748" i="1" l="1"/>
  <c r="F747" i="1"/>
  <c r="F747" i="2"/>
  <c r="J747" i="2" s="1"/>
  <c r="G747" i="2" s="1"/>
  <c r="E748" i="2"/>
  <c r="F748" i="1" l="1"/>
  <c r="D749" i="1"/>
  <c r="E749" i="2"/>
  <c r="F748" i="2"/>
  <c r="J748" i="2" s="1"/>
  <c r="G748" i="2" s="1"/>
  <c r="D750" i="1" l="1"/>
  <c r="F749" i="1"/>
  <c r="E750" i="2"/>
  <c r="F749" i="2"/>
  <c r="J749" i="2" s="1"/>
  <c r="G749" i="2" s="1"/>
  <c r="F750" i="1" l="1"/>
  <c r="D751" i="1"/>
  <c r="F750" i="2"/>
  <c r="J750" i="2" s="1"/>
  <c r="G750" i="2" s="1"/>
  <c r="E751" i="2"/>
  <c r="D752" i="1" l="1"/>
  <c r="F751" i="1"/>
  <c r="F751" i="2"/>
  <c r="J751" i="2" s="1"/>
  <c r="G751" i="2" s="1"/>
  <c r="E752" i="2"/>
  <c r="F752" i="1" l="1"/>
  <c r="D753" i="1"/>
  <c r="E753" i="2"/>
  <c r="F752" i="2"/>
  <c r="J752" i="2" s="1"/>
  <c r="G752" i="2" s="1"/>
  <c r="D754" i="1" l="1"/>
  <c r="F753" i="1"/>
  <c r="E754" i="2"/>
  <c r="F753" i="2"/>
  <c r="J753" i="2" s="1"/>
  <c r="G753" i="2" s="1"/>
  <c r="F754" i="1" l="1"/>
  <c r="D755" i="1"/>
  <c r="F754" i="2"/>
  <c r="J754" i="2" s="1"/>
  <c r="G754" i="2" s="1"/>
  <c r="E755" i="2"/>
  <c r="D756" i="1" l="1"/>
  <c r="F755" i="1"/>
  <c r="F755" i="2"/>
  <c r="J755" i="2" s="1"/>
  <c r="G755" i="2" s="1"/>
  <c r="E756" i="2"/>
  <c r="F756" i="1" l="1"/>
  <c r="D757" i="1"/>
  <c r="E757" i="2"/>
  <c r="F756" i="2"/>
  <c r="J756" i="2" s="1"/>
  <c r="G756" i="2" s="1"/>
  <c r="D758" i="1" l="1"/>
  <c r="F757" i="1"/>
  <c r="E758" i="2"/>
  <c r="F757" i="2"/>
  <c r="J757" i="2" s="1"/>
  <c r="G757" i="2" s="1"/>
  <c r="F758" i="1" l="1"/>
  <c r="D759" i="1"/>
  <c r="F758" i="2"/>
  <c r="J758" i="2" s="1"/>
  <c r="G758" i="2" s="1"/>
  <c r="E759" i="2"/>
  <c r="D760" i="1" l="1"/>
  <c r="F759" i="1"/>
  <c r="F759" i="2"/>
  <c r="J759" i="2" s="1"/>
  <c r="G759" i="2" s="1"/>
  <c r="E760" i="2"/>
  <c r="F760" i="1" l="1"/>
  <c r="D761" i="1"/>
  <c r="E761" i="2"/>
  <c r="F760" i="2"/>
  <c r="J760" i="2" s="1"/>
  <c r="G760" i="2" s="1"/>
  <c r="D762" i="1" l="1"/>
  <c r="F761" i="1"/>
  <c r="E762" i="2"/>
  <c r="F761" i="2"/>
  <c r="J761" i="2" s="1"/>
  <c r="G761" i="2" s="1"/>
  <c r="F762" i="1" l="1"/>
  <c r="D763" i="1"/>
  <c r="F762" i="2"/>
  <c r="J762" i="2" s="1"/>
  <c r="G762" i="2" s="1"/>
  <c r="E763" i="2"/>
  <c r="D764" i="1" l="1"/>
  <c r="F763" i="1"/>
  <c r="F763" i="2"/>
  <c r="J763" i="2" s="1"/>
  <c r="G763" i="2" s="1"/>
  <c r="E764" i="2"/>
  <c r="F764" i="1" l="1"/>
  <c r="D765" i="1"/>
  <c r="E765" i="2"/>
  <c r="F764" i="2"/>
  <c r="J764" i="2" s="1"/>
  <c r="G764" i="2" s="1"/>
  <c r="D766" i="1" l="1"/>
  <c r="F765" i="1"/>
  <c r="E766" i="2"/>
  <c r="F765" i="2"/>
  <c r="J765" i="2" s="1"/>
  <c r="G765" i="2" s="1"/>
  <c r="F766" i="1" l="1"/>
  <c r="D767" i="1"/>
  <c r="F766" i="2"/>
  <c r="J766" i="2" s="1"/>
  <c r="G766" i="2" s="1"/>
  <c r="E767" i="2"/>
  <c r="D768" i="1" l="1"/>
  <c r="F767" i="1"/>
  <c r="F767" i="2"/>
  <c r="J767" i="2" s="1"/>
  <c r="G767" i="2" s="1"/>
  <c r="E768" i="2"/>
  <c r="F768" i="1" l="1"/>
  <c r="D769" i="1"/>
  <c r="E769" i="2"/>
  <c r="F768" i="2"/>
  <c r="J768" i="2" s="1"/>
  <c r="G768" i="2" s="1"/>
  <c r="D770" i="1" l="1"/>
  <c r="F769" i="1"/>
  <c r="E770" i="2"/>
  <c r="F769" i="2"/>
  <c r="J769" i="2" s="1"/>
  <c r="G769" i="2" s="1"/>
  <c r="F770" i="1" l="1"/>
  <c r="D771" i="1"/>
  <c r="F770" i="2"/>
  <c r="J770" i="2" s="1"/>
  <c r="G770" i="2" s="1"/>
  <c r="E771" i="2"/>
  <c r="D772" i="1" l="1"/>
  <c r="F771" i="1"/>
  <c r="F771" i="2"/>
  <c r="J771" i="2" s="1"/>
  <c r="G771" i="2" s="1"/>
  <c r="E772" i="2"/>
  <c r="F772" i="1" l="1"/>
  <c r="D773" i="1"/>
  <c r="E773" i="2"/>
  <c r="F772" i="2"/>
  <c r="J772" i="2" s="1"/>
  <c r="G772" i="2" s="1"/>
  <c r="D774" i="1" l="1"/>
  <c r="F773" i="1"/>
  <c r="E774" i="2"/>
  <c r="F773" i="2"/>
  <c r="J773" i="2" s="1"/>
  <c r="G773" i="2" s="1"/>
  <c r="F774" i="1" l="1"/>
  <c r="D775" i="1"/>
  <c r="F774" i="2"/>
  <c r="J774" i="2" s="1"/>
  <c r="G774" i="2" s="1"/>
  <c r="E775" i="2"/>
  <c r="D776" i="1" l="1"/>
  <c r="F775" i="1"/>
  <c r="F775" i="2"/>
  <c r="J775" i="2" s="1"/>
  <c r="G775" i="2" s="1"/>
  <c r="E776" i="2"/>
  <c r="F776" i="1" l="1"/>
  <c r="D777" i="1"/>
  <c r="E777" i="2"/>
  <c r="F776" i="2"/>
  <c r="J776" i="2" s="1"/>
  <c r="G776" i="2" s="1"/>
  <c r="D778" i="1" l="1"/>
  <c r="F777" i="1"/>
  <c r="E778" i="2"/>
  <c r="F777" i="2"/>
  <c r="J777" i="2" s="1"/>
  <c r="G777" i="2" s="1"/>
  <c r="F778" i="1" l="1"/>
  <c r="D779" i="1"/>
  <c r="F778" i="2"/>
  <c r="J778" i="2" s="1"/>
  <c r="G778" i="2" s="1"/>
  <c r="E779" i="2"/>
  <c r="D780" i="1" l="1"/>
  <c r="F779" i="1"/>
  <c r="F779" i="2"/>
  <c r="J779" i="2" s="1"/>
  <c r="G779" i="2" s="1"/>
  <c r="E780" i="2"/>
  <c r="F780" i="1" l="1"/>
  <c r="D781" i="1"/>
  <c r="E781" i="2"/>
  <c r="F780" i="2"/>
  <c r="J780" i="2" s="1"/>
  <c r="G780" i="2" s="1"/>
  <c r="D782" i="1" l="1"/>
  <c r="F781" i="1"/>
  <c r="E782" i="2"/>
  <c r="F781" i="2"/>
  <c r="J781" i="2" s="1"/>
  <c r="G781" i="2" s="1"/>
  <c r="F782" i="1" l="1"/>
  <c r="D783" i="1"/>
  <c r="F782" i="2"/>
  <c r="J782" i="2" s="1"/>
  <c r="G782" i="2" s="1"/>
  <c r="E783" i="2"/>
  <c r="D784" i="1" l="1"/>
  <c r="F783" i="1"/>
  <c r="F783" i="2"/>
  <c r="J783" i="2" s="1"/>
  <c r="G783" i="2" s="1"/>
  <c r="E784" i="2"/>
  <c r="F784" i="1" l="1"/>
  <c r="D785" i="1"/>
  <c r="E785" i="2"/>
  <c r="F784" i="2"/>
  <c r="J784" i="2" s="1"/>
  <c r="G784" i="2" s="1"/>
  <c r="D786" i="1" l="1"/>
  <c r="F785" i="1"/>
  <c r="E786" i="2"/>
  <c r="F785" i="2"/>
  <c r="J785" i="2" s="1"/>
  <c r="G785" i="2" s="1"/>
  <c r="F786" i="1" l="1"/>
  <c r="D787" i="1"/>
  <c r="F786" i="2"/>
  <c r="J786" i="2" s="1"/>
  <c r="G786" i="2" s="1"/>
  <c r="E787" i="2"/>
  <c r="D788" i="1" l="1"/>
  <c r="F787" i="1"/>
  <c r="F787" i="2"/>
  <c r="J787" i="2" s="1"/>
  <c r="G787" i="2" s="1"/>
  <c r="E788" i="2"/>
  <c r="F788" i="1" l="1"/>
  <c r="D789" i="1"/>
  <c r="E789" i="2"/>
  <c r="F788" i="2"/>
  <c r="J788" i="2" s="1"/>
  <c r="G788" i="2" s="1"/>
  <c r="D790" i="1" l="1"/>
  <c r="F789" i="1"/>
  <c r="E790" i="2"/>
  <c r="F789" i="2"/>
  <c r="J789" i="2" s="1"/>
  <c r="G789" i="2" s="1"/>
  <c r="F790" i="1" l="1"/>
  <c r="D791" i="1"/>
  <c r="F790" i="2"/>
  <c r="J790" i="2" s="1"/>
  <c r="G790" i="2" s="1"/>
  <c r="E791" i="2"/>
  <c r="D792" i="1" l="1"/>
  <c r="F791" i="1"/>
  <c r="F791" i="2"/>
  <c r="J791" i="2" s="1"/>
  <c r="G791" i="2" s="1"/>
  <c r="E792" i="2"/>
  <c r="F792" i="1" l="1"/>
  <c r="D793" i="1"/>
  <c r="E793" i="2"/>
  <c r="F792" i="2"/>
  <c r="J792" i="2" s="1"/>
  <c r="G792" i="2" s="1"/>
  <c r="D794" i="1" l="1"/>
  <c r="F793" i="1"/>
  <c r="E794" i="2"/>
  <c r="F793" i="2"/>
  <c r="J793" i="2" s="1"/>
  <c r="G793" i="2" s="1"/>
  <c r="F794" i="1" l="1"/>
  <c r="D795" i="1"/>
  <c r="F794" i="2"/>
  <c r="J794" i="2" s="1"/>
  <c r="G794" i="2" s="1"/>
  <c r="E795" i="2"/>
  <c r="D796" i="1" l="1"/>
  <c r="F795" i="1"/>
  <c r="F795" i="2"/>
  <c r="J795" i="2" s="1"/>
  <c r="G795" i="2" s="1"/>
  <c r="E796" i="2"/>
  <c r="F796" i="1" l="1"/>
  <c r="D797" i="1"/>
  <c r="E797" i="2"/>
  <c r="F796" i="2"/>
  <c r="J796" i="2" s="1"/>
  <c r="G796" i="2" s="1"/>
  <c r="D798" i="1" l="1"/>
  <c r="F797" i="1"/>
  <c r="E798" i="2"/>
  <c r="F797" i="2"/>
  <c r="J797" i="2" s="1"/>
  <c r="G797" i="2" s="1"/>
  <c r="F798" i="1" l="1"/>
  <c r="D799" i="1"/>
  <c r="F798" i="2"/>
  <c r="J798" i="2" s="1"/>
  <c r="G798" i="2" s="1"/>
  <c r="E799" i="2"/>
  <c r="D800" i="1" l="1"/>
  <c r="F799" i="1"/>
  <c r="F799" i="2"/>
  <c r="J799" i="2" s="1"/>
  <c r="G799" i="2" s="1"/>
  <c r="E800" i="2"/>
  <c r="F800" i="1" l="1"/>
  <c r="D801" i="1"/>
  <c r="E801" i="2"/>
  <c r="F800" i="2"/>
  <c r="J800" i="2" s="1"/>
  <c r="G800" i="2" s="1"/>
  <c r="D802" i="1" l="1"/>
  <c r="F801" i="1"/>
  <c r="E802" i="2"/>
  <c r="F801" i="2"/>
  <c r="J801" i="2" s="1"/>
  <c r="G801" i="2" s="1"/>
  <c r="F802" i="1" l="1"/>
  <c r="D803" i="1"/>
  <c r="F802" i="2"/>
  <c r="J802" i="2" s="1"/>
  <c r="G802" i="2" s="1"/>
  <c r="E803" i="2"/>
  <c r="F803" i="1" l="1"/>
  <c r="D804" i="1"/>
  <c r="F803" i="2"/>
  <c r="J803" i="2" s="1"/>
  <c r="G803" i="2" s="1"/>
  <c r="E804" i="2"/>
  <c r="F804" i="1" l="1"/>
  <c r="D805" i="1"/>
  <c r="E805" i="2"/>
  <c r="F804" i="2"/>
  <c r="J804" i="2" s="1"/>
  <c r="G804" i="2" s="1"/>
  <c r="F805" i="1" l="1"/>
  <c r="D806" i="1"/>
  <c r="E806" i="2"/>
  <c r="F805" i="2"/>
  <c r="J805" i="2" s="1"/>
  <c r="G805" i="2" s="1"/>
  <c r="F806" i="1" l="1"/>
  <c r="D807" i="1"/>
  <c r="F806" i="2"/>
  <c r="J806" i="2" s="1"/>
  <c r="G806" i="2" s="1"/>
  <c r="E807" i="2"/>
  <c r="F807" i="1" l="1"/>
  <c r="D808" i="1"/>
  <c r="F807" i="2"/>
  <c r="J807" i="2" s="1"/>
  <c r="G807" i="2" s="1"/>
  <c r="E808" i="2"/>
  <c r="F808" i="1" l="1"/>
  <c r="D809" i="1"/>
  <c r="E809" i="2"/>
  <c r="F808" i="2"/>
  <c r="J808" i="2" s="1"/>
  <c r="G808" i="2" s="1"/>
  <c r="F809" i="1" l="1"/>
  <c r="D810" i="1"/>
  <c r="E810" i="2"/>
  <c r="F809" i="2"/>
  <c r="J809" i="2" s="1"/>
  <c r="G809" i="2" s="1"/>
  <c r="F810" i="1" l="1"/>
  <c r="D811" i="1"/>
  <c r="F810" i="2"/>
  <c r="J810" i="2" s="1"/>
  <c r="G810" i="2" s="1"/>
  <c r="E811" i="2"/>
  <c r="F811" i="1" l="1"/>
  <c r="D812" i="1"/>
  <c r="F811" i="2"/>
  <c r="J811" i="2" s="1"/>
  <c r="G811" i="2" s="1"/>
  <c r="E812" i="2"/>
  <c r="F812" i="1" l="1"/>
  <c r="D813" i="1"/>
  <c r="E813" i="2"/>
  <c r="F812" i="2"/>
  <c r="J812" i="2" s="1"/>
  <c r="G812" i="2" s="1"/>
  <c r="F813" i="1" l="1"/>
  <c r="D814" i="1"/>
  <c r="E814" i="2"/>
  <c r="F813" i="2"/>
  <c r="J813" i="2" s="1"/>
  <c r="G813" i="2" s="1"/>
  <c r="F814" i="1" l="1"/>
  <c r="D815" i="1"/>
  <c r="F814" i="2"/>
  <c r="J814" i="2" s="1"/>
  <c r="G814" i="2" s="1"/>
  <c r="E815" i="2"/>
  <c r="F815" i="1" l="1"/>
  <c r="D816" i="1"/>
  <c r="F815" i="2"/>
  <c r="J815" i="2" s="1"/>
  <c r="G815" i="2" s="1"/>
  <c r="E816" i="2"/>
  <c r="F816" i="1" l="1"/>
  <c r="D817" i="1"/>
  <c r="E817" i="2"/>
  <c r="F816" i="2"/>
  <c r="J816" i="2" s="1"/>
  <c r="G816" i="2" s="1"/>
  <c r="F817" i="1" l="1"/>
  <c r="D818" i="1"/>
  <c r="E818" i="2"/>
  <c r="F817" i="2"/>
  <c r="J817" i="2" s="1"/>
  <c r="G817" i="2" s="1"/>
  <c r="F818" i="1" l="1"/>
  <c r="D819" i="1"/>
  <c r="F818" i="2"/>
  <c r="J818" i="2" s="1"/>
  <c r="G818" i="2" s="1"/>
  <c r="E819" i="2"/>
  <c r="F819" i="1" l="1"/>
  <c r="D820" i="1"/>
  <c r="F819" i="2"/>
  <c r="J819" i="2" s="1"/>
  <c r="G819" i="2" s="1"/>
  <c r="E820" i="2"/>
  <c r="F820" i="1" l="1"/>
  <c r="D821" i="1"/>
  <c r="E821" i="2"/>
  <c r="F820" i="2"/>
  <c r="J820" i="2" s="1"/>
  <c r="G820" i="2" s="1"/>
  <c r="F821" i="1" l="1"/>
  <c r="D822" i="1"/>
  <c r="E822" i="2"/>
  <c r="F821" i="2"/>
  <c r="J821" i="2" s="1"/>
  <c r="G821" i="2" s="1"/>
  <c r="F822" i="1" l="1"/>
  <c r="D823" i="1"/>
  <c r="F822" i="2"/>
  <c r="J822" i="2" s="1"/>
  <c r="G822" i="2" s="1"/>
  <c r="E823" i="2"/>
  <c r="F823" i="1" l="1"/>
  <c r="D824" i="1"/>
  <c r="F823" i="2"/>
  <c r="J823" i="2" s="1"/>
  <c r="G823" i="2" s="1"/>
  <c r="E824" i="2"/>
  <c r="F824" i="1" l="1"/>
  <c r="D825" i="1"/>
  <c r="E825" i="2"/>
  <c r="F824" i="2"/>
  <c r="J824" i="2" s="1"/>
  <c r="G824" i="2" s="1"/>
  <c r="F825" i="1" l="1"/>
  <c r="D826" i="1"/>
  <c r="E826" i="2"/>
  <c r="F825" i="2"/>
  <c r="J825" i="2" s="1"/>
  <c r="G825" i="2" s="1"/>
  <c r="F826" i="1" l="1"/>
  <c r="D827" i="1"/>
  <c r="F826" i="2"/>
  <c r="J826" i="2" s="1"/>
  <c r="G826" i="2" s="1"/>
  <c r="E827" i="2"/>
  <c r="F827" i="1" l="1"/>
  <c r="D828" i="1"/>
  <c r="F827" i="2"/>
  <c r="J827" i="2" s="1"/>
  <c r="G827" i="2" s="1"/>
  <c r="E828" i="2"/>
  <c r="F828" i="1" l="1"/>
  <c r="D829" i="1"/>
  <c r="E829" i="2"/>
  <c r="F828" i="2"/>
  <c r="J828" i="2" s="1"/>
  <c r="G828" i="2" s="1"/>
  <c r="F829" i="1" l="1"/>
  <c r="D830" i="1"/>
  <c r="E830" i="2"/>
  <c r="F829" i="2"/>
  <c r="J829" i="2" s="1"/>
  <c r="G829" i="2" s="1"/>
  <c r="D831" i="1" l="1"/>
  <c r="F830" i="1"/>
  <c r="F830" i="2"/>
  <c r="J830" i="2" s="1"/>
  <c r="G830" i="2" s="1"/>
  <c r="E831" i="2"/>
  <c r="F831" i="1" l="1"/>
  <c r="D832" i="1"/>
  <c r="F831" i="2"/>
  <c r="J831" i="2" s="1"/>
  <c r="G831" i="2" s="1"/>
  <c r="E832" i="2"/>
  <c r="D833" i="1" l="1"/>
  <c r="F832" i="1"/>
  <c r="E833" i="2"/>
  <c r="F832" i="2"/>
  <c r="J832" i="2" s="1"/>
  <c r="G832" i="2" s="1"/>
  <c r="D834" i="1" l="1"/>
  <c r="F833" i="1"/>
  <c r="E834" i="2"/>
  <c r="F833" i="2"/>
  <c r="J833" i="2" s="1"/>
  <c r="G833" i="2" s="1"/>
  <c r="D835" i="1" l="1"/>
  <c r="F834" i="1"/>
  <c r="F834" i="2"/>
  <c r="J834" i="2" s="1"/>
  <c r="G834" i="2" s="1"/>
  <c r="E835" i="2"/>
  <c r="D836" i="1" l="1"/>
  <c r="F835" i="1"/>
  <c r="F835" i="2"/>
  <c r="J835" i="2" s="1"/>
  <c r="G835" i="2" s="1"/>
  <c r="E836" i="2"/>
  <c r="D837" i="1" l="1"/>
  <c r="F836" i="1"/>
  <c r="E837" i="2"/>
  <c r="F836" i="2"/>
  <c r="J836" i="2" s="1"/>
  <c r="G836" i="2" s="1"/>
  <c r="D838" i="1" l="1"/>
  <c r="F837" i="1"/>
  <c r="E838" i="2"/>
  <c r="F837" i="2"/>
  <c r="J837" i="2" s="1"/>
  <c r="G837" i="2" s="1"/>
  <c r="D839" i="1" l="1"/>
  <c r="F838" i="1"/>
  <c r="F838" i="2"/>
  <c r="J838" i="2" s="1"/>
  <c r="G838" i="2" s="1"/>
  <c r="E839" i="2"/>
  <c r="D840" i="1" l="1"/>
  <c r="F839" i="1"/>
  <c r="F839" i="2"/>
  <c r="J839" i="2" s="1"/>
  <c r="G839" i="2" s="1"/>
  <c r="E840" i="2"/>
  <c r="D841" i="1" l="1"/>
  <c r="F840" i="1"/>
  <c r="E841" i="2"/>
  <c r="F840" i="2"/>
  <c r="J840" i="2" s="1"/>
  <c r="G840" i="2" s="1"/>
  <c r="D842" i="1" l="1"/>
  <c r="F841" i="1"/>
  <c r="E842" i="2"/>
  <c r="F841" i="2"/>
  <c r="J841" i="2" s="1"/>
  <c r="G841" i="2" s="1"/>
  <c r="D843" i="1" l="1"/>
  <c r="F842" i="1"/>
  <c r="F842" i="2"/>
  <c r="J842" i="2" s="1"/>
  <c r="G842" i="2" s="1"/>
  <c r="E843" i="2"/>
  <c r="D844" i="1" l="1"/>
  <c r="F843" i="1"/>
  <c r="F843" i="2"/>
  <c r="J843" i="2" s="1"/>
  <c r="G843" i="2" s="1"/>
  <c r="E844" i="2"/>
  <c r="D845" i="1" l="1"/>
  <c r="F844" i="1"/>
  <c r="E845" i="2"/>
  <c r="F844" i="2"/>
  <c r="J844" i="2" s="1"/>
  <c r="G844" i="2" s="1"/>
  <c r="D846" i="1" l="1"/>
  <c r="F845" i="1"/>
  <c r="E846" i="2"/>
  <c r="F845" i="2"/>
  <c r="J845" i="2" s="1"/>
  <c r="G845" i="2" s="1"/>
  <c r="D847" i="1" l="1"/>
  <c r="F846" i="1"/>
  <c r="F846" i="2"/>
  <c r="J846" i="2" s="1"/>
  <c r="G846" i="2" s="1"/>
  <c r="E847" i="2"/>
  <c r="D848" i="1" l="1"/>
  <c r="F847" i="1"/>
  <c r="F847" i="2"/>
  <c r="J847" i="2" s="1"/>
  <c r="G847" i="2" s="1"/>
  <c r="E848" i="2"/>
  <c r="D849" i="1" l="1"/>
  <c r="F848" i="1"/>
  <c r="E849" i="2"/>
  <c r="F848" i="2"/>
  <c r="J848" i="2" s="1"/>
  <c r="G848" i="2" s="1"/>
  <c r="D850" i="1" l="1"/>
  <c r="F849" i="1"/>
  <c r="E850" i="2"/>
  <c r="F849" i="2"/>
  <c r="J849" i="2" s="1"/>
  <c r="G849" i="2" s="1"/>
  <c r="D851" i="1" l="1"/>
  <c r="F850" i="1"/>
  <c r="F850" i="2"/>
  <c r="J850" i="2" s="1"/>
  <c r="G850" i="2" s="1"/>
  <c r="E851" i="2"/>
  <c r="D852" i="1" l="1"/>
  <c r="F851" i="1"/>
  <c r="F851" i="2"/>
  <c r="J851" i="2" s="1"/>
  <c r="G851" i="2" s="1"/>
  <c r="E852" i="2"/>
  <c r="D853" i="1" l="1"/>
  <c r="F852" i="1"/>
  <c r="E853" i="2"/>
  <c r="F852" i="2"/>
  <c r="J852" i="2" s="1"/>
  <c r="G852" i="2" s="1"/>
  <c r="D854" i="1" l="1"/>
  <c r="F853" i="1"/>
  <c r="E854" i="2"/>
  <c r="F853" i="2"/>
  <c r="J853" i="2" s="1"/>
  <c r="G853" i="2" s="1"/>
  <c r="D855" i="1" l="1"/>
  <c r="F854" i="1"/>
  <c r="F854" i="2"/>
  <c r="J854" i="2" s="1"/>
  <c r="G854" i="2" s="1"/>
  <c r="E855" i="2"/>
  <c r="D856" i="1" l="1"/>
  <c r="F855" i="1"/>
  <c r="F855" i="2"/>
  <c r="J855" i="2" s="1"/>
  <c r="G855" i="2" s="1"/>
  <c r="E856" i="2"/>
  <c r="D857" i="1" l="1"/>
  <c r="F856" i="1"/>
  <c r="E857" i="2"/>
  <c r="F856" i="2"/>
  <c r="J856" i="2" s="1"/>
  <c r="G856" i="2" s="1"/>
  <c r="D858" i="1" l="1"/>
  <c r="F857" i="1"/>
  <c r="E858" i="2"/>
  <c r="F857" i="2"/>
  <c r="J857" i="2" s="1"/>
  <c r="G857" i="2" s="1"/>
  <c r="D859" i="1" l="1"/>
  <c r="F858" i="1"/>
  <c r="F858" i="2"/>
  <c r="J858" i="2" s="1"/>
  <c r="G858" i="2" s="1"/>
  <c r="E859" i="2"/>
  <c r="D860" i="1" l="1"/>
  <c r="F859" i="1"/>
  <c r="F859" i="2"/>
  <c r="J859" i="2" s="1"/>
  <c r="G859" i="2" s="1"/>
  <c r="E860" i="2"/>
  <c r="D861" i="1" l="1"/>
  <c r="F860" i="1"/>
  <c r="E861" i="2"/>
  <c r="F860" i="2"/>
  <c r="J860" i="2" s="1"/>
  <c r="G860" i="2" s="1"/>
  <c r="D862" i="1" l="1"/>
  <c r="F861" i="1"/>
  <c r="E862" i="2"/>
  <c r="F861" i="2"/>
  <c r="J861" i="2" s="1"/>
  <c r="G861" i="2" s="1"/>
  <c r="D863" i="1" l="1"/>
  <c r="F862" i="1"/>
  <c r="F862" i="2"/>
  <c r="J862" i="2" s="1"/>
  <c r="G862" i="2" s="1"/>
  <c r="E863" i="2"/>
  <c r="D864" i="1" l="1"/>
  <c r="F863" i="1"/>
  <c r="F863" i="2"/>
  <c r="J863" i="2" s="1"/>
  <c r="G863" i="2" s="1"/>
  <c r="E864" i="2"/>
  <c r="D865" i="1" l="1"/>
  <c r="F864" i="1"/>
  <c r="E865" i="2"/>
  <c r="F864" i="2"/>
  <c r="J864" i="2" s="1"/>
  <c r="G864" i="2" s="1"/>
  <c r="D866" i="1" l="1"/>
  <c r="F865" i="1"/>
  <c r="E866" i="2"/>
  <c r="F865" i="2"/>
  <c r="J865" i="2" s="1"/>
  <c r="G865" i="2" s="1"/>
  <c r="D867" i="1" l="1"/>
  <c r="F866" i="1"/>
  <c r="F866" i="2"/>
  <c r="J866" i="2" s="1"/>
  <c r="G866" i="2" s="1"/>
  <c r="E867" i="2"/>
  <c r="D868" i="1" l="1"/>
  <c r="F867" i="1"/>
  <c r="F867" i="2"/>
  <c r="J867" i="2" s="1"/>
  <c r="G867" i="2" s="1"/>
  <c r="E868" i="2"/>
  <c r="D869" i="1" l="1"/>
  <c r="F868" i="1"/>
  <c r="E869" i="2"/>
  <c r="F868" i="2"/>
  <c r="J868" i="2" s="1"/>
  <c r="G868" i="2" s="1"/>
  <c r="D870" i="1" l="1"/>
  <c r="F869" i="1"/>
  <c r="E870" i="2"/>
  <c r="F869" i="2"/>
  <c r="J869" i="2" s="1"/>
  <c r="G869" i="2" s="1"/>
  <c r="D871" i="1" l="1"/>
  <c r="F870" i="1"/>
  <c r="F870" i="2"/>
  <c r="J870" i="2" s="1"/>
  <c r="G870" i="2" s="1"/>
  <c r="E871" i="2"/>
  <c r="D872" i="1" l="1"/>
  <c r="F871" i="1"/>
  <c r="F871" i="2"/>
  <c r="J871" i="2" s="1"/>
  <c r="G871" i="2" s="1"/>
  <c r="E872" i="2"/>
  <c r="D873" i="1" l="1"/>
  <c r="F872" i="1"/>
  <c r="E873" i="2"/>
  <c r="F872" i="2"/>
  <c r="J872" i="2" s="1"/>
  <c r="G872" i="2" s="1"/>
  <c r="D874" i="1" l="1"/>
  <c r="F873" i="1"/>
  <c r="E874" i="2"/>
  <c r="F873" i="2"/>
  <c r="J873" i="2" s="1"/>
  <c r="G873" i="2" s="1"/>
  <c r="D875" i="1" l="1"/>
  <c r="F874" i="1"/>
  <c r="F874" i="2"/>
  <c r="J874" i="2" s="1"/>
  <c r="G874" i="2" s="1"/>
  <c r="E875" i="2"/>
  <c r="D876" i="1" l="1"/>
  <c r="F875" i="1"/>
  <c r="F875" i="2"/>
  <c r="J875" i="2" s="1"/>
  <c r="G875" i="2" s="1"/>
  <c r="E876" i="2"/>
  <c r="D877" i="1" l="1"/>
  <c r="F876" i="1"/>
  <c r="E877" i="2"/>
  <c r="F876" i="2"/>
  <c r="J876" i="2" s="1"/>
  <c r="G876" i="2" s="1"/>
  <c r="D878" i="1" l="1"/>
  <c r="F877" i="1"/>
  <c r="E878" i="2"/>
  <c r="F877" i="2"/>
  <c r="J877" i="2" s="1"/>
  <c r="G877" i="2" s="1"/>
  <c r="D879" i="1" l="1"/>
  <c r="F878" i="1"/>
  <c r="F878" i="2"/>
  <c r="J878" i="2" s="1"/>
  <c r="G878" i="2" s="1"/>
  <c r="E879" i="2"/>
  <c r="D880" i="1" l="1"/>
  <c r="F879" i="1"/>
  <c r="F879" i="2"/>
  <c r="J879" i="2" s="1"/>
  <c r="G879" i="2" s="1"/>
  <c r="E880" i="2"/>
  <c r="D881" i="1" l="1"/>
  <c r="F880" i="1"/>
  <c r="E881" i="2"/>
  <c r="F880" i="2"/>
  <c r="J880" i="2" s="1"/>
  <c r="G880" i="2" s="1"/>
  <c r="D882" i="1" l="1"/>
  <c r="F881" i="1"/>
  <c r="E882" i="2"/>
  <c r="F881" i="2"/>
  <c r="J881" i="2" s="1"/>
  <c r="G881" i="2" s="1"/>
  <c r="D883" i="1" l="1"/>
  <c r="F882" i="1"/>
  <c r="F882" i="2"/>
  <c r="J882" i="2" s="1"/>
  <c r="G882" i="2" s="1"/>
  <c r="E883" i="2"/>
  <c r="D884" i="1" l="1"/>
  <c r="F883" i="1"/>
  <c r="F883" i="2"/>
  <c r="J883" i="2" s="1"/>
  <c r="G883" i="2" s="1"/>
  <c r="E884" i="2"/>
  <c r="D885" i="1" l="1"/>
  <c r="F884" i="1"/>
  <c r="E885" i="2"/>
  <c r="F884" i="2"/>
  <c r="J884" i="2" s="1"/>
  <c r="G884" i="2" s="1"/>
  <c r="D886" i="1" l="1"/>
  <c r="F885" i="1"/>
  <c r="E886" i="2"/>
  <c r="F885" i="2"/>
  <c r="J885" i="2" s="1"/>
  <c r="G885" i="2" s="1"/>
  <c r="D887" i="1" l="1"/>
  <c r="F886" i="1"/>
  <c r="F886" i="2"/>
  <c r="J886" i="2" s="1"/>
  <c r="G886" i="2" s="1"/>
  <c r="E887" i="2"/>
  <c r="D888" i="1" l="1"/>
  <c r="F887" i="1"/>
  <c r="F887" i="2"/>
  <c r="J887" i="2" s="1"/>
  <c r="G887" i="2" s="1"/>
  <c r="E888" i="2"/>
  <c r="D889" i="1" l="1"/>
  <c r="F888" i="1"/>
  <c r="E889" i="2"/>
  <c r="F888" i="2"/>
  <c r="J888" i="2" s="1"/>
  <c r="G888" i="2" s="1"/>
  <c r="D890" i="1" l="1"/>
  <c r="F889" i="1"/>
  <c r="E890" i="2"/>
  <c r="F889" i="2"/>
  <c r="J889" i="2" s="1"/>
  <c r="G889" i="2" s="1"/>
  <c r="D891" i="1" l="1"/>
  <c r="F890" i="1"/>
  <c r="F890" i="2"/>
  <c r="J890" i="2" s="1"/>
  <c r="G890" i="2" s="1"/>
  <c r="E891" i="2"/>
  <c r="D892" i="1" l="1"/>
  <c r="F891" i="1"/>
  <c r="F891" i="2"/>
  <c r="J891" i="2" s="1"/>
  <c r="G891" i="2" s="1"/>
  <c r="E892" i="2"/>
  <c r="D893" i="1" l="1"/>
  <c r="F892" i="1"/>
  <c r="E893" i="2"/>
  <c r="F892" i="2"/>
  <c r="J892" i="2" s="1"/>
  <c r="G892" i="2" s="1"/>
  <c r="D894" i="1" l="1"/>
  <c r="F893" i="1"/>
  <c r="E894" i="2"/>
  <c r="F893" i="2"/>
  <c r="J893" i="2" s="1"/>
  <c r="G893" i="2" s="1"/>
  <c r="D895" i="1" l="1"/>
  <c r="F894" i="1"/>
  <c r="F894" i="2"/>
  <c r="J894" i="2" s="1"/>
  <c r="G894" i="2" s="1"/>
  <c r="E895" i="2"/>
  <c r="D896" i="1" l="1"/>
  <c r="F895" i="1"/>
  <c r="F895" i="2"/>
  <c r="J895" i="2" s="1"/>
  <c r="G895" i="2" s="1"/>
  <c r="E896" i="2"/>
  <c r="D897" i="1" l="1"/>
  <c r="F896" i="1"/>
  <c r="E897" i="2"/>
  <c r="F896" i="2"/>
  <c r="J896" i="2" s="1"/>
  <c r="G896" i="2" s="1"/>
  <c r="D898" i="1" l="1"/>
  <c r="F897" i="1"/>
  <c r="E898" i="2"/>
  <c r="F897" i="2"/>
  <c r="J897" i="2" s="1"/>
  <c r="G897" i="2" s="1"/>
  <c r="D899" i="1" l="1"/>
  <c r="F898" i="1"/>
  <c r="F898" i="2"/>
  <c r="J898" i="2" s="1"/>
  <c r="G898" i="2" s="1"/>
  <c r="E899" i="2"/>
  <c r="D900" i="1" l="1"/>
  <c r="F899" i="1"/>
  <c r="F899" i="2"/>
  <c r="J899" i="2" s="1"/>
  <c r="G899" i="2" s="1"/>
  <c r="E900" i="2"/>
  <c r="D901" i="1" l="1"/>
  <c r="F900" i="1"/>
  <c r="E901" i="2"/>
  <c r="F900" i="2"/>
  <c r="J900" i="2" s="1"/>
  <c r="G900" i="2" s="1"/>
  <c r="D902" i="1" l="1"/>
  <c r="F901" i="1"/>
  <c r="F901" i="2"/>
  <c r="J901" i="2" s="1"/>
  <c r="G901" i="2" s="1"/>
  <c r="E902" i="2"/>
  <c r="D903" i="1" l="1"/>
  <c r="F902" i="1"/>
  <c r="E903" i="2"/>
  <c r="F902" i="2"/>
  <c r="J902" i="2" s="1"/>
  <c r="G902" i="2" s="1"/>
  <c r="D904" i="1" l="1"/>
  <c r="F903" i="1"/>
  <c r="F903" i="2"/>
  <c r="J903" i="2" s="1"/>
  <c r="G903" i="2" s="1"/>
  <c r="E904" i="2"/>
  <c r="D905" i="1" l="1"/>
  <c r="F904" i="1"/>
  <c r="E905" i="2"/>
  <c r="F904" i="2"/>
  <c r="J904" i="2" s="1"/>
  <c r="G904" i="2" s="1"/>
  <c r="D906" i="1" l="1"/>
  <c r="F905" i="1"/>
  <c r="F905" i="2"/>
  <c r="J905" i="2" s="1"/>
  <c r="G905" i="2" s="1"/>
  <c r="E906" i="2"/>
  <c r="D907" i="1" l="1"/>
  <c r="F906" i="1"/>
  <c r="E907" i="2"/>
  <c r="F906" i="2"/>
  <c r="J906" i="2" s="1"/>
  <c r="G906" i="2" s="1"/>
  <c r="D908" i="1" l="1"/>
  <c r="F907" i="1"/>
  <c r="F907" i="2"/>
  <c r="J907" i="2" s="1"/>
  <c r="G907" i="2" s="1"/>
  <c r="E908" i="2"/>
  <c r="D909" i="1" l="1"/>
  <c r="F908" i="1"/>
  <c r="F908" i="2"/>
  <c r="J908" i="2" s="1"/>
  <c r="G908" i="2" s="1"/>
  <c r="E909" i="2"/>
  <c r="D910" i="1" l="1"/>
  <c r="F909" i="1"/>
  <c r="F909" i="2"/>
  <c r="J909" i="2" s="1"/>
  <c r="G909" i="2" s="1"/>
  <c r="E910" i="2"/>
  <c r="D911" i="1" l="1"/>
  <c r="F910" i="1"/>
  <c r="E911" i="2"/>
  <c r="F910" i="2"/>
  <c r="J910" i="2" s="1"/>
  <c r="G910" i="2" s="1"/>
  <c r="D912" i="1" l="1"/>
  <c r="F911" i="1"/>
  <c r="F911" i="2"/>
  <c r="J911" i="2" s="1"/>
  <c r="G911" i="2" s="1"/>
  <c r="E912" i="2"/>
  <c r="D913" i="1" l="1"/>
  <c r="F912" i="1"/>
  <c r="E913" i="2"/>
  <c r="F912" i="2"/>
  <c r="J912" i="2" s="1"/>
  <c r="G912" i="2" s="1"/>
  <c r="D914" i="1" l="1"/>
  <c r="F913" i="1"/>
  <c r="F913" i="2"/>
  <c r="J913" i="2" s="1"/>
  <c r="G913" i="2" s="1"/>
  <c r="E914" i="2"/>
  <c r="D915" i="1" l="1"/>
  <c r="F914" i="1"/>
  <c r="E915" i="2"/>
  <c r="F914" i="2"/>
  <c r="J914" i="2" s="1"/>
  <c r="G914" i="2" s="1"/>
  <c r="D916" i="1" l="1"/>
  <c r="F915" i="1"/>
  <c r="F915" i="2"/>
  <c r="J915" i="2" s="1"/>
  <c r="G915" i="2" s="1"/>
  <c r="E916" i="2"/>
  <c r="D917" i="1" l="1"/>
  <c r="F916" i="1"/>
  <c r="E917" i="2"/>
  <c r="F916" i="2"/>
  <c r="J916" i="2" s="1"/>
  <c r="G916" i="2" s="1"/>
  <c r="D918" i="1" l="1"/>
  <c r="F917" i="1"/>
  <c r="F917" i="2"/>
  <c r="J917" i="2" s="1"/>
  <c r="G917" i="2" s="1"/>
  <c r="E918" i="2"/>
  <c r="D919" i="1" l="1"/>
  <c r="F918" i="1"/>
  <c r="E919" i="2"/>
  <c r="F918" i="2"/>
  <c r="J918" i="2" s="1"/>
  <c r="G918" i="2" s="1"/>
  <c r="D920" i="1" l="1"/>
  <c r="F919" i="1"/>
  <c r="F919" i="2"/>
  <c r="J919" i="2" s="1"/>
  <c r="G919" i="2" s="1"/>
  <c r="E920" i="2"/>
  <c r="D921" i="1" l="1"/>
  <c r="F920" i="1"/>
  <c r="F920" i="2"/>
  <c r="J920" i="2" s="1"/>
  <c r="G920" i="2" s="1"/>
  <c r="E921" i="2"/>
  <c r="D922" i="1" l="1"/>
  <c r="F921" i="1"/>
  <c r="F921" i="2"/>
  <c r="J921" i="2" s="1"/>
  <c r="G921" i="2" s="1"/>
  <c r="E922" i="2"/>
  <c r="D923" i="1" l="1"/>
  <c r="F922" i="1"/>
  <c r="E923" i="2"/>
  <c r="F922" i="2"/>
  <c r="J922" i="2" s="1"/>
  <c r="G922" i="2" s="1"/>
  <c r="D924" i="1" l="1"/>
  <c r="F923" i="1"/>
  <c r="F923" i="2"/>
  <c r="J923" i="2" s="1"/>
  <c r="G923" i="2" s="1"/>
  <c r="E924" i="2"/>
  <c r="D925" i="1" l="1"/>
  <c r="F924" i="1"/>
  <c r="E925" i="2"/>
  <c r="F924" i="2"/>
  <c r="J924" i="2" s="1"/>
  <c r="G924" i="2" s="1"/>
  <c r="D926" i="1" l="1"/>
  <c r="F925" i="1"/>
  <c r="F925" i="2"/>
  <c r="J925" i="2" s="1"/>
  <c r="G925" i="2" s="1"/>
  <c r="E926" i="2"/>
  <c r="D927" i="1" l="1"/>
  <c r="F926" i="1"/>
  <c r="E927" i="2"/>
  <c r="F926" i="2"/>
  <c r="J926" i="2" s="1"/>
  <c r="G926" i="2" s="1"/>
  <c r="D928" i="1" l="1"/>
  <c r="F927" i="1"/>
  <c r="F927" i="2"/>
  <c r="J927" i="2" s="1"/>
  <c r="G927" i="2" s="1"/>
  <c r="E928" i="2"/>
  <c r="D929" i="1" l="1"/>
  <c r="F928" i="1"/>
  <c r="F928" i="2"/>
  <c r="J928" i="2" s="1"/>
  <c r="G928" i="2" s="1"/>
  <c r="E929" i="2"/>
  <c r="D930" i="1" l="1"/>
  <c r="F929" i="1"/>
  <c r="F929" i="2"/>
  <c r="J929" i="2" s="1"/>
  <c r="G929" i="2" s="1"/>
  <c r="E930" i="2"/>
  <c r="D931" i="1" l="1"/>
  <c r="F930" i="1"/>
  <c r="E931" i="2"/>
  <c r="F930" i="2"/>
  <c r="J930" i="2" s="1"/>
  <c r="G930" i="2" s="1"/>
  <c r="D932" i="1" l="1"/>
  <c r="F931" i="1"/>
  <c r="F931" i="2"/>
  <c r="J931" i="2" s="1"/>
  <c r="G931" i="2" s="1"/>
  <c r="E932" i="2"/>
  <c r="D933" i="1" l="1"/>
  <c r="F932" i="1"/>
  <c r="E933" i="2"/>
  <c r="F932" i="2"/>
  <c r="J932" i="2" s="1"/>
  <c r="G932" i="2" s="1"/>
  <c r="D934" i="1" l="1"/>
  <c r="F933" i="1"/>
  <c r="F933" i="2"/>
  <c r="J933" i="2" s="1"/>
  <c r="G933" i="2" s="1"/>
  <c r="E934" i="2"/>
  <c r="D935" i="1" l="1"/>
  <c r="F934" i="1"/>
  <c r="E935" i="2"/>
  <c r="F934" i="2"/>
  <c r="J934" i="2" s="1"/>
  <c r="G934" i="2" s="1"/>
  <c r="D936" i="1" l="1"/>
  <c r="F935" i="1"/>
  <c r="F935" i="2"/>
  <c r="J935" i="2" s="1"/>
  <c r="G935" i="2" s="1"/>
  <c r="E936" i="2"/>
  <c r="D937" i="1" l="1"/>
  <c r="F936" i="1"/>
  <c r="E937" i="2"/>
  <c r="F936" i="2"/>
  <c r="J936" i="2" s="1"/>
  <c r="G936" i="2" s="1"/>
  <c r="D938" i="1" l="1"/>
  <c r="F937" i="1"/>
  <c r="F937" i="2"/>
  <c r="J937" i="2" s="1"/>
  <c r="G937" i="2" s="1"/>
  <c r="E938" i="2"/>
  <c r="D939" i="1" l="1"/>
  <c r="F938" i="1"/>
  <c r="E939" i="2"/>
  <c r="F938" i="2"/>
  <c r="J938" i="2" s="1"/>
  <c r="G938" i="2" s="1"/>
  <c r="D940" i="1" l="1"/>
  <c r="F939" i="1"/>
  <c r="F939" i="2"/>
  <c r="J939" i="2" s="1"/>
  <c r="G939" i="2" s="1"/>
  <c r="E940" i="2"/>
  <c r="D941" i="1" l="1"/>
  <c r="F940" i="1"/>
  <c r="F940" i="2"/>
  <c r="J940" i="2" s="1"/>
  <c r="G940" i="2" s="1"/>
  <c r="E941" i="2"/>
  <c r="D942" i="1" l="1"/>
  <c r="F941" i="1"/>
  <c r="F941" i="2"/>
  <c r="J941" i="2" s="1"/>
  <c r="G941" i="2" s="1"/>
  <c r="E942" i="2"/>
  <c r="D943" i="1" l="1"/>
  <c r="F942" i="1"/>
  <c r="E943" i="2"/>
  <c r="F942" i="2"/>
  <c r="J942" i="2" s="1"/>
  <c r="G942" i="2" s="1"/>
  <c r="D944" i="1" l="1"/>
  <c r="F943" i="1"/>
  <c r="F943" i="2"/>
  <c r="J943" i="2" s="1"/>
  <c r="G943" i="2" s="1"/>
  <c r="E944" i="2"/>
  <c r="D945" i="1" l="1"/>
  <c r="F944" i="1"/>
  <c r="E945" i="2"/>
  <c r="F944" i="2"/>
  <c r="J944" i="2" s="1"/>
  <c r="G944" i="2" s="1"/>
  <c r="D946" i="1" l="1"/>
  <c r="F945" i="1"/>
  <c r="F945" i="2"/>
  <c r="J945" i="2" s="1"/>
  <c r="G945" i="2" s="1"/>
  <c r="E946" i="2"/>
  <c r="D947" i="1" l="1"/>
  <c r="F946" i="1"/>
  <c r="E947" i="2"/>
  <c r="F946" i="2"/>
  <c r="J946" i="2" s="1"/>
  <c r="G946" i="2" s="1"/>
  <c r="D948" i="1" l="1"/>
  <c r="F947" i="1"/>
  <c r="F947" i="2"/>
  <c r="J947" i="2" s="1"/>
  <c r="G947" i="2" s="1"/>
  <c r="E948" i="2"/>
  <c r="D949" i="1" l="1"/>
  <c r="F948" i="1"/>
  <c r="E949" i="2"/>
  <c r="F948" i="2"/>
  <c r="J948" i="2" s="1"/>
  <c r="G948" i="2" s="1"/>
  <c r="D950" i="1" l="1"/>
  <c r="F949" i="1"/>
  <c r="F949" i="2"/>
  <c r="J949" i="2" s="1"/>
  <c r="G949" i="2" s="1"/>
  <c r="E950" i="2"/>
  <c r="D951" i="1" l="1"/>
  <c r="F950" i="1"/>
  <c r="E951" i="2"/>
  <c r="F950" i="2"/>
  <c r="J950" i="2" s="1"/>
  <c r="G950" i="2" s="1"/>
  <c r="D952" i="1" l="1"/>
  <c r="F951" i="1"/>
  <c r="F951" i="2"/>
  <c r="J951" i="2" s="1"/>
  <c r="G951" i="2" s="1"/>
  <c r="E952" i="2"/>
  <c r="D953" i="1" l="1"/>
  <c r="F952" i="1"/>
  <c r="E953" i="2"/>
  <c r="F952" i="2"/>
  <c r="J952" i="2" s="1"/>
  <c r="G952" i="2" s="1"/>
  <c r="D954" i="1" l="1"/>
  <c r="F953" i="1"/>
  <c r="F953" i="2"/>
  <c r="J953" i="2" s="1"/>
  <c r="G953" i="2" s="1"/>
  <c r="E954" i="2"/>
  <c r="D955" i="1" l="1"/>
  <c r="F954" i="1"/>
  <c r="E955" i="2"/>
  <c r="F954" i="2"/>
  <c r="J954" i="2" s="1"/>
  <c r="G954" i="2" s="1"/>
  <c r="D956" i="1" l="1"/>
  <c r="F955" i="1"/>
  <c r="F955" i="2"/>
  <c r="J955" i="2" s="1"/>
  <c r="G955" i="2" s="1"/>
  <c r="E956" i="2"/>
  <c r="D957" i="1" l="1"/>
  <c r="F956" i="1"/>
  <c r="E957" i="2"/>
  <c r="F956" i="2"/>
  <c r="J956" i="2" s="1"/>
  <c r="G956" i="2" s="1"/>
  <c r="D958" i="1" l="1"/>
  <c r="F957" i="1"/>
  <c r="F957" i="2"/>
  <c r="J957" i="2" s="1"/>
  <c r="G957" i="2" s="1"/>
  <c r="E958" i="2"/>
  <c r="D959" i="1" l="1"/>
  <c r="F958" i="1"/>
  <c r="E959" i="2"/>
  <c r="F958" i="2"/>
  <c r="J958" i="2" s="1"/>
  <c r="G958" i="2" s="1"/>
  <c r="D960" i="1" l="1"/>
  <c r="F959" i="1"/>
  <c r="F959" i="2"/>
  <c r="J959" i="2" s="1"/>
  <c r="G959" i="2" s="1"/>
  <c r="E960" i="2"/>
  <c r="D961" i="1" l="1"/>
  <c r="F960" i="1"/>
  <c r="E961" i="2"/>
  <c r="F960" i="2"/>
  <c r="J960" i="2" s="1"/>
  <c r="G960" i="2" s="1"/>
  <c r="D962" i="1" l="1"/>
  <c r="F961" i="1"/>
  <c r="F961" i="2"/>
  <c r="J961" i="2" s="1"/>
  <c r="G961" i="2" s="1"/>
  <c r="E962" i="2"/>
  <c r="D963" i="1" l="1"/>
  <c r="F962" i="1"/>
  <c r="E963" i="2"/>
  <c r="F962" i="2"/>
  <c r="J962" i="2" s="1"/>
  <c r="G962" i="2" s="1"/>
  <c r="D964" i="1" l="1"/>
  <c r="F963" i="1"/>
  <c r="F963" i="2"/>
  <c r="J963" i="2" s="1"/>
  <c r="G963" i="2" s="1"/>
  <c r="E964" i="2"/>
  <c r="D965" i="1" l="1"/>
  <c r="F964" i="1"/>
  <c r="E965" i="2"/>
  <c r="F964" i="2"/>
  <c r="J964" i="2" s="1"/>
  <c r="G964" i="2" s="1"/>
  <c r="D966" i="1" l="1"/>
  <c r="F965" i="1"/>
  <c r="F965" i="2"/>
  <c r="J965" i="2" s="1"/>
  <c r="G965" i="2" s="1"/>
  <c r="E966" i="2"/>
  <c r="D967" i="1" l="1"/>
  <c r="F966" i="1"/>
  <c r="E967" i="2"/>
  <c r="F966" i="2"/>
  <c r="J966" i="2" s="1"/>
  <c r="G966" i="2" s="1"/>
  <c r="D968" i="1" l="1"/>
  <c r="F967" i="1"/>
  <c r="F967" i="2"/>
  <c r="J967" i="2" s="1"/>
  <c r="G967" i="2" s="1"/>
  <c r="E968" i="2"/>
  <c r="D969" i="1" l="1"/>
  <c r="F968" i="1"/>
  <c r="E969" i="2"/>
  <c r="F968" i="2"/>
  <c r="J968" i="2" s="1"/>
  <c r="G968" i="2" s="1"/>
  <c r="D970" i="1" l="1"/>
  <c r="F969" i="1"/>
  <c r="F969" i="2"/>
  <c r="J969" i="2" s="1"/>
  <c r="G969" i="2" s="1"/>
  <c r="E970" i="2"/>
  <c r="D971" i="1" l="1"/>
  <c r="F970" i="1"/>
  <c r="E971" i="2"/>
  <c r="F970" i="2"/>
  <c r="J970" i="2" s="1"/>
  <c r="G970" i="2" s="1"/>
  <c r="D972" i="1" l="1"/>
  <c r="F971" i="1"/>
  <c r="F971" i="2"/>
  <c r="J971" i="2" s="1"/>
  <c r="G971" i="2" s="1"/>
  <c r="E972" i="2"/>
  <c r="D973" i="1" l="1"/>
  <c r="F972" i="1"/>
  <c r="E973" i="2"/>
  <c r="F972" i="2"/>
  <c r="J972" i="2" s="1"/>
  <c r="G972" i="2" s="1"/>
  <c r="D974" i="1" l="1"/>
  <c r="F973" i="1"/>
  <c r="F973" i="2"/>
  <c r="J973" i="2" s="1"/>
  <c r="G973" i="2" s="1"/>
  <c r="E974" i="2"/>
  <c r="D975" i="1" l="1"/>
  <c r="F974" i="1"/>
  <c r="E975" i="2"/>
  <c r="F974" i="2"/>
  <c r="J974" i="2" s="1"/>
  <c r="G974" i="2" s="1"/>
  <c r="D976" i="1" l="1"/>
  <c r="F975" i="1"/>
  <c r="F975" i="2"/>
  <c r="J975" i="2" s="1"/>
  <c r="G975" i="2" s="1"/>
  <c r="E976" i="2"/>
  <c r="D977" i="1" l="1"/>
  <c r="F976" i="1"/>
  <c r="F976" i="2"/>
  <c r="J976" i="2" s="1"/>
  <c r="G976" i="2" s="1"/>
  <c r="E977" i="2"/>
  <c r="D978" i="1" l="1"/>
  <c r="F977" i="1"/>
  <c r="F977" i="2"/>
  <c r="J977" i="2" s="1"/>
  <c r="G977" i="2" s="1"/>
  <c r="E978" i="2"/>
  <c r="D979" i="1" l="1"/>
  <c r="F978" i="1"/>
  <c r="E979" i="2"/>
  <c r="F978" i="2"/>
  <c r="J978" i="2" s="1"/>
  <c r="G978" i="2" s="1"/>
  <c r="D980" i="1" l="1"/>
  <c r="F979" i="1"/>
  <c r="F979" i="2"/>
  <c r="J979" i="2" s="1"/>
  <c r="G979" i="2" s="1"/>
  <c r="E980" i="2"/>
  <c r="D981" i="1" l="1"/>
  <c r="F980" i="1"/>
  <c r="F980" i="2"/>
  <c r="J980" i="2" s="1"/>
  <c r="G980" i="2" s="1"/>
  <c r="E981" i="2"/>
  <c r="D982" i="1" l="1"/>
  <c r="F981" i="1"/>
  <c r="F981" i="2"/>
  <c r="J981" i="2" s="1"/>
  <c r="G981" i="2" s="1"/>
  <c r="E982" i="2"/>
  <c r="D983" i="1" l="1"/>
  <c r="F982" i="1"/>
  <c r="E983" i="2"/>
  <c r="F982" i="2"/>
  <c r="J982" i="2" s="1"/>
  <c r="G982" i="2" s="1"/>
  <c r="D984" i="1" l="1"/>
  <c r="F983" i="1"/>
  <c r="F983" i="2"/>
  <c r="J983" i="2" s="1"/>
  <c r="G983" i="2" s="1"/>
  <c r="E984" i="2"/>
  <c r="D985" i="1" l="1"/>
  <c r="F984" i="1"/>
  <c r="F984" i="2"/>
  <c r="J984" i="2" s="1"/>
  <c r="G984" i="2" s="1"/>
  <c r="E985" i="2"/>
  <c r="D986" i="1" l="1"/>
  <c r="F985" i="1"/>
  <c r="F985" i="2"/>
  <c r="J985" i="2" s="1"/>
  <c r="G985" i="2" s="1"/>
  <c r="E986" i="2"/>
  <c r="D987" i="1" l="1"/>
  <c r="F986" i="1"/>
  <c r="E987" i="2"/>
  <c r="F986" i="2"/>
  <c r="J986" i="2" s="1"/>
  <c r="G986" i="2" s="1"/>
  <c r="D988" i="1" l="1"/>
  <c r="F987" i="1"/>
  <c r="F987" i="2"/>
  <c r="J987" i="2" s="1"/>
  <c r="G987" i="2" s="1"/>
  <c r="E988" i="2"/>
  <c r="D989" i="1" l="1"/>
  <c r="F988" i="1"/>
  <c r="F988" i="2"/>
  <c r="J988" i="2" s="1"/>
  <c r="G988" i="2" s="1"/>
  <c r="E989" i="2"/>
  <c r="D990" i="1" l="1"/>
  <c r="F989" i="1"/>
  <c r="F989" i="2"/>
  <c r="J989" i="2" s="1"/>
  <c r="G989" i="2" s="1"/>
  <c r="E990" i="2"/>
  <c r="D991" i="1" l="1"/>
  <c r="F990" i="1"/>
  <c r="E991" i="2"/>
  <c r="F990" i="2"/>
  <c r="J990" i="2" s="1"/>
  <c r="G990" i="2" s="1"/>
  <c r="D992" i="1" l="1"/>
  <c r="F991" i="1"/>
  <c r="F991" i="2"/>
  <c r="J991" i="2" s="1"/>
  <c r="G991" i="2" s="1"/>
  <c r="E992" i="2"/>
  <c r="D993" i="1" l="1"/>
  <c r="F992" i="1"/>
  <c r="F992" i="2"/>
  <c r="J992" i="2" s="1"/>
  <c r="G992" i="2" s="1"/>
  <c r="E993" i="2"/>
  <c r="D994" i="1" l="1"/>
  <c r="F993" i="1"/>
  <c r="F993" i="2"/>
  <c r="J993" i="2" s="1"/>
  <c r="G993" i="2" s="1"/>
  <c r="E994" i="2"/>
  <c r="D995" i="1" l="1"/>
  <c r="F994" i="1"/>
  <c r="E995" i="2"/>
  <c r="F994" i="2"/>
  <c r="J994" i="2" s="1"/>
  <c r="G994" i="2" s="1"/>
  <c r="D996" i="1" l="1"/>
  <c r="F995" i="1"/>
  <c r="F995" i="2"/>
  <c r="J995" i="2" s="1"/>
  <c r="G995" i="2" s="1"/>
  <c r="E996" i="2"/>
  <c r="D997" i="1" l="1"/>
  <c r="F996" i="1"/>
  <c r="F996" i="2"/>
  <c r="J996" i="2" s="1"/>
  <c r="G996" i="2" s="1"/>
  <c r="E997" i="2"/>
  <c r="D998" i="1" l="1"/>
  <c r="F997" i="1"/>
  <c r="F997" i="2"/>
  <c r="J997" i="2" s="1"/>
  <c r="G997" i="2" s="1"/>
  <c r="E998" i="2"/>
  <c r="D999" i="1" l="1"/>
  <c r="F998" i="1"/>
  <c r="E999" i="2"/>
  <c r="F998" i="2"/>
  <c r="J998" i="2" s="1"/>
  <c r="G998" i="2" s="1"/>
  <c r="F999" i="1" l="1"/>
  <c r="D1000" i="1"/>
  <c r="F999" i="2"/>
  <c r="J999" i="2" s="1"/>
  <c r="G999" i="2" s="1"/>
  <c r="E1000" i="2"/>
  <c r="D1001" i="1" l="1"/>
  <c r="F1000" i="1"/>
  <c r="F1000" i="2"/>
  <c r="J1000" i="2" s="1"/>
  <c r="G1000" i="2" s="1"/>
  <c r="E1001" i="2"/>
  <c r="F1001" i="1" l="1"/>
  <c r="D1002" i="1"/>
  <c r="F1001" i="2"/>
  <c r="J1001" i="2" s="1"/>
  <c r="G1001" i="2" s="1"/>
  <c r="E1002" i="2"/>
  <c r="D1003" i="1" l="1"/>
  <c r="F1002" i="1"/>
  <c r="E1003" i="2"/>
  <c r="F1002" i="2"/>
  <c r="J1002" i="2" s="1"/>
  <c r="G1002" i="2" s="1"/>
  <c r="F1003" i="1" l="1"/>
  <c r="D1004" i="1"/>
  <c r="F1003" i="2"/>
  <c r="J1003" i="2" s="1"/>
  <c r="G1003" i="2" s="1"/>
  <c r="E1004" i="2"/>
  <c r="D1005" i="1" l="1"/>
  <c r="F1004" i="1"/>
  <c r="F1004" i="2"/>
  <c r="J1004" i="2" s="1"/>
  <c r="G1004" i="2" s="1"/>
  <c r="E1005" i="2"/>
  <c r="F1005" i="1" l="1"/>
  <c r="D1006" i="1"/>
  <c r="F1005" i="2"/>
  <c r="J1005" i="2" s="1"/>
  <c r="G1005" i="2" s="1"/>
  <c r="E1006" i="2"/>
  <c r="D1007" i="1" l="1"/>
  <c r="F1006" i="1"/>
  <c r="E1007" i="2"/>
  <c r="F1006" i="2"/>
  <c r="J1006" i="2" s="1"/>
  <c r="G1006" i="2" s="1"/>
  <c r="F1007" i="1" l="1"/>
  <c r="D1008" i="1"/>
  <c r="F1007" i="2"/>
  <c r="J1007" i="2" s="1"/>
  <c r="G1007" i="2" s="1"/>
  <c r="E1008" i="2"/>
  <c r="D1009" i="1" l="1"/>
  <c r="F1008" i="1"/>
  <c r="F1008" i="2"/>
  <c r="J1008" i="2" s="1"/>
  <c r="G1008" i="2" s="1"/>
  <c r="E1009" i="2"/>
  <c r="F1009" i="1" l="1"/>
  <c r="D1010" i="1"/>
  <c r="F1009" i="2"/>
  <c r="J1009" i="2" s="1"/>
  <c r="G1009" i="2" s="1"/>
  <c r="E1010" i="2"/>
  <c r="D1011" i="1" l="1"/>
  <c r="F1010" i="1"/>
  <c r="E1011" i="2"/>
  <c r="F1010" i="2"/>
  <c r="J1010" i="2" s="1"/>
  <c r="G1010" i="2" s="1"/>
  <c r="F1011" i="1" l="1"/>
  <c r="D1012" i="1"/>
  <c r="F1011" i="2"/>
  <c r="J1011" i="2" s="1"/>
  <c r="G1011" i="2" s="1"/>
  <c r="E1012" i="2"/>
  <c r="D1013" i="1" l="1"/>
  <c r="F1012" i="1"/>
  <c r="F1012" i="2"/>
  <c r="J1012" i="2" s="1"/>
  <c r="G1012" i="2" s="1"/>
  <c r="E1013" i="2"/>
  <c r="F1013" i="1" l="1"/>
  <c r="D1014" i="1"/>
  <c r="F1013" i="2"/>
  <c r="J1013" i="2" s="1"/>
  <c r="G1013" i="2" s="1"/>
  <c r="E1014" i="2"/>
  <c r="D1015" i="1" l="1"/>
  <c r="F1014" i="1"/>
  <c r="E1015" i="2"/>
  <c r="F1014" i="2"/>
  <c r="J1014" i="2" s="1"/>
  <c r="G1014" i="2" s="1"/>
  <c r="F1015" i="1" l="1"/>
  <c r="D1016" i="1"/>
  <c r="F1015" i="2"/>
  <c r="J1015" i="2" s="1"/>
  <c r="G1015" i="2" s="1"/>
  <c r="E1016" i="2"/>
  <c r="D1017" i="1" l="1"/>
  <c r="F1016" i="1"/>
  <c r="F1016" i="2"/>
  <c r="J1016" i="2" s="1"/>
  <c r="G1016" i="2" s="1"/>
  <c r="E1017" i="2"/>
  <c r="F1017" i="1" l="1"/>
  <c r="D1018" i="1"/>
  <c r="F1017" i="2"/>
  <c r="J1017" i="2" s="1"/>
  <c r="G1017" i="2" s="1"/>
  <c r="E1018" i="2"/>
  <c r="D1019" i="1" l="1"/>
  <c r="F1018" i="1"/>
  <c r="E1019" i="2"/>
  <c r="F1018" i="2"/>
  <c r="J1018" i="2" s="1"/>
  <c r="G1018" i="2" s="1"/>
  <c r="F1019" i="1" l="1"/>
  <c r="D1020" i="1"/>
  <c r="F1019" i="2"/>
  <c r="J1019" i="2" s="1"/>
  <c r="G1019" i="2" s="1"/>
  <c r="E1020" i="2"/>
  <c r="D1021" i="1" l="1"/>
  <c r="F1020" i="1"/>
  <c r="F1020" i="2"/>
  <c r="J1020" i="2" s="1"/>
  <c r="G1020" i="2" s="1"/>
  <c r="E1021" i="2"/>
  <c r="F1021" i="1" l="1"/>
  <c r="D1022" i="1"/>
  <c r="F1021" i="2"/>
  <c r="J1021" i="2" s="1"/>
  <c r="G1021" i="2" s="1"/>
  <c r="E1022" i="2"/>
  <c r="D1023" i="1" l="1"/>
  <c r="F1022" i="1"/>
  <c r="E1023" i="2"/>
  <c r="F1022" i="2"/>
  <c r="J1022" i="2" s="1"/>
  <c r="G1022" i="2" s="1"/>
  <c r="F1023" i="1" l="1"/>
  <c r="D1024" i="1"/>
  <c r="F1023" i="2"/>
  <c r="J1023" i="2" s="1"/>
  <c r="G1023" i="2" s="1"/>
  <c r="E1024" i="2"/>
  <c r="D1025" i="1" l="1"/>
  <c r="F1024" i="1"/>
  <c r="F1024" i="2"/>
  <c r="J1024" i="2" s="1"/>
  <c r="G1024" i="2" s="1"/>
  <c r="E1025" i="2"/>
  <c r="F1025" i="1" l="1"/>
  <c r="D1026" i="1"/>
  <c r="F1025" i="2"/>
  <c r="J1025" i="2" s="1"/>
  <c r="G1025" i="2" s="1"/>
  <c r="E1026" i="2"/>
  <c r="D1027" i="1" l="1"/>
  <c r="F1026" i="1"/>
  <c r="E1027" i="2"/>
  <c r="F1026" i="2"/>
  <c r="J1026" i="2" s="1"/>
  <c r="G1026" i="2" s="1"/>
  <c r="F1027" i="1" l="1"/>
  <c r="D1028" i="1"/>
  <c r="F1027" i="2"/>
  <c r="J1027" i="2" s="1"/>
  <c r="G1027" i="2" s="1"/>
  <c r="E1028" i="2"/>
  <c r="D1029" i="1" l="1"/>
  <c r="F1028" i="1"/>
  <c r="F1028" i="2"/>
  <c r="J1028" i="2" s="1"/>
  <c r="G1028" i="2" s="1"/>
  <c r="E1029" i="2"/>
  <c r="F1029" i="1" l="1"/>
  <c r="D1030" i="1"/>
  <c r="F1029" i="2"/>
  <c r="J1029" i="2" s="1"/>
  <c r="G1029" i="2" s="1"/>
  <c r="E1030" i="2"/>
  <c r="D1031" i="1" l="1"/>
  <c r="F1030" i="1"/>
  <c r="E1031" i="2"/>
  <c r="F1030" i="2"/>
  <c r="J1030" i="2" s="1"/>
  <c r="G1030" i="2" s="1"/>
  <c r="F1031" i="1" l="1"/>
  <c r="D1032" i="1"/>
  <c r="F1031" i="2"/>
  <c r="J1031" i="2" s="1"/>
  <c r="G1031" i="2" s="1"/>
  <c r="E1032" i="2"/>
  <c r="D1033" i="1" l="1"/>
  <c r="F1032" i="1"/>
  <c r="F1032" i="2"/>
  <c r="J1032" i="2" s="1"/>
  <c r="G1032" i="2" s="1"/>
  <c r="E1033" i="2"/>
  <c r="F1033" i="1" l="1"/>
  <c r="D1034" i="1"/>
  <c r="F1033" i="2"/>
  <c r="J1033" i="2" s="1"/>
  <c r="G1033" i="2" s="1"/>
  <c r="E1034" i="2"/>
  <c r="D1035" i="1" l="1"/>
  <c r="F1034" i="1"/>
  <c r="E1035" i="2"/>
  <c r="F1034" i="2"/>
  <c r="J1034" i="2" s="1"/>
  <c r="G1034" i="2" s="1"/>
  <c r="F1035" i="1" l="1"/>
  <c r="D1036" i="1"/>
  <c r="F1035" i="2"/>
  <c r="J1035" i="2" s="1"/>
  <c r="G1035" i="2" s="1"/>
  <c r="E1036" i="2"/>
  <c r="D1037" i="1" l="1"/>
  <c r="F1036" i="1"/>
  <c r="F1036" i="2"/>
  <c r="J1036" i="2" s="1"/>
  <c r="G1036" i="2" s="1"/>
  <c r="E1037" i="2"/>
  <c r="F1037" i="1" l="1"/>
  <c r="D1038" i="1"/>
  <c r="F1037" i="2"/>
  <c r="J1037" i="2" s="1"/>
  <c r="G1037" i="2" s="1"/>
  <c r="E1038" i="2"/>
  <c r="D1039" i="1" l="1"/>
  <c r="F1038" i="1"/>
  <c r="E1039" i="2"/>
  <c r="F1038" i="2"/>
  <c r="J1038" i="2" s="1"/>
  <c r="G1038" i="2" s="1"/>
  <c r="F1039" i="1" l="1"/>
  <c r="D1040" i="1"/>
  <c r="F1039" i="2"/>
  <c r="J1039" i="2" s="1"/>
  <c r="G1039" i="2" s="1"/>
  <c r="E1040" i="2"/>
  <c r="D1041" i="1" l="1"/>
  <c r="F1040" i="1"/>
  <c r="F1040" i="2"/>
  <c r="J1040" i="2" s="1"/>
  <c r="G1040" i="2" s="1"/>
  <c r="E1041" i="2"/>
  <c r="F1041" i="1" l="1"/>
  <c r="D1042" i="1"/>
  <c r="F1041" i="2"/>
  <c r="J1041" i="2" s="1"/>
  <c r="G1041" i="2" s="1"/>
  <c r="E1042" i="2"/>
  <c r="D1043" i="1" l="1"/>
  <c r="F1042" i="1"/>
  <c r="E1043" i="2"/>
  <c r="F1042" i="2"/>
  <c r="J1042" i="2" s="1"/>
  <c r="G1042" i="2" s="1"/>
  <c r="F1043" i="1" l="1"/>
  <c r="D1044" i="1"/>
  <c r="F1043" i="2"/>
  <c r="J1043" i="2" s="1"/>
  <c r="G1043" i="2" s="1"/>
  <c r="E1044" i="2"/>
  <c r="D1045" i="1" l="1"/>
  <c r="F1044" i="1"/>
  <c r="F1044" i="2"/>
  <c r="J1044" i="2" s="1"/>
  <c r="G1044" i="2" s="1"/>
  <c r="E1045" i="2"/>
  <c r="F1045" i="1" l="1"/>
  <c r="D1046" i="1"/>
  <c r="F1045" i="2"/>
  <c r="J1045" i="2" s="1"/>
  <c r="G1045" i="2" s="1"/>
  <c r="E1046" i="2"/>
  <c r="D1047" i="1" l="1"/>
  <c r="F1046" i="1"/>
  <c r="E1047" i="2"/>
  <c r="F1046" i="2"/>
  <c r="J1046" i="2" s="1"/>
  <c r="G1046" i="2" s="1"/>
  <c r="F1047" i="1" l="1"/>
  <c r="D1048" i="1"/>
  <c r="F1047" i="2"/>
  <c r="J1047" i="2" s="1"/>
  <c r="G1047" i="2" s="1"/>
  <c r="E1048" i="2"/>
  <c r="D1049" i="1" l="1"/>
  <c r="F1048" i="1"/>
  <c r="F1048" i="2"/>
  <c r="J1048" i="2" s="1"/>
  <c r="G1048" i="2" s="1"/>
  <c r="E1049" i="2"/>
  <c r="F1049" i="1" l="1"/>
  <c r="D1050" i="1"/>
  <c r="F1049" i="2"/>
  <c r="J1049" i="2" s="1"/>
  <c r="G1049" i="2" s="1"/>
  <c r="E1050" i="2"/>
  <c r="D1051" i="1" l="1"/>
  <c r="F1050" i="1"/>
  <c r="E1051" i="2"/>
  <c r="F1050" i="2"/>
  <c r="J1050" i="2" s="1"/>
  <c r="G1050" i="2" s="1"/>
  <c r="F1051" i="1" l="1"/>
  <c r="D1052" i="1"/>
  <c r="F1051" i="2"/>
  <c r="J1051" i="2" s="1"/>
  <c r="G1051" i="2" s="1"/>
  <c r="E1052" i="2"/>
  <c r="D1053" i="1" l="1"/>
  <c r="F1052" i="1"/>
  <c r="F1052" i="2"/>
  <c r="J1052" i="2" s="1"/>
  <c r="G1052" i="2" s="1"/>
  <c r="E1053" i="2"/>
  <c r="F1053" i="1" l="1"/>
  <c r="D1054" i="1"/>
  <c r="F1053" i="2"/>
  <c r="J1053" i="2" s="1"/>
  <c r="G1053" i="2" s="1"/>
  <c r="E1054" i="2"/>
  <c r="D1055" i="1" l="1"/>
  <c r="F1054" i="1"/>
  <c r="E1055" i="2"/>
  <c r="F1054" i="2"/>
  <c r="J1054" i="2" s="1"/>
  <c r="G1054" i="2" s="1"/>
  <c r="F1055" i="1" l="1"/>
  <c r="D1056" i="1"/>
  <c r="F1055" i="2"/>
  <c r="J1055" i="2" s="1"/>
  <c r="G1055" i="2" s="1"/>
  <c r="E1056" i="2"/>
  <c r="D1057" i="1" l="1"/>
  <c r="F1056" i="1"/>
  <c r="F1056" i="2"/>
  <c r="J1056" i="2" s="1"/>
  <c r="G1056" i="2" s="1"/>
  <c r="E1057" i="2"/>
  <c r="F1057" i="1" l="1"/>
  <c r="D1058" i="1"/>
  <c r="F1057" i="2"/>
  <c r="J1057" i="2" s="1"/>
  <c r="G1057" i="2" s="1"/>
  <c r="E1058" i="2"/>
  <c r="D1059" i="1" l="1"/>
  <c r="F1058" i="1"/>
  <c r="E1059" i="2"/>
  <c r="F1058" i="2"/>
  <c r="J1058" i="2" s="1"/>
  <c r="G1058" i="2" s="1"/>
  <c r="F1059" i="1" l="1"/>
  <c r="D1060" i="1"/>
  <c r="E1060" i="2"/>
  <c r="F1059" i="2"/>
  <c r="J1059" i="2" s="1"/>
  <c r="G1059" i="2" s="1"/>
  <c r="D1061" i="1" l="1"/>
  <c r="F1060" i="1"/>
  <c r="F1060" i="2"/>
  <c r="J1060" i="2" s="1"/>
  <c r="G1060" i="2" s="1"/>
  <c r="E1061" i="2"/>
  <c r="F1061" i="1" l="1"/>
  <c r="D1062" i="1"/>
  <c r="F1061" i="2"/>
  <c r="J1061" i="2" s="1"/>
  <c r="G1061" i="2" s="1"/>
  <c r="E1062" i="2"/>
  <c r="D1063" i="1" l="1"/>
  <c r="F1062" i="1"/>
  <c r="F1062" i="2"/>
  <c r="J1062" i="2" s="1"/>
  <c r="G1062" i="2" s="1"/>
  <c r="E1063" i="2"/>
  <c r="F1063" i="1" l="1"/>
  <c r="D1064" i="1"/>
  <c r="E1064" i="2"/>
  <c r="F1063" i="2"/>
  <c r="J1063" i="2" s="1"/>
  <c r="G1063" i="2" s="1"/>
  <c r="D1065" i="1" l="1"/>
  <c r="F1064" i="1"/>
  <c r="F1064" i="2"/>
  <c r="J1064" i="2" s="1"/>
  <c r="G1064" i="2" s="1"/>
  <c r="E1065" i="2"/>
  <c r="F1065" i="1" l="1"/>
  <c r="D1066" i="1"/>
  <c r="F1065" i="2"/>
  <c r="J1065" i="2" s="1"/>
  <c r="G1065" i="2" s="1"/>
  <c r="E1066" i="2"/>
  <c r="D1067" i="1" l="1"/>
  <c r="F1066" i="1"/>
  <c r="F1066" i="2"/>
  <c r="J1066" i="2" s="1"/>
  <c r="G1066" i="2" s="1"/>
  <c r="E1067" i="2"/>
  <c r="F1067" i="2" l="1"/>
  <c r="J1067" i="2" s="1"/>
  <c r="G1067" i="2" s="1"/>
  <c r="E1068" i="2"/>
  <c r="F1067" i="1"/>
  <c r="D1068" i="1"/>
  <c r="E1069" i="2" l="1"/>
  <c r="F1068" i="2"/>
  <c r="J1068" i="2" s="1"/>
  <c r="G1068" i="2" s="1"/>
  <c r="D1069" i="1"/>
  <c r="F1068" i="1"/>
  <c r="E1070" i="2" l="1"/>
  <c r="F1069" i="2"/>
  <c r="J1069" i="2" s="1"/>
  <c r="G1069" i="2" s="1"/>
  <c r="F1069" i="1"/>
  <c r="D1070" i="1"/>
  <c r="E1071" i="2" l="1"/>
  <c r="F1070" i="2"/>
  <c r="J1070" i="2" s="1"/>
  <c r="G1070" i="2" s="1"/>
  <c r="D1071" i="1"/>
  <c r="F1070" i="1"/>
  <c r="E1072" i="2" l="1"/>
  <c r="F1071" i="2"/>
  <c r="J1071" i="2" s="1"/>
  <c r="G1071" i="2" s="1"/>
  <c r="F1071" i="1"/>
  <c r="D1072" i="1"/>
  <c r="E1073" i="2" l="1"/>
  <c r="F1072" i="2"/>
  <c r="J1072" i="2" s="1"/>
  <c r="G1072" i="2" s="1"/>
  <c r="D1073" i="1"/>
  <c r="F1072" i="1"/>
  <c r="E1074" i="2" l="1"/>
  <c r="F1073" i="2"/>
  <c r="J1073" i="2" s="1"/>
  <c r="G1073" i="2" s="1"/>
  <c r="F1073" i="1"/>
  <c r="D1074" i="1"/>
  <c r="E1075" i="2" l="1"/>
  <c r="F1074" i="2"/>
  <c r="J1074" i="2" s="1"/>
  <c r="G1074" i="2" s="1"/>
  <c r="D1075" i="1"/>
  <c r="F1074" i="1"/>
  <c r="E1076" i="2" l="1"/>
  <c r="F1075" i="2"/>
  <c r="J1075" i="2" s="1"/>
  <c r="G1075" i="2" s="1"/>
  <c r="F1075" i="1"/>
  <c r="D1076" i="1"/>
  <c r="F1076" i="1" s="1"/>
  <c r="E1077" i="2" l="1"/>
  <c r="F1077" i="2" s="1"/>
  <c r="J1077" i="2" s="1"/>
  <c r="G1077" i="2" s="1"/>
  <c r="F1076" i="2"/>
  <c r="J1076" i="2" s="1"/>
  <c r="G1076" i="2" s="1"/>
</calcChain>
</file>

<file path=xl/sharedStrings.xml><?xml version="1.0" encoding="utf-8"?>
<sst xmlns="http://schemas.openxmlformats.org/spreadsheetml/2006/main" count="86" uniqueCount="81">
  <si>
    <t>Data</t>
  </si>
  <si>
    <t>Q usina m³ [Vazão]</t>
  </si>
  <si>
    <t>Ordem</t>
  </si>
  <si>
    <t>Q usina m³ [Vazão Decrescente]</t>
  </si>
  <si>
    <t>Permanência</t>
  </si>
  <si>
    <t>Ph [kW]</t>
  </si>
  <si>
    <t>Ad Posto [km²]</t>
  </si>
  <si>
    <t>Ad Usina [km²]</t>
  </si>
  <si>
    <t>Altura [m]</t>
  </si>
  <si>
    <t>Q usina m³</t>
  </si>
  <si>
    <t>PH kW</t>
  </si>
  <si>
    <t>e kw/h</t>
  </si>
  <si>
    <t>e kWh/ano</t>
  </si>
  <si>
    <t>Beneficio liquido (BLi) - R$/ano</t>
  </si>
  <si>
    <t>Investimento (i) - R$</t>
  </si>
  <si>
    <t>Custo de Operação e Manutenção (COM)</t>
  </si>
  <si>
    <t>Receita Bruta (R) - R$/ano</t>
  </si>
  <si>
    <t>Preço de Energia</t>
  </si>
  <si>
    <t>R$/kWh</t>
  </si>
  <si>
    <t>Custo médio da hidrelétrica</t>
  </si>
  <si>
    <t>Dados de mercado Ivan</t>
  </si>
  <si>
    <t>Fator de recuperação de capital (FRC)</t>
  </si>
  <si>
    <t>/</t>
  </si>
  <si>
    <t>Curva de Energia</t>
  </si>
  <si>
    <t>Q usina m³ [Vazão] [Crescente]</t>
  </si>
  <si>
    <t>Permanência [Crescente]</t>
  </si>
  <si>
    <t>Ph [kW] [Crescente]</t>
  </si>
  <si>
    <t>E [kWh]</t>
  </si>
  <si>
    <t>E [kWh/ano]</t>
  </si>
  <si>
    <t>Benefício Líquido [BLi] [R$/ano]</t>
  </si>
  <si>
    <t>Investimento [i] [R$]</t>
  </si>
  <si>
    <t>Custo de Operação e Manutenção [COM] [R$]</t>
  </si>
  <si>
    <t>Receita Bruta [RB] [R$/ano]</t>
  </si>
  <si>
    <t>Preço da Energia [R$/kWh]</t>
  </si>
  <si>
    <t>Custo Médio da Hidrelétrica [R$/kWh]</t>
  </si>
  <si>
    <t>Fator de Recuperação de Capital [RFC]</t>
  </si>
  <si>
    <t xml:space="preserve"> Dados de</t>
  </si>
  <si>
    <t>Mercado</t>
  </si>
  <si>
    <t>Ivan</t>
  </si>
  <si>
    <t>Media</t>
  </si>
  <si>
    <t>Qmédia</t>
  </si>
  <si>
    <t>Qmediana</t>
  </si>
  <si>
    <t>Q50</t>
  </si>
  <si>
    <t>Q90</t>
  </si>
  <si>
    <t>Q95</t>
  </si>
  <si>
    <t>Qmax</t>
  </si>
  <si>
    <t>Qmin</t>
  </si>
  <si>
    <t>Irradiação Mensal (kWh/m²d)</t>
  </si>
  <si>
    <t>Energia Painel (kWh/Dia)</t>
  </si>
  <si>
    <t>Número de Painéis</t>
  </si>
  <si>
    <t>Cálculo da Receita</t>
  </si>
  <si>
    <t>Àrea (m²)</t>
  </si>
  <si>
    <t>Energia Painel Alternativo (kWh/Dia)</t>
  </si>
  <si>
    <t>Potência Total do Sistema (kW)</t>
  </si>
  <si>
    <t>Tafira média (Reais/kWh)</t>
  </si>
  <si>
    <t>Receita Bruta (Reais)</t>
  </si>
  <si>
    <t>Tarifa de Uso (Reais/kWh)</t>
  </si>
  <si>
    <t xml:space="preserve">Eficiência </t>
  </si>
  <si>
    <t>Horas de Sol Pleno (Horas/Dia)</t>
  </si>
  <si>
    <t>Potência do Inversor (kW)</t>
  </si>
  <si>
    <t>Degradação do Painel (Ao Ano)</t>
  </si>
  <si>
    <t>Custo po kW (Reais)</t>
  </si>
  <si>
    <t>Ano</t>
  </si>
  <si>
    <t>% Cobrança TUSD</t>
  </si>
  <si>
    <t>Receita Líquida Anual (Reais/ano)</t>
  </si>
  <si>
    <t>Razão de Performace</t>
  </si>
  <si>
    <t>Investimento (Reais/kWh)</t>
  </si>
  <si>
    <t>Manutenção do Sistema (Reais/ano)</t>
  </si>
  <si>
    <t>Payback (Anos)</t>
  </si>
  <si>
    <t>Média</t>
  </si>
  <si>
    <t>Cáculo do sistema fotovoltaico</t>
  </si>
  <si>
    <t>Cidade: Itajubá, MG</t>
  </si>
  <si>
    <t>Consumo Mensal uma Casa</t>
  </si>
  <si>
    <t>Área Alagada da PCH</t>
  </si>
  <si>
    <t>m^2</t>
  </si>
  <si>
    <t>% cobertura</t>
  </si>
  <si>
    <t>Área coberta (m²)</t>
  </si>
  <si>
    <t>npaines</t>
  </si>
  <si>
    <t>pot</t>
  </si>
  <si>
    <t>Potência Máxima (kW)</t>
  </si>
  <si>
    <t>eanual 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</si>
</sst>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3" formatCode="0.0000000"/>
  </numFmts>
  <fonts count="1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2"/>
      <color theme="0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2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  <font>
      <sz val="10"/>
      <color rgb="FF000000"/>
      <name val="Arial"/>
      <family val="2"/>
    </font>
    <font>
      <b/>
      <sz val="10"/>
      <color rgb="FFCC3300"/>
      <name val="Arial"/>
      <family val="2"/>
    </font>
    <font>
      <b/>
      <sz val="10"/>
      <color rgb="FF0033CC"/>
      <name val="Arial"/>
      <family val="2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rgb="FFFFFF00"/>
      </patternFill>
    </fill>
    <fill>
      <patternFill patternType="solid">
        <fgColor theme="4"/>
        <bgColor indexed="64"/>
      </patternFill>
    </fill>
    <fill>
      <patternFill patternType="solid">
        <fgColor rgb="FFE1F1FF"/>
        <bgColor rgb="FFE1F1FF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theme="9" tint="0.3999755851924192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74">
    <xf numFmtId="0" fontId="0" fillId="0" borderId="0" xfId="0" applyFont="1" applyAlignment="1"/>
    <xf numFmtId="0" fontId="1" fillId="2" borderId="0" xfId="0" applyFont="1" applyFill="1" applyAlignment="1"/>
    <xf numFmtId="0" fontId="1" fillId="2" borderId="1" xfId="0" applyFont="1" applyFill="1" applyBorder="1" applyAlignment="1"/>
    <xf numFmtId="0" fontId="1" fillId="0" borderId="0" xfId="0" applyFont="1"/>
    <xf numFmtId="0" fontId="1" fillId="0" borderId="0" xfId="0" applyFont="1" applyAlignment="1"/>
    <xf numFmtId="0" fontId="1" fillId="0" borderId="1" xfId="0" applyFont="1" applyBorder="1" applyAlignment="1"/>
    <xf numFmtId="14" fontId="1" fillId="0" borderId="0" xfId="0" applyNumberFormat="1" applyFont="1"/>
    <xf numFmtId="0" fontId="1" fillId="3" borderId="0" xfId="0" applyFont="1" applyFill="1"/>
    <xf numFmtId="0" fontId="1" fillId="0" borderId="1" xfId="0" applyFont="1" applyBorder="1" applyAlignment="1">
      <alignment horizontal="center"/>
    </xf>
    <xf numFmtId="14" fontId="0" fillId="0" borderId="0" xfId="0" applyNumberFormat="1"/>
    <xf numFmtId="0" fontId="1" fillId="0" borderId="2" xfId="0" applyFont="1" applyBorder="1" applyAlignment="1"/>
    <xf numFmtId="0" fontId="1" fillId="0" borderId="4" xfId="0" applyFont="1" applyBorder="1" applyAlignment="1"/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5" fillId="2" borderId="2" xfId="0" applyFont="1" applyFill="1" applyBorder="1" applyAlignment="1">
      <alignment horizontal="center" vertical="center"/>
    </xf>
    <xf numFmtId="0" fontId="4" fillId="0" borderId="0" xfId="0" applyFont="1" applyAlignment="1"/>
    <xf numFmtId="2" fontId="1" fillId="0" borderId="0" xfId="0" applyNumberFormat="1" applyFont="1"/>
    <xf numFmtId="0" fontId="0" fillId="0" borderId="0" xfId="0"/>
    <xf numFmtId="2" fontId="8" fillId="6" borderId="0" xfId="0" applyNumberFormat="1" applyFont="1" applyFill="1" applyAlignment="1">
      <alignment horizontal="right"/>
    </xf>
    <xf numFmtId="10" fontId="1" fillId="0" borderId="0" xfId="0" applyNumberFormat="1" applyFont="1"/>
    <xf numFmtId="2" fontId="1" fillId="0" borderId="5" xfId="0" applyNumberFormat="1" applyFont="1" applyBorder="1"/>
    <xf numFmtId="0" fontId="1" fillId="0" borderId="5" xfId="0" applyFont="1" applyBorder="1"/>
    <xf numFmtId="2" fontId="9" fillId="6" borderId="0" xfId="0" applyNumberFormat="1" applyFont="1" applyFill="1" applyAlignment="1">
      <alignment horizontal="right"/>
    </xf>
    <xf numFmtId="1" fontId="1" fillId="0" borderId="5" xfId="0" applyNumberFormat="1" applyFont="1" applyBorder="1"/>
    <xf numFmtId="10" fontId="1" fillId="0" borderId="5" xfId="0" applyNumberFormat="1" applyFont="1" applyBorder="1"/>
    <xf numFmtId="2" fontId="10" fillId="6" borderId="0" xfId="0" applyNumberFormat="1" applyFont="1" applyFill="1" applyAlignment="1">
      <alignment horizontal="right"/>
    </xf>
    <xf numFmtId="1" fontId="1" fillId="0" borderId="0" xfId="0" applyNumberFormat="1" applyFont="1"/>
    <xf numFmtId="0" fontId="11" fillId="0" borderId="0" xfId="0" applyFont="1" applyAlignment="1">
      <alignment horizontal="center" vertical="center" wrapText="1"/>
    </xf>
    <xf numFmtId="9" fontId="4" fillId="0" borderId="0" xfId="0" applyNumberFormat="1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2" fontId="12" fillId="0" borderId="0" xfId="0" applyNumberFormat="1" applyFont="1"/>
    <xf numFmtId="43" fontId="1" fillId="0" borderId="0" xfId="1" applyFont="1"/>
    <xf numFmtId="0" fontId="0" fillId="0" borderId="0" xfId="0" applyFont="1" applyAlignment="1"/>
    <xf numFmtId="0" fontId="7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4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13" fillId="7" borderId="6" xfId="0" applyFont="1" applyFill="1" applyBorder="1" applyAlignment="1">
      <alignment horizontal="right"/>
    </xf>
    <xf numFmtId="14" fontId="1" fillId="7" borderId="6" xfId="0" applyNumberFormat="1" applyFont="1" applyFill="1" applyBorder="1"/>
    <xf numFmtId="0" fontId="1" fillId="7" borderId="6" xfId="0" applyFont="1" applyFill="1" applyBorder="1"/>
    <xf numFmtId="0" fontId="1" fillId="7" borderId="6" xfId="0" applyFont="1" applyFill="1" applyBorder="1" applyAlignment="1"/>
    <xf numFmtId="0" fontId="1" fillId="7" borderId="8" xfId="0" applyFont="1" applyFill="1" applyBorder="1"/>
    <xf numFmtId="0" fontId="13" fillId="0" borderId="6" xfId="0" applyFont="1" applyBorder="1" applyAlignment="1">
      <alignment horizontal="right"/>
    </xf>
    <xf numFmtId="14" fontId="1" fillId="0" borderId="6" xfId="0" applyNumberFormat="1" applyFont="1" applyBorder="1"/>
    <xf numFmtId="0" fontId="1" fillId="0" borderId="6" xfId="0" applyFont="1" applyBorder="1"/>
    <xf numFmtId="0" fontId="1" fillId="0" borderId="8" xfId="0" applyFont="1" applyBorder="1"/>
    <xf numFmtId="0" fontId="1" fillId="0" borderId="6" xfId="0" applyFont="1" applyBorder="1" applyAlignment="1"/>
    <xf numFmtId="0" fontId="1" fillId="7" borderId="3" xfId="0" applyFont="1" applyFill="1" applyBorder="1" applyAlignment="1"/>
    <xf numFmtId="14" fontId="1" fillId="7" borderId="3" xfId="0" applyNumberFormat="1" applyFont="1" applyFill="1" applyBorder="1"/>
    <xf numFmtId="0" fontId="1" fillId="7" borderId="3" xfId="0" applyFont="1" applyFill="1" applyBorder="1"/>
    <xf numFmtId="0" fontId="1" fillId="7" borderId="2" xfId="0" applyFont="1" applyFill="1" applyBorder="1"/>
    <xf numFmtId="0" fontId="1" fillId="9" borderId="9" xfId="0" applyFont="1" applyFill="1" applyBorder="1"/>
    <xf numFmtId="0" fontId="1" fillId="9" borderId="10" xfId="0" applyFont="1" applyFill="1" applyBorder="1"/>
    <xf numFmtId="0" fontId="2" fillId="8" borderId="12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1" fillId="9" borderId="12" xfId="0" applyFont="1" applyFill="1" applyBorder="1"/>
    <xf numFmtId="0" fontId="1" fillId="9" borderId="13" xfId="0" applyFont="1" applyFill="1" applyBorder="1"/>
    <xf numFmtId="4" fontId="1" fillId="9" borderId="13" xfId="0" applyNumberFormat="1" applyFont="1" applyFill="1" applyBorder="1"/>
    <xf numFmtId="4" fontId="1" fillId="9" borderId="14" xfId="0" applyNumberFormat="1" applyFont="1" applyFill="1" applyBorder="1"/>
    <xf numFmtId="0" fontId="1" fillId="0" borderId="12" xfId="0" applyFont="1" applyBorder="1"/>
    <xf numFmtId="0" fontId="1" fillId="0" borderId="13" xfId="0" applyFont="1" applyBorder="1"/>
    <xf numFmtId="4" fontId="1" fillId="0" borderId="13" xfId="0" applyNumberFormat="1" applyFont="1" applyBorder="1"/>
    <xf numFmtId="4" fontId="1" fillId="0" borderId="14" xfId="0" applyNumberFormat="1" applyFont="1" applyBorder="1"/>
    <xf numFmtId="0" fontId="1" fillId="9" borderId="12" xfId="0" applyFont="1" applyFill="1" applyBorder="1" applyAlignment="1"/>
    <xf numFmtId="4" fontId="1" fillId="9" borderId="10" xfId="0" applyNumberFormat="1" applyFont="1" applyFill="1" applyBorder="1"/>
    <xf numFmtId="4" fontId="1" fillId="9" borderId="11" xfId="0" applyNumberFormat="1" applyFont="1" applyFill="1" applyBorder="1"/>
    <xf numFmtId="0" fontId="4" fillId="0" borderId="0" xfId="0" applyNumberFormat="1" applyFont="1" applyAlignment="1"/>
    <xf numFmtId="0" fontId="0" fillId="0" borderId="0" xfId="0" applyNumberFormat="1" applyFont="1" applyAlignment="1"/>
    <xf numFmtId="173" fontId="1" fillId="7" borderId="6" xfId="0" applyNumberFormat="1" applyFont="1" applyFill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Permanência versus Q usina m³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'Curva de Permanência'!$F$2:$F$1066</c:f>
              <c:numCache>
                <c:formatCode>General</c:formatCode>
                <c:ptCount val="1065"/>
                <c:pt idx="0">
                  <c:v>9.2936802973977691E-4</c:v>
                </c:pt>
                <c:pt idx="1">
                  <c:v>1.8587360594795538E-3</c:v>
                </c:pt>
                <c:pt idx="2">
                  <c:v>2.7881040892193307E-3</c:v>
                </c:pt>
                <c:pt idx="3">
                  <c:v>3.7174721189591076E-3</c:v>
                </c:pt>
                <c:pt idx="4">
                  <c:v>4.646840148698885E-3</c:v>
                </c:pt>
                <c:pt idx="5">
                  <c:v>5.5762081784386614E-3</c:v>
                </c:pt>
                <c:pt idx="6">
                  <c:v>6.5055762081784388E-3</c:v>
                </c:pt>
                <c:pt idx="7">
                  <c:v>7.4349442379182153E-3</c:v>
                </c:pt>
                <c:pt idx="8">
                  <c:v>8.3643122676579917E-3</c:v>
                </c:pt>
                <c:pt idx="9">
                  <c:v>9.2936802973977699E-3</c:v>
                </c:pt>
                <c:pt idx="10">
                  <c:v>1.0223048327137546E-2</c:v>
                </c:pt>
                <c:pt idx="11">
                  <c:v>1.1152416356877323E-2</c:v>
                </c:pt>
                <c:pt idx="12">
                  <c:v>1.2081784386617101E-2</c:v>
                </c:pt>
                <c:pt idx="13">
                  <c:v>1.3011152416356878E-2</c:v>
                </c:pt>
                <c:pt idx="14">
                  <c:v>1.3940520446096654E-2</c:v>
                </c:pt>
                <c:pt idx="15">
                  <c:v>1.4869888475836431E-2</c:v>
                </c:pt>
                <c:pt idx="16">
                  <c:v>1.5799256505576207E-2</c:v>
                </c:pt>
                <c:pt idx="17">
                  <c:v>1.6728624535315983E-2</c:v>
                </c:pt>
                <c:pt idx="18">
                  <c:v>1.7657992565055763E-2</c:v>
                </c:pt>
                <c:pt idx="19">
                  <c:v>1.858736059479554E-2</c:v>
                </c:pt>
                <c:pt idx="20">
                  <c:v>1.9516728624535316E-2</c:v>
                </c:pt>
                <c:pt idx="21">
                  <c:v>2.0446096654275093E-2</c:v>
                </c:pt>
                <c:pt idx="22">
                  <c:v>2.1375464684014869E-2</c:v>
                </c:pt>
                <c:pt idx="23">
                  <c:v>2.2304832713754646E-2</c:v>
                </c:pt>
                <c:pt idx="24">
                  <c:v>2.3234200743494422E-2</c:v>
                </c:pt>
                <c:pt idx="25">
                  <c:v>2.4163568773234202E-2</c:v>
                </c:pt>
                <c:pt idx="26">
                  <c:v>2.5092936802973979E-2</c:v>
                </c:pt>
                <c:pt idx="27">
                  <c:v>2.6022304832713755E-2</c:v>
                </c:pt>
                <c:pt idx="28">
                  <c:v>2.6951672862453532E-2</c:v>
                </c:pt>
                <c:pt idx="29">
                  <c:v>2.7881040892193308E-2</c:v>
                </c:pt>
                <c:pt idx="30">
                  <c:v>2.8810408921933085E-2</c:v>
                </c:pt>
                <c:pt idx="31">
                  <c:v>2.9739776951672861E-2</c:v>
                </c:pt>
                <c:pt idx="32">
                  <c:v>3.0669144981412641E-2</c:v>
                </c:pt>
                <c:pt idx="33">
                  <c:v>3.1598513011152414E-2</c:v>
                </c:pt>
                <c:pt idx="34">
                  <c:v>3.2527881040892194E-2</c:v>
                </c:pt>
                <c:pt idx="35">
                  <c:v>3.3457249070631967E-2</c:v>
                </c:pt>
                <c:pt idx="36">
                  <c:v>3.4386617100371747E-2</c:v>
                </c:pt>
                <c:pt idx="37">
                  <c:v>3.5315985130111527E-2</c:v>
                </c:pt>
                <c:pt idx="38">
                  <c:v>3.62453531598513E-2</c:v>
                </c:pt>
                <c:pt idx="39">
                  <c:v>3.717472118959108E-2</c:v>
                </c:pt>
                <c:pt idx="40">
                  <c:v>3.8104089219330853E-2</c:v>
                </c:pt>
                <c:pt idx="41">
                  <c:v>3.9033457249070633E-2</c:v>
                </c:pt>
                <c:pt idx="42">
                  <c:v>3.9962825278810406E-2</c:v>
                </c:pt>
                <c:pt idx="43">
                  <c:v>4.0892193308550186E-2</c:v>
                </c:pt>
                <c:pt idx="44">
                  <c:v>4.1821561338289966E-2</c:v>
                </c:pt>
                <c:pt idx="45">
                  <c:v>4.2750929368029739E-2</c:v>
                </c:pt>
                <c:pt idx="46">
                  <c:v>4.3680297397769519E-2</c:v>
                </c:pt>
                <c:pt idx="47">
                  <c:v>4.4609665427509292E-2</c:v>
                </c:pt>
                <c:pt idx="48">
                  <c:v>4.5539033457249072E-2</c:v>
                </c:pt>
                <c:pt idx="49">
                  <c:v>4.6468401486988845E-2</c:v>
                </c:pt>
                <c:pt idx="50">
                  <c:v>4.7397769516728624E-2</c:v>
                </c:pt>
                <c:pt idx="51">
                  <c:v>4.8327137546468404E-2</c:v>
                </c:pt>
                <c:pt idx="52">
                  <c:v>4.9256505576208177E-2</c:v>
                </c:pt>
                <c:pt idx="53">
                  <c:v>5.0185873605947957E-2</c:v>
                </c:pt>
                <c:pt idx="54">
                  <c:v>5.111524163568773E-2</c:v>
                </c:pt>
                <c:pt idx="55">
                  <c:v>5.204460966542751E-2</c:v>
                </c:pt>
                <c:pt idx="56">
                  <c:v>5.2973977695167283E-2</c:v>
                </c:pt>
                <c:pt idx="57">
                  <c:v>5.3903345724907063E-2</c:v>
                </c:pt>
                <c:pt idx="58">
                  <c:v>5.4832713754646843E-2</c:v>
                </c:pt>
                <c:pt idx="59">
                  <c:v>5.5762081784386616E-2</c:v>
                </c:pt>
                <c:pt idx="60">
                  <c:v>5.6691449814126396E-2</c:v>
                </c:pt>
                <c:pt idx="61">
                  <c:v>5.7620817843866169E-2</c:v>
                </c:pt>
                <c:pt idx="62">
                  <c:v>5.8550185873605949E-2</c:v>
                </c:pt>
                <c:pt idx="63">
                  <c:v>5.9479553903345722E-2</c:v>
                </c:pt>
                <c:pt idx="64">
                  <c:v>6.0408921933085502E-2</c:v>
                </c:pt>
                <c:pt idx="65">
                  <c:v>6.1338289962825282E-2</c:v>
                </c:pt>
                <c:pt idx="66">
                  <c:v>6.2267657992565055E-2</c:v>
                </c:pt>
                <c:pt idx="67">
                  <c:v>6.3197026022304828E-2</c:v>
                </c:pt>
                <c:pt idx="68">
                  <c:v>6.4126394052044608E-2</c:v>
                </c:pt>
                <c:pt idx="69">
                  <c:v>6.5055762081784388E-2</c:v>
                </c:pt>
                <c:pt idx="70">
                  <c:v>6.5985130111524168E-2</c:v>
                </c:pt>
                <c:pt idx="71">
                  <c:v>6.6914498141263934E-2</c:v>
                </c:pt>
                <c:pt idx="72">
                  <c:v>6.7843866171003714E-2</c:v>
                </c:pt>
                <c:pt idx="73">
                  <c:v>6.8773234200743494E-2</c:v>
                </c:pt>
                <c:pt idx="74">
                  <c:v>6.9702602230483274E-2</c:v>
                </c:pt>
                <c:pt idx="75">
                  <c:v>7.0631970260223054E-2</c:v>
                </c:pt>
                <c:pt idx="76">
                  <c:v>7.156133828996282E-2</c:v>
                </c:pt>
                <c:pt idx="77">
                  <c:v>7.24907063197026E-2</c:v>
                </c:pt>
                <c:pt idx="78">
                  <c:v>7.342007434944238E-2</c:v>
                </c:pt>
                <c:pt idx="79">
                  <c:v>7.434944237918216E-2</c:v>
                </c:pt>
                <c:pt idx="80">
                  <c:v>7.527881040892194E-2</c:v>
                </c:pt>
                <c:pt idx="81">
                  <c:v>7.6208178438661706E-2</c:v>
                </c:pt>
                <c:pt idx="82">
                  <c:v>7.7137546468401486E-2</c:v>
                </c:pt>
                <c:pt idx="83">
                  <c:v>7.8066914498141265E-2</c:v>
                </c:pt>
                <c:pt idx="84">
                  <c:v>7.8996282527881045E-2</c:v>
                </c:pt>
                <c:pt idx="85">
                  <c:v>7.9925650557620811E-2</c:v>
                </c:pt>
                <c:pt idx="86">
                  <c:v>8.0855018587360591E-2</c:v>
                </c:pt>
                <c:pt idx="87">
                  <c:v>8.1784386617100371E-2</c:v>
                </c:pt>
                <c:pt idx="88">
                  <c:v>8.2713754646840151E-2</c:v>
                </c:pt>
                <c:pt idx="89">
                  <c:v>8.3643122676579931E-2</c:v>
                </c:pt>
                <c:pt idx="90">
                  <c:v>8.4572490706319697E-2</c:v>
                </c:pt>
                <c:pt idx="91">
                  <c:v>8.5501858736059477E-2</c:v>
                </c:pt>
                <c:pt idx="92">
                  <c:v>8.6431226765799257E-2</c:v>
                </c:pt>
                <c:pt idx="93">
                  <c:v>8.7360594795539037E-2</c:v>
                </c:pt>
                <c:pt idx="94">
                  <c:v>8.8289962825278817E-2</c:v>
                </c:pt>
                <c:pt idx="95">
                  <c:v>8.9219330855018583E-2</c:v>
                </c:pt>
                <c:pt idx="96">
                  <c:v>9.0148698884758363E-2</c:v>
                </c:pt>
                <c:pt idx="97">
                  <c:v>9.1078066914498143E-2</c:v>
                </c:pt>
                <c:pt idx="98">
                  <c:v>9.2007434944237923E-2</c:v>
                </c:pt>
                <c:pt idx="99">
                  <c:v>9.2936802973977689E-2</c:v>
                </c:pt>
                <c:pt idx="100">
                  <c:v>9.3866171003717469E-2</c:v>
                </c:pt>
                <c:pt idx="101">
                  <c:v>9.4795539033457249E-2</c:v>
                </c:pt>
                <c:pt idx="102">
                  <c:v>9.5724907063197029E-2</c:v>
                </c:pt>
                <c:pt idx="103">
                  <c:v>9.6654275092936809E-2</c:v>
                </c:pt>
                <c:pt idx="104">
                  <c:v>9.7583643122676575E-2</c:v>
                </c:pt>
                <c:pt idx="105">
                  <c:v>9.8513011152416355E-2</c:v>
                </c:pt>
                <c:pt idx="106">
                  <c:v>9.9442379182156135E-2</c:v>
                </c:pt>
                <c:pt idx="107">
                  <c:v>0.10037174721189591</c:v>
                </c:pt>
                <c:pt idx="108">
                  <c:v>0.10130111524163568</c:v>
                </c:pt>
                <c:pt idx="109">
                  <c:v>0.10223048327137546</c:v>
                </c:pt>
                <c:pt idx="110">
                  <c:v>0.10315985130111524</c:v>
                </c:pt>
                <c:pt idx="111">
                  <c:v>0.10408921933085502</c:v>
                </c:pt>
                <c:pt idx="112">
                  <c:v>0.1050185873605948</c:v>
                </c:pt>
                <c:pt idx="113">
                  <c:v>0.10594795539033457</c:v>
                </c:pt>
                <c:pt idx="114">
                  <c:v>0.10687732342007435</c:v>
                </c:pt>
                <c:pt idx="115">
                  <c:v>0.10780669144981413</c:v>
                </c:pt>
                <c:pt idx="116">
                  <c:v>0.10873605947955391</c:v>
                </c:pt>
                <c:pt idx="117">
                  <c:v>0.10966542750929369</c:v>
                </c:pt>
                <c:pt idx="118">
                  <c:v>0.11059479553903345</c:v>
                </c:pt>
                <c:pt idx="119">
                  <c:v>0.11152416356877323</c:v>
                </c:pt>
                <c:pt idx="120">
                  <c:v>0.11245353159851301</c:v>
                </c:pt>
                <c:pt idx="121">
                  <c:v>0.11338289962825279</c:v>
                </c:pt>
                <c:pt idx="122">
                  <c:v>0.11431226765799256</c:v>
                </c:pt>
                <c:pt idx="123">
                  <c:v>0.11524163568773234</c:v>
                </c:pt>
                <c:pt idx="124">
                  <c:v>0.11617100371747212</c:v>
                </c:pt>
                <c:pt idx="125">
                  <c:v>0.1171003717472119</c:v>
                </c:pt>
                <c:pt idx="126">
                  <c:v>0.11802973977695168</c:v>
                </c:pt>
                <c:pt idx="127">
                  <c:v>0.11895910780669144</c:v>
                </c:pt>
                <c:pt idx="128">
                  <c:v>0.11988847583643122</c:v>
                </c:pt>
                <c:pt idx="129">
                  <c:v>0.120817843866171</c:v>
                </c:pt>
                <c:pt idx="130">
                  <c:v>0.12174721189591078</c:v>
                </c:pt>
                <c:pt idx="131">
                  <c:v>0.12267657992565056</c:v>
                </c:pt>
                <c:pt idx="132">
                  <c:v>0.12360594795539033</c:v>
                </c:pt>
                <c:pt idx="133">
                  <c:v>0.12453531598513011</c:v>
                </c:pt>
                <c:pt idx="134">
                  <c:v>0.12546468401486988</c:v>
                </c:pt>
                <c:pt idx="135">
                  <c:v>0.12639405204460966</c:v>
                </c:pt>
                <c:pt idx="136">
                  <c:v>0.12732342007434944</c:v>
                </c:pt>
                <c:pt idx="137">
                  <c:v>0.12825278810408922</c:v>
                </c:pt>
                <c:pt idx="138">
                  <c:v>0.129182156133829</c:v>
                </c:pt>
                <c:pt idx="139">
                  <c:v>0.13011152416356878</c:v>
                </c:pt>
                <c:pt idx="140">
                  <c:v>0.13104089219330856</c:v>
                </c:pt>
                <c:pt idx="141">
                  <c:v>0.13197026022304834</c:v>
                </c:pt>
                <c:pt idx="142">
                  <c:v>0.13289962825278812</c:v>
                </c:pt>
                <c:pt idx="143">
                  <c:v>0.13382899628252787</c:v>
                </c:pt>
                <c:pt idx="144">
                  <c:v>0.13475836431226765</c:v>
                </c:pt>
                <c:pt idx="145">
                  <c:v>0.13568773234200743</c:v>
                </c:pt>
                <c:pt idx="146">
                  <c:v>0.13661710037174721</c:v>
                </c:pt>
                <c:pt idx="147">
                  <c:v>0.13754646840148699</c:v>
                </c:pt>
                <c:pt idx="148">
                  <c:v>0.13847583643122677</c:v>
                </c:pt>
                <c:pt idx="149">
                  <c:v>0.13940520446096655</c:v>
                </c:pt>
                <c:pt idx="150">
                  <c:v>0.14033457249070633</c:v>
                </c:pt>
                <c:pt idx="151">
                  <c:v>0.14126394052044611</c:v>
                </c:pt>
                <c:pt idx="152">
                  <c:v>0.14219330855018589</c:v>
                </c:pt>
                <c:pt idx="153">
                  <c:v>0.14312267657992564</c:v>
                </c:pt>
                <c:pt idx="154">
                  <c:v>0.14405204460966542</c:v>
                </c:pt>
                <c:pt idx="155">
                  <c:v>0.1449814126394052</c:v>
                </c:pt>
                <c:pt idx="156">
                  <c:v>0.14591078066914498</c:v>
                </c:pt>
                <c:pt idx="157">
                  <c:v>0.14684014869888476</c:v>
                </c:pt>
                <c:pt idx="158">
                  <c:v>0.14776951672862454</c:v>
                </c:pt>
                <c:pt idx="159">
                  <c:v>0.14869888475836432</c:v>
                </c:pt>
                <c:pt idx="160">
                  <c:v>0.1496282527881041</c:v>
                </c:pt>
                <c:pt idx="161">
                  <c:v>0.15055762081784388</c:v>
                </c:pt>
                <c:pt idx="162">
                  <c:v>0.15148698884758363</c:v>
                </c:pt>
                <c:pt idx="163">
                  <c:v>0.15241635687732341</c:v>
                </c:pt>
                <c:pt idx="164">
                  <c:v>0.15334572490706319</c:v>
                </c:pt>
                <c:pt idx="165">
                  <c:v>0.15427509293680297</c:v>
                </c:pt>
                <c:pt idx="166">
                  <c:v>0.15520446096654275</c:v>
                </c:pt>
                <c:pt idx="167">
                  <c:v>0.15613382899628253</c:v>
                </c:pt>
                <c:pt idx="168">
                  <c:v>0.15706319702602231</c:v>
                </c:pt>
                <c:pt idx="169">
                  <c:v>0.15799256505576209</c:v>
                </c:pt>
                <c:pt idx="170">
                  <c:v>0.15892193308550187</c:v>
                </c:pt>
                <c:pt idx="171">
                  <c:v>0.15985130111524162</c:v>
                </c:pt>
                <c:pt idx="172">
                  <c:v>0.1607806691449814</c:v>
                </c:pt>
                <c:pt idx="173">
                  <c:v>0.16171003717472118</c:v>
                </c:pt>
                <c:pt idx="174">
                  <c:v>0.16263940520446096</c:v>
                </c:pt>
                <c:pt idx="175">
                  <c:v>0.16356877323420074</c:v>
                </c:pt>
                <c:pt idx="176">
                  <c:v>0.16449814126394052</c:v>
                </c:pt>
                <c:pt idx="177">
                  <c:v>0.1654275092936803</c:v>
                </c:pt>
                <c:pt idx="178">
                  <c:v>0.16635687732342008</c:v>
                </c:pt>
                <c:pt idx="179">
                  <c:v>0.16728624535315986</c:v>
                </c:pt>
                <c:pt idx="180">
                  <c:v>0.16821561338289961</c:v>
                </c:pt>
                <c:pt idx="181">
                  <c:v>0.16914498141263939</c:v>
                </c:pt>
                <c:pt idx="182">
                  <c:v>0.17007434944237917</c:v>
                </c:pt>
                <c:pt idx="183">
                  <c:v>0.17100371747211895</c:v>
                </c:pt>
                <c:pt idx="184">
                  <c:v>0.17193308550185873</c:v>
                </c:pt>
                <c:pt idx="185">
                  <c:v>0.17286245353159851</c:v>
                </c:pt>
                <c:pt idx="186">
                  <c:v>0.17379182156133829</c:v>
                </c:pt>
                <c:pt idx="187">
                  <c:v>0.17472118959107807</c:v>
                </c:pt>
                <c:pt idx="188">
                  <c:v>0.17565055762081785</c:v>
                </c:pt>
                <c:pt idx="189">
                  <c:v>0.17657992565055763</c:v>
                </c:pt>
                <c:pt idx="190">
                  <c:v>0.17750929368029739</c:v>
                </c:pt>
                <c:pt idx="191">
                  <c:v>0.17843866171003717</c:v>
                </c:pt>
                <c:pt idx="192">
                  <c:v>0.17936802973977695</c:v>
                </c:pt>
                <c:pt idx="193">
                  <c:v>0.18029739776951673</c:v>
                </c:pt>
                <c:pt idx="194">
                  <c:v>0.18122676579925651</c:v>
                </c:pt>
                <c:pt idx="195">
                  <c:v>0.18215613382899629</c:v>
                </c:pt>
                <c:pt idx="196">
                  <c:v>0.18308550185873607</c:v>
                </c:pt>
                <c:pt idx="197">
                  <c:v>0.18401486988847585</c:v>
                </c:pt>
                <c:pt idx="198">
                  <c:v>0.18494423791821563</c:v>
                </c:pt>
                <c:pt idx="199">
                  <c:v>0.18587360594795538</c:v>
                </c:pt>
                <c:pt idx="200">
                  <c:v>0.18680297397769516</c:v>
                </c:pt>
                <c:pt idx="201">
                  <c:v>0.18773234200743494</c:v>
                </c:pt>
                <c:pt idx="202">
                  <c:v>0.18866171003717472</c:v>
                </c:pt>
                <c:pt idx="203">
                  <c:v>0.1895910780669145</c:v>
                </c:pt>
                <c:pt idx="204">
                  <c:v>0.19052044609665428</c:v>
                </c:pt>
                <c:pt idx="205">
                  <c:v>0.19144981412639406</c:v>
                </c:pt>
                <c:pt idx="206">
                  <c:v>0.19237918215613384</c:v>
                </c:pt>
                <c:pt idx="207">
                  <c:v>0.19330855018587362</c:v>
                </c:pt>
                <c:pt idx="208">
                  <c:v>0.19423791821561337</c:v>
                </c:pt>
                <c:pt idx="209">
                  <c:v>0.19516728624535315</c:v>
                </c:pt>
                <c:pt idx="210">
                  <c:v>0.19609665427509293</c:v>
                </c:pt>
                <c:pt idx="211">
                  <c:v>0.19702602230483271</c:v>
                </c:pt>
                <c:pt idx="212">
                  <c:v>0.19795539033457249</c:v>
                </c:pt>
                <c:pt idx="213">
                  <c:v>0.19888475836431227</c:v>
                </c:pt>
                <c:pt idx="214">
                  <c:v>0.19981412639405205</c:v>
                </c:pt>
                <c:pt idx="215">
                  <c:v>0.20074349442379183</c:v>
                </c:pt>
                <c:pt idx="216">
                  <c:v>0.20167286245353161</c:v>
                </c:pt>
                <c:pt idx="217">
                  <c:v>0.20260223048327136</c:v>
                </c:pt>
                <c:pt idx="218">
                  <c:v>0.20353159851301114</c:v>
                </c:pt>
                <c:pt idx="219">
                  <c:v>0.20446096654275092</c:v>
                </c:pt>
                <c:pt idx="220">
                  <c:v>0.2053903345724907</c:v>
                </c:pt>
                <c:pt idx="221">
                  <c:v>0.20631970260223048</c:v>
                </c:pt>
                <c:pt idx="222">
                  <c:v>0.20724907063197026</c:v>
                </c:pt>
                <c:pt idx="223">
                  <c:v>0.20817843866171004</c:v>
                </c:pt>
                <c:pt idx="224">
                  <c:v>0.20910780669144982</c:v>
                </c:pt>
                <c:pt idx="225">
                  <c:v>0.2100371747211896</c:v>
                </c:pt>
                <c:pt idx="226">
                  <c:v>0.21096654275092938</c:v>
                </c:pt>
                <c:pt idx="227">
                  <c:v>0.21189591078066913</c:v>
                </c:pt>
                <c:pt idx="228">
                  <c:v>0.21282527881040891</c:v>
                </c:pt>
                <c:pt idx="229">
                  <c:v>0.21375464684014869</c:v>
                </c:pt>
                <c:pt idx="230">
                  <c:v>0.21468401486988847</c:v>
                </c:pt>
                <c:pt idx="231">
                  <c:v>0.21561338289962825</c:v>
                </c:pt>
                <c:pt idx="232">
                  <c:v>0.21654275092936803</c:v>
                </c:pt>
                <c:pt idx="233">
                  <c:v>0.21747211895910781</c:v>
                </c:pt>
                <c:pt idx="234">
                  <c:v>0.21840148698884759</c:v>
                </c:pt>
                <c:pt idx="235">
                  <c:v>0.21933085501858737</c:v>
                </c:pt>
                <c:pt idx="236">
                  <c:v>0.22026022304832713</c:v>
                </c:pt>
                <c:pt idx="237">
                  <c:v>0.22118959107806691</c:v>
                </c:pt>
                <c:pt idx="238">
                  <c:v>0.22211895910780668</c:v>
                </c:pt>
                <c:pt idx="239">
                  <c:v>0.22304832713754646</c:v>
                </c:pt>
                <c:pt idx="240">
                  <c:v>0.22397769516728624</c:v>
                </c:pt>
                <c:pt idx="241">
                  <c:v>0.22490706319702602</c:v>
                </c:pt>
                <c:pt idx="242">
                  <c:v>0.2258364312267658</c:v>
                </c:pt>
                <c:pt idx="243">
                  <c:v>0.22676579925650558</c:v>
                </c:pt>
                <c:pt idx="244">
                  <c:v>0.22769516728624536</c:v>
                </c:pt>
                <c:pt idx="245">
                  <c:v>0.22862453531598512</c:v>
                </c:pt>
                <c:pt idx="246">
                  <c:v>0.2295539033457249</c:v>
                </c:pt>
                <c:pt idx="247">
                  <c:v>0.23048327137546468</c:v>
                </c:pt>
                <c:pt idx="248">
                  <c:v>0.23141263940520446</c:v>
                </c:pt>
                <c:pt idx="249">
                  <c:v>0.23234200743494424</c:v>
                </c:pt>
                <c:pt idx="250">
                  <c:v>0.23327137546468402</c:v>
                </c:pt>
                <c:pt idx="251">
                  <c:v>0.2342007434944238</c:v>
                </c:pt>
                <c:pt idx="252">
                  <c:v>0.23513011152416358</c:v>
                </c:pt>
                <c:pt idx="253">
                  <c:v>0.23605947955390336</c:v>
                </c:pt>
                <c:pt idx="254">
                  <c:v>0.23698884758364314</c:v>
                </c:pt>
                <c:pt idx="255">
                  <c:v>0.23791821561338289</c:v>
                </c:pt>
                <c:pt idx="256">
                  <c:v>0.23884758364312267</c:v>
                </c:pt>
                <c:pt idx="257">
                  <c:v>0.23977695167286245</c:v>
                </c:pt>
                <c:pt idx="258">
                  <c:v>0.24070631970260223</c:v>
                </c:pt>
                <c:pt idx="259">
                  <c:v>0.24163568773234201</c:v>
                </c:pt>
                <c:pt idx="260">
                  <c:v>0.24256505576208179</c:v>
                </c:pt>
                <c:pt idx="261">
                  <c:v>0.24349442379182157</c:v>
                </c:pt>
                <c:pt idx="262">
                  <c:v>0.24442379182156135</c:v>
                </c:pt>
                <c:pt idx="263">
                  <c:v>0.24535315985130113</c:v>
                </c:pt>
                <c:pt idx="264">
                  <c:v>0.24628252788104088</c:v>
                </c:pt>
                <c:pt idx="265">
                  <c:v>0.24721189591078066</c:v>
                </c:pt>
                <c:pt idx="266">
                  <c:v>0.24814126394052044</c:v>
                </c:pt>
                <c:pt idx="267">
                  <c:v>0.24907063197026022</c:v>
                </c:pt>
                <c:pt idx="268">
                  <c:v>0.25</c:v>
                </c:pt>
                <c:pt idx="269">
                  <c:v>0.25092936802973975</c:v>
                </c:pt>
                <c:pt idx="270">
                  <c:v>0.25185873605947956</c:v>
                </c:pt>
                <c:pt idx="271">
                  <c:v>0.25278810408921931</c:v>
                </c:pt>
                <c:pt idx="272">
                  <c:v>0.25371747211895912</c:v>
                </c:pt>
                <c:pt idx="273">
                  <c:v>0.25464684014869887</c:v>
                </c:pt>
                <c:pt idx="274">
                  <c:v>0.25557620817843868</c:v>
                </c:pt>
                <c:pt idx="275">
                  <c:v>0.25650557620817843</c:v>
                </c:pt>
                <c:pt idx="276">
                  <c:v>0.25743494423791824</c:v>
                </c:pt>
                <c:pt idx="277">
                  <c:v>0.25836431226765799</c:v>
                </c:pt>
                <c:pt idx="278">
                  <c:v>0.25929368029739774</c:v>
                </c:pt>
                <c:pt idx="279">
                  <c:v>0.26022304832713755</c:v>
                </c:pt>
                <c:pt idx="280">
                  <c:v>0.2611524163568773</c:v>
                </c:pt>
                <c:pt idx="281">
                  <c:v>0.26208178438661711</c:v>
                </c:pt>
                <c:pt idx="282">
                  <c:v>0.26301115241635686</c:v>
                </c:pt>
                <c:pt idx="283">
                  <c:v>0.26394052044609667</c:v>
                </c:pt>
                <c:pt idx="284">
                  <c:v>0.26486988847583642</c:v>
                </c:pt>
                <c:pt idx="285">
                  <c:v>0.26579925650557623</c:v>
                </c:pt>
                <c:pt idx="286">
                  <c:v>0.26672862453531598</c:v>
                </c:pt>
                <c:pt idx="287">
                  <c:v>0.26765799256505574</c:v>
                </c:pt>
                <c:pt idx="288">
                  <c:v>0.26858736059479554</c:v>
                </c:pt>
                <c:pt idx="289">
                  <c:v>0.2695167286245353</c:v>
                </c:pt>
                <c:pt idx="290">
                  <c:v>0.2704460966542751</c:v>
                </c:pt>
                <c:pt idx="291">
                  <c:v>0.27137546468401486</c:v>
                </c:pt>
                <c:pt idx="292">
                  <c:v>0.27230483271375466</c:v>
                </c:pt>
                <c:pt idx="293">
                  <c:v>0.27323420074349442</c:v>
                </c:pt>
                <c:pt idx="294">
                  <c:v>0.27416356877323422</c:v>
                </c:pt>
                <c:pt idx="295">
                  <c:v>0.27509293680297398</c:v>
                </c:pt>
                <c:pt idx="296">
                  <c:v>0.27602230483271373</c:v>
                </c:pt>
                <c:pt idx="297">
                  <c:v>0.27695167286245354</c:v>
                </c:pt>
                <c:pt idx="298">
                  <c:v>0.27788104089219329</c:v>
                </c:pt>
                <c:pt idx="299">
                  <c:v>0.27881040892193309</c:v>
                </c:pt>
                <c:pt idx="300">
                  <c:v>0.27973977695167285</c:v>
                </c:pt>
                <c:pt idx="301">
                  <c:v>0.28066914498141265</c:v>
                </c:pt>
                <c:pt idx="302">
                  <c:v>0.28159851301115241</c:v>
                </c:pt>
                <c:pt idx="303">
                  <c:v>0.28252788104089221</c:v>
                </c:pt>
                <c:pt idx="304">
                  <c:v>0.28345724907063197</c:v>
                </c:pt>
                <c:pt idx="305">
                  <c:v>0.28438661710037177</c:v>
                </c:pt>
                <c:pt idx="306">
                  <c:v>0.28531598513011153</c:v>
                </c:pt>
                <c:pt idx="307">
                  <c:v>0.28624535315985128</c:v>
                </c:pt>
                <c:pt idx="308">
                  <c:v>0.28717472118959109</c:v>
                </c:pt>
                <c:pt idx="309">
                  <c:v>0.28810408921933084</c:v>
                </c:pt>
                <c:pt idx="310">
                  <c:v>0.28903345724907065</c:v>
                </c:pt>
                <c:pt idx="311">
                  <c:v>0.2899628252788104</c:v>
                </c:pt>
                <c:pt idx="312">
                  <c:v>0.29089219330855021</c:v>
                </c:pt>
                <c:pt idx="313">
                  <c:v>0.29182156133828996</c:v>
                </c:pt>
                <c:pt idx="314">
                  <c:v>0.29275092936802977</c:v>
                </c:pt>
                <c:pt idx="315">
                  <c:v>0.29368029739776952</c:v>
                </c:pt>
                <c:pt idx="316">
                  <c:v>0.29460966542750927</c:v>
                </c:pt>
                <c:pt idx="317">
                  <c:v>0.29553903345724908</c:v>
                </c:pt>
                <c:pt idx="318">
                  <c:v>0.29646840148698883</c:v>
                </c:pt>
                <c:pt idx="319">
                  <c:v>0.29739776951672864</c:v>
                </c:pt>
                <c:pt idx="320">
                  <c:v>0.29832713754646839</c:v>
                </c:pt>
                <c:pt idx="321">
                  <c:v>0.2992565055762082</c:v>
                </c:pt>
                <c:pt idx="322">
                  <c:v>0.30018587360594795</c:v>
                </c:pt>
                <c:pt idx="323">
                  <c:v>0.30111524163568776</c:v>
                </c:pt>
                <c:pt idx="324">
                  <c:v>0.30204460966542751</c:v>
                </c:pt>
                <c:pt idx="325">
                  <c:v>0.30297397769516726</c:v>
                </c:pt>
                <c:pt idx="326">
                  <c:v>0.30390334572490707</c:v>
                </c:pt>
                <c:pt idx="327">
                  <c:v>0.30483271375464682</c:v>
                </c:pt>
                <c:pt idx="328">
                  <c:v>0.30576208178438663</c:v>
                </c:pt>
                <c:pt idx="329">
                  <c:v>0.30669144981412638</c:v>
                </c:pt>
                <c:pt idx="330">
                  <c:v>0.30762081784386619</c:v>
                </c:pt>
                <c:pt idx="331">
                  <c:v>0.30855018587360594</c:v>
                </c:pt>
                <c:pt idx="332">
                  <c:v>0.30947955390334575</c:v>
                </c:pt>
                <c:pt idx="333">
                  <c:v>0.3104089219330855</c:v>
                </c:pt>
                <c:pt idx="334">
                  <c:v>0.31133828996282525</c:v>
                </c:pt>
                <c:pt idx="335">
                  <c:v>0.31226765799256506</c:v>
                </c:pt>
                <c:pt idx="336">
                  <c:v>0.31319702602230481</c:v>
                </c:pt>
                <c:pt idx="337">
                  <c:v>0.31412639405204462</c:v>
                </c:pt>
                <c:pt idx="338">
                  <c:v>0.31505576208178437</c:v>
                </c:pt>
                <c:pt idx="339">
                  <c:v>0.31598513011152418</c:v>
                </c:pt>
                <c:pt idx="340">
                  <c:v>0.31691449814126393</c:v>
                </c:pt>
                <c:pt idx="341">
                  <c:v>0.31784386617100374</c:v>
                </c:pt>
                <c:pt idx="342">
                  <c:v>0.31877323420074349</c:v>
                </c:pt>
                <c:pt idx="343">
                  <c:v>0.31970260223048325</c:v>
                </c:pt>
                <c:pt idx="344">
                  <c:v>0.32063197026022305</c:v>
                </c:pt>
                <c:pt idx="345">
                  <c:v>0.32156133828996281</c:v>
                </c:pt>
                <c:pt idx="346">
                  <c:v>0.32249070631970261</c:v>
                </c:pt>
                <c:pt idx="347">
                  <c:v>0.32342007434944237</c:v>
                </c:pt>
                <c:pt idx="348">
                  <c:v>0.32434944237918217</c:v>
                </c:pt>
                <c:pt idx="349">
                  <c:v>0.32527881040892193</c:v>
                </c:pt>
                <c:pt idx="350">
                  <c:v>0.32620817843866173</c:v>
                </c:pt>
                <c:pt idx="351">
                  <c:v>0.32713754646840149</c:v>
                </c:pt>
                <c:pt idx="352">
                  <c:v>0.32806691449814124</c:v>
                </c:pt>
                <c:pt idx="353">
                  <c:v>0.32899628252788105</c:v>
                </c:pt>
                <c:pt idx="354">
                  <c:v>0.3299256505576208</c:v>
                </c:pt>
                <c:pt idx="355">
                  <c:v>0.33085501858736061</c:v>
                </c:pt>
                <c:pt idx="356">
                  <c:v>0.33178438661710036</c:v>
                </c:pt>
                <c:pt idx="357">
                  <c:v>0.33271375464684017</c:v>
                </c:pt>
                <c:pt idx="358">
                  <c:v>0.33364312267657992</c:v>
                </c:pt>
                <c:pt idx="359">
                  <c:v>0.33457249070631973</c:v>
                </c:pt>
                <c:pt idx="360">
                  <c:v>0.33550185873605948</c:v>
                </c:pt>
                <c:pt idx="361">
                  <c:v>0.33643122676579923</c:v>
                </c:pt>
                <c:pt idx="362">
                  <c:v>0.33736059479553904</c:v>
                </c:pt>
                <c:pt idx="363">
                  <c:v>0.33828996282527879</c:v>
                </c:pt>
                <c:pt idx="364">
                  <c:v>0.3392193308550186</c:v>
                </c:pt>
                <c:pt idx="365">
                  <c:v>0.34014869888475835</c:v>
                </c:pt>
                <c:pt idx="366">
                  <c:v>0.34107806691449816</c:v>
                </c:pt>
                <c:pt idx="367">
                  <c:v>0.34200743494423791</c:v>
                </c:pt>
                <c:pt idx="368">
                  <c:v>0.34293680297397772</c:v>
                </c:pt>
                <c:pt idx="369">
                  <c:v>0.34386617100371747</c:v>
                </c:pt>
                <c:pt idx="370">
                  <c:v>0.34479553903345728</c:v>
                </c:pt>
                <c:pt idx="371">
                  <c:v>0.34572490706319703</c:v>
                </c:pt>
                <c:pt idx="372">
                  <c:v>0.34665427509293678</c:v>
                </c:pt>
                <c:pt idx="373">
                  <c:v>0.34758364312267659</c:v>
                </c:pt>
                <c:pt idx="374">
                  <c:v>0.34851301115241634</c:v>
                </c:pt>
                <c:pt idx="375">
                  <c:v>0.34944237918215615</c:v>
                </c:pt>
                <c:pt idx="376">
                  <c:v>0.3503717472118959</c:v>
                </c:pt>
                <c:pt idx="377">
                  <c:v>0.35130111524163571</c:v>
                </c:pt>
                <c:pt idx="378">
                  <c:v>0.35223048327137546</c:v>
                </c:pt>
                <c:pt idx="379">
                  <c:v>0.35315985130111527</c:v>
                </c:pt>
                <c:pt idx="380">
                  <c:v>0.35408921933085502</c:v>
                </c:pt>
                <c:pt idx="381">
                  <c:v>0.35501858736059477</c:v>
                </c:pt>
                <c:pt idx="382">
                  <c:v>0.35594795539033458</c:v>
                </c:pt>
                <c:pt idx="383">
                  <c:v>0.35687732342007433</c:v>
                </c:pt>
                <c:pt idx="384">
                  <c:v>0.35780669144981414</c:v>
                </c:pt>
                <c:pt idx="385">
                  <c:v>0.35873605947955389</c:v>
                </c:pt>
                <c:pt idx="386">
                  <c:v>0.3596654275092937</c:v>
                </c:pt>
                <c:pt idx="387">
                  <c:v>0.36059479553903345</c:v>
                </c:pt>
                <c:pt idx="388">
                  <c:v>0.36152416356877326</c:v>
                </c:pt>
                <c:pt idx="389">
                  <c:v>0.36245353159851301</c:v>
                </c:pt>
                <c:pt idx="390">
                  <c:v>0.36338289962825276</c:v>
                </c:pt>
                <c:pt idx="391">
                  <c:v>0.36431226765799257</c:v>
                </c:pt>
                <c:pt idx="392">
                  <c:v>0.36524163568773232</c:v>
                </c:pt>
                <c:pt idx="393">
                  <c:v>0.36617100371747213</c:v>
                </c:pt>
                <c:pt idx="394">
                  <c:v>0.36710037174721188</c:v>
                </c:pt>
                <c:pt idx="395">
                  <c:v>0.36802973977695169</c:v>
                </c:pt>
                <c:pt idx="396">
                  <c:v>0.36895910780669144</c:v>
                </c:pt>
                <c:pt idx="397">
                  <c:v>0.36988847583643125</c:v>
                </c:pt>
                <c:pt idx="398">
                  <c:v>0.370817843866171</c:v>
                </c:pt>
                <c:pt idx="399">
                  <c:v>0.37174721189591076</c:v>
                </c:pt>
                <c:pt idx="400">
                  <c:v>0.37267657992565056</c:v>
                </c:pt>
                <c:pt idx="401">
                  <c:v>0.37360594795539032</c:v>
                </c:pt>
                <c:pt idx="402">
                  <c:v>0.37453531598513012</c:v>
                </c:pt>
                <c:pt idx="403">
                  <c:v>0.37546468401486988</c:v>
                </c:pt>
                <c:pt idx="404">
                  <c:v>0.37639405204460968</c:v>
                </c:pt>
                <c:pt idx="405">
                  <c:v>0.37732342007434944</c:v>
                </c:pt>
                <c:pt idx="406">
                  <c:v>0.37825278810408924</c:v>
                </c:pt>
                <c:pt idx="407">
                  <c:v>0.379182156133829</c:v>
                </c:pt>
                <c:pt idx="408">
                  <c:v>0.38011152416356875</c:v>
                </c:pt>
                <c:pt idx="409">
                  <c:v>0.38104089219330856</c:v>
                </c:pt>
                <c:pt idx="410">
                  <c:v>0.38197026022304831</c:v>
                </c:pt>
                <c:pt idx="411">
                  <c:v>0.38289962825278812</c:v>
                </c:pt>
                <c:pt idx="412">
                  <c:v>0.38382899628252787</c:v>
                </c:pt>
                <c:pt idx="413">
                  <c:v>0.38475836431226768</c:v>
                </c:pt>
                <c:pt idx="414">
                  <c:v>0.38568773234200743</c:v>
                </c:pt>
                <c:pt idx="415">
                  <c:v>0.38661710037174724</c:v>
                </c:pt>
                <c:pt idx="416">
                  <c:v>0.38754646840148699</c:v>
                </c:pt>
                <c:pt idx="417">
                  <c:v>0.38847583643122674</c:v>
                </c:pt>
                <c:pt idx="418">
                  <c:v>0.38940520446096655</c:v>
                </c:pt>
                <c:pt idx="419">
                  <c:v>0.3903345724907063</c:v>
                </c:pt>
                <c:pt idx="420">
                  <c:v>0.39126394052044611</c:v>
                </c:pt>
                <c:pt idx="421">
                  <c:v>0.39219330855018586</c:v>
                </c:pt>
                <c:pt idx="422">
                  <c:v>0.39312267657992567</c:v>
                </c:pt>
                <c:pt idx="423">
                  <c:v>0.39405204460966542</c:v>
                </c:pt>
                <c:pt idx="424">
                  <c:v>0.39498141263940523</c:v>
                </c:pt>
                <c:pt idx="425">
                  <c:v>0.39591078066914498</c:v>
                </c:pt>
                <c:pt idx="426">
                  <c:v>0.39684014869888473</c:v>
                </c:pt>
                <c:pt idx="427">
                  <c:v>0.39776951672862454</c:v>
                </c:pt>
                <c:pt idx="428">
                  <c:v>0.39869888475836429</c:v>
                </c:pt>
                <c:pt idx="429">
                  <c:v>0.3996282527881041</c:v>
                </c:pt>
                <c:pt idx="430">
                  <c:v>0.40055762081784385</c:v>
                </c:pt>
                <c:pt idx="431">
                  <c:v>0.40148698884758366</c:v>
                </c:pt>
                <c:pt idx="432">
                  <c:v>0.40241635687732341</c:v>
                </c:pt>
                <c:pt idx="433">
                  <c:v>0.40334572490706322</c:v>
                </c:pt>
                <c:pt idx="434">
                  <c:v>0.40427509293680297</c:v>
                </c:pt>
                <c:pt idx="435">
                  <c:v>0.40520446096654272</c:v>
                </c:pt>
                <c:pt idx="436">
                  <c:v>0.40613382899628253</c:v>
                </c:pt>
                <c:pt idx="437">
                  <c:v>0.40706319702602228</c:v>
                </c:pt>
                <c:pt idx="438">
                  <c:v>0.40799256505576209</c:v>
                </c:pt>
                <c:pt idx="439">
                  <c:v>0.40892193308550184</c:v>
                </c:pt>
                <c:pt idx="440">
                  <c:v>0.40985130111524165</c:v>
                </c:pt>
                <c:pt idx="441">
                  <c:v>0.4107806691449814</c:v>
                </c:pt>
                <c:pt idx="442">
                  <c:v>0.41171003717472121</c:v>
                </c:pt>
                <c:pt idx="443">
                  <c:v>0.41263940520446096</c:v>
                </c:pt>
                <c:pt idx="444">
                  <c:v>0.41356877323420077</c:v>
                </c:pt>
                <c:pt idx="445">
                  <c:v>0.41449814126394052</c:v>
                </c:pt>
                <c:pt idx="446">
                  <c:v>0.41542750929368027</c:v>
                </c:pt>
                <c:pt idx="447">
                  <c:v>0.41635687732342008</c:v>
                </c:pt>
                <c:pt idx="448">
                  <c:v>0.41728624535315983</c:v>
                </c:pt>
                <c:pt idx="449">
                  <c:v>0.41821561338289964</c:v>
                </c:pt>
                <c:pt idx="450">
                  <c:v>0.41914498141263939</c:v>
                </c:pt>
                <c:pt idx="451">
                  <c:v>0.4200743494423792</c:v>
                </c:pt>
                <c:pt idx="452">
                  <c:v>0.42100371747211895</c:v>
                </c:pt>
                <c:pt idx="453">
                  <c:v>0.42193308550185876</c:v>
                </c:pt>
                <c:pt idx="454">
                  <c:v>0.42286245353159851</c:v>
                </c:pt>
                <c:pt idx="455">
                  <c:v>0.42379182156133827</c:v>
                </c:pt>
                <c:pt idx="456">
                  <c:v>0.42472118959107807</c:v>
                </c:pt>
                <c:pt idx="457">
                  <c:v>0.42565055762081783</c:v>
                </c:pt>
                <c:pt idx="458">
                  <c:v>0.42657992565055763</c:v>
                </c:pt>
                <c:pt idx="459">
                  <c:v>0.42750929368029739</c:v>
                </c:pt>
                <c:pt idx="460">
                  <c:v>0.42843866171003719</c:v>
                </c:pt>
                <c:pt idx="461">
                  <c:v>0.42936802973977695</c:v>
                </c:pt>
                <c:pt idx="462">
                  <c:v>0.43029739776951675</c:v>
                </c:pt>
                <c:pt idx="463">
                  <c:v>0.43122676579925651</c:v>
                </c:pt>
                <c:pt idx="464">
                  <c:v>0.43215613382899626</c:v>
                </c:pt>
                <c:pt idx="465">
                  <c:v>0.43308550185873607</c:v>
                </c:pt>
                <c:pt idx="466">
                  <c:v>0.43401486988847582</c:v>
                </c:pt>
                <c:pt idx="467">
                  <c:v>0.43494423791821563</c:v>
                </c:pt>
                <c:pt idx="468">
                  <c:v>0.43587360594795538</c:v>
                </c:pt>
                <c:pt idx="469">
                  <c:v>0.43680297397769519</c:v>
                </c:pt>
                <c:pt idx="470">
                  <c:v>0.43773234200743494</c:v>
                </c:pt>
                <c:pt idx="471">
                  <c:v>0.43866171003717475</c:v>
                </c:pt>
                <c:pt idx="472">
                  <c:v>0.4395910780669145</c:v>
                </c:pt>
                <c:pt idx="473">
                  <c:v>0.44052044609665425</c:v>
                </c:pt>
                <c:pt idx="474">
                  <c:v>0.44144981412639406</c:v>
                </c:pt>
                <c:pt idx="475">
                  <c:v>0.44237918215613381</c:v>
                </c:pt>
                <c:pt idx="476">
                  <c:v>0.44330855018587362</c:v>
                </c:pt>
                <c:pt idx="477">
                  <c:v>0.44423791821561337</c:v>
                </c:pt>
                <c:pt idx="478">
                  <c:v>0.44516728624535318</c:v>
                </c:pt>
                <c:pt idx="479">
                  <c:v>0.44609665427509293</c:v>
                </c:pt>
                <c:pt idx="480">
                  <c:v>0.44702602230483274</c:v>
                </c:pt>
                <c:pt idx="481">
                  <c:v>0.44795539033457249</c:v>
                </c:pt>
                <c:pt idx="482">
                  <c:v>0.44888475836431224</c:v>
                </c:pt>
                <c:pt idx="483">
                  <c:v>0.44981412639405205</c:v>
                </c:pt>
                <c:pt idx="484">
                  <c:v>0.4507434944237918</c:v>
                </c:pt>
                <c:pt idx="485">
                  <c:v>0.45167286245353161</c:v>
                </c:pt>
                <c:pt idx="486">
                  <c:v>0.45260223048327136</c:v>
                </c:pt>
                <c:pt idx="487">
                  <c:v>0.45353159851301117</c:v>
                </c:pt>
                <c:pt idx="488">
                  <c:v>0.45446096654275092</c:v>
                </c:pt>
                <c:pt idx="489">
                  <c:v>0.45539033457249073</c:v>
                </c:pt>
                <c:pt idx="490">
                  <c:v>0.45631970260223048</c:v>
                </c:pt>
                <c:pt idx="491">
                  <c:v>0.45724907063197023</c:v>
                </c:pt>
                <c:pt idx="492">
                  <c:v>0.45817843866171004</c:v>
                </c:pt>
                <c:pt idx="493">
                  <c:v>0.45910780669144979</c:v>
                </c:pt>
                <c:pt idx="494">
                  <c:v>0.4600371747211896</c:v>
                </c:pt>
                <c:pt idx="495">
                  <c:v>0.46096654275092935</c:v>
                </c:pt>
                <c:pt idx="496">
                  <c:v>0.46189591078066916</c:v>
                </c:pt>
                <c:pt idx="497">
                  <c:v>0.46282527881040891</c:v>
                </c:pt>
                <c:pt idx="498">
                  <c:v>0.46375464684014872</c:v>
                </c:pt>
                <c:pt idx="499">
                  <c:v>0.46468401486988847</c:v>
                </c:pt>
                <c:pt idx="500">
                  <c:v>0.46561338289962823</c:v>
                </c:pt>
                <c:pt idx="501">
                  <c:v>0.46654275092936803</c:v>
                </c:pt>
                <c:pt idx="502">
                  <c:v>0.46747211895910779</c:v>
                </c:pt>
                <c:pt idx="503">
                  <c:v>0.46840148698884759</c:v>
                </c:pt>
                <c:pt idx="504">
                  <c:v>0.46933085501858735</c:v>
                </c:pt>
                <c:pt idx="505">
                  <c:v>0.47026022304832715</c:v>
                </c:pt>
                <c:pt idx="506">
                  <c:v>0.47118959107806691</c:v>
                </c:pt>
                <c:pt idx="507">
                  <c:v>0.47211895910780671</c:v>
                </c:pt>
                <c:pt idx="508">
                  <c:v>0.47304832713754646</c:v>
                </c:pt>
                <c:pt idx="509">
                  <c:v>0.47397769516728627</c:v>
                </c:pt>
                <c:pt idx="510">
                  <c:v>0.47490706319702602</c:v>
                </c:pt>
                <c:pt idx="511">
                  <c:v>0.47583643122676578</c:v>
                </c:pt>
                <c:pt idx="512">
                  <c:v>0.47676579925650558</c:v>
                </c:pt>
                <c:pt idx="513">
                  <c:v>0.47769516728624534</c:v>
                </c:pt>
                <c:pt idx="514">
                  <c:v>0.47862453531598514</c:v>
                </c:pt>
                <c:pt idx="515">
                  <c:v>0.4795539033457249</c:v>
                </c:pt>
                <c:pt idx="516">
                  <c:v>0.4804832713754647</c:v>
                </c:pt>
                <c:pt idx="517">
                  <c:v>0.48141263940520446</c:v>
                </c:pt>
                <c:pt idx="518">
                  <c:v>0.48234200743494426</c:v>
                </c:pt>
                <c:pt idx="519">
                  <c:v>0.48327137546468402</c:v>
                </c:pt>
                <c:pt idx="520">
                  <c:v>0.48420074349442377</c:v>
                </c:pt>
                <c:pt idx="521">
                  <c:v>0.48513011152416358</c:v>
                </c:pt>
                <c:pt idx="522">
                  <c:v>0.48605947955390333</c:v>
                </c:pt>
                <c:pt idx="523">
                  <c:v>0.48698884758364314</c:v>
                </c:pt>
                <c:pt idx="524">
                  <c:v>0.48791821561338289</c:v>
                </c:pt>
                <c:pt idx="525">
                  <c:v>0.4888475836431227</c:v>
                </c:pt>
                <c:pt idx="526">
                  <c:v>0.48977695167286245</c:v>
                </c:pt>
                <c:pt idx="527">
                  <c:v>0.49070631970260226</c:v>
                </c:pt>
                <c:pt idx="528">
                  <c:v>0.49163568773234201</c:v>
                </c:pt>
                <c:pt idx="529">
                  <c:v>0.49256505576208176</c:v>
                </c:pt>
                <c:pt idx="530">
                  <c:v>0.49349442379182157</c:v>
                </c:pt>
                <c:pt idx="531">
                  <c:v>0.49442379182156132</c:v>
                </c:pt>
                <c:pt idx="532">
                  <c:v>0.49535315985130113</c:v>
                </c:pt>
                <c:pt idx="533">
                  <c:v>0.49628252788104088</c:v>
                </c:pt>
                <c:pt idx="534">
                  <c:v>0.49721189591078069</c:v>
                </c:pt>
                <c:pt idx="535">
                  <c:v>0.49814126394052044</c:v>
                </c:pt>
                <c:pt idx="536">
                  <c:v>0.49907063197026025</c:v>
                </c:pt>
                <c:pt idx="537">
                  <c:v>0.5</c:v>
                </c:pt>
                <c:pt idx="538">
                  <c:v>0.50092936802973975</c:v>
                </c:pt>
                <c:pt idx="539">
                  <c:v>0.5018587360594795</c:v>
                </c:pt>
                <c:pt idx="540">
                  <c:v>0.50278810408921937</c:v>
                </c:pt>
                <c:pt idx="541">
                  <c:v>0.50371747211895912</c:v>
                </c:pt>
                <c:pt idx="542">
                  <c:v>0.50464684014869887</c:v>
                </c:pt>
                <c:pt idx="543">
                  <c:v>0.50557620817843862</c:v>
                </c:pt>
                <c:pt idx="544">
                  <c:v>0.50650557620817849</c:v>
                </c:pt>
                <c:pt idx="545">
                  <c:v>0.50743494423791824</c:v>
                </c:pt>
                <c:pt idx="546">
                  <c:v>0.50836431226765799</c:v>
                </c:pt>
                <c:pt idx="547">
                  <c:v>0.50929368029739774</c:v>
                </c:pt>
                <c:pt idx="548">
                  <c:v>0.5102230483271375</c:v>
                </c:pt>
                <c:pt idx="549">
                  <c:v>0.51115241635687736</c:v>
                </c:pt>
                <c:pt idx="550">
                  <c:v>0.51208178438661711</c:v>
                </c:pt>
                <c:pt idx="551">
                  <c:v>0.51301115241635686</c:v>
                </c:pt>
                <c:pt idx="552">
                  <c:v>0.51394052044609662</c:v>
                </c:pt>
                <c:pt idx="553">
                  <c:v>0.51486988847583648</c:v>
                </c:pt>
                <c:pt idx="554">
                  <c:v>0.51579925650557623</c:v>
                </c:pt>
                <c:pt idx="555">
                  <c:v>0.51672862453531598</c:v>
                </c:pt>
                <c:pt idx="556">
                  <c:v>0.51765799256505574</c:v>
                </c:pt>
                <c:pt idx="557">
                  <c:v>0.51858736059479549</c:v>
                </c:pt>
                <c:pt idx="558">
                  <c:v>0.51951672862453535</c:v>
                </c:pt>
                <c:pt idx="559">
                  <c:v>0.5204460966542751</c:v>
                </c:pt>
                <c:pt idx="560">
                  <c:v>0.52137546468401486</c:v>
                </c:pt>
                <c:pt idx="561">
                  <c:v>0.52230483271375461</c:v>
                </c:pt>
                <c:pt idx="562">
                  <c:v>0.52323420074349447</c:v>
                </c:pt>
                <c:pt idx="563">
                  <c:v>0.52416356877323422</c:v>
                </c:pt>
                <c:pt idx="564">
                  <c:v>0.52509293680297398</c:v>
                </c:pt>
                <c:pt idx="565">
                  <c:v>0.52602230483271373</c:v>
                </c:pt>
                <c:pt idx="566">
                  <c:v>0.52695167286245348</c:v>
                </c:pt>
                <c:pt idx="567">
                  <c:v>0.52788104089219334</c:v>
                </c:pt>
                <c:pt idx="568">
                  <c:v>0.52881040892193309</c:v>
                </c:pt>
                <c:pt idx="569">
                  <c:v>0.52973977695167285</c:v>
                </c:pt>
                <c:pt idx="570">
                  <c:v>0.5306691449814126</c:v>
                </c:pt>
                <c:pt idx="571">
                  <c:v>0.53159851301115246</c:v>
                </c:pt>
                <c:pt idx="572">
                  <c:v>0.53252788104089221</c:v>
                </c:pt>
                <c:pt idx="573">
                  <c:v>0.53345724907063197</c:v>
                </c:pt>
                <c:pt idx="574">
                  <c:v>0.53438661710037172</c:v>
                </c:pt>
                <c:pt idx="575">
                  <c:v>0.53531598513011147</c:v>
                </c:pt>
                <c:pt idx="576">
                  <c:v>0.53624535315985133</c:v>
                </c:pt>
                <c:pt idx="577">
                  <c:v>0.53717472118959109</c:v>
                </c:pt>
                <c:pt idx="578">
                  <c:v>0.53810408921933084</c:v>
                </c:pt>
                <c:pt idx="579">
                  <c:v>0.53903345724907059</c:v>
                </c:pt>
                <c:pt idx="580">
                  <c:v>0.53996282527881045</c:v>
                </c:pt>
                <c:pt idx="581">
                  <c:v>0.54089219330855021</c:v>
                </c:pt>
                <c:pt idx="582">
                  <c:v>0.54182156133828996</c:v>
                </c:pt>
                <c:pt idx="583">
                  <c:v>0.54275092936802971</c:v>
                </c:pt>
                <c:pt idx="584">
                  <c:v>0.54368029739776946</c:v>
                </c:pt>
                <c:pt idx="585">
                  <c:v>0.54460966542750933</c:v>
                </c:pt>
                <c:pt idx="586">
                  <c:v>0.54553903345724908</c:v>
                </c:pt>
                <c:pt idx="587">
                  <c:v>0.54646840148698883</c:v>
                </c:pt>
                <c:pt idx="588">
                  <c:v>0.54739776951672858</c:v>
                </c:pt>
                <c:pt idx="589">
                  <c:v>0.54832713754646845</c:v>
                </c:pt>
                <c:pt idx="590">
                  <c:v>0.5492565055762082</c:v>
                </c:pt>
                <c:pt idx="591">
                  <c:v>0.55018587360594795</c:v>
                </c:pt>
                <c:pt idx="592">
                  <c:v>0.5511152416356877</c:v>
                </c:pt>
                <c:pt idx="593">
                  <c:v>0.55204460966542745</c:v>
                </c:pt>
                <c:pt idx="594">
                  <c:v>0.55297397769516732</c:v>
                </c:pt>
                <c:pt idx="595">
                  <c:v>0.55390334572490707</c:v>
                </c:pt>
                <c:pt idx="596">
                  <c:v>0.55483271375464682</c:v>
                </c:pt>
                <c:pt idx="597">
                  <c:v>0.55576208178438657</c:v>
                </c:pt>
                <c:pt idx="598">
                  <c:v>0.55669144981412644</c:v>
                </c:pt>
                <c:pt idx="599">
                  <c:v>0.55762081784386619</c:v>
                </c:pt>
                <c:pt idx="600">
                  <c:v>0.55855018587360594</c:v>
                </c:pt>
                <c:pt idx="601">
                  <c:v>0.55947955390334569</c:v>
                </c:pt>
                <c:pt idx="602">
                  <c:v>0.56040892193308545</c:v>
                </c:pt>
                <c:pt idx="603">
                  <c:v>0.56133828996282531</c:v>
                </c:pt>
                <c:pt idx="604">
                  <c:v>0.56226765799256506</c:v>
                </c:pt>
                <c:pt idx="605">
                  <c:v>0.56319702602230481</c:v>
                </c:pt>
                <c:pt idx="606">
                  <c:v>0.56412639405204457</c:v>
                </c:pt>
                <c:pt idx="607">
                  <c:v>0.56505576208178443</c:v>
                </c:pt>
                <c:pt idx="608">
                  <c:v>0.56598513011152418</c:v>
                </c:pt>
                <c:pt idx="609">
                  <c:v>0.56691449814126393</c:v>
                </c:pt>
                <c:pt idx="610">
                  <c:v>0.56784386617100369</c:v>
                </c:pt>
                <c:pt idx="611">
                  <c:v>0.56877323420074355</c:v>
                </c:pt>
                <c:pt idx="612">
                  <c:v>0.5697026022304833</c:v>
                </c:pt>
                <c:pt idx="613">
                  <c:v>0.57063197026022305</c:v>
                </c:pt>
                <c:pt idx="614">
                  <c:v>0.57156133828996281</c:v>
                </c:pt>
                <c:pt idx="615">
                  <c:v>0.57249070631970256</c:v>
                </c:pt>
                <c:pt idx="616">
                  <c:v>0.57342007434944242</c:v>
                </c:pt>
                <c:pt idx="617">
                  <c:v>0.57434944237918217</c:v>
                </c:pt>
                <c:pt idx="618">
                  <c:v>0.57527881040892193</c:v>
                </c:pt>
                <c:pt idx="619">
                  <c:v>0.57620817843866168</c:v>
                </c:pt>
                <c:pt idx="620">
                  <c:v>0.57713754646840154</c:v>
                </c:pt>
                <c:pt idx="621">
                  <c:v>0.57806691449814129</c:v>
                </c:pt>
                <c:pt idx="622">
                  <c:v>0.57899628252788105</c:v>
                </c:pt>
                <c:pt idx="623">
                  <c:v>0.5799256505576208</c:v>
                </c:pt>
                <c:pt idx="624">
                  <c:v>0.58085501858736055</c:v>
                </c:pt>
                <c:pt idx="625">
                  <c:v>0.58178438661710041</c:v>
                </c:pt>
                <c:pt idx="626">
                  <c:v>0.58271375464684017</c:v>
                </c:pt>
                <c:pt idx="627">
                  <c:v>0.58364312267657992</c:v>
                </c:pt>
                <c:pt idx="628">
                  <c:v>0.58457249070631967</c:v>
                </c:pt>
                <c:pt idx="629">
                  <c:v>0.58550185873605953</c:v>
                </c:pt>
                <c:pt idx="630">
                  <c:v>0.58643122676579928</c:v>
                </c:pt>
                <c:pt idx="631">
                  <c:v>0.58736059479553904</c:v>
                </c:pt>
                <c:pt idx="632">
                  <c:v>0.58828996282527879</c:v>
                </c:pt>
                <c:pt idx="633">
                  <c:v>0.58921933085501854</c:v>
                </c:pt>
                <c:pt idx="634">
                  <c:v>0.5901486988847584</c:v>
                </c:pt>
                <c:pt idx="635">
                  <c:v>0.59107806691449816</c:v>
                </c:pt>
                <c:pt idx="636">
                  <c:v>0.59200743494423791</c:v>
                </c:pt>
                <c:pt idx="637">
                  <c:v>0.59293680297397766</c:v>
                </c:pt>
                <c:pt idx="638">
                  <c:v>0.59386617100371752</c:v>
                </c:pt>
                <c:pt idx="639">
                  <c:v>0.59479553903345728</c:v>
                </c:pt>
                <c:pt idx="640">
                  <c:v>0.59572490706319703</c:v>
                </c:pt>
                <c:pt idx="641">
                  <c:v>0.59665427509293678</c:v>
                </c:pt>
                <c:pt idx="642">
                  <c:v>0.59758364312267653</c:v>
                </c:pt>
                <c:pt idx="643">
                  <c:v>0.5985130111524164</c:v>
                </c:pt>
                <c:pt idx="644">
                  <c:v>0.59944237918215615</c:v>
                </c:pt>
                <c:pt idx="645">
                  <c:v>0.6003717472118959</c:v>
                </c:pt>
                <c:pt idx="646">
                  <c:v>0.60130111524163565</c:v>
                </c:pt>
                <c:pt idx="647">
                  <c:v>0.60223048327137552</c:v>
                </c:pt>
                <c:pt idx="648">
                  <c:v>0.60315985130111527</c:v>
                </c:pt>
                <c:pt idx="649">
                  <c:v>0.60408921933085502</c:v>
                </c:pt>
                <c:pt idx="650">
                  <c:v>0.60501858736059477</c:v>
                </c:pt>
                <c:pt idx="651">
                  <c:v>0.60594795539033453</c:v>
                </c:pt>
                <c:pt idx="652">
                  <c:v>0.60687732342007439</c:v>
                </c:pt>
                <c:pt idx="653">
                  <c:v>0.60780669144981414</c:v>
                </c:pt>
                <c:pt idx="654">
                  <c:v>0.60873605947955389</c:v>
                </c:pt>
                <c:pt idx="655">
                  <c:v>0.60966542750929364</c:v>
                </c:pt>
                <c:pt idx="656">
                  <c:v>0.61059479553903351</c:v>
                </c:pt>
                <c:pt idx="657">
                  <c:v>0.61152416356877326</c:v>
                </c:pt>
                <c:pt idx="658">
                  <c:v>0.61245353159851301</c:v>
                </c:pt>
                <c:pt idx="659">
                  <c:v>0.61338289962825276</c:v>
                </c:pt>
                <c:pt idx="660">
                  <c:v>0.61431226765799252</c:v>
                </c:pt>
                <c:pt idx="661">
                  <c:v>0.61524163568773238</c:v>
                </c:pt>
                <c:pt idx="662">
                  <c:v>0.61617100371747213</c:v>
                </c:pt>
                <c:pt idx="663">
                  <c:v>0.61710037174721188</c:v>
                </c:pt>
                <c:pt idx="664">
                  <c:v>0.61802973977695164</c:v>
                </c:pt>
                <c:pt idx="665">
                  <c:v>0.6189591078066915</c:v>
                </c:pt>
                <c:pt idx="666">
                  <c:v>0.61988847583643125</c:v>
                </c:pt>
                <c:pt idx="667">
                  <c:v>0.620817843866171</c:v>
                </c:pt>
                <c:pt idx="668">
                  <c:v>0.62174721189591076</c:v>
                </c:pt>
                <c:pt idx="669">
                  <c:v>0.62267657992565051</c:v>
                </c:pt>
                <c:pt idx="670">
                  <c:v>0.62360594795539037</c:v>
                </c:pt>
                <c:pt idx="671">
                  <c:v>0.62453531598513012</c:v>
                </c:pt>
                <c:pt idx="672">
                  <c:v>0.62546468401486988</c:v>
                </c:pt>
                <c:pt idx="673">
                  <c:v>0.62639405204460963</c:v>
                </c:pt>
                <c:pt idx="674">
                  <c:v>0.62732342007434949</c:v>
                </c:pt>
                <c:pt idx="675">
                  <c:v>0.62825278810408924</c:v>
                </c:pt>
                <c:pt idx="676">
                  <c:v>0.629182156133829</c:v>
                </c:pt>
                <c:pt idx="677">
                  <c:v>0.63011152416356875</c:v>
                </c:pt>
                <c:pt idx="678">
                  <c:v>0.6310408921933085</c:v>
                </c:pt>
                <c:pt idx="679">
                  <c:v>0.63197026022304836</c:v>
                </c:pt>
                <c:pt idx="680">
                  <c:v>0.63289962825278812</c:v>
                </c:pt>
                <c:pt idx="681">
                  <c:v>0.63382899628252787</c:v>
                </c:pt>
                <c:pt idx="682">
                  <c:v>0.63475836431226762</c:v>
                </c:pt>
                <c:pt idx="683">
                  <c:v>0.63568773234200748</c:v>
                </c:pt>
                <c:pt idx="684">
                  <c:v>0.63661710037174724</c:v>
                </c:pt>
                <c:pt idx="685">
                  <c:v>0.63754646840148699</c:v>
                </c:pt>
                <c:pt idx="686">
                  <c:v>0.63847583643122674</c:v>
                </c:pt>
                <c:pt idx="687">
                  <c:v>0.63940520446096649</c:v>
                </c:pt>
                <c:pt idx="688">
                  <c:v>0.64033457249070636</c:v>
                </c:pt>
                <c:pt idx="689">
                  <c:v>0.64126394052044611</c:v>
                </c:pt>
                <c:pt idx="690">
                  <c:v>0.64219330855018586</c:v>
                </c:pt>
                <c:pt idx="691">
                  <c:v>0.64312267657992561</c:v>
                </c:pt>
                <c:pt idx="692">
                  <c:v>0.64405204460966547</c:v>
                </c:pt>
                <c:pt idx="693">
                  <c:v>0.64498141263940523</c:v>
                </c:pt>
                <c:pt idx="694">
                  <c:v>0.64591078066914498</c:v>
                </c:pt>
                <c:pt idx="695">
                  <c:v>0.64684014869888473</c:v>
                </c:pt>
                <c:pt idx="696">
                  <c:v>0.64776951672862448</c:v>
                </c:pt>
                <c:pt idx="697">
                  <c:v>0.64869888475836435</c:v>
                </c:pt>
                <c:pt idx="698">
                  <c:v>0.6496282527881041</c:v>
                </c:pt>
                <c:pt idx="699">
                  <c:v>0.65055762081784385</c:v>
                </c:pt>
                <c:pt idx="700">
                  <c:v>0.6514869888475836</c:v>
                </c:pt>
                <c:pt idx="701">
                  <c:v>0.65241635687732347</c:v>
                </c:pt>
                <c:pt idx="702">
                  <c:v>0.65334572490706322</c:v>
                </c:pt>
                <c:pt idx="703">
                  <c:v>0.65427509293680297</c:v>
                </c:pt>
                <c:pt idx="704">
                  <c:v>0.65520446096654272</c:v>
                </c:pt>
                <c:pt idx="705">
                  <c:v>0.65613382899628248</c:v>
                </c:pt>
                <c:pt idx="706">
                  <c:v>0.65706319702602234</c:v>
                </c:pt>
                <c:pt idx="707">
                  <c:v>0.65799256505576209</c:v>
                </c:pt>
                <c:pt idx="708">
                  <c:v>0.65892193308550184</c:v>
                </c:pt>
                <c:pt idx="709">
                  <c:v>0.6598513011152416</c:v>
                </c:pt>
                <c:pt idx="710">
                  <c:v>0.66078066914498146</c:v>
                </c:pt>
                <c:pt idx="711">
                  <c:v>0.66171003717472121</c:v>
                </c:pt>
                <c:pt idx="712">
                  <c:v>0.66263940520446096</c:v>
                </c:pt>
                <c:pt idx="713">
                  <c:v>0.66356877323420072</c:v>
                </c:pt>
                <c:pt idx="714">
                  <c:v>0.66449814126394047</c:v>
                </c:pt>
                <c:pt idx="715">
                  <c:v>0.66542750929368033</c:v>
                </c:pt>
                <c:pt idx="716">
                  <c:v>0.66635687732342008</c:v>
                </c:pt>
                <c:pt idx="717">
                  <c:v>0.66728624535315983</c:v>
                </c:pt>
                <c:pt idx="718">
                  <c:v>0.66821561338289959</c:v>
                </c:pt>
                <c:pt idx="719">
                  <c:v>0.66914498141263945</c:v>
                </c:pt>
                <c:pt idx="720">
                  <c:v>0.6700743494423792</c:v>
                </c:pt>
                <c:pt idx="721">
                  <c:v>0.67100371747211895</c:v>
                </c:pt>
                <c:pt idx="722">
                  <c:v>0.67193308550185871</c:v>
                </c:pt>
                <c:pt idx="723">
                  <c:v>0.67286245353159846</c:v>
                </c:pt>
                <c:pt idx="724">
                  <c:v>0.67379182156133832</c:v>
                </c:pt>
                <c:pt idx="725">
                  <c:v>0.67472118959107807</c:v>
                </c:pt>
                <c:pt idx="726">
                  <c:v>0.67565055762081783</c:v>
                </c:pt>
                <c:pt idx="727">
                  <c:v>0.67657992565055758</c:v>
                </c:pt>
                <c:pt idx="728">
                  <c:v>0.67750929368029744</c:v>
                </c:pt>
                <c:pt idx="729">
                  <c:v>0.67843866171003719</c:v>
                </c:pt>
                <c:pt idx="730">
                  <c:v>0.67936802973977695</c:v>
                </c:pt>
                <c:pt idx="731">
                  <c:v>0.6802973977695167</c:v>
                </c:pt>
                <c:pt idx="732">
                  <c:v>0.68122676579925645</c:v>
                </c:pt>
                <c:pt idx="733">
                  <c:v>0.68215613382899631</c:v>
                </c:pt>
                <c:pt idx="734">
                  <c:v>0.68308550185873607</c:v>
                </c:pt>
                <c:pt idx="735">
                  <c:v>0.68401486988847582</c:v>
                </c:pt>
                <c:pt idx="736">
                  <c:v>0.68494423791821557</c:v>
                </c:pt>
                <c:pt idx="737">
                  <c:v>0.68587360594795543</c:v>
                </c:pt>
                <c:pt idx="738">
                  <c:v>0.68680297397769519</c:v>
                </c:pt>
                <c:pt idx="739">
                  <c:v>0.68773234200743494</c:v>
                </c:pt>
                <c:pt idx="740">
                  <c:v>0.68866171003717469</c:v>
                </c:pt>
                <c:pt idx="741">
                  <c:v>0.68959107806691455</c:v>
                </c:pt>
                <c:pt idx="742">
                  <c:v>0.69052044609665431</c:v>
                </c:pt>
                <c:pt idx="743">
                  <c:v>0.69144981412639406</c:v>
                </c:pt>
                <c:pt idx="744">
                  <c:v>0.69237918215613381</c:v>
                </c:pt>
                <c:pt idx="745">
                  <c:v>0.69330855018587356</c:v>
                </c:pt>
                <c:pt idx="746">
                  <c:v>0.69423791821561343</c:v>
                </c:pt>
                <c:pt idx="747">
                  <c:v>0.69516728624535318</c:v>
                </c:pt>
                <c:pt idx="748">
                  <c:v>0.69609665427509293</c:v>
                </c:pt>
                <c:pt idx="749">
                  <c:v>0.69702602230483268</c:v>
                </c:pt>
                <c:pt idx="750">
                  <c:v>0.69795539033457255</c:v>
                </c:pt>
                <c:pt idx="751">
                  <c:v>0.6988847583643123</c:v>
                </c:pt>
                <c:pt idx="752">
                  <c:v>0.69981412639405205</c:v>
                </c:pt>
                <c:pt idx="753">
                  <c:v>0.7007434944237918</c:v>
                </c:pt>
                <c:pt idx="754">
                  <c:v>0.70167286245353155</c:v>
                </c:pt>
                <c:pt idx="755">
                  <c:v>0.70260223048327142</c:v>
                </c:pt>
                <c:pt idx="756">
                  <c:v>0.70353159851301117</c:v>
                </c:pt>
                <c:pt idx="757">
                  <c:v>0.70446096654275092</c:v>
                </c:pt>
                <c:pt idx="758">
                  <c:v>0.70539033457249067</c:v>
                </c:pt>
                <c:pt idx="759">
                  <c:v>0.70631970260223054</c:v>
                </c:pt>
                <c:pt idx="760">
                  <c:v>0.70724907063197029</c:v>
                </c:pt>
                <c:pt idx="761">
                  <c:v>0.70817843866171004</c:v>
                </c:pt>
                <c:pt idx="762">
                  <c:v>0.70910780669144979</c:v>
                </c:pt>
                <c:pt idx="763">
                  <c:v>0.71003717472118955</c:v>
                </c:pt>
                <c:pt idx="764">
                  <c:v>0.71096654275092941</c:v>
                </c:pt>
                <c:pt idx="765">
                  <c:v>0.71189591078066916</c:v>
                </c:pt>
                <c:pt idx="766">
                  <c:v>0.71282527881040891</c:v>
                </c:pt>
                <c:pt idx="767">
                  <c:v>0.71375464684014867</c:v>
                </c:pt>
                <c:pt idx="768">
                  <c:v>0.71468401486988853</c:v>
                </c:pt>
                <c:pt idx="769">
                  <c:v>0.71561338289962828</c:v>
                </c:pt>
                <c:pt idx="770">
                  <c:v>0.71654275092936803</c:v>
                </c:pt>
                <c:pt idx="771">
                  <c:v>0.71747211895910779</c:v>
                </c:pt>
                <c:pt idx="772">
                  <c:v>0.71840148698884754</c:v>
                </c:pt>
                <c:pt idx="773">
                  <c:v>0.7193308550185874</c:v>
                </c:pt>
                <c:pt idx="774">
                  <c:v>0.72026022304832715</c:v>
                </c:pt>
                <c:pt idx="775">
                  <c:v>0.72118959107806691</c:v>
                </c:pt>
                <c:pt idx="776">
                  <c:v>0.72211895910780666</c:v>
                </c:pt>
                <c:pt idx="777">
                  <c:v>0.72304832713754652</c:v>
                </c:pt>
                <c:pt idx="778">
                  <c:v>0.72397769516728627</c:v>
                </c:pt>
                <c:pt idx="779">
                  <c:v>0.72490706319702602</c:v>
                </c:pt>
                <c:pt idx="780">
                  <c:v>0.72583643122676578</c:v>
                </c:pt>
                <c:pt idx="781">
                  <c:v>0.72676579925650553</c:v>
                </c:pt>
                <c:pt idx="782">
                  <c:v>0.72769516728624539</c:v>
                </c:pt>
                <c:pt idx="783">
                  <c:v>0.72862453531598514</c:v>
                </c:pt>
                <c:pt idx="784">
                  <c:v>0.7295539033457249</c:v>
                </c:pt>
                <c:pt idx="785">
                  <c:v>0.73048327137546465</c:v>
                </c:pt>
                <c:pt idx="786">
                  <c:v>0.73141263940520451</c:v>
                </c:pt>
                <c:pt idx="787">
                  <c:v>0.73234200743494426</c:v>
                </c:pt>
                <c:pt idx="788">
                  <c:v>0.73327137546468402</c:v>
                </c:pt>
                <c:pt idx="789">
                  <c:v>0.73420074349442377</c:v>
                </c:pt>
                <c:pt idx="790">
                  <c:v>0.73513011152416352</c:v>
                </c:pt>
                <c:pt idx="791">
                  <c:v>0.73605947955390338</c:v>
                </c:pt>
                <c:pt idx="792">
                  <c:v>0.73698884758364314</c:v>
                </c:pt>
                <c:pt idx="793">
                  <c:v>0.73791821561338289</c:v>
                </c:pt>
                <c:pt idx="794">
                  <c:v>0.73884758364312264</c:v>
                </c:pt>
                <c:pt idx="795">
                  <c:v>0.7397769516728625</c:v>
                </c:pt>
                <c:pt idx="796">
                  <c:v>0.74070631970260226</c:v>
                </c:pt>
                <c:pt idx="797">
                  <c:v>0.74163568773234201</c:v>
                </c:pt>
                <c:pt idx="798">
                  <c:v>0.74256505576208176</c:v>
                </c:pt>
                <c:pt idx="799">
                  <c:v>0.74349442379182151</c:v>
                </c:pt>
                <c:pt idx="800">
                  <c:v>0.74442379182156138</c:v>
                </c:pt>
                <c:pt idx="801">
                  <c:v>0.74535315985130113</c:v>
                </c:pt>
                <c:pt idx="802">
                  <c:v>0.74628252788104088</c:v>
                </c:pt>
                <c:pt idx="803">
                  <c:v>0.74721189591078063</c:v>
                </c:pt>
                <c:pt idx="804">
                  <c:v>0.7481412639405205</c:v>
                </c:pt>
                <c:pt idx="805">
                  <c:v>0.74907063197026025</c:v>
                </c:pt>
                <c:pt idx="806">
                  <c:v>0.75</c:v>
                </c:pt>
                <c:pt idx="807">
                  <c:v>0.75092936802973975</c:v>
                </c:pt>
                <c:pt idx="808">
                  <c:v>0.7518587360594795</c:v>
                </c:pt>
                <c:pt idx="809">
                  <c:v>0.75278810408921937</c:v>
                </c:pt>
                <c:pt idx="810">
                  <c:v>0.75371747211895912</c:v>
                </c:pt>
                <c:pt idx="811">
                  <c:v>0.75464684014869887</c:v>
                </c:pt>
                <c:pt idx="812">
                  <c:v>0.75557620817843862</c:v>
                </c:pt>
                <c:pt idx="813">
                  <c:v>0.75650557620817849</c:v>
                </c:pt>
                <c:pt idx="814">
                  <c:v>0.75743494423791824</c:v>
                </c:pt>
                <c:pt idx="815">
                  <c:v>0.75836431226765799</c:v>
                </c:pt>
                <c:pt idx="816">
                  <c:v>0.75929368029739774</c:v>
                </c:pt>
                <c:pt idx="817">
                  <c:v>0.7602230483271375</c:v>
                </c:pt>
                <c:pt idx="818">
                  <c:v>0.76115241635687736</c:v>
                </c:pt>
                <c:pt idx="819">
                  <c:v>0.76208178438661711</c:v>
                </c:pt>
                <c:pt idx="820">
                  <c:v>0.76301115241635686</c:v>
                </c:pt>
                <c:pt idx="821">
                  <c:v>0.76394052044609662</c:v>
                </c:pt>
                <c:pt idx="822">
                  <c:v>0.76486988847583648</c:v>
                </c:pt>
                <c:pt idx="823">
                  <c:v>0.76579925650557623</c:v>
                </c:pt>
                <c:pt idx="824">
                  <c:v>0.76672862453531598</c:v>
                </c:pt>
                <c:pt idx="825">
                  <c:v>0.76765799256505574</c:v>
                </c:pt>
                <c:pt idx="826">
                  <c:v>0.76858736059479549</c:v>
                </c:pt>
                <c:pt idx="827">
                  <c:v>0.76951672862453535</c:v>
                </c:pt>
                <c:pt idx="828">
                  <c:v>0.7704460966542751</c:v>
                </c:pt>
                <c:pt idx="829">
                  <c:v>0.77137546468401486</c:v>
                </c:pt>
                <c:pt idx="830">
                  <c:v>0.77230483271375461</c:v>
                </c:pt>
                <c:pt idx="831">
                  <c:v>0.77323420074349447</c:v>
                </c:pt>
                <c:pt idx="832">
                  <c:v>0.77416356877323422</c:v>
                </c:pt>
                <c:pt idx="833">
                  <c:v>0.77509293680297398</c:v>
                </c:pt>
                <c:pt idx="834">
                  <c:v>0.77602230483271373</c:v>
                </c:pt>
                <c:pt idx="835">
                  <c:v>0.77695167286245348</c:v>
                </c:pt>
                <c:pt idx="836">
                  <c:v>0.77788104089219334</c:v>
                </c:pt>
                <c:pt idx="837">
                  <c:v>0.77881040892193309</c:v>
                </c:pt>
                <c:pt idx="838">
                  <c:v>0.77973977695167285</c:v>
                </c:pt>
                <c:pt idx="839">
                  <c:v>0.7806691449814126</c:v>
                </c:pt>
                <c:pt idx="840">
                  <c:v>0.78159851301115246</c:v>
                </c:pt>
                <c:pt idx="841">
                  <c:v>0.78252788104089221</c:v>
                </c:pt>
                <c:pt idx="842">
                  <c:v>0.78345724907063197</c:v>
                </c:pt>
                <c:pt idx="843">
                  <c:v>0.78438661710037172</c:v>
                </c:pt>
                <c:pt idx="844">
                  <c:v>0.78531598513011147</c:v>
                </c:pt>
                <c:pt idx="845">
                  <c:v>0.78624535315985133</c:v>
                </c:pt>
                <c:pt idx="846">
                  <c:v>0.78717472118959109</c:v>
                </c:pt>
                <c:pt idx="847">
                  <c:v>0.78810408921933084</c:v>
                </c:pt>
                <c:pt idx="848">
                  <c:v>0.78903345724907059</c:v>
                </c:pt>
                <c:pt idx="849">
                  <c:v>0.78996282527881045</c:v>
                </c:pt>
                <c:pt idx="850">
                  <c:v>0.79089219330855021</c:v>
                </c:pt>
                <c:pt idx="851">
                  <c:v>0.79182156133828996</c:v>
                </c:pt>
                <c:pt idx="852">
                  <c:v>0.79275092936802971</c:v>
                </c:pt>
                <c:pt idx="853">
                  <c:v>0.79368029739776946</c:v>
                </c:pt>
                <c:pt idx="854">
                  <c:v>0.79460966542750933</c:v>
                </c:pt>
                <c:pt idx="855">
                  <c:v>0.79553903345724908</c:v>
                </c:pt>
                <c:pt idx="856">
                  <c:v>0.79646840148698883</c:v>
                </c:pt>
                <c:pt idx="857">
                  <c:v>0.79739776951672858</c:v>
                </c:pt>
                <c:pt idx="858">
                  <c:v>0.79832713754646845</c:v>
                </c:pt>
                <c:pt idx="859">
                  <c:v>0.7992565055762082</c:v>
                </c:pt>
                <c:pt idx="860">
                  <c:v>0.80018587360594795</c:v>
                </c:pt>
                <c:pt idx="861">
                  <c:v>0.8011152416356877</c:v>
                </c:pt>
                <c:pt idx="862">
                  <c:v>0.80204460966542745</c:v>
                </c:pt>
                <c:pt idx="863">
                  <c:v>0.80297397769516732</c:v>
                </c:pt>
                <c:pt idx="864">
                  <c:v>0.80390334572490707</c:v>
                </c:pt>
                <c:pt idx="865">
                  <c:v>0.80483271375464682</c:v>
                </c:pt>
                <c:pt idx="866">
                  <c:v>0.80576208178438657</c:v>
                </c:pt>
                <c:pt idx="867">
                  <c:v>0.80669144981412644</c:v>
                </c:pt>
                <c:pt idx="868">
                  <c:v>0.80762081784386619</c:v>
                </c:pt>
                <c:pt idx="869">
                  <c:v>0.80855018587360594</c:v>
                </c:pt>
                <c:pt idx="870">
                  <c:v>0.80947955390334569</c:v>
                </c:pt>
                <c:pt idx="871">
                  <c:v>0.81040892193308545</c:v>
                </c:pt>
                <c:pt idx="872">
                  <c:v>0.81133828996282531</c:v>
                </c:pt>
                <c:pt idx="873">
                  <c:v>0.81226765799256506</c:v>
                </c:pt>
                <c:pt idx="874">
                  <c:v>0.81319702602230481</c:v>
                </c:pt>
                <c:pt idx="875">
                  <c:v>0.81412639405204457</c:v>
                </c:pt>
                <c:pt idx="876">
                  <c:v>0.81505576208178443</c:v>
                </c:pt>
                <c:pt idx="877">
                  <c:v>0.81598513011152418</c:v>
                </c:pt>
                <c:pt idx="878">
                  <c:v>0.81691449814126393</c:v>
                </c:pt>
                <c:pt idx="879">
                  <c:v>0.81784386617100369</c:v>
                </c:pt>
                <c:pt idx="880">
                  <c:v>0.81877323420074355</c:v>
                </c:pt>
                <c:pt idx="881">
                  <c:v>0.8197026022304833</c:v>
                </c:pt>
                <c:pt idx="882">
                  <c:v>0.82063197026022305</c:v>
                </c:pt>
                <c:pt idx="883">
                  <c:v>0.82156133828996281</c:v>
                </c:pt>
                <c:pt idx="884">
                  <c:v>0.82249070631970256</c:v>
                </c:pt>
                <c:pt idx="885">
                  <c:v>0.82342007434944242</c:v>
                </c:pt>
                <c:pt idx="886">
                  <c:v>0.82434944237918217</c:v>
                </c:pt>
                <c:pt idx="887">
                  <c:v>0.82527881040892193</c:v>
                </c:pt>
                <c:pt idx="888">
                  <c:v>0.82620817843866168</c:v>
                </c:pt>
                <c:pt idx="889">
                  <c:v>0.82713754646840154</c:v>
                </c:pt>
                <c:pt idx="890">
                  <c:v>0.82806691449814129</c:v>
                </c:pt>
                <c:pt idx="891">
                  <c:v>0.82899628252788105</c:v>
                </c:pt>
                <c:pt idx="892">
                  <c:v>0.8299256505576208</c:v>
                </c:pt>
                <c:pt idx="893">
                  <c:v>0.83085501858736055</c:v>
                </c:pt>
                <c:pt idx="894">
                  <c:v>0.83178438661710041</c:v>
                </c:pt>
                <c:pt idx="895">
                  <c:v>0.83271375464684017</c:v>
                </c:pt>
                <c:pt idx="896">
                  <c:v>0.83364312267657992</c:v>
                </c:pt>
                <c:pt idx="897">
                  <c:v>0.83457249070631967</c:v>
                </c:pt>
                <c:pt idx="898">
                  <c:v>0.83550185873605953</c:v>
                </c:pt>
                <c:pt idx="899">
                  <c:v>0.83643122676579928</c:v>
                </c:pt>
                <c:pt idx="900">
                  <c:v>0.83736059479553904</c:v>
                </c:pt>
                <c:pt idx="901">
                  <c:v>0.83828996282527879</c:v>
                </c:pt>
                <c:pt idx="902">
                  <c:v>0.83921933085501854</c:v>
                </c:pt>
                <c:pt idx="903">
                  <c:v>0.8401486988847584</c:v>
                </c:pt>
                <c:pt idx="904">
                  <c:v>0.84107806691449816</c:v>
                </c:pt>
                <c:pt idx="905">
                  <c:v>0.84200743494423791</c:v>
                </c:pt>
                <c:pt idx="906">
                  <c:v>0.84293680297397766</c:v>
                </c:pt>
                <c:pt idx="907">
                  <c:v>0.84386617100371752</c:v>
                </c:pt>
                <c:pt idx="908">
                  <c:v>0.84479553903345728</c:v>
                </c:pt>
                <c:pt idx="909">
                  <c:v>0.84572490706319703</c:v>
                </c:pt>
                <c:pt idx="910">
                  <c:v>0.84665427509293678</c:v>
                </c:pt>
                <c:pt idx="911">
                  <c:v>0.84758364312267653</c:v>
                </c:pt>
                <c:pt idx="912">
                  <c:v>0.8485130111524164</c:v>
                </c:pt>
                <c:pt idx="913">
                  <c:v>0.84944237918215615</c:v>
                </c:pt>
                <c:pt idx="914">
                  <c:v>0.8503717472118959</c:v>
                </c:pt>
                <c:pt idx="915">
                  <c:v>0.85130111524163565</c:v>
                </c:pt>
                <c:pt idx="916">
                  <c:v>0.85223048327137552</c:v>
                </c:pt>
                <c:pt idx="917">
                  <c:v>0.85315985130111527</c:v>
                </c:pt>
                <c:pt idx="918">
                  <c:v>0.85408921933085502</c:v>
                </c:pt>
                <c:pt idx="919">
                  <c:v>0.85501858736059477</c:v>
                </c:pt>
                <c:pt idx="920">
                  <c:v>0.85594795539033453</c:v>
                </c:pt>
                <c:pt idx="921">
                  <c:v>0.85687732342007439</c:v>
                </c:pt>
                <c:pt idx="922">
                  <c:v>0.85780669144981414</c:v>
                </c:pt>
                <c:pt idx="923">
                  <c:v>0.85873605947955389</c:v>
                </c:pt>
                <c:pt idx="924">
                  <c:v>0.85966542750929364</c:v>
                </c:pt>
                <c:pt idx="925">
                  <c:v>0.86059479553903351</c:v>
                </c:pt>
                <c:pt idx="926">
                  <c:v>0.86152416356877326</c:v>
                </c:pt>
                <c:pt idx="927">
                  <c:v>0.86245353159851301</c:v>
                </c:pt>
                <c:pt idx="928">
                  <c:v>0.86338289962825276</c:v>
                </c:pt>
                <c:pt idx="929">
                  <c:v>0.86431226765799252</c:v>
                </c:pt>
                <c:pt idx="930">
                  <c:v>0.86524163568773238</c:v>
                </c:pt>
                <c:pt idx="931">
                  <c:v>0.86617100371747213</c:v>
                </c:pt>
                <c:pt idx="932">
                  <c:v>0.86710037174721188</c:v>
                </c:pt>
                <c:pt idx="933">
                  <c:v>0.86802973977695164</c:v>
                </c:pt>
                <c:pt idx="934">
                  <c:v>0.8689591078066915</c:v>
                </c:pt>
                <c:pt idx="935">
                  <c:v>0.86988847583643125</c:v>
                </c:pt>
                <c:pt idx="936">
                  <c:v>0.870817843866171</c:v>
                </c:pt>
                <c:pt idx="937">
                  <c:v>0.87174721189591076</c:v>
                </c:pt>
                <c:pt idx="938">
                  <c:v>0.87267657992565051</c:v>
                </c:pt>
                <c:pt idx="939">
                  <c:v>0.87360594795539037</c:v>
                </c:pt>
                <c:pt idx="940">
                  <c:v>0.87453531598513012</c:v>
                </c:pt>
                <c:pt idx="941">
                  <c:v>0.87546468401486988</c:v>
                </c:pt>
                <c:pt idx="942">
                  <c:v>0.87639405204460963</c:v>
                </c:pt>
                <c:pt idx="943">
                  <c:v>0.87732342007434949</c:v>
                </c:pt>
                <c:pt idx="944">
                  <c:v>0.87825278810408924</c:v>
                </c:pt>
                <c:pt idx="945">
                  <c:v>0.879182156133829</c:v>
                </c:pt>
                <c:pt idx="946">
                  <c:v>0.88011152416356875</c:v>
                </c:pt>
                <c:pt idx="947">
                  <c:v>0.8810408921933085</c:v>
                </c:pt>
                <c:pt idx="948">
                  <c:v>0.88197026022304836</c:v>
                </c:pt>
                <c:pt idx="949">
                  <c:v>0.88289962825278812</c:v>
                </c:pt>
                <c:pt idx="950">
                  <c:v>0.88382899628252787</c:v>
                </c:pt>
                <c:pt idx="951">
                  <c:v>0.88475836431226762</c:v>
                </c:pt>
                <c:pt idx="952">
                  <c:v>0.88568773234200748</c:v>
                </c:pt>
                <c:pt idx="953">
                  <c:v>0.88661710037174724</c:v>
                </c:pt>
                <c:pt idx="954">
                  <c:v>0.88754646840148699</c:v>
                </c:pt>
                <c:pt idx="955">
                  <c:v>0.88847583643122674</c:v>
                </c:pt>
                <c:pt idx="956">
                  <c:v>0.88940520446096649</c:v>
                </c:pt>
                <c:pt idx="957">
                  <c:v>0.89033457249070636</c:v>
                </c:pt>
                <c:pt idx="958">
                  <c:v>0.89126394052044611</c:v>
                </c:pt>
                <c:pt idx="959">
                  <c:v>0.89219330855018586</c:v>
                </c:pt>
                <c:pt idx="960">
                  <c:v>0.89312267657992561</c:v>
                </c:pt>
                <c:pt idx="961">
                  <c:v>0.89405204460966547</c:v>
                </c:pt>
                <c:pt idx="962">
                  <c:v>0.89498141263940523</c:v>
                </c:pt>
                <c:pt idx="963">
                  <c:v>0.89591078066914498</c:v>
                </c:pt>
                <c:pt idx="964">
                  <c:v>0.89684014869888473</c:v>
                </c:pt>
                <c:pt idx="965">
                  <c:v>0.89776951672862448</c:v>
                </c:pt>
                <c:pt idx="966">
                  <c:v>0.89869888475836435</c:v>
                </c:pt>
                <c:pt idx="967">
                  <c:v>0.8996282527881041</c:v>
                </c:pt>
                <c:pt idx="968">
                  <c:v>0.90055762081784385</c:v>
                </c:pt>
                <c:pt idx="969">
                  <c:v>0.9014869888475836</c:v>
                </c:pt>
                <c:pt idx="970">
                  <c:v>0.90241635687732347</c:v>
                </c:pt>
                <c:pt idx="971">
                  <c:v>0.90334572490706322</c:v>
                </c:pt>
                <c:pt idx="972">
                  <c:v>0.90427509293680297</c:v>
                </c:pt>
                <c:pt idx="973">
                  <c:v>0.90520446096654272</c:v>
                </c:pt>
                <c:pt idx="974">
                  <c:v>0.90613382899628248</c:v>
                </c:pt>
                <c:pt idx="975">
                  <c:v>0.90706319702602234</c:v>
                </c:pt>
                <c:pt idx="976">
                  <c:v>0.90799256505576209</c:v>
                </c:pt>
                <c:pt idx="977">
                  <c:v>0.90892193308550184</c:v>
                </c:pt>
                <c:pt idx="978">
                  <c:v>0.9098513011152416</c:v>
                </c:pt>
                <c:pt idx="979">
                  <c:v>0.91078066914498146</c:v>
                </c:pt>
                <c:pt idx="980">
                  <c:v>0.91171003717472121</c:v>
                </c:pt>
                <c:pt idx="981">
                  <c:v>0.91263940520446096</c:v>
                </c:pt>
                <c:pt idx="982">
                  <c:v>0.91356877323420072</c:v>
                </c:pt>
                <c:pt idx="983">
                  <c:v>0.91449814126394047</c:v>
                </c:pt>
                <c:pt idx="984">
                  <c:v>0.91542750929368033</c:v>
                </c:pt>
                <c:pt idx="985">
                  <c:v>0.91635687732342008</c:v>
                </c:pt>
                <c:pt idx="986">
                  <c:v>0.91728624535315983</c:v>
                </c:pt>
                <c:pt idx="987">
                  <c:v>0.91821561338289959</c:v>
                </c:pt>
                <c:pt idx="988">
                  <c:v>0.91914498141263945</c:v>
                </c:pt>
                <c:pt idx="989">
                  <c:v>0.9200743494423792</c:v>
                </c:pt>
                <c:pt idx="990">
                  <c:v>0.92100371747211895</c:v>
                </c:pt>
                <c:pt idx="991">
                  <c:v>0.92193308550185871</c:v>
                </c:pt>
                <c:pt idx="992">
                  <c:v>0.92286245353159846</c:v>
                </c:pt>
                <c:pt idx="993">
                  <c:v>0.92379182156133832</c:v>
                </c:pt>
                <c:pt idx="994">
                  <c:v>0.92472118959107807</c:v>
                </c:pt>
                <c:pt idx="995">
                  <c:v>0.92565055762081783</c:v>
                </c:pt>
                <c:pt idx="996">
                  <c:v>0.92657992565055758</c:v>
                </c:pt>
                <c:pt idx="997">
                  <c:v>0.92750929368029744</c:v>
                </c:pt>
                <c:pt idx="998">
                  <c:v>0.92843866171003719</c:v>
                </c:pt>
                <c:pt idx="999">
                  <c:v>0.92936802973977695</c:v>
                </c:pt>
                <c:pt idx="1000">
                  <c:v>0.9302973977695167</c:v>
                </c:pt>
                <c:pt idx="1001">
                  <c:v>0.93122676579925645</c:v>
                </c:pt>
                <c:pt idx="1002">
                  <c:v>0.93215613382899631</c:v>
                </c:pt>
                <c:pt idx="1003">
                  <c:v>0.93308550185873607</c:v>
                </c:pt>
                <c:pt idx="1004">
                  <c:v>0.93401486988847582</c:v>
                </c:pt>
                <c:pt idx="1005">
                  <c:v>0.93494423791821557</c:v>
                </c:pt>
                <c:pt idx="1006">
                  <c:v>0.93587360594795543</c:v>
                </c:pt>
                <c:pt idx="1007">
                  <c:v>0.93680297397769519</c:v>
                </c:pt>
                <c:pt idx="1008">
                  <c:v>0.93773234200743494</c:v>
                </c:pt>
                <c:pt idx="1009">
                  <c:v>0.93866171003717469</c:v>
                </c:pt>
                <c:pt idx="1010">
                  <c:v>0.93959107806691455</c:v>
                </c:pt>
                <c:pt idx="1011">
                  <c:v>0.94052044609665431</c:v>
                </c:pt>
                <c:pt idx="1012">
                  <c:v>0.94144981412639406</c:v>
                </c:pt>
                <c:pt idx="1013">
                  <c:v>0.94237918215613381</c:v>
                </c:pt>
                <c:pt idx="1014">
                  <c:v>0.94330855018587356</c:v>
                </c:pt>
                <c:pt idx="1015">
                  <c:v>0.94423791821561343</c:v>
                </c:pt>
                <c:pt idx="1016">
                  <c:v>0.94516728624535318</c:v>
                </c:pt>
                <c:pt idx="1017">
                  <c:v>0.94609665427509293</c:v>
                </c:pt>
                <c:pt idx="1018">
                  <c:v>0.94702602230483268</c:v>
                </c:pt>
                <c:pt idx="1019">
                  <c:v>0.94795539033457255</c:v>
                </c:pt>
                <c:pt idx="1020">
                  <c:v>0.9488847583643123</c:v>
                </c:pt>
                <c:pt idx="1021">
                  <c:v>0.94981412639405205</c:v>
                </c:pt>
                <c:pt idx="1022">
                  <c:v>0.9507434944237918</c:v>
                </c:pt>
                <c:pt idx="1023">
                  <c:v>0.95167286245353155</c:v>
                </c:pt>
                <c:pt idx="1024">
                  <c:v>0.95260223048327142</c:v>
                </c:pt>
                <c:pt idx="1025">
                  <c:v>0.95353159851301117</c:v>
                </c:pt>
                <c:pt idx="1026">
                  <c:v>0.95446096654275092</c:v>
                </c:pt>
                <c:pt idx="1027">
                  <c:v>0.95539033457249067</c:v>
                </c:pt>
                <c:pt idx="1028">
                  <c:v>0.95631970260223054</c:v>
                </c:pt>
                <c:pt idx="1029">
                  <c:v>0.95724907063197029</c:v>
                </c:pt>
                <c:pt idx="1030">
                  <c:v>0.95817843866171004</c:v>
                </c:pt>
                <c:pt idx="1031">
                  <c:v>0.95910780669144979</c:v>
                </c:pt>
                <c:pt idx="1032">
                  <c:v>0.96003717472118955</c:v>
                </c:pt>
                <c:pt idx="1033">
                  <c:v>0.96096654275092941</c:v>
                </c:pt>
                <c:pt idx="1034">
                  <c:v>0.96189591078066916</c:v>
                </c:pt>
                <c:pt idx="1035">
                  <c:v>0.96282527881040891</c:v>
                </c:pt>
                <c:pt idx="1036">
                  <c:v>0.96375464684014867</c:v>
                </c:pt>
                <c:pt idx="1037">
                  <c:v>0.96468401486988853</c:v>
                </c:pt>
                <c:pt idx="1038">
                  <c:v>0.96561338289962828</c:v>
                </c:pt>
                <c:pt idx="1039">
                  <c:v>0.96654275092936803</c:v>
                </c:pt>
                <c:pt idx="1040">
                  <c:v>0.96747211895910779</c:v>
                </c:pt>
                <c:pt idx="1041">
                  <c:v>0.96840148698884754</c:v>
                </c:pt>
                <c:pt idx="1042">
                  <c:v>0.9693308550185874</c:v>
                </c:pt>
                <c:pt idx="1043">
                  <c:v>0.97026022304832715</c:v>
                </c:pt>
                <c:pt idx="1044">
                  <c:v>0.97118959107806691</c:v>
                </c:pt>
                <c:pt idx="1045">
                  <c:v>0.97211895910780666</c:v>
                </c:pt>
                <c:pt idx="1046">
                  <c:v>0.97304832713754652</c:v>
                </c:pt>
                <c:pt idx="1047">
                  <c:v>0.97397769516728627</c:v>
                </c:pt>
                <c:pt idx="1048">
                  <c:v>0.97490706319702602</c:v>
                </c:pt>
                <c:pt idx="1049">
                  <c:v>0.97583643122676578</c:v>
                </c:pt>
                <c:pt idx="1050">
                  <c:v>0.97676579925650553</c:v>
                </c:pt>
                <c:pt idx="1051">
                  <c:v>0.97769516728624539</c:v>
                </c:pt>
                <c:pt idx="1052">
                  <c:v>0.97862453531598514</c:v>
                </c:pt>
                <c:pt idx="1053">
                  <c:v>0.9795539033457249</c:v>
                </c:pt>
                <c:pt idx="1054">
                  <c:v>0.98048327137546465</c:v>
                </c:pt>
                <c:pt idx="1055">
                  <c:v>0.98141263940520451</c:v>
                </c:pt>
                <c:pt idx="1056">
                  <c:v>0.98234200743494426</c:v>
                </c:pt>
                <c:pt idx="1057">
                  <c:v>0.98327137546468402</c:v>
                </c:pt>
                <c:pt idx="1058">
                  <c:v>0.98420074349442377</c:v>
                </c:pt>
                <c:pt idx="1059">
                  <c:v>0.98513011152416352</c:v>
                </c:pt>
                <c:pt idx="1060">
                  <c:v>0.98605947955390338</c:v>
                </c:pt>
                <c:pt idx="1061">
                  <c:v>0.98698884758364314</c:v>
                </c:pt>
                <c:pt idx="1062">
                  <c:v>0.98791821561338289</c:v>
                </c:pt>
                <c:pt idx="1063">
                  <c:v>0.98884758364312264</c:v>
                </c:pt>
                <c:pt idx="1064">
                  <c:v>0.9897769516728625</c:v>
                </c:pt>
              </c:numCache>
            </c:numRef>
          </c:cat>
          <c:val>
            <c:numRef>
              <c:f>'Curva de Permanência'!$E$2:$E$1066</c:f>
              <c:numCache>
                <c:formatCode>General</c:formatCode>
                <c:ptCount val="1065"/>
                <c:pt idx="0" formatCode="0.0000000">
                  <c:v>140.84168398031699</c:v>
                </c:pt>
                <c:pt idx="1">
                  <c:v>137.15006014215419</c:v>
                </c:pt>
                <c:pt idx="2">
                  <c:v>136.16611262985239</c:v>
                </c:pt>
                <c:pt idx="3">
                  <c:v>134.93150355385455</c:v>
                </c:pt>
                <c:pt idx="4">
                  <c:v>134.17095680699836</c:v>
                </c:pt>
                <c:pt idx="5">
                  <c:v>131.9244505194095</c:v>
                </c:pt>
                <c:pt idx="6">
                  <c:v>128.97211591033351</c:v>
                </c:pt>
                <c:pt idx="7">
                  <c:v>127.16650628758886</c:v>
                </c:pt>
                <c:pt idx="8">
                  <c:v>123.70950246036085</c:v>
                </c:pt>
                <c:pt idx="9">
                  <c:v>119.04278840896664</c:v>
                </c:pt>
                <c:pt idx="10">
                  <c:v>113.8520174958994</c:v>
                </c:pt>
                <c:pt idx="11">
                  <c:v>113.38789502460359</c:v>
                </c:pt>
                <c:pt idx="12">
                  <c:v>112.35237834882449</c:v>
                </c:pt>
                <c:pt idx="13">
                  <c:v>111.39943138326954</c:v>
                </c:pt>
                <c:pt idx="14">
                  <c:v>108.49030071077091</c:v>
                </c:pt>
                <c:pt idx="15">
                  <c:v>107.0322908693275</c:v>
                </c:pt>
                <c:pt idx="16">
                  <c:v>104.29509021323126</c:v>
                </c:pt>
                <c:pt idx="17">
                  <c:v>101.70383816293055</c:v>
                </c:pt>
                <c:pt idx="18">
                  <c:v>100.92557681793329</c:v>
                </c:pt>
                <c:pt idx="19">
                  <c:v>100.59657736468014</c:v>
                </c:pt>
                <c:pt idx="20">
                  <c:v>100.11808638600327</c:v>
                </c:pt>
                <c:pt idx="21">
                  <c:v>99.161399671951884</c:v>
                </c:pt>
                <c:pt idx="22">
                  <c:v>98.194281027884088</c:v>
                </c:pt>
                <c:pt idx="23">
                  <c:v>98.043018042646253</c:v>
                </c:pt>
                <c:pt idx="24">
                  <c:v>98.021858939311102</c:v>
                </c:pt>
                <c:pt idx="25">
                  <c:v>97.112804811372342</c:v>
                </c:pt>
                <c:pt idx="26">
                  <c:v>95.224920721705857</c:v>
                </c:pt>
                <c:pt idx="27">
                  <c:v>95.021498086386003</c:v>
                </c:pt>
                <c:pt idx="28">
                  <c:v>94.802821213778017</c:v>
                </c:pt>
                <c:pt idx="29">
                  <c:v>93.956260251503551</c:v>
                </c:pt>
                <c:pt idx="30">
                  <c:v>93.951634773100054</c:v>
                </c:pt>
                <c:pt idx="31">
                  <c:v>91.352509568069976</c:v>
                </c:pt>
                <c:pt idx="32">
                  <c:v>88.512859486057962</c:v>
                </c:pt>
                <c:pt idx="33">
                  <c:v>87.528518316019671</c:v>
                </c:pt>
                <c:pt idx="34">
                  <c:v>87.400579551667576</c:v>
                </c:pt>
                <c:pt idx="35">
                  <c:v>86.837255330781844</c:v>
                </c:pt>
                <c:pt idx="36">
                  <c:v>86.661683980317108</c:v>
                </c:pt>
                <c:pt idx="37">
                  <c:v>86.088813559322034</c:v>
                </c:pt>
                <c:pt idx="38">
                  <c:v>84.706386003280485</c:v>
                </c:pt>
                <c:pt idx="39">
                  <c:v>83.711514488791678</c:v>
                </c:pt>
                <c:pt idx="40">
                  <c:v>83.660634226353196</c:v>
                </c:pt>
                <c:pt idx="41">
                  <c:v>83.097998906506291</c:v>
                </c:pt>
                <c:pt idx="42">
                  <c:v>83.011197375615097</c:v>
                </c:pt>
                <c:pt idx="43">
                  <c:v>82.618622197922363</c:v>
                </c:pt>
                <c:pt idx="44">
                  <c:v>81.675713504647348</c:v>
                </c:pt>
                <c:pt idx="45">
                  <c:v>81.366396938217605</c:v>
                </c:pt>
                <c:pt idx="46">
                  <c:v>81.212476763258607</c:v>
                </c:pt>
                <c:pt idx="47">
                  <c:v>81.020076544559871</c:v>
                </c:pt>
                <c:pt idx="48">
                  <c:v>80.604964461454344</c:v>
                </c:pt>
                <c:pt idx="49">
                  <c:v>80.585576817933287</c:v>
                </c:pt>
                <c:pt idx="50">
                  <c:v>80.397113176599234</c:v>
                </c:pt>
                <c:pt idx="51">
                  <c:v>80.138283214871507</c:v>
                </c:pt>
                <c:pt idx="52">
                  <c:v>80.07815199562603</c:v>
                </c:pt>
                <c:pt idx="53">
                  <c:v>79.930628758884637</c:v>
                </c:pt>
                <c:pt idx="54">
                  <c:v>79.890967741935484</c:v>
                </c:pt>
                <c:pt idx="55">
                  <c:v>79.429404045926745</c:v>
                </c:pt>
                <c:pt idx="56">
                  <c:v>79.406670311645712</c:v>
                </c:pt>
                <c:pt idx="57">
                  <c:v>79.065073810825581</c:v>
                </c:pt>
                <c:pt idx="58">
                  <c:v>78.516806998359755</c:v>
                </c:pt>
                <c:pt idx="59">
                  <c:v>78.316927282668118</c:v>
                </c:pt>
                <c:pt idx="60">
                  <c:v>78.297933296883542</c:v>
                </c:pt>
                <c:pt idx="61">
                  <c:v>78.108190267905968</c:v>
                </c:pt>
                <c:pt idx="62">
                  <c:v>76.833526517222523</c:v>
                </c:pt>
                <c:pt idx="63">
                  <c:v>76.357594313832692</c:v>
                </c:pt>
                <c:pt idx="64">
                  <c:v>76.138130125751772</c:v>
                </c:pt>
                <c:pt idx="65">
                  <c:v>75.908135593220337</c:v>
                </c:pt>
                <c:pt idx="66">
                  <c:v>75.229666484417706</c:v>
                </c:pt>
                <c:pt idx="67">
                  <c:v>74.735330781848006</c:v>
                </c:pt>
                <c:pt idx="68">
                  <c:v>74.074182613449977</c:v>
                </c:pt>
                <c:pt idx="69">
                  <c:v>73.94427556041552</c:v>
                </c:pt>
                <c:pt idx="70">
                  <c:v>73.807676325861124</c:v>
                </c:pt>
                <c:pt idx="71">
                  <c:v>73.299562602515039</c:v>
                </c:pt>
                <c:pt idx="72">
                  <c:v>73.240513942044828</c:v>
                </c:pt>
                <c:pt idx="73">
                  <c:v>73.177627118644068</c:v>
                </c:pt>
                <c:pt idx="74">
                  <c:v>72.532028430836519</c:v>
                </c:pt>
                <c:pt idx="75">
                  <c:v>72.319256424275551</c:v>
                </c:pt>
                <c:pt idx="76">
                  <c:v>72.143685073810815</c:v>
                </c:pt>
                <c:pt idx="77">
                  <c:v>72.090934937124103</c:v>
                </c:pt>
                <c:pt idx="78">
                  <c:v>72.041826134499729</c:v>
                </c:pt>
                <c:pt idx="79">
                  <c:v>71.999704756697653</c:v>
                </c:pt>
                <c:pt idx="80">
                  <c:v>71.953449972662654</c:v>
                </c:pt>
                <c:pt idx="81">
                  <c:v>71.890563149261894</c:v>
                </c:pt>
                <c:pt idx="82">
                  <c:v>71.650235101148155</c:v>
                </c:pt>
                <c:pt idx="83">
                  <c:v>70.967731000546735</c:v>
                </c:pt>
                <c:pt idx="84">
                  <c:v>70.292607982504094</c:v>
                </c:pt>
                <c:pt idx="85">
                  <c:v>70.166539092400214</c:v>
                </c:pt>
                <c:pt idx="86">
                  <c:v>69.784297430289783</c:v>
                </c:pt>
                <c:pt idx="87">
                  <c:v>69.068824494259161</c:v>
                </c:pt>
                <c:pt idx="88">
                  <c:v>68.915691634773097</c:v>
                </c:pt>
                <c:pt idx="89">
                  <c:v>68.380021869874255</c:v>
                </c:pt>
                <c:pt idx="90">
                  <c:v>68.289185347184244</c:v>
                </c:pt>
                <c:pt idx="91">
                  <c:v>67.732159650082011</c:v>
                </c:pt>
                <c:pt idx="92">
                  <c:v>67.554324767632593</c:v>
                </c:pt>
                <c:pt idx="93">
                  <c:v>67.120513942044823</c:v>
                </c:pt>
                <c:pt idx="94">
                  <c:v>67.024658283214876</c:v>
                </c:pt>
                <c:pt idx="95">
                  <c:v>66.835308911973755</c:v>
                </c:pt>
                <c:pt idx="96">
                  <c:v>66.723313285948606</c:v>
                </c:pt>
                <c:pt idx="97">
                  <c:v>66.631394204483314</c:v>
                </c:pt>
                <c:pt idx="98">
                  <c:v>66.566047020229618</c:v>
                </c:pt>
                <c:pt idx="99">
                  <c:v>66.425511208310553</c:v>
                </c:pt>
                <c:pt idx="100">
                  <c:v>66.301312192454887</c:v>
                </c:pt>
                <c:pt idx="101">
                  <c:v>66.272279934390383</c:v>
                </c:pt>
                <c:pt idx="102">
                  <c:v>66.103499179879705</c:v>
                </c:pt>
                <c:pt idx="103">
                  <c:v>66.012367413887375</c:v>
                </c:pt>
                <c:pt idx="104">
                  <c:v>65.990027337342809</c:v>
                </c:pt>
                <c:pt idx="105">
                  <c:v>65.328879168944781</c:v>
                </c:pt>
                <c:pt idx="106">
                  <c:v>65.301126298523783</c:v>
                </c:pt>
                <c:pt idx="107">
                  <c:v>64.847534171678518</c:v>
                </c:pt>
                <c:pt idx="108">
                  <c:v>64.551995626025146</c:v>
                </c:pt>
                <c:pt idx="109">
                  <c:v>64.038665937670856</c:v>
                </c:pt>
                <c:pt idx="110">
                  <c:v>63.894291962821207</c:v>
                </c:pt>
                <c:pt idx="111">
                  <c:v>63.824024056861667</c:v>
                </c:pt>
                <c:pt idx="112">
                  <c:v>63.683685073810821</c:v>
                </c:pt>
                <c:pt idx="113">
                  <c:v>63.581530891197382</c:v>
                </c:pt>
                <c:pt idx="114">
                  <c:v>63.462055768179326</c:v>
                </c:pt>
                <c:pt idx="115">
                  <c:v>63.420131219245491</c:v>
                </c:pt>
                <c:pt idx="116">
                  <c:v>63.304494259158005</c:v>
                </c:pt>
                <c:pt idx="117">
                  <c:v>62.492181519956262</c:v>
                </c:pt>
                <c:pt idx="118">
                  <c:v>62.376544559868783</c:v>
                </c:pt>
                <c:pt idx="119">
                  <c:v>61.743346090759978</c:v>
                </c:pt>
                <c:pt idx="120">
                  <c:v>61.55724439584472</c:v>
                </c:pt>
                <c:pt idx="121">
                  <c:v>61.528802624384909</c:v>
                </c:pt>
                <c:pt idx="122">
                  <c:v>60.94156369600875</c:v>
                </c:pt>
                <c:pt idx="123">
                  <c:v>60.677616183706945</c:v>
                </c:pt>
                <c:pt idx="124">
                  <c:v>60.535800984144338</c:v>
                </c:pt>
                <c:pt idx="125">
                  <c:v>60.425478403499177</c:v>
                </c:pt>
                <c:pt idx="126">
                  <c:v>60.303149261891747</c:v>
                </c:pt>
                <c:pt idx="127">
                  <c:v>60.085850191361395</c:v>
                </c:pt>
                <c:pt idx="128">
                  <c:v>60.06026243849098</c:v>
                </c:pt>
                <c:pt idx="129">
                  <c:v>59.886757791142699</c:v>
                </c:pt>
                <c:pt idx="130">
                  <c:v>59.723291416074353</c:v>
                </c:pt>
                <c:pt idx="131">
                  <c:v>59.5498851831602</c:v>
                </c:pt>
                <c:pt idx="132">
                  <c:v>59.430902132312731</c:v>
                </c:pt>
                <c:pt idx="133">
                  <c:v>59.308474576271188</c:v>
                </c:pt>
                <c:pt idx="134">
                  <c:v>58.881060688901037</c:v>
                </c:pt>
                <c:pt idx="135">
                  <c:v>58.752039365773641</c:v>
                </c:pt>
                <c:pt idx="136">
                  <c:v>58.661498086386004</c:v>
                </c:pt>
                <c:pt idx="137">
                  <c:v>57.935888463641334</c:v>
                </c:pt>
                <c:pt idx="138">
                  <c:v>57.744177145981411</c:v>
                </c:pt>
                <c:pt idx="139">
                  <c:v>57.715144887916892</c:v>
                </c:pt>
                <c:pt idx="140">
                  <c:v>57.400415527610718</c:v>
                </c:pt>
                <c:pt idx="141">
                  <c:v>57.353767085839252</c:v>
                </c:pt>
                <c:pt idx="142">
                  <c:v>57.290781848004372</c:v>
                </c:pt>
                <c:pt idx="143">
                  <c:v>57.272772006560963</c:v>
                </c:pt>
                <c:pt idx="144">
                  <c:v>57.189513395297979</c:v>
                </c:pt>
                <c:pt idx="145">
                  <c:v>56.959814106068883</c:v>
                </c:pt>
                <c:pt idx="146">
                  <c:v>56.875669764898852</c:v>
                </c:pt>
                <c:pt idx="147">
                  <c:v>56.838075451066153</c:v>
                </c:pt>
                <c:pt idx="148">
                  <c:v>56.467545106615631</c:v>
                </c:pt>
                <c:pt idx="149">
                  <c:v>56.428671405139418</c:v>
                </c:pt>
                <c:pt idx="150">
                  <c:v>56.403575724439584</c:v>
                </c:pt>
                <c:pt idx="151">
                  <c:v>56.072607982504096</c:v>
                </c:pt>
                <c:pt idx="152">
                  <c:v>56.055680699835968</c:v>
                </c:pt>
                <c:pt idx="153">
                  <c:v>55.925872061235651</c:v>
                </c:pt>
                <c:pt idx="154">
                  <c:v>55.917506834335697</c:v>
                </c:pt>
                <c:pt idx="155">
                  <c:v>55.753843630399118</c:v>
                </c:pt>
                <c:pt idx="156">
                  <c:v>55.604155276107157</c:v>
                </c:pt>
                <c:pt idx="157">
                  <c:v>55.593428102788408</c:v>
                </c:pt>
                <c:pt idx="158">
                  <c:v>55.192881355932201</c:v>
                </c:pt>
                <c:pt idx="159">
                  <c:v>55.116905412793876</c:v>
                </c:pt>
                <c:pt idx="160">
                  <c:v>55.048015308911971</c:v>
                </c:pt>
                <c:pt idx="161">
                  <c:v>55.014849644614543</c:v>
                </c:pt>
                <c:pt idx="162">
                  <c:v>54.998020776380528</c:v>
                </c:pt>
                <c:pt idx="163">
                  <c:v>54.637036632039361</c:v>
                </c:pt>
                <c:pt idx="164">
                  <c:v>54.440207763805361</c:v>
                </c:pt>
                <c:pt idx="165">
                  <c:v>54.268572990705302</c:v>
                </c:pt>
                <c:pt idx="166">
                  <c:v>54.261585565882996</c:v>
                </c:pt>
                <c:pt idx="167">
                  <c:v>53.983072717331872</c:v>
                </c:pt>
                <c:pt idx="168">
                  <c:v>53.814390377255329</c:v>
                </c:pt>
                <c:pt idx="169">
                  <c:v>53.760459267359217</c:v>
                </c:pt>
                <c:pt idx="170">
                  <c:v>53.651022416621103</c:v>
                </c:pt>
                <c:pt idx="171">
                  <c:v>53.600831055221427</c:v>
                </c:pt>
                <c:pt idx="172">
                  <c:v>53.392094040459263</c:v>
                </c:pt>
                <c:pt idx="173">
                  <c:v>53.373296883542913</c:v>
                </c:pt>
                <c:pt idx="174">
                  <c:v>53.284330235101145</c:v>
                </c:pt>
                <c:pt idx="175">
                  <c:v>53.163969382176049</c:v>
                </c:pt>
                <c:pt idx="176">
                  <c:v>53.035636960087473</c:v>
                </c:pt>
                <c:pt idx="177">
                  <c:v>52.732028430836522</c:v>
                </c:pt>
                <c:pt idx="178">
                  <c:v>52.71431383269546</c:v>
                </c:pt>
                <c:pt idx="179">
                  <c:v>52.534117003827227</c:v>
                </c:pt>
                <c:pt idx="180">
                  <c:v>52.53323127392018</c:v>
                </c:pt>
                <c:pt idx="181">
                  <c:v>52.344275560415532</c:v>
                </c:pt>
                <c:pt idx="182">
                  <c:v>52.339846910880262</c:v>
                </c:pt>
                <c:pt idx="183">
                  <c:v>52.303827227993438</c:v>
                </c:pt>
                <c:pt idx="184">
                  <c:v>51.633231273920174</c:v>
                </c:pt>
                <c:pt idx="185">
                  <c:v>51.531864406779654</c:v>
                </c:pt>
                <c:pt idx="186">
                  <c:v>51.53107709130672</c:v>
                </c:pt>
                <c:pt idx="187">
                  <c:v>51.44801530891197</c:v>
                </c:pt>
                <c:pt idx="188">
                  <c:v>51.270770913067253</c:v>
                </c:pt>
                <c:pt idx="189">
                  <c:v>51.096675779114264</c:v>
                </c:pt>
                <c:pt idx="190">
                  <c:v>51.031919081465283</c:v>
                </c:pt>
                <c:pt idx="191">
                  <c:v>51.021782394751227</c:v>
                </c:pt>
                <c:pt idx="192">
                  <c:v>50.819442318206669</c:v>
                </c:pt>
                <c:pt idx="193">
                  <c:v>50.637966101694914</c:v>
                </c:pt>
                <c:pt idx="194">
                  <c:v>50.617495899398577</c:v>
                </c:pt>
                <c:pt idx="195">
                  <c:v>50.463575724439586</c:v>
                </c:pt>
                <c:pt idx="196">
                  <c:v>50.386714051394208</c:v>
                </c:pt>
                <c:pt idx="197">
                  <c:v>50.284756697648987</c:v>
                </c:pt>
                <c:pt idx="198">
                  <c:v>49.679704756697646</c:v>
                </c:pt>
                <c:pt idx="199">
                  <c:v>49.585522143247672</c:v>
                </c:pt>
                <c:pt idx="200">
                  <c:v>49.45325314379442</c:v>
                </c:pt>
                <c:pt idx="201">
                  <c:v>49.430913067249861</c:v>
                </c:pt>
                <c:pt idx="202">
                  <c:v>49.299234554401309</c:v>
                </c:pt>
                <c:pt idx="203">
                  <c:v>49.247960634226352</c:v>
                </c:pt>
                <c:pt idx="204">
                  <c:v>49.194915254237287</c:v>
                </c:pt>
                <c:pt idx="205">
                  <c:v>49.107523236741386</c:v>
                </c:pt>
                <c:pt idx="206">
                  <c:v>48.882744669218148</c:v>
                </c:pt>
                <c:pt idx="207">
                  <c:v>48.855188627665385</c:v>
                </c:pt>
                <c:pt idx="208">
                  <c:v>48.632279934390375</c:v>
                </c:pt>
                <c:pt idx="209">
                  <c:v>48.314007654455985</c:v>
                </c:pt>
                <c:pt idx="210">
                  <c:v>48.105762711864408</c:v>
                </c:pt>
                <c:pt idx="211">
                  <c:v>48.05370147621651</c:v>
                </c:pt>
                <c:pt idx="212">
                  <c:v>47.896533624931656</c:v>
                </c:pt>
                <c:pt idx="213">
                  <c:v>47.762493165664296</c:v>
                </c:pt>
                <c:pt idx="214">
                  <c:v>47.743105522143246</c:v>
                </c:pt>
                <c:pt idx="215">
                  <c:v>47.610344450519406</c:v>
                </c:pt>
                <c:pt idx="216">
                  <c:v>47.421979223619459</c:v>
                </c:pt>
                <c:pt idx="217">
                  <c:v>47.186867140513939</c:v>
                </c:pt>
                <c:pt idx="218">
                  <c:v>47.067588846364131</c:v>
                </c:pt>
                <c:pt idx="219">
                  <c:v>46.99476216511755</c:v>
                </c:pt>
                <c:pt idx="220">
                  <c:v>46.652083105522145</c:v>
                </c:pt>
                <c:pt idx="221">
                  <c:v>46.608091853471841</c:v>
                </c:pt>
                <c:pt idx="222">
                  <c:v>46.383116457080369</c:v>
                </c:pt>
                <c:pt idx="223">
                  <c:v>46.303499179879715</c:v>
                </c:pt>
                <c:pt idx="224">
                  <c:v>46.231656642974301</c:v>
                </c:pt>
                <c:pt idx="225">
                  <c:v>45.989458720612355</c:v>
                </c:pt>
                <c:pt idx="226">
                  <c:v>45.983160196828862</c:v>
                </c:pt>
                <c:pt idx="227">
                  <c:v>45.825697102241662</c:v>
                </c:pt>
                <c:pt idx="228">
                  <c:v>45.587534171678513</c:v>
                </c:pt>
                <c:pt idx="229">
                  <c:v>45.580743575724441</c:v>
                </c:pt>
                <c:pt idx="230">
                  <c:v>45.479573537452154</c:v>
                </c:pt>
                <c:pt idx="231">
                  <c:v>45.331459814106069</c:v>
                </c:pt>
                <c:pt idx="232">
                  <c:v>45.155297977036632</c:v>
                </c:pt>
                <c:pt idx="233">
                  <c:v>45.073023510114815</c:v>
                </c:pt>
                <c:pt idx="234">
                  <c:v>44.716763258611259</c:v>
                </c:pt>
                <c:pt idx="235">
                  <c:v>44.677397484964459</c:v>
                </c:pt>
                <c:pt idx="236">
                  <c:v>44.550934937124111</c:v>
                </c:pt>
                <c:pt idx="237">
                  <c:v>44.260612356478951</c:v>
                </c:pt>
                <c:pt idx="238">
                  <c:v>44.239059595407326</c:v>
                </c:pt>
                <c:pt idx="239">
                  <c:v>44.038983050847456</c:v>
                </c:pt>
                <c:pt idx="240">
                  <c:v>43.939486057955165</c:v>
                </c:pt>
                <c:pt idx="241">
                  <c:v>43.910749043193</c:v>
                </c:pt>
                <c:pt idx="242">
                  <c:v>43.888310552214321</c:v>
                </c:pt>
                <c:pt idx="243">
                  <c:v>43.705358119190812</c:v>
                </c:pt>
                <c:pt idx="244">
                  <c:v>43.676227446692181</c:v>
                </c:pt>
                <c:pt idx="245">
                  <c:v>43.630169491525422</c:v>
                </c:pt>
                <c:pt idx="246">
                  <c:v>43.459026790595949</c:v>
                </c:pt>
                <c:pt idx="247">
                  <c:v>43.441213778020774</c:v>
                </c:pt>
                <c:pt idx="248">
                  <c:v>43.398501913613998</c:v>
                </c:pt>
                <c:pt idx="249">
                  <c:v>43.288966648441772</c:v>
                </c:pt>
                <c:pt idx="250">
                  <c:v>43.255112083105516</c:v>
                </c:pt>
                <c:pt idx="251">
                  <c:v>43.233559322033898</c:v>
                </c:pt>
                <c:pt idx="252">
                  <c:v>43.054838709677419</c:v>
                </c:pt>
                <c:pt idx="253">
                  <c:v>42.959081465281578</c:v>
                </c:pt>
                <c:pt idx="254">
                  <c:v>42.903969382176051</c:v>
                </c:pt>
                <c:pt idx="255">
                  <c:v>42.89176599234554</c:v>
                </c:pt>
                <c:pt idx="256">
                  <c:v>42.783411700382722</c:v>
                </c:pt>
                <c:pt idx="257">
                  <c:v>42.767566976489888</c:v>
                </c:pt>
                <c:pt idx="258">
                  <c:v>42.630082012028424</c:v>
                </c:pt>
                <c:pt idx="259">
                  <c:v>42.595046473482775</c:v>
                </c:pt>
                <c:pt idx="260">
                  <c:v>42.330016402405683</c:v>
                </c:pt>
                <c:pt idx="261">
                  <c:v>41.810289775833787</c:v>
                </c:pt>
                <c:pt idx="262">
                  <c:v>41.667195188627666</c:v>
                </c:pt>
                <c:pt idx="263">
                  <c:v>41.667195188627666</c:v>
                </c:pt>
                <c:pt idx="264">
                  <c:v>41.627829414980859</c:v>
                </c:pt>
                <c:pt idx="265">
                  <c:v>41.591120831055221</c:v>
                </c:pt>
                <c:pt idx="266">
                  <c:v>41.586593767085837</c:v>
                </c:pt>
                <c:pt idx="267">
                  <c:v>41.586298523783491</c:v>
                </c:pt>
                <c:pt idx="268">
                  <c:v>41.490738108255876</c:v>
                </c:pt>
                <c:pt idx="269">
                  <c:v>41.417222525970473</c:v>
                </c:pt>
                <c:pt idx="270">
                  <c:v>41.411120831055221</c:v>
                </c:pt>
                <c:pt idx="271">
                  <c:v>41.393110989611813</c:v>
                </c:pt>
                <c:pt idx="272">
                  <c:v>41.319989065062877</c:v>
                </c:pt>
                <c:pt idx="273">
                  <c:v>41.204548933843633</c:v>
                </c:pt>
                <c:pt idx="274">
                  <c:v>41.098851831601969</c:v>
                </c:pt>
                <c:pt idx="275">
                  <c:v>40.866495352651725</c:v>
                </c:pt>
                <c:pt idx="276">
                  <c:v>40.751153635866594</c:v>
                </c:pt>
                <c:pt idx="277">
                  <c:v>40.690235101148161</c:v>
                </c:pt>
                <c:pt idx="278">
                  <c:v>40.637386550027337</c:v>
                </c:pt>
                <c:pt idx="279">
                  <c:v>40.599300164024058</c:v>
                </c:pt>
                <c:pt idx="280">
                  <c:v>40.479332968835429</c:v>
                </c:pt>
                <c:pt idx="281">
                  <c:v>40.459650082012026</c:v>
                </c:pt>
                <c:pt idx="282">
                  <c:v>40.459354838709672</c:v>
                </c:pt>
                <c:pt idx="283">
                  <c:v>40.179070530344447</c:v>
                </c:pt>
                <c:pt idx="284">
                  <c:v>40.156533624931654</c:v>
                </c:pt>
                <c:pt idx="285">
                  <c:v>40.153285948605792</c:v>
                </c:pt>
                <c:pt idx="286">
                  <c:v>40.103685073810823</c:v>
                </c:pt>
                <c:pt idx="287">
                  <c:v>39.906856205576815</c:v>
                </c:pt>
                <c:pt idx="288">
                  <c:v>39.885205030071077</c:v>
                </c:pt>
                <c:pt idx="289">
                  <c:v>39.678141060688901</c:v>
                </c:pt>
                <c:pt idx="290">
                  <c:v>39.677550574084201</c:v>
                </c:pt>
                <c:pt idx="291">
                  <c:v>39.657769272826684</c:v>
                </c:pt>
                <c:pt idx="292">
                  <c:v>39.593701476216509</c:v>
                </c:pt>
                <c:pt idx="293">
                  <c:v>39.560338983050841</c:v>
                </c:pt>
                <c:pt idx="294">
                  <c:v>39.527665390924</c:v>
                </c:pt>
                <c:pt idx="295">
                  <c:v>39.416555494805905</c:v>
                </c:pt>
                <c:pt idx="296">
                  <c:v>39.401202843083652</c:v>
                </c:pt>
                <c:pt idx="297">
                  <c:v>39.360951339529798</c:v>
                </c:pt>
                <c:pt idx="298">
                  <c:v>39.233996719518863</c:v>
                </c:pt>
                <c:pt idx="299">
                  <c:v>39.185872061235649</c:v>
                </c:pt>
                <c:pt idx="300">
                  <c:v>39.10822307271733</c:v>
                </c:pt>
                <c:pt idx="301">
                  <c:v>39.04996172772006</c:v>
                </c:pt>
                <c:pt idx="302">
                  <c:v>38.985303444505192</c:v>
                </c:pt>
                <c:pt idx="303">
                  <c:v>38.972804811372335</c:v>
                </c:pt>
                <c:pt idx="304">
                  <c:v>38.932651722252594</c:v>
                </c:pt>
                <c:pt idx="305">
                  <c:v>38.817802077638049</c:v>
                </c:pt>
                <c:pt idx="306">
                  <c:v>38.550508474576269</c:v>
                </c:pt>
                <c:pt idx="307">
                  <c:v>38.544702022963371</c:v>
                </c:pt>
                <c:pt idx="308">
                  <c:v>38.383696008747947</c:v>
                </c:pt>
                <c:pt idx="309">
                  <c:v>38.054007654455987</c:v>
                </c:pt>
                <c:pt idx="310">
                  <c:v>37.750202296336795</c:v>
                </c:pt>
                <c:pt idx="311">
                  <c:v>37.707490431930012</c:v>
                </c:pt>
                <c:pt idx="312">
                  <c:v>37.637419354838705</c:v>
                </c:pt>
                <c:pt idx="313">
                  <c:v>37.635943138326951</c:v>
                </c:pt>
                <c:pt idx="314">
                  <c:v>37.620295243302351</c:v>
                </c:pt>
                <c:pt idx="315">
                  <c:v>37.587916894477857</c:v>
                </c:pt>
                <c:pt idx="316">
                  <c:v>37.525325314379444</c:v>
                </c:pt>
                <c:pt idx="317">
                  <c:v>37.461355932203389</c:v>
                </c:pt>
                <c:pt idx="318">
                  <c:v>37.443838162930561</c:v>
                </c:pt>
                <c:pt idx="319">
                  <c:v>37.412247129579008</c:v>
                </c:pt>
                <c:pt idx="320">
                  <c:v>37.299070530344451</c:v>
                </c:pt>
                <c:pt idx="321">
                  <c:v>37.252422088572992</c:v>
                </c:pt>
                <c:pt idx="322">
                  <c:v>37.221716785128478</c:v>
                </c:pt>
                <c:pt idx="323">
                  <c:v>37.047818480043738</c:v>
                </c:pt>
                <c:pt idx="324">
                  <c:v>36.853253143794426</c:v>
                </c:pt>
                <c:pt idx="325">
                  <c:v>36.751787862219786</c:v>
                </c:pt>
                <c:pt idx="326">
                  <c:v>36.735549480590485</c:v>
                </c:pt>
                <c:pt idx="327">
                  <c:v>36.557813012575174</c:v>
                </c:pt>
                <c:pt idx="328">
                  <c:v>36.392378348824494</c:v>
                </c:pt>
                <c:pt idx="329">
                  <c:v>36.370235101148168</c:v>
                </c:pt>
                <c:pt idx="330">
                  <c:v>36.251645708037181</c:v>
                </c:pt>
                <c:pt idx="331">
                  <c:v>36.173406232914161</c:v>
                </c:pt>
                <c:pt idx="332">
                  <c:v>36.142602515035534</c:v>
                </c:pt>
                <c:pt idx="333">
                  <c:v>36.083652268999451</c:v>
                </c:pt>
                <c:pt idx="334">
                  <c:v>36.025292509568068</c:v>
                </c:pt>
                <c:pt idx="335">
                  <c:v>36.011809732094036</c:v>
                </c:pt>
                <c:pt idx="336">
                  <c:v>35.856610169491525</c:v>
                </c:pt>
                <c:pt idx="337">
                  <c:v>35.803367960634226</c:v>
                </c:pt>
                <c:pt idx="338">
                  <c:v>35.69019136139967</c:v>
                </c:pt>
                <c:pt idx="339">
                  <c:v>35.657124111536355</c:v>
                </c:pt>
                <c:pt idx="340">
                  <c:v>35.575243302351012</c:v>
                </c:pt>
                <c:pt idx="341">
                  <c:v>35.442580645161286</c:v>
                </c:pt>
                <c:pt idx="342">
                  <c:v>35.430278840896662</c:v>
                </c:pt>
                <c:pt idx="343">
                  <c:v>35.383138326954622</c:v>
                </c:pt>
                <c:pt idx="344">
                  <c:v>35.309917987971566</c:v>
                </c:pt>
                <c:pt idx="345">
                  <c:v>35.211011481683983</c:v>
                </c:pt>
                <c:pt idx="346">
                  <c:v>35.16898851831602</c:v>
                </c:pt>
                <c:pt idx="347">
                  <c:v>35.023630399125203</c:v>
                </c:pt>
                <c:pt idx="348">
                  <c:v>34.990563149261888</c:v>
                </c:pt>
                <c:pt idx="349">
                  <c:v>34.933089119737559</c:v>
                </c:pt>
                <c:pt idx="350">
                  <c:v>34.892247129579005</c:v>
                </c:pt>
                <c:pt idx="351">
                  <c:v>34.87551667577911</c:v>
                </c:pt>
                <c:pt idx="352">
                  <c:v>34.793340623291421</c:v>
                </c:pt>
                <c:pt idx="353">
                  <c:v>34.680065609622744</c:v>
                </c:pt>
                <c:pt idx="354">
                  <c:v>34.282963367960633</c:v>
                </c:pt>
                <c:pt idx="355">
                  <c:v>34.238775287042095</c:v>
                </c:pt>
                <c:pt idx="356">
                  <c:v>34.194193548387098</c:v>
                </c:pt>
                <c:pt idx="357">
                  <c:v>34.150891197375614</c:v>
                </c:pt>
                <c:pt idx="358">
                  <c:v>34.11792236194642</c:v>
                </c:pt>
                <c:pt idx="359">
                  <c:v>34.075899398578457</c:v>
                </c:pt>
                <c:pt idx="360">
                  <c:v>34.059464188080916</c:v>
                </c:pt>
                <c:pt idx="361">
                  <c:v>34.04873701476216</c:v>
                </c:pt>
                <c:pt idx="362">
                  <c:v>33.997955166757784</c:v>
                </c:pt>
                <c:pt idx="363">
                  <c:v>33.854565336249316</c:v>
                </c:pt>
                <c:pt idx="364">
                  <c:v>33.839311098961183</c:v>
                </c:pt>
                <c:pt idx="365">
                  <c:v>33.811459814106065</c:v>
                </c:pt>
                <c:pt idx="366">
                  <c:v>33.707927829414977</c:v>
                </c:pt>
                <c:pt idx="367">
                  <c:v>33.661869874248225</c:v>
                </c:pt>
                <c:pt idx="368">
                  <c:v>33.653209404045924</c:v>
                </c:pt>
                <c:pt idx="369">
                  <c:v>33.64759978130126</c:v>
                </c:pt>
                <c:pt idx="370">
                  <c:v>33.610891197375615</c:v>
                </c:pt>
                <c:pt idx="371">
                  <c:v>33.578119190814654</c:v>
                </c:pt>
                <c:pt idx="372">
                  <c:v>33.480590486604704</c:v>
                </c:pt>
                <c:pt idx="373">
                  <c:v>33.440437397484963</c:v>
                </c:pt>
                <c:pt idx="374">
                  <c:v>33.285926735921272</c:v>
                </c:pt>
                <c:pt idx="375">
                  <c:v>33.252662657189724</c:v>
                </c:pt>
                <c:pt idx="376">
                  <c:v>33.199322033898305</c:v>
                </c:pt>
                <c:pt idx="377">
                  <c:v>33.083488244942593</c:v>
                </c:pt>
                <c:pt idx="378">
                  <c:v>33.055636960087476</c:v>
                </c:pt>
                <c:pt idx="379">
                  <c:v>32.938523783488243</c:v>
                </c:pt>
                <c:pt idx="380">
                  <c:v>32.84129032258064</c:v>
                </c:pt>
                <c:pt idx="381">
                  <c:v>32.74317113176599</c:v>
                </c:pt>
                <c:pt idx="382">
                  <c:v>32.706068890103879</c:v>
                </c:pt>
                <c:pt idx="383">
                  <c:v>32.599486057955161</c:v>
                </c:pt>
                <c:pt idx="384">
                  <c:v>32.48365226899945</c:v>
                </c:pt>
                <c:pt idx="385">
                  <c:v>32.359256424275557</c:v>
                </c:pt>
                <c:pt idx="386">
                  <c:v>32.314674685620552</c:v>
                </c:pt>
                <c:pt idx="387">
                  <c:v>32.287217058501916</c:v>
                </c:pt>
                <c:pt idx="388">
                  <c:v>32.197266265718973</c:v>
                </c:pt>
                <c:pt idx="389">
                  <c:v>31.975735374521598</c:v>
                </c:pt>
                <c:pt idx="390">
                  <c:v>31.883422635319846</c:v>
                </c:pt>
                <c:pt idx="391">
                  <c:v>31.802624384909784</c:v>
                </c:pt>
                <c:pt idx="392">
                  <c:v>31.750759978130127</c:v>
                </c:pt>
                <c:pt idx="393">
                  <c:v>31.586112629852376</c:v>
                </c:pt>
                <c:pt idx="394">
                  <c:v>31.512104975396387</c:v>
                </c:pt>
                <c:pt idx="395">
                  <c:v>31.38229633679606</c:v>
                </c:pt>
                <c:pt idx="396">
                  <c:v>31.341749589939855</c:v>
                </c:pt>
                <c:pt idx="397">
                  <c:v>31.238611262985238</c:v>
                </c:pt>
                <c:pt idx="398">
                  <c:v>31.219420448332421</c:v>
                </c:pt>
                <c:pt idx="399">
                  <c:v>31.04542372881356</c:v>
                </c:pt>
                <c:pt idx="400">
                  <c:v>30.971022416621103</c:v>
                </c:pt>
                <c:pt idx="401">
                  <c:v>30.951241115363587</c:v>
                </c:pt>
                <c:pt idx="402">
                  <c:v>30.927523236741386</c:v>
                </c:pt>
                <c:pt idx="403">
                  <c:v>30.847905959540732</c:v>
                </c:pt>
                <c:pt idx="404">
                  <c:v>30.795254237288134</c:v>
                </c:pt>
                <c:pt idx="405">
                  <c:v>30.700579551667577</c:v>
                </c:pt>
                <c:pt idx="406">
                  <c:v>30.665740841990157</c:v>
                </c:pt>
                <c:pt idx="407">
                  <c:v>30.625390924002186</c:v>
                </c:pt>
                <c:pt idx="408">
                  <c:v>30.601082558775285</c:v>
                </c:pt>
                <c:pt idx="409">
                  <c:v>30.579628212137777</c:v>
                </c:pt>
                <c:pt idx="410">
                  <c:v>30.444800437397486</c:v>
                </c:pt>
                <c:pt idx="411">
                  <c:v>30.434171678512847</c:v>
                </c:pt>
                <c:pt idx="412">
                  <c:v>30.423346090759978</c:v>
                </c:pt>
                <c:pt idx="413">
                  <c:v>30.26096227446692</c:v>
                </c:pt>
                <c:pt idx="414">
                  <c:v>30.220513942044832</c:v>
                </c:pt>
                <c:pt idx="415">
                  <c:v>30.217364680153089</c:v>
                </c:pt>
                <c:pt idx="416">
                  <c:v>30.128102788408963</c:v>
                </c:pt>
                <c:pt idx="417">
                  <c:v>29.993570256971022</c:v>
                </c:pt>
                <c:pt idx="418">
                  <c:v>29.84575177692728</c:v>
                </c:pt>
                <c:pt idx="419">
                  <c:v>29.830497539639147</c:v>
                </c:pt>
                <c:pt idx="420">
                  <c:v>29.821935483870966</c:v>
                </c:pt>
                <c:pt idx="421">
                  <c:v>29.714762165117548</c:v>
                </c:pt>
                <c:pt idx="422">
                  <c:v>29.703444505194092</c:v>
                </c:pt>
                <c:pt idx="423">
                  <c:v>29.691930016402406</c:v>
                </c:pt>
                <c:pt idx="424">
                  <c:v>29.641640240568616</c:v>
                </c:pt>
                <c:pt idx="425">
                  <c:v>29.499234554401312</c:v>
                </c:pt>
                <c:pt idx="426">
                  <c:v>29.381038819026788</c:v>
                </c:pt>
                <c:pt idx="427">
                  <c:v>29.373952979770365</c:v>
                </c:pt>
                <c:pt idx="428">
                  <c:v>29.37119737561509</c:v>
                </c:pt>
                <c:pt idx="429">
                  <c:v>29.358206670311645</c:v>
                </c:pt>
                <c:pt idx="430">
                  <c:v>29.259693821760525</c:v>
                </c:pt>
                <c:pt idx="431">
                  <c:v>29.236074357572445</c:v>
                </c:pt>
                <c:pt idx="432">
                  <c:v>29.157539639147075</c:v>
                </c:pt>
                <c:pt idx="433">
                  <c:v>29.048496446145435</c:v>
                </c:pt>
                <c:pt idx="434">
                  <c:v>29.038655002733734</c:v>
                </c:pt>
                <c:pt idx="435">
                  <c:v>29.005095680699835</c:v>
                </c:pt>
                <c:pt idx="436">
                  <c:v>28.990530344450519</c:v>
                </c:pt>
                <c:pt idx="437">
                  <c:v>28.961006014215418</c:v>
                </c:pt>
                <c:pt idx="438">
                  <c:v>28.941618370694368</c:v>
                </c:pt>
                <c:pt idx="439">
                  <c:v>28.88532531437944</c:v>
                </c:pt>
                <c:pt idx="440">
                  <c:v>28.876369600874792</c:v>
                </c:pt>
                <c:pt idx="441">
                  <c:v>28.853143794423183</c:v>
                </c:pt>
                <c:pt idx="442">
                  <c:v>28.850092946965557</c:v>
                </c:pt>
                <c:pt idx="443">
                  <c:v>28.794587206123566</c:v>
                </c:pt>
                <c:pt idx="444">
                  <c:v>28.788288682340074</c:v>
                </c:pt>
                <c:pt idx="445">
                  <c:v>28.775494805904867</c:v>
                </c:pt>
                <c:pt idx="446">
                  <c:v>28.721858939311097</c:v>
                </c:pt>
                <c:pt idx="447">
                  <c:v>28.686429743028974</c:v>
                </c:pt>
                <c:pt idx="448">
                  <c:v>28.632597047566978</c:v>
                </c:pt>
                <c:pt idx="449">
                  <c:v>28.5088901038819</c:v>
                </c:pt>
                <c:pt idx="450">
                  <c:v>28.41864406779661</c:v>
                </c:pt>
                <c:pt idx="451">
                  <c:v>28.388922908693274</c:v>
                </c:pt>
                <c:pt idx="452">
                  <c:v>28.340010934937126</c:v>
                </c:pt>
                <c:pt idx="453">
                  <c:v>28.26226353198469</c:v>
                </c:pt>
                <c:pt idx="454">
                  <c:v>28.121235647895023</c:v>
                </c:pt>
                <c:pt idx="455">
                  <c:v>27.87401858939311</c:v>
                </c:pt>
                <c:pt idx="456">
                  <c:v>27.72</c:v>
                </c:pt>
                <c:pt idx="457">
                  <c:v>27.680338983050849</c:v>
                </c:pt>
                <c:pt idx="458">
                  <c:v>27.648157463094584</c:v>
                </c:pt>
                <c:pt idx="459">
                  <c:v>27.594423182066702</c:v>
                </c:pt>
                <c:pt idx="460">
                  <c:v>27.496992892290869</c:v>
                </c:pt>
                <c:pt idx="461">
                  <c:v>27.441585565882995</c:v>
                </c:pt>
                <c:pt idx="462">
                  <c:v>27.43489338436304</c:v>
                </c:pt>
                <c:pt idx="463">
                  <c:v>27.34966648441771</c:v>
                </c:pt>
                <c:pt idx="464">
                  <c:v>27.296817933296882</c:v>
                </c:pt>
                <c:pt idx="465">
                  <c:v>27.248594860579551</c:v>
                </c:pt>
                <c:pt idx="466">
                  <c:v>27.200765445598687</c:v>
                </c:pt>
                <c:pt idx="467">
                  <c:v>27.167206123564789</c:v>
                </c:pt>
                <c:pt idx="468">
                  <c:v>27.133449972662657</c:v>
                </c:pt>
                <c:pt idx="469">
                  <c:v>27.090738108255877</c:v>
                </c:pt>
                <c:pt idx="470">
                  <c:v>27.070858392564244</c:v>
                </c:pt>
                <c:pt idx="471">
                  <c:v>27.063280481137234</c:v>
                </c:pt>
                <c:pt idx="472">
                  <c:v>27.053242208857299</c:v>
                </c:pt>
                <c:pt idx="473">
                  <c:v>27.039365773646804</c:v>
                </c:pt>
                <c:pt idx="474">
                  <c:v>27.025095680699835</c:v>
                </c:pt>
                <c:pt idx="475">
                  <c:v>26.975986878075449</c:v>
                </c:pt>
                <c:pt idx="476">
                  <c:v>26.967031164570802</c:v>
                </c:pt>
                <c:pt idx="477">
                  <c:v>26.951481683980315</c:v>
                </c:pt>
                <c:pt idx="478">
                  <c:v>26.924614543466372</c:v>
                </c:pt>
                <c:pt idx="479">
                  <c:v>26.899518862766538</c:v>
                </c:pt>
                <c:pt idx="480">
                  <c:v>26.792739201749587</c:v>
                </c:pt>
                <c:pt idx="481">
                  <c:v>26.773154729360304</c:v>
                </c:pt>
                <c:pt idx="482">
                  <c:v>26.771875341716783</c:v>
                </c:pt>
                <c:pt idx="483">
                  <c:v>26.752487698195733</c:v>
                </c:pt>
                <c:pt idx="484">
                  <c:v>26.722569710224164</c:v>
                </c:pt>
                <c:pt idx="485">
                  <c:v>26.700426462547842</c:v>
                </c:pt>
                <c:pt idx="486">
                  <c:v>26.596992892290871</c:v>
                </c:pt>
                <c:pt idx="487">
                  <c:v>26.581443411700381</c:v>
                </c:pt>
                <c:pt idx="488">
                  <c:v>26.515112083105521</c:v>
                </c:pt>
                <c:pt idx="489">
                  <c:v>26.470136686714049</c:v>
                </c:pt>
                <c:pt idx="490">
                  <c:v>26.390519409513395</c:v>
                </c:pt>
                <c:pt idx="491">
                  <c:v>26.377823947512301</c:v>
                </c:pt>
                <c:pt idx="492">
                  <c:v>26.352531437944233</c:v>
                </c:pt>
                <c:pt idx="493">
                  <c:v>26.309032258064516</c:v>
                </c:pt>
                <c:pt idx="494">
                  <c:v>26.277638053581192</c:v>
                </c:pt>
                <c:pt idx="495">
                  <c:v>26.227545106615633</c:v>
                </c:pt>
                <c:pt idx="496">
                  <c:v>26.223116457080373</c:v>
                </c:pt>
                <c:pt idx="497">
                  <c:v>26.018414434117002</c:v>
                </c:pt>
                <c:pt idx="498">
                  <c:v>25.9686167304538</c:v>
                </c:pt>
                <c:pt idx="499">
                  <c:v>25.935943138326955</c:v>
                </c:pt>
                <c:pt idx="500">
                  <c:v>25.891459814106067</c:v>
                </c:pt>
                <c:pt idx="501">
                  <c:v>25.807709130672499</c:v>
                </c:pt>
                <c:pt idx="502">
                  <c:v>25.671109896118097</c:v>
                </c:pt>
                <c:pt idx="503">
                  <c:v>25.580765445598686</c:v>
                </c:pt>
                <c:pt idx="504">
                  <c:v>25.570924002186988</c:v>
                </c:pt>
                <c:pt idx="505">
                  <c:v>25.562558775287041</c:v>
                </c:pt>
                <c:pt idx="506">
                  <c:v>25.541202843083653</c:v>
                </c:pt>
                <c:pt idx="507">
                  <c:v>25.430585019136139</c:v>
                </c:pt>
                <c:pt idx="508">
                  <c:v>25.403619464188079</c:v>
                </c:pt>
                <c:pt idx="509">
                  <c:v>25.401848004373974</c:v>
                </c:pt>
                <c:pt idx="510">
                  <c:v>25.395746309458719</c:v>
                </c:pt>
                <c:pt idx="511">
                  <c:v>25.322033898305083</c:v>
                </c:pt>
                <c:pt idx="512">
                  <c:v>25.242022963367962</c:v>
                </c:pt>
                <c:pt idx="513">
                  <c:v>25.182875888463641</c:v>
                </c:pt>
                <c:pt idx="514">
                  <c:v>25.17697102241662</c:v>
                </c:pt>
                <c:pt idx="515">
                  <c:v>25.164570803717879</c:v>
                </c:pt>
                <c:pt idx="516">
                  <c:v>25.134455986878073</c:v>
                </c:pt>
                <c:pt idx="517">
                  <c:v>25.105423728813555</c:v>
                </c:pt>
                <c:pt idx="518">
                  <c:v>25.07580098414434</c:v>
                </c:pt>
                <c:pt idx="519">
                  <c:v>24.995888463641332</c:v>
                </c:pt>
                <c:pt idx="520">
                  <c:v>24.958392564242754</c:v>
                </c:pt>
                <c:pt idx="521">
                  <c:v>24.954455986878074</c:v>
                </c:pt>
                <c:pt idx="522">
                  <c:v>24.948551120831056</c:v>
                </c:pt>
                <c:pt idx="523">
                  <c:v>24.892356478950244</c:v>
                </c:pt>
                <c:pt idx="524">
                  <c:v>24.859486057955166</c:v>
                </c:pt>
                <c:pt idx="525">
                  <c:v>24.826812465828322</c:v>
                </c:pt>
                <c:pt idx="526">
                  <c:v>24.82484417714598</c:v>
                </c:pt>
                <c:pt idx="527">
                  <c:v>24.764417714598139</c:v>
                </c:pt>
                <c:pt idx="528">
                  <c:v>24.753985784581737</c:v>
                </c:pt>
                <c:pt idx="529">
                  <c:v>24.680667031164568</c:v>
                </c:pt>
                <c:pt idx="530">
                  <c:v>24.670727173318753</c:v>
                </c:pt>
                <c:pt idx="531">
                  <c:v>24.628212137780206</c:v>
                </c:pt>
                <c:pt idx="532">
                  <c:v>24.563455440131218</c:v>
                </c:pt>
                <c:pt idx="533">
                  <c:v>24.547905959540731</c:v>
                </c:pt>
                <c:pt idx="534">
                  <c:v>24.540524876981955</c:v>
                </c:pt>
                <c:pt idx="535">
                  <c:v>24.480492072170584</c:v>
                </c:pt>
                <c:pt idx="536">
                  <c:v>24.477933296883542</c:v>
                </c:pt>
                <c:pt idx="537">
                  <c:v>24.440634226353197</c:v>
                </c:pt>
                <c:pt idx="538">
                  <c:v>24.424395844723893</c:v>
                </c:pt>
                <c:pt idx="539">
                  <c:v>24.395265172225258</c:v>
                </c:pt>
                <c:pt idx="540">
                  <c:v>24.359442318206668</c:v>
                </c:pt>
                <c:pt idx="541">
                  <c:v>24.284253690541277</c:v>
                </c:pt>
                <c:pt idx="542">
                  <c:v>24.270180426462549</c:v>
                </c:pt>
                <c:pt idx="543">
                  <c:v>24.156216511755058</c:v>
                </c:pt>
                <c:pt idx="544">
                  <c:v>24.135155822854017</c:v>
                </c:pt>
                <c:pt idx="545">
                  <c:v>24.133581191908146</c:v>
                </c:pt>
                <c:pt idx="546">
                  <c:v>24.067643521049753</c:v>
                </c:pt>
                <c:pt idx="547">
                  <c:v>24.062525970475669</c:v>
                </c:pt>
                <c:pt idx="548">
                  <c:v>24.023061782394752</c:v>
                </c:pt>
                <c:pt idx="549">
                  <c:v>24.020404592673589</c:v>
                </c:pt>
                <c:pt idx="550">
                  <c:v>23.92326954620011</c:v>
                </c:pt>
                <c:pt idx="551">
                  <c:v>23.917364680153089</c:v>
                </c:pt>
                <c:pt idx="552">
                  <c:v>23.916380535811918</c:v>
                </c:pt>
                <c:pt idx="553">
                  <c:v>23.898961180973206</c:v>
                </c:pt>
                <c:pt idx="554">
                  <c:v>23.837747402952434</c:v>
                </c:pt>
                <c:pt idx="555">
                  <c:v>23.71531984691088</c:v>
                </c:pt>
                <c:pt idx="556">
                  <c:v>23.580098414434119</c:v>
                </c:pt>
                <c:pt idx="557">
                  <c:v>23.554313832695463</c:v>
                </c:pt>
                <c:pt idx="558">
                  <c:v>23.531088026243847</c:v>
                </c:pt>
                <c:pt idx="559">
                  <c:v>23.456489885183156</c:v>
                </c:pt>
                <c:pt idx="560">
                  <c:v>23.39065062875888</c:v>
                </c:pt>
                <c:pt idx="561">
                  <c:v>23.359846910880261</c:v>
                </c:pt>
                <c:pt idx="562">
                  <c:v>23.339573537452157</c:v>
                </c:pt>
                <c:pt idx="563">
                  <c:v>23.333176599234552</c:v>
                </c:pt>
                <c:pt idx="564">
                  <c:v>23.319989065062874</c:v>
                </c:pt>
                <c:pt idx="565">
                  <c:v>23.289480590486605</c:v>
                </c:pt>
                <c:pt idx="566">
                  <c:v>23.27609622744669</c:v>
                </c:pt>
                <c:pt idx="567">
                  <c:v>23.26468015308912</c:v>
                </c:pt>
                <c:pt idx="568">
                  <c:v>23.235155822854018</c:v>
                </c:pt>
                <c:pt idx="569">
                  <c:v>23.195691634773102</c:v>
                </c:pt>
                <c:pt idx="570">
                  <c:v>23.125325314379442</c:v>
                </c:pt>
                <c:pt idx="571">
                  <c:v>23.096489885183157</c:v>
                </c:pt>
                <c:pt idx="572">
                  <c:v>23.0446254784035</c:v>
                </c:pt>
                <c:pt idx="573">
                  <c:v>23.002504100601421</c:v>
                </c:pt>
                <c:pt idx="574">
                  <c:v>22.9821323127392</c:v>
                </c:pt>
                <c:pt idx="575">
                  <c:v>22.920328048113724</c:v>
                </c:pt>
                <c:pt idx="576">
                  <c:v>22.886571897211589</c:v>
                </c:pt>
                <c:pt idx="577">
                  <c:v>22.816402405686169</c:v>
                </c:pt>
                <c:pt idx="578">
                  <c:v>22.771427009294698</c:v>
                </c:pt>
                <c:pt idx="579">
                  <c:v>22.51141607435757</c:v>
                </c:pt>
                <c:pt idx="580">
                  <c:v>22.502558775287042</c:v>
                </c:pt>
                <c:pt idx="581">
                  <c:v>22.450792782941498</c:v>
                </c:pt>
                <c:pt idx="582">
                  <c:v>22.400699835975942</c:v>
                </c:pt>
                <c:pt idx="583">
                  <c:v>22.397353745215963</c:v>
                </c:pt>
                <c:pt idx="584">
                  <c:v>22.298840896664846</c:v>
                </c:pt>
                <c:pt idx="585">
                  <c:v>22.272761071623837</c:v>
                </c:pt>
                <c:pt idx="586">
                  <c:v>22.255243302351012</c:v>
                </c:pt>
                <c:pt idx="587">
                  <c:v>22.192454893384362</c:v>
                </c:pt>
                <c:pt idx="588">
                  <c:v>22.173756150902129</c:v>
                </c:pt>
                <c:pt idx="589">
                  <c:v>22.143444505194093</c:v>
                </c:pt>
                <c:pt idx="590">
                  <c:v>22.113034445051941</c:v>
                </c:pt>
                <c:pt idx="591">
                  <c:v>22.064417714598139</c:v>
                </c:pt>
                <c:pt idx="592">
                  <c:v>22.023674138873698</c:v>
                </c:pt>
                <c:pt idx="593">
                  <c:v>22.019245489338434</c:v>
                </c:pt>
                <c:pt idx="594">
                  <c:v>21.991197375615091</c:v>
                </c:pt>
                <c:pt idx="595">
                  <c:v>21.961180973209405</c:v>
                </c:pt>
                <c:pt idx="596">
                  <c:v>21.935494805904867</c:v>
                </c:pt>
                <c:pt idx="597">
                  <c:v>21.921323127392018</c:v>
                </c:pt>
                <c:pt idx="598">
                  <c:v>21.830585019136141</c:v>
                </c:pt>
                <c:pt idx="599">
                  <c:v>21.817594313832696</c:v>
                </c:pt>
                <c:pt idx="600">
                  <c:v>21.797616183706943</c:v>
                </c:pt>
                <c:pt idx="601">
                  <c:v>21.796632039365772</c:v>
                </c:pt>
                <c:pt idx="602">
                  <c:v>21.7950574084199</c:v>
                </c:pt>
                <c:pt idx="603">
                  <c:v>21.764942591580098</c:v>
                </c:pt>
                <c:pt idx="604">
                  <c:v>21.70805904866047</c:v>
                </c:pt>
                <c:pt idx="605">
                  <c:v>21.707271733187532</c:v>
                </c:pt>
                <c:pt idx="606">
                  <c:v>21.604330235101148</c:v>
                </c:pt>
                <c:pt idx="607">
                  <c:v>21.591930016402408</c:v>
                </c:pt>
                <c:pt idx="608">
                  <c:v>21.575593220338984</c:v>
                </c:pt>
                <c:pt idx="609">
                  <c:v>21.56260251503554</c:v>
                </c:pt>
                <c:pt idx="610">
                  <c:v>21.561913613996719</c:v>
                </c:pt>
                <c:pt idx="611">
                  <c:v>21.504931656642974</c:v>
                </c:pt>
                <c:pt idx="612">
                  <c:v>21.457594313832693</c:v>
                </c:pt>
                <c:pt idx="613">
                  <c:v>21.440765445598689</c:v>
                </c:pt>
                <c:pt idx="614">
                  <c:v>21.416653909240022</c:v>
                </c:pt>
                <c:pt idx="615">
                  <c:v>21.322274466921815</c:v>
                </c:pt>
                <c:pt idx="616">
                  <c:v>21.298261344997265</c:v>
                </c:pt>
                <c:pt idx="617">
                  <c:v>21.283892837616182</c:v>
                </c:pt>
                <c:pt idx="618">
                  <c:v>21.275429196282122</c:v>
                </c:pt>
                <c:pt idx="619">
                  <c:v>21.272476763258613</c:v>
                </c:pt>
                <c:pt idx="620">
                  <c:v>21.236850738108256</c:v>
                </c:pt>
                <c:pt idx="621">
                  <c:v>21.188332422088571</c:v>
                </c:pt>
                <c:pt idx="622">
                  <c:v>21.184199015855658</c:v>
                </c:pt>
                <c:pt idx="623">
                  <c:v>21.146703116457079</c:v>
                </c:pt>
                <c:pt idx="624">
                  <c:v>21.112651722252597</c:v>
                </c:pt>
                <c:pt idx="625">
                  <c:v>21.10438490978677</c:v>
                </c:pt>
                <c:pt idx="626">
                  <c:v>21.09641334062329</c:v>
                </c:pt>
                <c:pt idx="627">
                  <c:v>21.048977583378896</c:v>
                </c:pt>
                <c:pt idx="628">
                  <c:v>21.020831055221432</c:v>
                </c:pt>
                <c:pt idx="629">
                  <c:v>21.006068890103879</c:v>
                </c:pt>
                <c:pt idx="630">
                  <c:v>20.986189174412246</c:v>
                </c:pt>
                <c:pt idx="631">
                  <c:v>20.923597594313833</c:v>
                </c:pt>
                <c:pt idx="632">
                  <c:v>20.919267359212682</c:v>
                </c:pt>
                <c:pt idx="633">
                  <c:v>20.865041006014216</c:v>
                </c:pt>
                <c:pt idx="634">
                  <c:v>20.739759431383266</c:v>
                </c:pt>
                <c:pt idx="635">
                  <c:v>20.71997813012575</c:v>
                </c:pt>
                <c:pt idx="636">
                  <c:v>20.699409513395299</c:v>
                </c:pt>
                <c:pt idx="637">
                  <c:v>20.678840896664845</c:v>
                </c:pt>
                <c:pt idx="638">
                  <c:v>20.677266265718973</c:v>
                </c:pt>
                <c:pt idx="639">
                  <c:v>20.647348277747401</c:v>
                </c:pt>
                <c:pt idx="640">
                  <c:v>20.582985237834883</c:v>
                </c:pt>
                <c:pt idx="641">
                  <c:v>20.556806998359761</c:v>
                </c:pt>
                <c:pt idx="642">
                  <c:v>20.452979770366319</c:v>
                </c:pt>
                <c:pt idx="643">
                  <c:v>20.352498633132857</c:v>
                </c:pt>
                <c:pt idx="644">
                  <c:v>20.323958447238926</c:v>
                </c:pt>
                <c:pt idx="645">
                  <c:v>20.309393110989614</c:v>
                </c:pt>
                <c:pt idx="646">
                  <c:v>20.27790049207217</c:v>
                </c:pt>
                <c:pt idx="647">
                  <c:v>20.252903225806453</c:v>
                </c:pt>
                <c:pt idx="648">
                  <c:v>20.244931656642976</c:v>
                </c:pt>
                <c:pt idx="649">
                  <c:v>20.236172772006562</c:v>
                </c:pt>
                <c:pt idx="650">
                  <c:v>20.177124111536358</c:v>
                </c:pt>
                <c:pt idx="651">
                  <c:v>20.170825587752869</c:v>
                </c:pt>
                <c:pt idx="652">
                  <c:v>20.157047566976487</c:v>
                </c:pt>
                <c:pt idx="653">
                  <c:v>20.141301257517771</c:v>
                </c:pt>
                <c:pt idx="654">
                  <c:v>20.14002186987425</c:v>
                </c:pt>
                <c:pt idx="655">
                  <c:v>20.132148715144886</c:v>
                </c:pt>
                <c:pt idx="656">
                  <c:v>20.106364133406231</c:v>
                </c:pt>
                <c:pt idx="657">
                  <c:v>20.047413887370148</c:v>
                </c:pt>
                <c:pt idx="658">
                  <c:v>20.047315472936031</c:v>
                </c:pt>
                <c:pt idx="659">
                  <c:v>19.968879168944778</c:v>
                </c:pt>
                <c:pt idx="660">
                  <c:v>19.9163258611263</c:v>
                </c:pt>
                <c:pt idx="661">
                  <c:v>19.910716238381628</c:v>
                </c:pt>
                <c:pt idx="662">
                  <c:v>19.896839803171133</c:v>
                </c:pt>
                <c:pt idx="663">
                  <c:v>19.889261891744123</c:v>
                </c:pt>
                <c:pt idx="664">
                  <c:v>19.828048113723348</c:v>
                </c:pt>
                <c:pt idx="665">
                  <c:v>19.802066703116456</c:v>
                </c:pt>
                <c:pt idx="666">
                  <c:v>19.795866593767084</c:v>
                </c:pt>
                <c:pt idx="667">
                  <c:v>19.647851284855111</c:v>
                </c:pt>
                <c:pt idx="668">
                  <c:v>19.630628758884637</c:v>
                </c:pt>
                <c:pt idx="669">
                  <c:v>19.629644614543466</c:v>
                </c:pt>
                <c:pt idx="670">
                  <c:v>19.629152542372879</c:v>
                </c:pt>
                <c:pt idx="671">
                  <c:v>19.609075997813012</c:v>
                </c:pt>
                <c:pt idx="672">
                  <c:v>19.588212137780207</c:v>
                </c:pt>
                <c:pt idx="673">
                  <c:v>19.574434117003829</c:v>
                </c:pt>
                <c:pt idx="674">
                  <c:v>19.570595954073262</c:v>
                </c:pt>
                <c:pt idx="675">
                  <c:v>19.56803717878622</c:v>
                </c:pt>
                <c:pt idx="676">
                  <c:v>19.559770366320393</c:v>
                </c:pt>
                <c:pt idx="677">
                  <c:v>19.467457627118641</c:v>
                </c:pt>
                <c:pt idx="678">
                  <c:v>19.461946418808093</c:v>
                </c:pt>
                <c:pt idx="679">
                  <c:v>19.446003280481136</c:v>
                </c:pt>
                <c:pt idx="680">
                  <c:v>19.420415527610714</c:v>
                </c:pt>
                <c:pt idx="681">
                  <c:v>19.41539639147075</c:v>
                </c:pt>
                <c:pt idx="682">
                  <c:v>19.375144887916893</c:v>
                </c:pt>
                <c:pt idx="683">
                  <c:v>19.368747949699291</c:v>
                </c:pt>
                <c:pt idx="684">
                  <c:v>19.343160196828869</c:v>
                </c:pt>
                <c:pt idx="685">
                  <c:v>19.292181519956262</c:v>
                </c:pt>
                <c:pt idx="686">
                  <c:v>19.282438490978677</c:v>
                </c:pt>
                <c:pt idx="687">
                  <c:v>19.215418261344997</c:v>
                </c:pt>
                <c:pt idx="688">
                  <c:v>19.188255877528704</c:v>
                </c:pt>
                <c:pt idx="689">
                  <c:v>19.170344450519408</c:v>
                </c:pt>
                <c:pt idx="690">
                  <c:v>19.072323674138872</c:v>
                </c:pt>
                <c:pt idx="691">
                  <c:v>19.053034445051939</c:v>
                </c:pt>
                <c:pt idx="692">
                  <c:v>19.048605795516675</c:v>
                </c:pt>
                <c:pt idx="693">
                  <c:v>19.037386550027339</c:v>
                </c:pt>
                <c:pt idx="694">
                  <c:v>19.03098961180973</c:v>
                </c:pt>
                <c:pt idx="695">
                  <c:v>19.017900492072172</c:v>
                </c:pt>
                <c:pt idx="696">
                  <c:v>18.99615090213231</c:v>
                </c:pt>
                <c:pt idx="697">
                  <c:v>18.929917987971567</c:v>
                </c:pt>
                <c:pt idx="698">
                  <c:v>18.876971022416623</c:v>
                </c:pt>
                <c:pt idx="699">
                  <c:v>18.675615090213231</c:v>
                </c:pt>
                <c:pt idx="700">
                  <c:v>18.673056314926189</c:v>
                </c:pt>
                <c:pt idx="701">
                  <c:v>18.659573537452161</c:v>
                </c:pt>
                <c:pt idx="702">
                  <c:v>18.647763805358117</c:v>
                </c:pt>
                <c:pt idx="703">
                  <c:v>18.631820667031164</c:v>
                </c:pt>
                <c:pt idx="704">
                  <c:v>18.617452159650082</c:v>
                </c:pt>
                <c:pt idx="705">
                  <c:v>18.592258064516127</c:v>
                </c:pt>
                <c:pt idx="706">
                  <c:v>18.586451612903225</c:v>
                </c:pt>
                <c:pt idx="707">
                  <c:v>18.546298523783488</c:v>
                </c:pt>
                <c:pt idx="708">
                  <c:v>18.524056861673046</c:v>
                </c:pt>
                <c:pt idx="709">
                  <c:v>18.488430836522689</c:v>
                </c:pt>
                <c:pt idx="710">
                  <c:v>18.478097320940403</c:v>
                </c:pt>
                <c:pt idx="711">
                  <c:v>18.471995626025151</c:v>
                </c:pt>
                <c:pt idx="712">
                  <c:v>18.439026790595953</c:v>
                </c:pt>
                <c:pt idx="713">
                  <c:v>18.418851831601966</c:v>
                </c:pt>
                <c:pt idx="714">
                  <c:v>18.398775287042099</c:v>
                </c:pt>
                <c:pt idx="715">
                  <c:v>18.342285401858938</c:v>
                </c:pt>
                <c:pt idx="716">
                  <c:v>18.335986878075449</c:v>
                </c:pt>
                <c:pt idx="717">
                  <c:v>18.319945325314382</c:v>
                </c:pt>
                <c:pt idx="718">
                  <c:v>18.315319846910878</c:v>
                </c:pt>
                <c:pt idx="719">
                  <c:v>18.29425915800984</c:v>
                </c:pt>
                <c:pt idx="720">
                  <c:v>18.268277747402951</c:v>
                </c:pt>
                <c:pt idx="721">
                  <c:v>18.22359759431383</c:v>
                </c:pt>
                <c:pt idx="722">
                  <c:v>18.21572443958447</c:v>
                </c:pt>
                <c:pt idx="723">
                  <c:v>18.206079825041005</c:v>
                </c:pt>
                <c:pt idx="724">
                  <c:v>18.193285948605794</c:v>
                </c:pt>
                <c:pt idx="725">
                  <c:v>18.136107162383816</c:v>
                </c:pt>
                <c:pt idx="726">
                  <c:v>18.098808091853471</c:v>
                </c:pt>
                <c:pt idx="727">
                  <c:v>18.074696555494807</c:v>
                </c:pt>
                <c:pt idx="728">
                  <c:v>18.048911973756152</c:v>
                </c:pt>
                <c:pt idx="729">
                  <c:v>18.037889557135045</c:v>
                </c:pt>
                <c:pt idx="730">
                  <c:v>18.016632039365771</c:v>
                </c:pt>
                <c:pt idx="731">
                  <c:v>17.975593220338983</c:v>
                </c:pt>
                <c:pt idx="732">
                  <c:v>17.825904866047019</c:v>
                </c:pt>
                <c:pt idx="733">
                  <c:v>17.803466375068343</c:v>
                </c:pt>
                <c:pt idx="734">
                  <c:v>17.793428102788411</c:v>
                </c:pt>
                <c:pt idx="735">
                  <c:v>17.673165664297429</c:v>
                </c:pt>
                <c:pt idx="736">
                  <c:v>17.658206670311642</c:v>
                </c:pt>
                <c:pt idx="737">
                  <c:v>17.647381082558773</c:v>
                </c:pt>
                <c:pt idx="738">
                  <c:v>17.60358665937671</c:v>
                </c:pt>
                <c:pt idx="739">
                  <c:v>17.58055768179333</c:v>
                </c:pt>
                <c:pt idx="740">
                  <c:v>17.536664844177142</c:v>
                </c:pt>
                <c:pt idx="741">
                  <c:v>17.512651722252595</c:v>
                </c:pt>
                <c:pt idx="742">
                  <c:v>17.489524330235099</c:v>
                </c:pt>
                <c:pt idx="743">
                  <c:v>17.436183706943684</c:v>
                </c:pt>
                <c:pt idx="744">
                  <c:v>17.436085292509567</c:v>
                </c:pt>
                <c:pt idx="745">
                  <c:v>17.426932750136686</c:v>
                </c:pt>
                <c:pt idx="746">
                  <c:v>17.399770366320393</c:v>
                </c:pt>
                <c:pt idx="747">
                  <c:v>17.322515035538547</c:v>
                </c:pt>
                <c:pt idx="748">
                  <c:v>17.312378348824495</c:v>
                </c:pt>
                <c:pt idx="749">
                  <c:v>17.286101694915253</c:v>
                </c:pt>
                <c:pt idx="750">
                  <c:v>17.281673045379986</c:v>
                </c:pt>
                <c:pt idx="751">
                  <c:v>17.271241115363583</c:v>
                </c:pt>
                <c:pt idx="752">
                  <c:v>17.249589939857845</c:v>
                </c:pt>
                <c:pt idx="753">
                  <c:v>17.213471842536904</c:v>
                </c:pt>
                <c:pt idx="754">
                  <c:v>17.189261891744124</c:v>
                </c:pt>
                <c:pt idx="755">
                  <c:v>17.182963367960635</c:v>
                </c:pt>
                <c:pt idx="756">
                  <c:v>17.154127938764351</c:v>
                </c:pt>
                <c:pt idx="757">
                  <c:v>17.147927829414979</c:v>
                </c:pt>
                <c:pt idx="758">
                  <c:v>17.14133406232914</c:v>
                </c:pt>
                <c:pt idx="759">
                  <c:v>17.108168398031712</c:v>
                </c:pt>
                <c:pt idx="760">
                  <c:v>17.065948605795516</c:v>
                </c:pt>
                <c:pt idx="761">
                  <c:v>17.051186440677967</c:v>
                </c:pt>
                <c:pt idx="762">
                  <c:v>17.01624931656643</c:v>
                </c:pt>
                <c:pt idx="763">
                  <c:v>16.954445051940951</c:v>
                </c:pt>
                <c:pt idx="764">
                  <c:v>16.924920721705853</c:v>
                </c:pt>
                <c:pt idx="765">
                  <c:v>16.923641334062328</c:v>
                </c:pt>
                <c:pt idx="766">
                  <c:v>16.895888463641331</c:v>
                </c:pt>
                <c:pt idx="767">
                  <c:v>16.853767085839255</c:v>
                </c:pt>
                <c:pt idx="768">
                  <c:v>16.780546746856203</c:v>
                </c:pt>
                <c:pt idx="769">
                  <c:v>16.73045379989065</c:v>
                </c:pt>
                <c:pt idx="770">
                  <c:v>16.72159650082012</c:v>
                </c:pt>
                <c:pt idx="771">
                  <c:v>16.644636413340624</c:v>
                </c:pt>
                <c:pt idx="772">
                  <c:v>16.593952979770364</c:v>
                </c:pt>
                <c:pt idx="773">
                  <c:v>16.577714598141061</c:v>
                </c:pt>
                <c:pt idx="774">
                  <c:v>16.56915254237288</c:v>
                </c:pt>
                <c:pt idx="775">
                  <c:v>16.563542919628212</c:v>
                </c:pt>
                <c:pt idx="776">
                  <c:v>16.516796063422635</c:v>
                </c:pt>
                <c:pt idx="777">
                  <c:v>16.487566976489884</c:v>
                </c:pt>
                <c:pt idx="778">
                  <c:v>16.460503007107707</c:v>
                </c:pt>
                <c:pt idx="779">
                  <c:v>16.460306178239474</c:v>
                </c:pt>
                <c:pt idx="780">
                  <c:v>16.404406779661016</c:v>
                </c:pt>
                <c:pt idx="781">
                  <c:v>16.395943138326952</c:v>
                </c:pt>
                <c:pt idx="782">
                  <c:v>16.391416074357572</c:v>
                </c:pt>
                <c:pt idx="783">
                  <c:v>16.389546200109351</c:v>
                </c:pt>
                <c:pt idx="784">
                  <c:v>16.38492072170585</c:v>
                </c:pt>
                <c:pt idx="785">
                  <c:v>16.381476216511754</c:v>
                </c:pt>
                <c:pt idx="786">
                  <c:v>16.352640787315472</c:v>
                </c:pt>
                <c:pt idx="787">
                  <c:v>16.346539092400217</c:v>
                </c:pt>
                <c:pt idx="788">
                  <c:v>16.280306178239474</c:v>
                </c:pt>
                <c:pt idx="789">
                  <c:v>16.278928376161836</c:v>
                </c:pt>
                <c:pt idx="790">
                  <c:v>16.269185347184255</c:v>
                </c:pt>
                <c:pt idx="791">
                  <c:v>16.214270092946965</c:v>
                </c:pt>
                <c:pt idx="792">
                  <c:v>16.19311098961181</c:v>
                </c:pt>
                <c:pt idx="793">
                  <c:v>16.185631492618917</c:v>
                </c:pt>
                <c:pt idx="794">
                  <c:v>16.179332968835428</c:v>
                </c:pt>
                <c:pt idx="795">
                  <c:v>16.173526517222527</c:v>
                </c:pt>
                <c:pt idx="796">
                  <c:v>16.032695462001094</c:v>
                </c:pt>
                <c:pt idx="797">
                  <c:v>15.997856752323674</c:v>
                </c:pt>
                <c:pt idx="798">
                  <c:v>15.954652815746309</c:v>
                </c:pt>
                <c:pt idx="799">
                  <c:v>15.948452706396939</c:v>
                </c:pt>
                <c:pt idx="800">
                  <c:v>15.863225806451613</c:v>
                </c:pt>
                <c:pt idx="801">
                  <c:v>15.858600328048114</c:v>
                </c:pt>
                <c:pt idx="802">
                  <c:v>15.822383816293057</c:v>
                </c:pt>
                <c:pt idx="803">
                  <c:v>15.793253143794422</c:v>
                </c:pt>
                <c:pt idx="804">
                  <c:v>15.766189174412245</c:v>
                </c:pt>
                <c:pt idx="805">
                  <c:v>15.742963367960634</c:v>
                </c:pt>
                <c:pt idx="806">
                  <c:v>15.726429743028977</c:v>
                </c:pt>
                <c:pt idx="807">
                  <c:v>15.704286495352651</c:v>
                </c:pt>
                <c:pt idx="808">
                  <c:v>15.679190814652816</c:v>
                </c:pt>
                <c:pt idx="809">
                  <c:v>15.674663750683433</c:v>
                </c:pt>
                <c:pt idx="810">
                  <c:v>15.641399671951886</c:v>
                </c:pt>
                <c:pt idx="811">
                  <c:v>15.574477856752324</c:v>
                </c:pt>
                <c:pt idx="812">
                  <c:v>15.535800984144339</c:v>
                </c:pt>
                <c:pt idx="813">
                  <c:v>15.530683433570257</c:v>
                </c:pt>
                <c:pt idx="814">
                  <c:v>15.446932750136686</c:v>
                </c:pt>
                <c:pt idx="815">
                  <c:v>15.417408419901586</c:v>
                </c:pt>
                <c:pt idx="816">
                  <c:v>15.411109896118097</c:v>
                </c:pt>
                <c:pt idx="817">
                  <c:v>15.396052487698196</c:v>
                </c:pt>
                <c:pt idx="818">
                  <c:v>15.357867687260798</c:v>
                </c:pt>
                <c:pt idx="819">
                  <c:v>15.350978676872607</c:v>
                </c:pt>
                <c:pt idx="820">
                  <c:v>15.341137233460907</c:v>
                </c:pt>
                <c:pt idx="821">
                  <c:v>15.335429196282121</c:v>
                </c:pt>
                <c:pt idx="822">
                  <c:v>15.321651175505741</c:v>
                </c:pt>
                <c:pt idx="823">
                  <c:v>15.319190814652815</c:v>
                </c:pt>
                <c:pt idx="824">
                  <c:v>15.31249863313286</c:v>
                </c:pt>
                <c:pt idx="825">
                  <c:v>15.204636413340623</c:v>
                </c:pt>
                <c:pt idx="826">
                  <c:v>15.198534718425369</c:v>
                </c:pt>
                <c:pt idx="827">
                  <c:v>15.19154729360306</c:v>
                </c:pt>
                <c:pt idx="828">
                  <c:v>15.177277200656095</c:v>
                </c:pt>
                <c:pt idx="829">
                  <c:v>15.170092946965555</c:v>
                </c:pt>
                <c:pt idx="830">
                  <c:v>15.125511208310551</c:v>
                </c:pt>
                <c:pt idx="831">
                  <c:v>15.116063422635319</c:v>
                </c:pt>
                <c:pt idx="832">
                  <c:v>15.108190267905959</c:v>
                </c:pt>
                <c:pt idx="833">
                  <c:v>15.106615636960086</c:v>
                </c:pt>
                <c:pt idx="834">
                  <c:v>15.102482230727173</c:v>
                </c:pt>
                <c:pt idx="835">
                  <c:v>15.099037725533078</c:v>
                </c:pt>
                <c:pt idx="836">
                  <c:v>15.08614543466375</c:v>
                </c:pt>
                <c:pt idx="837">
                  <c:v>15.077484964461453</c:v>
                </c:pt>
                <c:pt idx="838">
                  <c:v>15.064986331328594</c:v>
                </c:pt>
                <c:pt idx="839">
                  <c:v>15.038611262985238</c:v>
                </c:pt>
                <c:pt idx="840">
                  <c:v>15.029753963914708</c:v>
                </c:pt>
                <c:pt idx="841">
                  <c:v>14.963717878622198</c:v>
                </c:pt>
                <c:pt idx="842">
                  <c:v>14.962438490978677</c:v>
                </c:pt>
                <c:pt idx="843">
                  <c:v>14.959879715691635</c:v>
                </c:pt>
                <c:pt idx="844">
                  <c:v>14.953187534171679</c:v>
                </c:pt>
                <c:pt idx="845">
                  <c:v>14.93271733187534</c:v>
                </c:pt>
                <c:pt idx="846">
                  <c:v>14.927501366867139</c:v>
                </c:pt>
                <c:pt idx="847">
                  <c:v>14.925041006014215</c:v>
                </c:pt>
                <c:pt idx="848">
                  <c:v>14.918053581191907</c:v>
                </c:pt>
                <c:pt idx="849">
                  <c:v>14.904177145981409</c:v>
                </c:pt>
                <c:pt idx="850">
                  <c:v>14.867370147621651</c:v>
                </c:pt>
                <c:pt idx="851">
                  <c:v>14.820229633679606</c:v>
                </c:pt>
                <c:pt idx="852">
                  <c:v>14.759212684527064</c:v>
                </c:pt>
                <c:pt idx="853">
                  <c:v>14.747009294696555</c:v>
                </c:pt>
                <c:pt idx="854">
                  <c:v>14.715024603608528</c:v>
                </c:pt>
                <c:pt idx="855">
                  <c:v>14.699278294149808</c:v>
                </c:pt>
                <c:pt idx="856">
                  <c:v>14.669557135046475</c:v>
                </c:pt>
                <c:pt idx="857">
                  <c:v>14.667785675232366</c:v>
                </c:pt>
                <c:pt idx="858">
                  <c:v>14.660306178239475</c:v>
                </c:pt>
                <c:pt idx="859">
                  <c:v>14.655483870967743</c:v>
                </c:pt>
                <c:pt idx="860">
                  <c:v>14.630781848004373</c:v>
                </c:pt>
                <c:pt idx="861">
                  <c:v>14.63058501913614</c:v>
                </c:pt>
                <c:pt idx="862">
                  <c:v>14.618480043739748</c:v>
                </c:pt>
                <c:pt idx="863">
                  <c:v>14.598797156916348</c:v>
                </c:pt>
                <c:pt idx="864">
                  <c:v>14.535811919081464</c:v>
                </c:pt>
                <c:pt idx="865">
                  <c:v>14.525084745762712</c:v>
                </c:pt>
                <c:pt idx="866">
                  <c:v>14.452848551120832</c:v>
                </c:pt>
                <c:pt idx="867">
                  <c:v>14.441235647895024</c:v>
                </c:pt>
                <c:pt idx="868">
                  <c:v>14.440153089119738</c:v>
                </c:pt>
                <c:pt idx="869">
                  <c:v>14.36978676872608</c:v>
                </c:pt>
                <c:pt idx="870">
                  <c:v>14.339376708583924</c:v>
                </c:pt>
                <c:pt idx="871">
                  <c:v>14.312804811372335</c:v>
                </c:pt>
                <c:pt idx="872">
                  <c:v>14.310836522689993</c:v>
                </c:pt>
                <c:pt idx="873">
                  <c:v>14.303357025697101</c:v>
                </c:pt>
                <c:pt idx="874">
                  <c:v>14.212126845270639</c:v>
                </c:pt>
                <c:pt idx="875">
                  <c:v>14.204647348277748</c:v>
                </c:pt>
                <c:pt idx="876">
                  <c:v>14.126407873154728</c:v>
                </c:pt>
                <c:pt idx="877">
                  <c:v>14.102985237834881</c:v>
                </c:pt>
                <c:pt idx="878">
                  <c:v>14.102591580098414</c:v>
                </c:pt>
                <c:pt idx="879">
                  <c:v>13.983903772553306</c:v>
                </c:pt>
                <c:pt idx="880">
                  <c:v>13.975243302351011</c:v>
                </c:pt>
                <c:pt idx="881">
                  <c:v>13.940896664844177</c:v>
                </c:pt>
                <c:pt idx="882">
                  <c:v>13.870924002186987</c:v>
                </c:pt>
                <c:pt idx="883">
                  <c:v>13.866593767085838</c:v>
                </c:pt>
                <c:pt idx="884">
                  <c:v>13.865314379442317</c:v>
                </c:pt>
                <c:pt idx="885">
                  <c:v>13.864527063969382</c:v>
                </c:pt>
                <c:pt idx="886">
                  <c:v>13.856752323674138</c:v>
                </c:pt>
                <c:pt idx="887">
                  <c:v>13.830180426462547</c:v>
                </c:pt>
                <c:pt idx="888">
                  <c:v>13.777430289775833</c:v>
                </c:pt>
                <c:pt idx="889">
                  <c:v>13.724778567523236</c:v>
                </c:pt>
                <c:pt idx="890">
                  <c:v>13.697813012575176</c:v>
                </c:pt>
                <c:pt idx="891">
                  <c:v>13.663367960634226</c:v>
                </c:pt>
                <c:pt idx="892">
                  <c:v>13.638567523236741</c:v>
                </c:pt>
                <c:pt idx="893">
                  <c:v>13.605598687807545</c:v>
                </c:pt>
                <c:pt idx="894">
                  <c:v>13.5387752870421</c:v>
                </c:pt>
                <c:pt idx="895">
                  <c:v>13.476577364680152</c:v>
                </c:pt>
                <c:pt idx="896">
                  <c:v>13.434357572443957</c:v>
                </c:pt>
                <c:pt idx="897">
                  <c:v>13.416052487698195</c:v>
                </c:pt>
                <c:pt idx="898">
                  <c:v>13.415265172225258</c:v>
                </c:pt>
                <c:pt idx="899">
                  <c:v>13.40601421541826</c:v>
                </c:pt>
                <c:pt idx="900">
                  <c:v>13.394598141060689</c:v>
                </c:pt>
                <c:pt idx="901">
                  <c:v>13.380623291416073</c:v>
                </c:pt>
                <c:pt idx="902">
                  <c:v>13.376981957353744</c:v>
                </c:pt>
                <c:pt idx="903">
                  <c:v>13.359759431383269</c:v>
                </c:pt>
                <c:pt idx="904">
                  <c:v>13.353067249863312</c:v>
                </c:pt>
                <c:pt idx="905">
                  <c:v>13.333581191908147</c:v>
                </c:pt>
                <c:pt idx="906">
                  <c:v>13.291951886276653</c:v>
                </c:pt>
                <c:pt idx="907">
                  <c:v>13.283783488244943</c:v>
                </c:pt>
                <c:pt idx="908">
                  <c:v>13.279551667577911</c:v>
                </c:pt>
                <c:pt idx="909">
                  <c:v>13.270497539639146</c:v>
                </c:pt>
                <c:pt idx="910">
                  <c:v>13.265478403499181</c:v>
                </c:pt>
                <c:pt idx="911">
                  <c:v>13.213121924548934</c:v>
                </c:pt>
                <c:pt idx="912">
                  <c:v>13.208201202843082</c:v>
                </c:pt>
                <c:pt idx="913">
                  <c:v>13.199540732640788</c:v>
                </c:pt>
                <c:pt idx="914">
                  <c:v>13.172772006560962</c:v>
                </c:pt>
                <c:pt idx="915">
                  <c:v>13.107129579004921</c:v>
                </c:pt>
                <c:pt idx="916">
                  <c:v>13.049557135046474</c:v>
                </c:pt>
                <c:pt idx="917">
                  <c:v>13.033810825587752</c:v>
                </c:pt>
                <c:pt idx="918">
                  <c:v>12.955571350464735</c:v>
                </c:pt>
                <c:pt idx="919">
                  <c:v>12.919354838709676</c:v>
                </c:pt>
                <c:pt idx="920">
                  <c:v>12.891503553854564</c:v>
                </c:pt>
                <c:pt idx="921">
                  <c:v>12.877725533078184</c:v>
                </c:pt>
                <c:pt idx="922">
                  <c:v>12.835997813012575</c:v>
                </c:pt>
                <c:pt idx="923">
                  <c:v>12.773701476216511</c:v>
                </c:pt>
                <c:pt idx="924">
                  <c:v>12.755986878075451</c:v>
                </c:pt>
                <c:pt idx="925">
                  <c:v>12.71396391470749</c:v>
                </c:pt>
                <c:pt idx="926">
                  <c:v>12.705106615636961</c:v>
                </c:pt>
                <c:pt idx="927">
                  <c:v>12.701071623838162</c:v>
                </c:pt>
                <c:pt idx="928">
                  <c:v>12.671940951339529</c:v>
                </c:pt>
                <c:pt idx="929">
                  <c:v>12.651765992345544</c:v>
                </c:pt>
                <c:pt idx="930">
                  <c:v>12.598425369054127</c:v>
                </c:pt>
                <c:pt idx="931">
                  <c:v>12.589371241115362</c:v>
                </c:pt>
                <c:pt idx="932">
                  <c:v>12.586418808091853</c:v>
                </c:pt>
                <c:pt idx="933">
                  <c:v>12.483477310005467</c:v>
                </c:pt>
                <c:pt idx="934">
                  <c:v>12.327687260798252</c:v>
                </c:pt>
                <c:pt idx="935">
                  <c:v>12.32345544013122</c:v>
                </c:pt>
                <c:pt idx="936">
                  <c:v>12.244625478403499</c:v>
                </c:pt>
                <c:pt idx="937">
                  <c:v>12.232225259704755</c:v>
                </c:pt>
                <c:pt idx="938">
                  <c:v>12.227304537998906</c:v>
                </c:pt>
                <c:pt idx="939">
                  <c:v>12.207818480043739</c:v>
                </c:pt>
                <c:pt idx="940">
                  <c:v>12.155462001093493</c:v>
                </c:pt>
                <c:pt idx="941">
                  <c:v>12.153100054674686</c:v>
                </c:pt>
                <c:pt idx="942">
                  <c:v>12.135582285401858</c:v>
                </c:pt>
                <c:pt idx="943">
                  <c:v>12.113537452159649</c:v>
                </c:pt>
                <c:pt idx="944">
                  <c:v>12.093756150902133</c:v>
                </c:pt>
                <c:pt idx="945">
                  <c:v>12.091492618917442</c:v>
                </c:pt>
                <c:pt idx="946">
                  <c:v>12.05507927829415</c:v>
                </c:pt>
                <c:pt idx="947">
                  <c:v>12.035101148168398</c:v>
                </c:pt>
                <c:pt idx="948">
                  <c:v>11.913460907599781</c:v>
                </c:pt>
                <c:pt idx="949">
                  <c:v>11.886396938217604</c:v>
                </c:pt>
                <c:pt idx="950">
                  <c:v>11.873110989611808</c:v>
                </c:pt>
                <c:pt idx="951">
                  <c:v>11.856675779114271</c:v>
                </c:pt>
                <c:pt idx="952">
                  <c:v>11.851164570803718</c:v>
                </c:pt>
                <c:pt idx="953">
                  <c:v>11.833154729360306</c:v>
                </c:pt>
                <c:pt idx="954">
                  <c:v>11.827741935483871</c:v>
                </c:pt>
                <c:pt idx="955">
                  <c:v>11.819868780754511</c:v>
                </c:pt>
                <c:pt idx="956">
                  <c:v>11.7827665390924</c:v>
                </c:pt>
                <c:pt idx="957">
                  <c:v>11.717419354838709</c:v>
                </c:pt>
                <c:pt idx="958">
                  <c:v>11.686714051394205</c:v>
                </c:pt>
                <c:pt idx="959">
                  <c:v>11.636030617823947</c:v>
                </c:pt>
                <c:pt idx="960">
                  <c:v>11.614773100054673</c:v>
                </c:pt>
                <c:pt idx="961">
                  <c:v>11.543816293056313</c:v>
                </c:pt>
                <c:pt idx="962">
                  <c:v>11.542241662110442</c:v>
                </c:pt>
                <c:pt idx="963">
                  <c:v>11.533974849644613</c:v>
                </c:pt>
                <c:pt idx="964">
                  <c:v>11.519311098961181</c:v>
                </c:pt>
                <c:pt idx="965">
                  <c:v>11.488212137780208</c:v>
                </c:pt>
                <c:pt idx="966">
                  <c:v>11.445500273373426</c:v>
                </c:pt>
                <c:pt idx="967">
                  <c:v>11.365981410606889</c:v>
                </c:pt>
                <c:pt idx="968">
                  <c:v>11.358009841443412</c:v>
                </c:pt>
                <c:pt idx="969">
                  <c:v>11.357124111536359</c:v>
                </c:pt>
                <c:pt idx="970">
                  <c:v>11.338326954620012</c:v>
                </c:pt>
                <c:pt idx="971">
                  <c:v>11.270224166211044</c:v>
                </c:pt>
                <c:pt idx="972">
                  <c:v>11.221705850191361</c:v>
                </c:pt>
                <c:pt idx="973">
                  <c:v>11.172006560962274</c:v>
                </c:pt>
                <c:pt idx="974">
                  <c:v>11.102033898305086</c:v>
                </c:pt>
                <c:pt idx="975">
                  <c:v>11.098983050847457</c:v>
                </c:pt>
                <c:pt idx="976">
                  <c:v>11.07132859486058</c:v>
                </c:pt>
                <c:pt idx="977">
                  <c:v>11.050956806998359</c:v>
                </c:pt>
                <c:pt idx="978">
                  <c:v>11.037966101694915</c:v>
                </c:pt>
                <c:pt idx="979">
                  <c:v>11.037572443958448</c:v>
                </c:pt>
                <c:pt idx="980">
                  <c:v>11.027632586112629</c:v>
                </c:pt>
                <c:pt idx="981">
                  <c:v>11.021826134499728</c:v>
                </c:pt>
                <c:pt idx="982">
                  <c:v>10.955790049207218</c:v>
                </c:pt>
                <c:pt idx="983">
                  <c:v>10.954707490431929</c:v>
                </c:pt>
                <c:pt idx="984">
                  <c:v>10.921246582832149</c:v>
                </c:pt>
                <c:pt idx="985">
                  <c:v>10.916719518862765</c:v>
                </c:pt>
                <c:pt idx="986">
                  <c:v>10.776577364680154</c:v>
                </c:pt>
                <c:pt idx="987">
                  <c:v>10.755910333515581</c:v>
                </c:pt>
                <c:pt idx="988">
                  <c:v>10.624723892837615</c:v>
                </c:pt>
                <c:pt idx="989">
                  <c:v>10.608288682340076</c:v>
                </c:pt>
                <c:pt idx="990">
                  <c:v>10.546484417714598</c:v>
                </c:pt>
                <c:pt idx="991">
                  <c:v>10.515090213231273</c:v>
                </c:pt>
                <c:pt idx="992">
                  <c:v>10.446692181519957</c:v>
                </c:pt>
                <c:pt idx="993">
                  <c:v>10.423860032804811</c:v>
                </c:pt>
                <c:pt idx="994">
                  <c:v>10.4012247129579</c:v>
                </c:pt>
                <c:pt idx="995">
                  <c:v>10.376030617823949</c:v>
                </c:pt>
                <c:pt idx="996">
                  <c:v>10.316981957353745</c:v>
                </c:pt>
                <c:pt idx="997">
                  <c:v>10.303991252050301</c:v>
                </c:pt>
                <c:pt idx="998">
                  <c:v>10.299759431383269</c:v>
                </c:pt>
                <c:pt idx="999">
                  <c:v>10.295035538545653</c:v>
                </c:pt>
                <c:pt idx="1000">
                  <c:v>10.278797156916347</c:v>
                </c:pt>
                <c:pt idx="1001">
                  <c:v>10.249568069983598</c:v>
                </c:pt>
                <c:pt idx="1002">
                  <c:v>10.141213778020777</c:v>
                </c:pt>
                <c:pt idx="1003">
                  <c:v>10.111394204483323</c:v>
                </c:pt>
                <c:pt idx="1004">
                  <c:v>10.109622744669219</c:v>
                </c:pt>
                <c:pt idx="1005">
                  <c:v>10.003630399125205</c:v>
                </c:pt>
                <c:pt idx="1006">
                  <c:v>9.9861126298523786</c:v>
                </c:pt>
                <c:pt idx="1007">
                  <c:v>9.9464516129032248</c:v>
                </c:pt>
                <c:pt idx="1008">
                  <c:v>9.9201749589939858</c:v>
                </c:pt>
                <c:pt idx="1009">
                  <c:v>9.8826790595954073</c:v>
                </c:pt>
                <c:pt idx="1010">
                  <c:v>9.8415418261344989</c:v>
                </c:pt>
                <c:pt idx="1011">
                  <c:v>9.7954838709677414</c:v>
                </c:pt>
                <c:pt idx="1012">
                  <c:v>9.7739311098961181</c:v>
                </c:pt>
                <c:pt idx="1013">
                  <c:v>9.609480590486605</c:v>
                </c:pt>
                <c:pt idx="1014">
                  <c:v>9.6024931656642956</c:v>
                </c:pt>
                <c:pt idx="1015">
                  <c:v>9.5653909240021875</c:v>
                </c:pt>
                <c:pt idx="1016">
                  <c:v>9.543641334062329</c:v>
                </c:pt>
                <c:pt idx="1017">
                  <c:v>9.5342919628212144</c:v>
                </c:pt>
                <c:pt idx="1018">
                  <c:v>9.5319300164024039</c:v>
                </c:pt>
                <c:pt idx="1019">
                  <c:v>9.44699835975943</c:v>
                </c:pt>
                <c:pt idx="1020">
                  <c:v>9.4357791142700922</c:v>
                </c:pt>
                <c:pt idx="1021">
                  <c:v>9.2622744669218147</c:v>
                </c:pt>
                <c:pt idx="1022">
                  <c:v>9.2525314379442314</c:v>
                </c:pt>
                <c:pt idx="1023">
                  <c:v>9.2406232914160746</c:v>
                </c:pt>
                <c:pt idx="1024">
                  <c:v>9.166123564789503</c:v>
                </c:pt>
                <c:pt idx="1025">
                  <c:v>9.00787315472936</c:v>
                </c:pt>
                <c:pt idx="1026">
                  <c:v>8.9737233460907593</c:v>
                </c:pt>
                <c:pt idx="1027">
                  <c:v>8.8568069983597582</c:v>
                </c:pt>
                <c:pt idx="1028">
                  <c:v>8.6876325861126293</c:v>
                </c:pt>
                <c:pt idx="1029">
                  <c:v>8.686057955166758</c:v>
                </c:pt>
                <c:pt idx="1030">
                  <c:v>8.5810497539639154</c:v>
                </c:pt>
                <c:pt idx="1031">
                  <c:v>8.5531984691088034</c:v>
                </c:pt>
                <c:pt idx="1032">
                  <c:v>8.3314707490431932</c:v>
                </c:pt>
                <c:pt idx="1033">
                  <c:v>8.3271405139420445</c:v>
                </c:pt>
                <c:pt idx="1034">
                  <c:v>8.2587424822307263</c:v>
                </c:pt>
                <c:pt idx="1035">
                  <c:v>8.2305959540732641</c:v>
                </c:pt>
                <c:pt idx="1036">
                  <c:v>8.1804045926735931</c:v>
                </c:pt>
                <c:pt idx="1037">
                  <c:v>8.0694915254237287</c:v>
                </c:pt>
                <c:pt idx="1038">
                  <c:v>8.0404592673592123</c:v>
                </c:pt>
                <c:pt idx="1039">
                  <c:v>8.0057189721159112</c:v>
                </c:pt>
                <c:pt idx="1040">
                  <c:v>7.9914488791689449</c:v>
                </c:pt>
                <c:pt idx="1041">
                  <c:v>7.9818042646254783</c:v>
                </c:pt>
                <c:pt idx="1042">
                  <c:v>7.9741279387643527</c:v>
                </c:pt>
                <c:pt idx="1043">
                  <c:v>7.9618261344997263</c:v>
                </c:pt>
                <c:pt idx="1044">
                  <c:v>7.7944231820667031</c:v>
                </c:pt>
                <c:pt idx="1045">
                  <c:v>7.7301585565882993</c:v>
                </c:pt>
                <c:pt idx="1046">
                  <c:v>7.4973100054674688</c:v>
                </c:pt>
                <c:pt idx="1047">
                  <c:v>7.4106068890103884</c:v>
                </c:pt>
                <c:pt idx="1048">
                  <c:v>7.3611044286495355</c:v>
                </c:pt>
                <c:pt idx="1049">
                  <c:v>7.2275560415527611</c:v>
                </c:pt>
                <c:pt idx="1050">
                  <c:v>7.2145653362493167</c:v>
                </c:pt>
                <c:pt idx="1051">
                  <c:v>7.2098414434117002</c:v>
                </c:pt>
                <c:pt idx="1052">
                  <c:v>7.1689010388190262</c:v>
                </c:pt>
                <c:pt idx="1053">
                  <c:v>7.1033570256971021</c:v>
                </c:pt>
                <c:pt idx="1054">
                  <c:v>7.0585784581738649</c:v>
                </c:pt>
                <c:pt idx="1055">
                  <c:v>6.9480590486604692</c:v>
                </c:pt>
                <c:pt idx="1056">
                  <c:v>6.9066265718972115</c:v>
                </c:pt>
                <c:pt idx="1057">
                  <c:v>6.8494477856752329</c:v>
                </c:pt>
                <c:pt idx="1058">
                  <c:v>6.6557681793329682</c:v>
                </c:pt>
                <c:pt idx="1059">
                  <c:v>6.6269327501366861</c:v>
                </c:pt>
                <c:pt idx="1060">
                  <c:v>6.4633679606342263</c:v>
                </c:pt>
                <c:pt idx="1061">
                  <c:v>6.4480153089119732</c:v>
                </c:pt>
                <c:pt idx="1062">
                  <c:v>6.3378895571350462</c:v>
                </c:pt>
                <c:pt idx="1063">
                  <c:v>6.2253034445051938</c:v>
                </c:pt>
                <c:pt idx="1064">
                  <c:v>6.0759103335155817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14-4F34-97B7-BD8308EA4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331030"/>
        <c:axId val="115831994"/>
      </c:lineChart>
      <c:catAx>
        <c:axId val="3543310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perm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15831994"/>
        <c:crosses val="autoZero"/>
        <c:auto val="1"/>
        <c:lblAlgn val="ctr"/>
        <c:lblOffset val="100"/>
        <c:noMultiLvlLbl val="1"/>
      </c:catAx>
      <c:valAx>
        <c:axId val="1158319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Vazao</a:t>
                </a:r>
              </a:p>
            </c:rich>
          </c:tx>
          <c:overlay val="0"/>
        </c:title>
        <c:numFmt formatCode="0.0000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3543310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Beneficio liquido (BLi) - R$/ano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'Benefício Econômico (PCH)'!$G$3:$G$1067</c:f>
              <c:numCache>
                <c:formatCode>#,##0.00</c:formatCode>
                <c:ptCount val="1065"/>
                <c:pt idx="0">
                  <c:v>33932518.059935383</c:v>
                </c:pt>
                <c:pt idx="1">
                  <c:v>32251476.816683732</c:v>
                </c:pt>
                <c:pt idx="2">
                  <c:v>31804009.615438279</c:v>
                </c:pt>
                <c:pt idx="3">
                  <c:v>31243289.242301326</c:v>
                </c:pt>
                <c:pt idx="4">
                  <c:v>30898328.539920475</c:v>
                </c:pt>
                <c:pt idx="5">
                  <c:v>29880727.76005023</c:v>
                </c:pt>
                <c:pt idx="6">
                  <c:v>28545176.094854347</c:v>
                </c:pt>
                <c:pt idx="7">
                  <c:v>27729451.536356643</c:v>
                </c:pt>
                <c:pt idx="8">
                  <c:v>26169743.408865076</c:v>
                </c:pt>
                <c:pt idx="9">
                  <c:v>24067041.552943967</c:v>
                </c:pt>
                <c:pt idx="10">
                  <c:v>53897705.131215155</c:v>
                </c:pt>
                <c:pt idx="11">
                  <c:v>21522756.643545486</c:v>
                </c:pt>
                <c:pt idx="12">
                  <c:v>21058040.148082003</c:v>
                </c:pt>
                <c:pt idx="13">
                  <c:v>20630949.882644944</c:v>
                </c:pt>
                <c:pt idx="14">
                  <c:v>19328882.844401926</c:v>
                </c:pt>
                <c:pt idx="15">
                  <c:v>18677180.974030629</c:v>
                </c:pt>
                <c:pt idx="16">
                  <c:v>17455345.404712744</c:v>
                </c:pt>
                <c:pt idx="17">
                  <c:v>16300210.727276728</c:v>
                </c:pt>
                <c:pt idx="18">
                  <c:v>15953741.654683992</c:v>
                </c:pt>
                <c:pt idx="19">
                  <c:v>15807473.610712668</c:v>
                </c:pt>
                <c:pt idx="20">
                  <c:v>15595030.570753021</c:v>
                </c:pt>
                <c:pt idx="21">
                  <c:v>15170848.623686705</c:v>
                </c:pt>
                <c:pt idx="22">
                  <c:v>14742620.597749129</c:v>
                </c:pt>
                <c:pt idx="23">
                  <c:v>14675733.847450567</c:v>
                </c:pt>
                <c:pt idx="24">
                  <c:v>14666390.209765321</c:v>
                </c:pt>
                <c:pt idx="25">
                  <c:v>14265505.977048248</c:v>
                </c:pt>
                <c:pt idx="26">
                  <c:v>40337804.263863295</c:v>
                </c:pt>
                <c:pt idx="27">
                  <c:v>13344634.110588621</c:v>
                </c:pt>
                <c:pt idx="28">
                  <c:v>13248592.645677477</c:v>
                </c:pt>
                <c:pt idx="29">
                  <c:v>12877295.64325325</c:v>
                </c:pt>
                <c:pt idx="30">
                  <c:v>12875269.704385305</c:v>
                </c:pt>
                <c:pt idx="31">
                  <c:v>11738421.34002161</c:v>
                </c:pt>
                <c:pt idx="32">
                  <c:v>10498069.159287214</c:v>
                </c:pt>
                <c:pt idx="33">
                  <c:v>10068700.968028247</c:v>
                </c:pt>
                <c:pt idx="34">
                  <c:v>10012970.898992812</c:v>
                </c:pt>
                <c:pt idx="35">
                  <c:v>9767924.5456449855</c:v>
                </c:pt>
                <c:pt idx="36">
                  <c:v>9691656.0754083078</c:v>
                </c:pt>
                <c:pt idx="37">
                  <c:v>9443143.410947185</c:v>
                </c:pt>
                <c:pt idx="38">
                  <c:v>8844270.8408277668</c:v>
                </c:pt>
                <c:pt idx="39">
                  <c:v>8413884.8579763249</c:v>
                </c:pt>
                <c:pt idx="40">
                  <c:v>8391904.2998909429</c:v>
                </c:pt>
                <c:pt idx="41">
                  <c:v>8149179.7082609236</c:v>
                </c:pt>
                <c:pt idx="42">
                  <c:v>31564772.520440854</c:v>
                </c:pt>
                <c:pt idx="43">
                  <c:v>7942895.724729633</c:v>
                </c:pt>
                <c:pt idx="44">
                  <c:v>7537813.0776695944</c:v>
                </c:pt>
                <c:pt idx="45">
                  <c:v>7405112.9831765704</c:v>
                </c:pt>
                <c:pt idx="46">
                  <c:v>7339171.7894000933</c:v>
                </c:pt>
                <c:pt idx="47">
                  <c:v>7256860.5436588284</c:v>
                </c:pt>
                <c:pt idx="48">
                  <c:v>7079518.9964021184</c:v>
                </c:pt>
                <c:pt idx="49">
                  <c:v>7071247.9435641672</c:v>
                </c:pt>
                <c:pt idx="50">
                  <c:v>6990959.4808681179</c:v>
                </c:pt>
                <c:pt idx="51">
                  <c:v>6880848.9011560809</c:v>
                </c:pt>
                <c:pt idx="52">
                  <c:v>6855304.0964739509</c:v>
                </c:pt>
                <c:pt idx="53">
                  <c:v>6792721.983670311</c:v>
                </c:pt>
                <c:pt idx="54">
                  <c:v>6775920.7960920334</c:v>
                </c:pt>
                <c:pt idx="55">
                  <c:v>6580669.801400356</c:v>
                </c:pt>
                <c:pt idx="56">
                  <c:v>6571066.5787222385</c:v>
                </c:pt>
                <c:pt idx="57">
                  <c:v>6426973.4182769451</c:v>
                </c:pt>
                <c:pt idx="58">
                  <c:v>28379226.883543797</c:v>
                </c:pt>
                <c:pt idx="59">
                  <c:v>6111956.0865984913</c:v>
                </c:pt>
                <c:pt idx="60">
                  <c:v>6103978.1239327937</c:v>
                </c:pt>
                <c:pt idx="61">
                  <c:v>6024394.8253040574</c:v>
                </c:pt>
                <c:pt idx="62">
                  <c:v>5490530.2888143342</c:v>
                </c:pt>
                <c:pt idx="63">
                  <c:v>5291481.7605174426</c:v>
                </c:pt>
                <c:pt idx="64">
                  <c:v>5199826.9861073252</c:v>
                </c:pt>
                <c:pt idx="65">
                  <c:v>5103912.1917860918</c:v>
                </c:pt>
                <c:pt idx="66">
                  <c:v>4821376.1033977102</c:v>
                </c:pt>
                <c:pt idx="67">
                  <c:v>4615815.1182083227</c:v>
                </c:pt>
                <c:pt idx="68">
                  <c:v>4341284.0665052682</c:v>
                </c:pt>
                <c:pt idx="69">
                  <c:v>4287420.0835800301</c:v>
                </c:pt>
                <c:pt idx="70">
                  <c:v>4230863.1114660297</c:v>
                </c:pt>
                <c:pt idx="71">
                  <c:v>4020790.2009719685</c:v>
                </c:pt>
                <c:pt idx="72">
                  <c:v>3996412.6816600095</c:v>
                </c:pt>
                <c:pt idx="73">
                  <c:v>3970488.2923908848</c:v>
                </c:pt>
                <c:pt idx="74">
                  <c:v>24197063.095248926</c:v>
                </c:pt>
                <c:pt idx="75">
                  <c:v>3617276.1859639846</c:v>
                </c:pt>
                <c:pt idx="76">
                  <c:v>3545214.35959672</c:v>
                </c:pt>
                <c:pt idx="77">
                  <c:v>3523595.0939549003</c:v>
                </c:pt>
                <c:pt idx="78">
                  <c:v>3503497.6188468784</c:v>
                </c:pt>
                <c:pt idx="79">
                  <c:v>3486284.9347566422</c:v>
                </c:pt>
                <c:pt idx="80">
                  <c:v>3467410.8618133962</c:v>
                </c:pt>
                <c:pt idx="81">
                  <c:v>3441787.8229290918</c:v>
                </c:pt>
                <c:pt idx="82">
                  <c:v>3344010.8687029071</c:v>
                </c:pt>
                <c:pt idx="83">
                  <c:v>3066744.3453335445</c:v>
                </c:pt>
                <c:pt idx="84">
                  <c:v>2792880.7727491446</c:v>
                </c:pt>
                <c:pt idx="85">
                  <c:v>2741816.4568034094</c:v>
                </c:pt>
                <c:pt idx="86">
                  <c:v>2587218.0922219958</c:v>
                </c:pt>
                <c:pt idx="87">
                  <c:v>2298272.2710706126</c:v>
                </c:pt>
                <c:pt idx="88">
                  <c:v>2236520.8470407836</c:v>
                </c:pt>
                <c:pt idx="89">
                  <c:v>2020830.7836562004</c:v>
                </c:pt>
                <c:pt idx="90">
                  <c:v>21277916.37963457</c:v>
                </c:pt>
                <c:pt idx="91">
                  <c:v>1760687.5969629101</c:v>
                </c:pt>
                <c:pt idx="92">
                  <c:v>1689401.0733884592</c:v>
                </c:pt>
                <c:pt idx="93">
                  <c:v>1515764.411952395</c:v>
                </c:pt>
                <c:pt idx="94">
                  <c:v>1477454.7444222737</c:v>
                </c:pt>
                <c:pt idx="95">
                  <c:v>1401892.8037841879</c:v>
                </c:pt>
                <c:pt idx="96">
                  <c:v>1357266.8071226105</c:v>
                </c:pt>
                <c:pt idx="97">
                  <c:v>1320695.6086889468</c:v>
                </c:pt>
                <c:pt idx="98">
                  <c:v>1294735.5266448073</c:v>
                </c:pt>
                <c:pt idx="99">
                  <c:v>1238989.8916833401</c:v>
                </c:pt>
                <c:pt idx="100">
                  <c:v>1189798.8860008474</c:v>
                </c:pt>
                <c:pt idx="101">
                  <c:v>1178317.5862167049</c:v>
                </c:pt>
                <c:pt idx="102">
                  <c:v>1111671.4674014375</c:v>
                </c:pt>
                <c:pt idx="103">
                  <c:v>1075741.0366472453</c:v>
                </c:pt>
                <c:pt idx="104">
                  <c:v>1066946.41844403</c:v>
                </c:pt>
                <c:pt idx="105">
                  <c:v>807068.23445465788</c:v>
                </c:pt>
                <c:pt idx="106">
                  <c:v>19245572.620067716</c:v>
                </c:pt>
                <c:pt idx="107">
                  <c:v>618425.48734231479</c:v>
                </c:pt>
                <c:pt idx="108">
                  <c:v>502788.92716910318</c:v>
                </c:pt>
                <c:pt idx="109">
                  <c:v>302243.82827182673</c:v>
                </c:pt>
                <c:pt idx="110">
                  <c:v>245926.99827866256</c:v>
                </c:pt>
                <c:pt idx="111">
                  <c:v>218559.26102036797</c:v>
                </c:pt>
                <c:pt idx="112">
                  <c:v>163984.50897008553</c:v>
                </c:pt>
                <c:pt idx="113">
                  <c:v>124320.1778837759</c:v>
                </c:pt>
                <c:pt idx="114">
                  <c:v>78002.052976122126</c:v>
                </c:pt>
                <c:pt idx="115">
                  <c:v>61773.853143556044</c:v>
                </c:pt>
                <c:pt idx="116">
                  <c:v>17082.239110503346</c:v>
                </c:pt>
                <c:pt idx="117">
                  <c:v>-296375.5161443837</c:v>
                </c:pt>
                <c:pt idx="118">
                  <c:v>-340928.59860382229</c:v>
                </c:pt>
                <c:pt idx="119">
                  <c:v>-584510.62113291956</c:v>
                </c:pt>
                <c:pt idx="120">
                  <c:v>-655989.69834576454</c:v>
                </c:pt>
                <c:pt idx="121">
                  <c:v>-666896.7514467109</c:v>
                </c:pt>
                <c:pt idx="122">
                  <c:v>16325954.541790366</c:v>
                </c:pt>
                <c:pt idx="123">
                  <c:v>-992647.83246037737</c:v>
                </c:pt>
                <c:pt idx="124">
                  <c:v>-1046777.2961466033</c:v>
                </c:pt>
                <c:pt idx="125">
                  <c:v>-1088820.2551320866</c:v>
                </c:pt>
                <c:pt idx="126">
                  <c:v>-1135365.5338666132</c:v>
                </c:pt>
                <c:pt idx="127">
                  <c:v>-1217915.9648070419</c:v>
                </c:pt>
                <c:pt idx="128">
                  <c:v>-1227621.2502485365</c:v>
                </c:pt>
                <c:pt idx="129">
                  <c:v>-1293326.6229910301</c:v>
                </c:pt>
                <c:pt idx="130">
                  <c:v>-1355132.635163351</c:v>
                </c:pt>
                <c:pt idx="131">
                  <c:v>-1420593.0004237089</c:v>
                </c:pt>
                <c:pt idx="132">
                  <c:v>-1465437.4974330384</c:v>
                </c:pt>
                <c:pt idx="133">
                  <c:v>-1511506.8889204497</c:v>
                </c:pt>
                <c:pt idx="134">
                  <c:v>-1672086.3749865443</c:v>
                </c:pt>
                <c:pt idx="135">
                  <c:v>-1720482.429891862</c:v>
                </c:pt>
                <c:pt idx="136">
                  <c:v>-1754390.3400477376</c:v>
                </c:pt>
                <c:pt idx="137">
                  <c:v>-2025698.1193642803</c:v>
                </c:pt>
                <c:pt idx="138">
                  <c:v>14217082.114887072</c:v>
                </c:pt>
                <c:pt idx="139">
                  <c:v>-2108085.2405159688</c:v>
                </c:pt>
                <c:pt idx="140">
                  <c:v>-2225198.001374403</c:v>
                </c:pt>
                <c:pt idx="141">
                  <c:v>-2242528.2358237635</c:v>
                </c:pt>
                <c:pt idx="142">
                  <c:v>-2265889.9807502963</c:v>
                </c:pt>
                <c:pt idx="143">
                  <c:v>-2272559.1919123651</c:v>
                </c:pt>
                <c:pt idx="144">
                  <c:v>-2303340.7557541225</c:v>
                </c:pt>
                <c:pt idx="145">
                  <c:v>-2388125.3541433141</c:v>
                </c:pt>
                <c:pt idx="146">
                  <c:v>-2419133.5776042929</c:v>
                </c:pt>
                <c:pt idx="147">
                  <c:v>-2432965.0253602583</c:v>
                </c:pt>
                <c:pt idx="148">
                  <c:v>-2569066.1188410092</c:v>
                </c:pt>
                <c:pt idx="149">
                  <c:v>-2583321.7001278391</c:v>
                </c:pt>
                <c:pt idx="150">
                  <c:v>-2592509.6381761823</c:v>
                </c:pt>
                <c:pt idx="151">
                  <c:v>-2713484.0795012824</c:v>
                </c:pt>
                <c:pt idx="152">
                  <c:v>-2719661.1551283263</c:v>
                </c:pt>
                <c:pt idx="153">
                  <c:v>-2766952.9514823966</c:v>
                </c:pt>
                <c:pt idx="154">
                  <c:v>13028265.81625865</c:v>
                </c:pt>
                <c:pt idx="155">
                  <c:v>-2829425.1571874432</c:v>
                </c:pt>
                <c:pt idx="156">
                  <c:v>-2883690.53120864</c:v>
                </c:pt>
                <c:pt idx="157">
                  <c:v>-2887572.9457859667</c:v>
                </c:pt>
                <c:pt idx="158">
                  <c:v>-3032300.2440988738</c:v>
                </c:pt>
                <c:pt idx="159">
                  <c:v>-3059706.6942900699</c:v>
                </c:pt>
                <c:pt idx="160">
                  <c:v>-3084515.8377704713</c:v>
                </c:pt>
                <c:pt idx="161">
                  <c:v>-3096439.802257454</c:v>
                </c:pt>
                <c:pt idx="162">
                  <c:v>-3102480.1608282039</c:v>
                </c:pt>
                <c:pt idx="163">
                  <c:v>-3231831.3912033429</c:v>
                </c:pt>
                <c:pt idx="164">
                  <c:v>-3302243.0614438467</c:v>
                </c:pt>
                <c:pt idx="165">
                  <c:v>-3363539.2297810679</c:v>
                </c:pt>
                <c:pt idx="166">
                  <c:v>-3366030.4732305808</c:v>
                </c:pt>
                <c:pt idx="167">
                  <c:v>-3465162.5044677132</c:v>
                </c:pt>
                <c:pt idx="168">
                  <c:v>-3525101.1473665093</c:v>
                </c:pt>
                <c:pt idx="169">
                  <c:v>-3544232.4230925329</c:v>
                </c:pt>
                <c:pt idx="170">
                  <c:v>11574928.061346732</c:v>
                </c:pt>
                <c:pt idx="171">
                  <c:v>-3600732.5257950476</c:v>
                </c:pt>
                <c:pt idx="172">
                  <c:v>-3674403.8451740057</c:v>
                </c:pt>
                <c:pt idx="173">
                  <c:v>-3681026.8253096147</c:v>
                </c:pt>
                <c:pt idx="174">
                  <c:v>-3712319.9958219533</c:v>
                </c:pt>
                <c:pt idx="175">
                  <c:v>-3754583.6831272827</c:v>
                </c:pt>
                <c:pt idx="176">
                  <c:v>-3799569.6486926409</c:v>
                </c:pt>
                <c:pt idx="177">
                  <c:v>-3905815.4760982716</c:v>
                </c:pt>
                <c:pt idx="178">
                  <c:v>-3912003.9734133203</c:v>
                </c:pt>
                <c:pt idx="179">
                  <c:v>-3974846.8065953809</c:v>
                </c:pt>
                <c:pt idx="180">
                  <c:v>-3975155.1703682314</c:v>
                </c:pt>
                <c:pt idx="181">
                  <c:v>-4040826.2586660213</c:v>
                </c:pt>
                <c:pt idx="182">
                  <c:v>-4042362.7720657391</c:v>
                </c:pt>
                <c:pt idx="183">
                  <c:v>-4054838.1721610646</c:v>
                </c:pt>
                <c:pt idx="184">
                  <c:v>-4286697.08039294</c:v>
                </c:pt>
                <c:pt idx="185">
                  <c:v>-4321684.0105934879</c:v>
                </c:pt>
                <c:pt idx="186">
                  <c:v>10237016.866308872</c:v>
                </c:pt>
                <c:pt idx="187">
                  <c:v>-4350524.6772376616</c:v>
                </c:pt>
                <c:pt idx="188">
                  <c:v>-4411382.3485284168</c:v>
                </c:pt>
                <c:pt idx="189">
                  <c:v>-4471054.4245399293</c:v>
                </c:pt>
                <c:pt idx="190">
                  <c:v>-4493211.3541931445</c:v>
                </c:pt>
                <c:pt idx="191">
                  <c:v>-4496673.6163568217</c:v>
                </c:pt>
                <c:pt idx="192">
                  <c:v>-4565663.2024577446</c:v>
                </c:pt>
                <c:pt idx="193">
                  <c:v>-4627430.3733000755</c:v>
                </c:pt>
                <c:pt idx="194">
                  <c:v>-4634385.3414649367</c:v>
                </c:pt>
                <c:pt idx="195">
                  <c:v>-4686589.1549057215</c:v>
                </c:pt>
                <c:pt idx="196">
                  <c:v>-4712611.6435866477</c:v>
                </c:pt>
                <c:pt idx="197">
                  <c:v>-4747069.5196483657</c:v>
                </c:pt>
                <c:pt idx="198">
                  <c:v>-4951192.6399694625</c:v>
                </c:pt>
                <c:pt idx="199">
                  <c:v>-4982910.1071334928</c:v>
                </c:pt>
                <c:pt idx="200">
                  <c:v>-5027374.5318084015</c:v>
                </c:pt>
                <c:pt idx="201">
                  <c:v>-5034871.1386416424</c:v>
                </c:pt>
                <c:pt idx="202">
                  <c:v>8849434.8279103152</c:v>
                </c:pt>
                <c:pt idx="203">
                  <c:v>-5096123.7553331126</c:v>
                </c:pt>
                <c:pt idx="204">
                  <c:v>-5113828.7469620202</c:v>
                </c:pt>
                <c:pt idx="205">
                  <c:v>-5142945.2913010772</c:v>
                </c:pt>
                <c:pt idx="206">
                  <c:v>-5217700.500931181</c:v>
                </c:pt>
                <c:pt idx="207">
                  <c:v>-5226848.3815110996</c:v>
                </c:pt>
                <c:pt idx="208">
                  <c:v>-5300714.680345091</c:v>
                </c:pt>
                <c:pt idx="209">
                  <c:v>-5405991.4149928689</c:v>
                </c:pt>
                <c:pt idx="210">
                  <c:v>-5474749.0432778103</c:v>
                </c:pt>
                <c:pt idx="211">
                  <c:v>-5491907.2660075799</c:v>
                </c:pt>
                <c:pt idx="212">
                  <c:v>-5543612.1437129211</c:v>
                </c:pt>
                <c:pt idx="213">
                  <c:v>-5587628.3123552622</c:v>
                </c:pt>
                <c:pt idx="214">
                  <c:v>-5593983.2082568845</c:v>
                </c:pt>
                <c:pt idx="215">
                  <c:v>-5637420.2059051227</c:v>
                </c:pt>
                <c:pt idx="216">
                  <c:v>-5698937.0379598755</c:v>
                </c:pt>
                <c:pt idx="217">
                  <c:v>-5775579.7558254059</c:v>
                </c:pt>
                <c:pt idx="218">
                  <c:v>7483520.6473943815</c:v>
                </c:pt>
                <c:pt idx="219">
                  <c:v>-5838044.163224373</c:v>
                </c:pt>
                <c:pt idx="220">
                  <c:v>-5949136.1795802154</c:v>
                </c:pt>
                <c:pt idx="221">
                  <c:v>-5963371.2108729556</c:v>
                </c:pt>
                <c:pt idx="222">
                  <c:v>-6036035.7396249138</c:v>
                </c:pt>
                <c:pt idx="223">
                  <c:v>-6061703.536603068</c:v>
                </c:pt>
                <c:pt idx="224">
                  <c:v>-6084821.8035070961</c:v>
                </c:pt>
                <c:pt idx="225">
                  <c:v>-6162613.789966722</c:v>
                </c:pt>
                <c:pt idx="226">
                  <c:v>-6164633.0513786329</c:v>
                </c:pt>
                <c:pt idx="227">
                  <c:v>-6215020.2673070505</c:v>
                </c:pt>
                <c:pt idx="228">
                  <c:v>-6291088.2733527683</c:v>
                </c:pt>
                <c:pt idx="229">
                  <c:v>-6293253.0869940855</c:v>
                </c:pt>
                <c:pt idx="230">
                  <c:v>-6325445.0726438342</c:v>
                </c:pt>
                <c:pt idx="231">
                  <c:v>-6372485.6709996257</c:v>
                </c:pt>
                <c:pt idx="232">
                  <c:v>-6428328.7698476966</c:v>
                </c:pt>
                <c:pt idx="233">
                  <c:v>-6454360.3989476347</c:v>
                </c:pt>
                <c:pt idx="234">
                  <c:v>6066869.997954037</c:v>
                </c:pt>
                <c:pt idx="235">
                  <c:v>-6579275.8572184537</c:v>
                </c:pt>
                <c:pt idx="236">
                  <c:v>-6619061.3378199656</c:v>
                </c:pt>
                <c:pt idx="237">
                  <c:v>-6710223.7538170889</c:v>
                </c:pt>
                <c:pt idx="238">
                  <c:v>-6716978.4943969324</c:v>
                </c:pt>
                <c:pt idx="239">
                  <c:v>-6779563.6160530448</c:v>
                </c:pt>
                <c:pt idx="240">
                  <c:v>-6810627.2634488754</c:v>
                </c:pt>
                <c:pt idx="241">
                  <c:v>-6819581.9443673296</c:v>
                </c:pt>
                <c:pt idx="242">
                  <c:v>-6826560.5149853174</c:v>
                </c:pt>
                <c:pt idx="243">
                  <c:v>-6883350.7644174341</c:v>
                </c:pt>
                <c:pt idx="244">
                  <c:v>-6892375.7649478372</c:v>
                </c:pt>
                <c:pt idx="245">
                  <c:v>-6906617.4341276959</c:v>
                </c:pt>
                <c:pt idx="246">
                  <c:v>-6959434.28551488</c:v>
                </c:pt>
                <c:pt idx="247">
                  <c:v>-6964920.9417438069</c:v>
                </c:pt>
                <c:pt idx="248">
                  <c:v>-6978051.2073571896</c:v>
                </c:pt>
                <c:pt idx="249">
                  <c:v>-7011658.3743899399</c:v>
                </c:pt>
                <c:pt idx="250">
                  <c:v>5198755.0900821183</c:v>
                </c:pt>
                <c:pt idx="251">
                  <c:v>-7028612.1275856663</c:v>
                </c:pt>
                <c:pt idx="252">
                  <c:v>-7083125.3055614009</c:v>
                </c:pt>
                <c:pt idx="253">
                  <c:v>-7112275.7241205126</c:v>
                </c:pt>
                <c:pt idx="254">
                  <c:v>-7129019.9316558596</c:v>
                </c:pt>
                <c:pt idx="255">
                  <c:v>-7132720.2678589998</c:v>
                </c:pt>
                <c:pt idx="256">
                  <c:v>-7165510.7688563652</c:v>
                </c:pt>
                <c:pt idx="257">
                  <c:v>-7170296.2558631776</c:v>
                </c:pt>
                <c:pt idx="258">
                  <c:v>-7211737.663192587</c:v>
                </c:pt>
                <c:pt idx="259">
                  <c:v>-7222277.2648274619</c:v>
                </c:pt>
                <c:pt idx="260">
                  <c:v>-7301846.455119729</c:v>
                </c:pt>
                <c:pt idx="261">
                  <c:v>-7457571.1221748367</c:v>
                </c:pt>
                <c:pt idx="262">
                  <c:v>-7500360.559210958</c:v>
                </c:pt>
                <c:pt idx="263">
                  <c:v>-7500360.559210958</c:v>
                </c:pt>
                <c:pt idx="264">
                  <c:v>-7512084.9090273231</c:v>
                </c:pt>
                <c:pt idx="265">
                  <c:v>-7522995.8770281179</c:v>
                </c:pt>
                <c:pt idx="266">
                  <c:v>4225038.409933961</c:v>
                </c:pt>
                <c:pt idx="267">
                  <c:v>-7524426.1559704375</c:v>
                </c:pt>
                <c:pt idx="268">
                  <c:v>-7552658.054880755</c:v>
                </c:pt>
                <c:pt idx="269">
                  <c:v>-7574333.1013851706</c:v>
                </c:pt>
                <c:pt idx="270">
                  <c:v>-7576128.4463533517</c:v>
                </c:pt>
                <c:pt idx="271">
                  <c:v>-7581416.8219493162</c:v>
                </c:pt>
                <c:pt idx="272">
                  <c:v>-7602844.4052763712</c:v>
                </c:pt>
                <c:pt idx="273">
                  <c:v>-7636603.7301244941</c:v>
                </c:pt>
                <c:pt idx="274">
                  <c:v>-7667450.490615204</c:v>
                </c:pt>
                <c:pt idx="275">
                  <c:v>-7735122.4851942174</c:v>
                </c:pt>
                <c:pt idx="276">
                  <c:v>-7768645.7629002808</c:v>
                </c:pt>
                <c:pt idx="277">
                  <c:v>-7786314.8267632835</c:v>
                </c:pt>
                <c:pt idx="278">
                  <c:v>-7801611.5832553906</c:v>
                </c:pt>
                <c:pt idx="279">
                  <c:v>-7812612.6892410899</c:v>
                </c:pt>
                <c:pt idx="280">
                  <c:v>-7847192.8921950608</c:v>
                </c:pt>
                <c:pt idx="281">
                  <c:v>-7852854.6384435417</c:v>
                </c:pt>
                <c:pt idx="282">
                  <c:v>3577961.2160825147</c:v>
                </c:pt>
                <c:pt idx="283">
                  <c:v>-7933226.877412254</c:v>
                </c:pt>
                <c:pt idx="284">
                  <c:v>-7939669.0784875881</c:v>
                </c:pt>
                <c:pt idx="285">
                  <c:v>-7940595.4852706213</c:v>
                </c:pt>
                <c:pt idx="286">
                  <c:v>-7954714.5328101991</c:v>
                </c:pt>
                <c:pt idx="287">
                  <c:v>-8010624.6000255141</c:v>
                </c:pt>
                <c:pt idx="288">
                  <c:v>-8016761.7385059195</c:v>
                </c:pt>
                <c:pt idx="289">
                  <c:v>-8075331.0692752451</c:v>
                </c:pt>
                <c:pt idx="290">
                  <c:v>-8075497.7383839879</c:v>
                </c:pt>
                <c:pt idx="291">
                  <c:v>-8081069.3046560688</c:v>
                </c:pt>
                <c:pt idx="292">
                  <c:v>-8099076.1505677951</c:v>
                </c:pt>
                <c:pt idx="293">
                  <c:v>-8108433.003462607</c:v>
                </c:pt>
                <c:pt idx="294">
                  <c:v>-8117577.0757364845</c:v>
                </c:pt>
                <c:pt idx="295">
                  <c:v>-8148605.8758399989</c:v>
                </c:pt>
                <c:pt idx="296">
                  <c:v>-8152884.0958362613</c:v>
                </c:pt>
                <c:pt idx="297">
                  <c:v>-8164076.6006940957</c:v>
                </c:pt>
                <c:pt idx="298">
                  <c:v>2885400.5260304641</c:v>
                </c:pt>
                <c:pt idx="299">
                  <c:v>-8212626.1942891069</c:v>
                </c:pt>
                <c:pt idx="300">
                  <c:v>-8234078.0696989261</c:v>
                </c:pt>
                <c:pt idx="301">
                  <c:v>-8250138.8752618432</c:v>
                </c:pt>
                <c:pt idx="302">
                  <c:v>-8267924.3839769764</c:v>
                </c:pt>
                <c:pt idx="303">
                  <c:v>-8271354.8876461759</c:v>
                </c:pt>
                <c:pt idx="304">
                  <c:v>-8282351.6668923143</c:v>
                </c:pt>
                <c:pt idx="305">
                  <c:v>-8313736.8956931531</c:v>
                </c:pt>
                <c:pt idx="306">
                  <c:v>-8386620.7315141773</c:v>
                </c:pt>
                <c:pt idx="307">
                  <c:v>-8388200.5179621894</c:v>
                </c:pt>
                <c:pt idx="308">
                  <c:v>-8431909.6802876759</c:v>
                </c:pt>
                <c:pt idx="309">
                  <c:v>-8521214.4569263384</c:v>
                </c:pt>
                <c:pt idx="310">
                  <c:v>-8603326.1647122279</c:v>
                </c:pt>
                <c:pt idx="311">
                  <c:v>-8614844.630204007</c:v>
                </c:pt>
                <c:pt idx="312">
                  <c:v>-8633699.311149532</c:v>
                </c:pt>
                <c:pt idx="313">
                  <c:v>-8634095.6463073883</c:v>
                </c:pt>
                <c:pt idx="314">
                  <c:v>1990499.3485063959</c:v>
                </c:pt>
                <c:pt idx="315">
                  <c:v>-8646941.5882816818</c:v>
                </c:pt>
                <c:pt idx="316">
                  <c:v>-8663633.7231268957</c:v>
                </c:pt>
                <c:pt idx="317">
                  <c:v>-8680654.9776588995</c:v>
                </c:pt>
                <c:pt idx="318">
                  <c:v>-8685305.6897162944</c:v>
                </c:pt>
                <c:pt idx="319">
                  <c:v>-8693673.7251536362</c:v>
                </c:pt>
                <c:pt idx="320">
                  <c:v>-8723584.8762625828</c:v>
                </c:pt>
                <c:pt idx="321">
                  <c:v>-8735885.5303456411</c:v>
                </c:pt>
                <c:pt idx="322">
                  <c:v>-8743963.7711359672</c:v>
                </c:pt>
                <c:pt idx="323">
                  <c:v>-8789610.4131969586</c:v>
                </c:pt>
                <c:pt idx="324">
                  <c:v>-8840565.4099251013</c:v>
                </c:pt>
                <c:pt idx="325">
                  <c:v>-8867077.5219188221</c:v>
                </c:pt>
                <c:pt idx="326">
                  <c:v>-8871310.7617508024</c:v>
                </c:pt>
                <c:pt idx="327">
                  <c:v>-8917539.0329237059</c:v>
                </c:pt>
                <c:pt idx="328">
                  <c:v>-8960468.5786372796</c:v>
                </c:pt>
                <c:pt idx="329">
                  <c:v>-8966201.3874242548</c:v>
                </c:pt>
                <c:pt idx="330">
                  <c:v>1245272.229503043</c:v>
                </c:pt>
                <c:pt idx="331">
                  <c:v>-9016994.9236047193</c:v>
                </c:pt>
                <c:pt idx="332">
                  <c:v>-9024914.5439263154</c:v>
                </c:pt>
                <c:pt idx="333">
                  <c:v>-9040035.3116192669</c:v>
                </c:pt>
                <c:pt idx="334">
                  <c:v>-9054969.6620855369</c:v>
                </c:pt>
                <c:pt idx="335">
                  <c:v>-9058411.84908209</c:v>
                </c:pt>
                <c:pt idx="336">
                  <c:v>-9097941.7241928801</c:v>
                </c:pt>
                <c:pt idx="337">
                  <c:v>-9111470.8105379082</c:v>
                </c:pt>
                <c:pt idx="338">
                  <c:v>-9140161.7048069239</c:v>
                </c:pt>
                <c:pt idx="339">
                  <c:v>-9148524.6285866722</c:v>
                </c:pt>
                <c:pt idx="340">
                  <c:v>-9169183.7747311722</c:v>
                </c:pt>
                <c:pt idx="341">
                  <c:v>-9202576.100329373</c:v>
                </c:pt>
                <c:pt idx="342">
                  <c:v>-9205665.2009904981</c:v>
                </c:pt>
                <c:pt idx="343">
                  <c:v>-9217474.3978627622</c:v>
                </c:pt>
                <c:pt idx="344">
                  <c:v>-9235773.0079843663</c:v>
                </c:pt>
                <c:pt idx="345">
                  <c:v>-9260431.6442383565</c:v>
                </c:pt>
                <c:pt idx="346">
                  <c:v>665340.66193271708</c:v>
                </c:pt>
                <c:pt idx="347">
                  <c:v>-9306948.7967431583</c:v>
                </c:pt>
                <c:pt idx="348">
                  <c:v>-9315133.4569149911</c:v>
                </c:pt>
                <c:pt idx="349">
                  <c:v>-9329324.7492152881</c:v>
                </c:pt>
                <c:pt idx="350">
                  <c:v>-9339384.8507189937</c:v>
                </c:pt>
                <c:pt idx="351">
                  <c:v>-9343495.8347212654</c:v>
                </c:pt>
                <c:pt idx="352">
                  <c:v>-9363638.7979292125</c:v>
                </c:pt>
                <c:pt idx="353">
                  <c:v>-9391336.8758579176</c:v>
                </c:pt>
                <c:pt idx="354">
                  <c:v>-9488198.7052865662</c:v>
                </c:pt>
                <c:pt idx="355">
                  <c:v>-9498950.6660123169</c:v>
                </c:pt>
                <c:pt idx="356">
                  <c:v>-9509771.7084082998</c:v>
                </c:pt>
                <c:pt idx="357">
                  <c:v>-9520256.2753372304</c:v>
                </c:pt>
                <c:pt idx="358">
                  <c:v>-9528219.0952219944</c:v>
                </c:pt>
                <c:pt idx="359">
                  <c:v>-9538343.5478919484</c:v>
                </c:pt>
                <c:pt idx="360">
                  <c:v>-9542293.3838602006</c:v>
                </c:pt>
                <c:pt idx="361">
                  <c:v>-9544864.9950031042</c:v>
                </c:pt>
                <c:pt idx="362">
                  <c:v>48365.834753295872</c:v>
                </c:pt>
                <c:pt idx="363">
                  <c:v>-9591211.3188180737</c:v>
                </c:pt>
                <c:pt idx="364">
                  <c:v>-9594840.7854821142</c:v>
                </c:pt>
                <c:pt idx="365">
                  <c:v>-9601450.8063947968</c:v>
                </c:pt>
                <c:pt idx="366">
                  <c:v>-9625960.3179117665</c:v>
                </c:pt>
                <c:pt idx="367">
                  <c:v>-9636836.2003992386</c:v>
                </c:pt>
                <c:pt idx="368">
                  <c:v>-9638876.0505666174</c:v>
                </c:pt>
                <c:pt idx="369">
                  <c:v>-9640193.9570247773</c:v>
                </c:pt>
                <c:pt idx="370">
                  <c:v>-9648796.1637146715</c:v>
                </c:pt>
                <c:pt idx="371">
                  <c:v>-9656456.2515327632</c:v>
                </c:pt>
                <c:pt idx="372">
                  <c:v>-9679194.0697939359</c:v>
                </c:pt>
                <c:pt idx="373">
                  <c:v>-9688531.2997377776</c:v>
                </c:pt>
                <c:pt idx="374">
                  <c:v>-9724368.7758464627</c:v>
                </c:pt>
                <c:pt idx="375">
                  <c:v>-9732064.1801311318</c:v>
                </c:pt>
                <c:pt idx="376">
                  <c:v>-9744372.1972622126</c:v>
                </c:pt>
                <c:pt idx="377">
                  <c:v>-9771030.7400767207</c:v>
                </c:pt>
                <c:pt idx="378">
                  <c:v>-438280.88633009512</c:v>
                </c:pt>
                <c:pt idx="379">
                  <c:v>-9804236.5725405272</c:v>
                </c:pt>
                <c:pt idx="380">
                  <c:v>-9826439.6201661639</c:v>
                </c:pt>
                <c:pt idx="381">
                  <c:v>-9848786.14951724</c:v>
                </c:pt>
                <c:pt idx="382">
                  <c:v>-9857213.9170558341</c:v>
                </c:pt>
                <c:pt idx="383">
                  <c:v>-9881360.3458377868</c:v>
                </c:pt>
                <c:pt idx="384">
                  <c:v>-9907533.2028501611</c:v>
                </c:pt>
                <c:pt idx="385">
                  <c:v>-9935566.1597613879</c:v>
                </c:pt>
                <c:pt idx="386">
                  <c:v>-9945586.0770146362</c:v>
                </c:pt>
                <c:pt idx="387">
                  <c:v>-9951740.8373895288</c:v>
                </c:pt>
                <c:pt idx="388">
                  <c:v>-9971849.8641977087</c:v>
                </c:pt>
                <c:pt idx="389">
                  <c:v>-10021241.697459143</c:v>
                </c:pt>
                <c:pt idx="390">
                  <c:v>-10041768.161768995</c:v>
                </c:pt>
                <c:pt idx="391">
                  <c:v>-10059685.891219808</c:v>
                </c:pt>
                <c:pt idx="392">
                  <c:v>-10071156.217494462</c:v>
                </c:pt>
                <c:pt idx="393">
                  <c:v>-10107470.983527862</c:v>
                </c:pt>
                <c:pt idx="394">
                  <c:v>-1220697.8532314622</c:v>
                </c:pt>
                <c:pt idx="395">
                  <c:v>-10152225.047804257</c:v>
                </c:pt>
                <c:pt idx="396">
                  <c:v>-10161095.212753635</c:v>
                </c:pt>
                <c:pt idx="397">
                  <c:v>-10183596.377418583</c:v>
                </c:pt>
                <c:pt idx="398">
                  <c:v>-10187771.644754678</c:v>
                </c:pt>
                <c:pt idx="399">
                  <c:v>-10225523.17903221</c:v>
                </c:pt>
                <c:pt idx="400">
                  <c:v>-10241621.23751587</c:v>
                </c:pt>
                <c:pt idx="401">
                  <c:v>-10245889.428003857</c:v>
                </c:pt>
                <c:pt idx="402">
                  <c:v>-10250992.802778738</c:v>
                </c:pt>
                <c:pt idx="403">
                  <c:v>-10268076.358161245</c:v>
                </c:pt>
                <c:pt idx="404">
                  <c:v>-10279342.3505667</c:v>
                </c:pt>
                <c:pt idx="405">
                  <c:v>-10299543.369446009</c:v>
                </c:pt>
                <c:pt idx="406">
                  <c:v>-10306956.140249465</c:v>
                </c:pt>
                <c:pt idx="407">
                  <c:v>-10315517.383423563</c:v>
                </c:pt>
                <c:pt idx="408">
                  <c:v>-10320660.449856304</c:v>
                </c:pt>
                <c:pt idx="409">
                  <c:v>-10325186.823467087</c:v>
                </c:pt>
                <c:pt idx="410">
                  <c:v>-1752043.0434602778</c:v>
                </c:pt>
                <c:pt idx="411">
                  <c:v>-10355781.311946157</c:v>
                </c:pt>
                <c:pt idx="412">
                  <c:v>-10358045.808563339</c:v>
                </c:pt>
                <c:pt idx="413">
                  <c:v>-10391915.990971504</c:v>
                </c:pt>
                <c:pt idx="414">
                  <c:v>-10400328.517210647</c:v>
                </c:pt>
                <c:pt idx="415">
                  <c:v>-10400981.620700762</c:v>
                </c:pt>
                <c:pt idx="416">
                  <c:v>-10419439.555456251</c:v>
                </c:pt>
                <c:pt idx="417">
                  <c:v>-10447178.151952356</c:v>
                </c:pt>
                <c:pt idx="418">
                  <c:v>-10477567.570095915</c:v>
                </c:pt>
                <c:pt idx="419">
                  <c:v>-10480694.491370566</c:v>
                </c:pt>
                <c:pt idx="420">
                  <c:v>-10482444.473405797</c:v>
                </c:pt>
                <c:pt idx="421">
                  <c:v>-10504285.224829517</c:v>
                </c:pt>
                <c:pt idx="422">
                  <c:v>-10506584.861064451</c:v>
                </c:pt>
                <c:pt idx="423">
                  <c:v>-10508917.593869161</c:v>
                </c:pt>
                <c:pt idx="424">
                  <c:v>-10519075.73098989</c:v>
                </c:pt>
                <c:pt idx="425">
                  <c:v>-10547755.253637688</c:v>
                </c:pt>
                <c:pt idx="426">
                  <c:v>-2270522.1252969229</c:v>
                </c:pt>
                <c:pt idx="427">
                  <c:v>-10572906.811152278</c:v>
                </c:pt>
                <c:pt idx="428">
                  <c:v>-10573456.819049619</c:v>
                </c:pt>
                <c:pt idx="429">
                  <c:v>-10576041.932074837</c:v>
                </c:pt>
                <c:pt idx="430">
                  <c:v>-10595586.697294002</c:v>
                </c:pt>
                <c:pt idx="431">
                  <c:v>-10600258.606983617</c:v>
                </c:pt>
                <c:pt idx="432">
                  <c:v>-10615745.664916161</c:v>
                </c:pt>
                <c:pt idx="433">
                  <c:v>-10637183.682323443</c:v>
                </c:pt>
                <c:pt idx="434">
                  <c:v>-10639112.626479046</c:v>
                </c:pt>
                <c:pt idx="435">
                  <c:v>-10645670.224234071</c:v>
                </c:pt>
                <c:pt idx="436">
                  <c:v>-10648507.612501044</c:v>
                </c:pt>
                <c:pt idx="437">
                  <c:v>-10654241.390322635</c:v>
                </c:pt>
                <c:pt idx="438">
                  <c:v>-10657994.958019806</c:v>
                </c:pt>
                <c:pt idx="439">
                  <c:v>-10668859.922717275</c:v>
                </c:pt>
                <c:pt idx="440">
                  <c:v>-10670583.07541411</c:v>
                </c:pt>
                <c:pt idx="441">
                  <c:v>-10675037.998872556</c:v>
                </c:pt>
                <c:pt idx="442">
                  <c:v>-2524662.2919382704</c:v>
                </c:pt>
                <c:pt idx="443">
                  <c:v>-10686201.368897136</c:v>
                </c:pt>
                <c:pt idx="444">
                  <c:v>-10687398.165409017</c:v>
                </c:pt>
                <c:pt idx="445">
                  <c:v>-10689821.494875014</c:v>
                </c:pt>
                <c:pt idx="446">
                  <c:v>-10699948.710101152</c:v>
                </c:pt>
                <c:pt idx="447">
                  <c:v>-10706617.024906203</c:v>
                </c:pt>
                <c:pt idx="448">
                  <c:v>-10716716.913356174</c:v>
                </c:pt>
                <c:pt idx="449">
                  <c:v>-10739852.246574849</c:v>
                </c:pt>
                <c:pt idx="450">
                  <c:v>-10756675.755865509</c:v>
                </c:pt>
                <c:pt idx="451">
                  <c:v>-10762198.519939281</c:v>
                </c:pt>
                <c:pt idx="452">
                  <c:v>-10771258.009219192</c:v>
                </c:pt>
                <c:pt idx="453">
                  <c:v>-10785611.834465481</c:v>
                </c:pt>
                <c:pt idx="454">
                  <c:v>-10811564.108513206</c:v>
                </c:pt>
                <c:pt idx="455">
                  <c:v>-10856909.476097094</c:v>
                </c:pt>
                <c:pt idx="456">
                  <c:v>-10885067.817204785</c:v>
                </c:pt>
                <c:pt idx="457">
                  <c:v>-10892295.058255756</c:v>
                </c:pt>
                <c:pt idx="458">
                  <c:v>-3086761.4374051229</c:v>
                </c:pt>
                <c:pt idx="459">
                  <c:v>-10907867.44210881</c:v>
                </c:pt>
                <c:pt idx="460">
                  <c:v>-10925446.626396136</c:v>
                </c:pt>
                <c:pt idx="461">
                  <c:v>-10935410.489034507</c:v>
                </c:pt>
                <c:pt idx="462">
                  <c:v>-10936609.931010885</c:v>
                </c:pt>
                <c:pt idx="463">
                  <c:v>-10951834.126998495</c:v>
                </c:pt>
                <c:pt idx="464">
                  <c:v>-10961242.878964741</c:v>
                </c:pt>
                <c:pt idx="465">
                  <c:v>-10969799.260815185</c:v>
                </c:pt>
                <c:pt idx="466">
                  <c:v>-10978257.145142106</c:v>
                </c:pt>
                <c:pt idx="467">
                  <c:v>-10984171.484798713</c:v>
                </c:pt>
                <c:pt idx="468">
                  <c:v>-10990100.292949663</c:v>
                </c:pt>
                <c:pt idx="469">
                  <c:v>-10997576.466072969</c:v>
                </c:pt>
                <c:pt idx="470">
                  <c:v>-11001044.251733955</c:v>
                </c:pt>
                <c:pt idx="471">
                  <c:v>-11002361.591306861</c:v>
                </c:pt>
                <c:pt idx="472">
                  <c:v>-11004100.625673519</c:v>
                </c:pt>
                <c:pt idx="473">
                  <c:v>-11006496.273050657</c:v>
                </c:pt>
                <c:pt idx="474">
                  <c:v>-3373605.1018859148</c:v>
                </c:pt>
                <c:pt idx="475">
                  <c:v>-11017370.715714199</c:v>
                </c:pt>
                <c:pt idx="476">
                  <c:v>-11018900.749502454</c:v>
                </c:pt>
                <c:pt idx="477">
                  <c:v>-11021547.977646545</c:v>
                </c:pt>
                <c:pt idx="478">
                  <c:v>-11026105.892526543</c:v>
                </c:pt>
                <c:pt idx="479">
                  <c:v>-11030348.253396846</c:v>
                </c:pt>
                <c:pt idx="480">
                  <c:v>-11048335.122659966</c:v>
                </c:pt>
                <c:pt idx="481">
                  <c:v>-11051622.365866629</c:v>
                </c:pt>
                <c:pt idx="482">
                  <c:v>-11051836.344052842</c:v>
                </c:pt>
                <c:pt idx="483">
                  <c:v>-11055067.32349465</c:v>
                </c:pt>
                <c:pt idx="484">
                  <c:v>-11060035.279719619</c:v>
                </c:pt>
                <c:pt idx="485">
                  <c:v>-11063698.957343239</c:v>
                </c:pt>
                <c:pt idx="486">
                  <c:v>-11080750.446562786</c:v>
                </c:pt>
                <c:pt idx="487">
                  <c:v>-11083304.534329722</c:v>
                </c:pt>
                <c:pt idx="488">
                  <c:v>-11094160.088086015</c:v>
                </c:pt>
                <c:pt idx="489">
                  <c:v>-11101493.664535493</c:v>
                </c:pt>
                <c:pt idx="490">
                  <c:v>-3658367.5020824391</c:v>
                </c:pt>
                <c:pt idx="491">
                  <c:v>-11116483.051322766</c:v>
                </c:pt>
                <c:pt idx="492">
                  <c:v>-11120561.734978706</c:v>
                </c:pt>
                <c:pt idx="493">
                  <c:v>-11127550.380326578</c:v>
                </c:pt>
                <c:pt idx="494">
                  <c:v>-11132575.416728061</c:v>
                </c:pt>
                <c:pt idx="495">
                  <c:v>-11140563.416169789</c:v>
                </c:pt>
                <c:pt idx="496">
                  <c:v>-11141266.971639644</c:v>
                </c:pt>
                <c:pt idx="497">
                  <c:v>-11173664.253732976</c:v>
                </c:pt>
                <c:pt idx="498">
                  <c:v>-11181515.687126299</c:v>
                </c:pt>
                <c:pt idx="499">
                  <c:v>-11186647.649229873</c:v>
                </c:pt>
                <c:pt idx="500">
                  <c:v>-11193607.89217316</c:v>
                </c:pt>
                <c:pt idx="501">
                  <c:v>-11206662.0772638</c:v>
                </c:pt>
                <c:pt idx="502">
                  <c:v>-11227871.922550336</c:v>
                </c:pt>
                <c:pt idx="503">
                  <c:v>-11241845.643968584</c:v>
                </c:pt>
                <c:pt idx="504">
                  <c:v>-11243361.940883633</c:v>
                </c:pt>
                <c:pt idx="505">
                  <c:v>-11244645.78254493</c:v>
                </c:pt>
                <c:pt idx="506">
                  <c:v>-4031805.6058709258</c:v>
                </c:pt>
                <c:pt idx="507">
                  <c:v>-11264754.961976059</c:v>
                </c:pt>
                <c:pt idx="508">
                  <c:v>-11268845.006755337</c:v>
                </c:pt>
                <c:pt idx="509">
                  <c:v>-11269112.634735525</c:v>
                </c:pt>
                <c:pt idx="510">
                  <c:v>-11270030.809569497</c:v>
                </c:pt>
                <c:pt idx="511">
                  <c:v>-11281078.800680025</c:v>
                </c:pt>
                <c:pt idx="512">
                  <c:v>-11293022.886363273</c:v>
                </c:pt>
                <c:pt idx="513">
                  <c:v>-11301816.97240497</c:v>
                </c:pt>
                <c:pt idx="514">
                  <c:v>-11302691.38079052</c:v>
                </c:pt>
                <c:pt idx="515">
                  <c:v>-11304520.210749852</c:v>
                </c:pt>
                <c:pt idx="516">
                  <c:v>-11308943.61635742</c:v>
                </c:pt>
                <c:pt idx="517">
                  <c:v>-11313190.620518593</c:v>
                </c:pt>
                <c:pt idx="518">
                  <c:v>-11317506.26059407</c:v>
                </c:pt>
                <c:pt idx="519">
                  <c:v>-11329100.585345684</c:v>
                </c:pt>
                <c:pt idx="520">
                  <c:v>-11334518.319795096</c:v>
                </c:pt>
                <c:pt idx="521">
                  <c:v>-11335084.752829175</c:v>
                </c:pt>
                <c:pt idx="522">
                  <c:v>-4287266.6143377889</c:v>
                </c:pt>
                <c:pt idx="523">
                  <c:v>-11343949.37651561</c:v>
                </c:pt>
                <c:pt idx="524">
                  <c:v>-11348620.024845168</c:v>
                </c:pt>
                <c:pt idx="525">
                  <c:v>-11353243.13395153</c:v>
                </c:pt>
                <c:pt idx="526">
                  <c:v>-11353520.455507992</c:v>
                </c:pt>
                <c:pt idx="527">
                  <c:v>-11361998.032233363</c:v>
                </c:pt>
                <c:pt idx="528">
                  <c:v>-11363455.339166176</c:v>
                </c:pt>
                <c:pt idx="529">
                  <c:v>-11373653.81477537</c:v>
                </c:pt>
                <c:pt idx="530">
                  <c:v>-11375030.472994754</c:v>
                </c:pt>
                <c:pt idx="531">
                  <c:v>-11380893.287465781</c:v>
                </c:pt>
                <c:pt idx="532">
                  <c:v>-11389784.433629651</c:v>
                </c:pt>
                <c:pt idx="533">
                  <c:v>-11391910.075661678</c:v>
                </c:pt>
                <c:pt idx="534">
                  <c:v>-11392914.661734927</c:v>
                </c:pt>
                <c:pt idx="535">
                  <c:v>-11401049.33587116</c:v>
                </c:pt>
                <c:pt idx="536">
                  <c:v>-11401394.526997052</c:v>
                </c:pt>
                <c:pt idx="537">
                  <c:v>-11406404.009585422</c:v>
                </c:pt>
                <c:pt idx="538">
                  <c:v>-4507999.4829885941</c:v>
                </c:pt>
                <c:pt idx="539">
                  <c:v>-11412452.713159265</c:v>
                </c:pt>
                <c:pt idx="540">
                  <c:v>-11417199.558295719</c:v>
                </c:pt>
                <c:pt idx="541">
                  <c:v>-11427117.679270107</c:v>
                </c:pt>
                <c:pt idx="542">
                  <c:v>-11428965.651700743</c:v>
                </c:pt>
                <c:pt idx="543">
                  <c:v>-11443862.08788014</c:v>
                </c:pt>
                <c:pt idx="544">
                  <c:v>-11446602.354652749</c:v>
                </c:pt>
                <c:pt idx="545">
                  <c:v>-11446806.291217756</c:v>
                </c:pt>
                <c:pt idx="546">
                  <c:v>-11455306.63864154</c:v>
                </c:pt>
                <c:pt idx="547">
                  <c:v>-11455963.301718811</c:v>
                </c:pt>
                <c:pt idx="548">
                  <c:v>-11461003.545503529</c:v>
                </c:pt>
                <c:pt idx="549">
                  <c:v>-11461341.321899554</c:v>
                </c:pt>
                <c:pt idx="550">
                  <c:v>-11473630.742448829</c:v>
                </c:pt>
                <c:pt idx="551">
                  <c:v>-11474374.28270952</c:v>
                </c:pt>
                <c:pt idx="552">
                  <c:v>-11474497.616590245</c:v>
                </c:pt>
                <c:pt idx="553">
                  <c:v>-11476670.192198833</c:v>
                </c:pt>
                <c:pt idx="554">
                  <c:v>-4749437.1280089002</c:v>
                </c:pt>
                <c:pt idx="555">
                  <c:v>-11499390.961103471</c:v>
                </c:pt>
                <c:pt idx="556">
                  <c:v>-11516013.04928148</c:v>
                </c:pt>
                <c:pt idx="557">
                  <c:v>-11519167.172972854</c:v>
                </c:pt>
                <c:pt idx="558">
                  <c:v>-11521994.379916133</c:v>
                </c:pt>
                <c:pt idx="559">
                  <c:v>-11531030.301466659</c:v>
                </c:pt>
                <c:pt idx="560">
                  <c:v>-11538965.839796875</c:v>
                </c:pt>
                <c:pt idx="561">
                  <c:v>-11542660.12922401</c:v>
                </c:pt>
                <c:pt idx="562">
                  <c:v>-11545079.370978987</c:v>
                </c:pt>
                <c:pt idx="563">
                  <c:v>-11545838.892235549</c:v>
                </c:pt>
                <c:pt idx="564">
                  <c:v>-11547396.775271131</c:v>
                </c:pt>
                <c:pt idx="565">
                  <c:v>-11550982.558662223</c:v>
                </c:pt>
                <c:pt idx="566">
                  <c:v>-11552547.659390636</c:v>
                </c:pt>
                <c:pt idx="567">
                  <c:v>-11553875.760092949</c:v>
                </c:pt>
                <c:pt idx="568">
                  <c:v>-11557292.818406858</c:v>
                </c:pt>
                <c:pt idx="569">
                  <c:v>-11561836.647561189</c:v>
                </c:pt>
                <c:pt idx="570">
                  <c:v>-5036344.4281853857</c:v>
                </c:pt>
                <c:pt idx="571">
                  <c:v>-11573181.848856136</c:v>
                </c:pt>
                <c:pt idx="572">
                  <c:v>-11579060.215525217</c:v>
                </c:pt>
                <c:pt idx="573">
                  <c:v>-11583809.066563325</c:v>
                </c:pt>
                <c:pt idx="574">
                  <c:v>-11586093.621389523</c:v>
                </c:pt>
                <c:pt idx="575">
                  <c:v>-11592987.520992899</c:v>
                </c:pt>
                <c:pt idx="576">
                  <c:v>-11596732.599946834</c:v>
                </c:pt>
                <c:pt idx="577">
                  <c:v>-11604475.528919173</c:v>
                </c:pt>
                <c:pt idx="578">
                  <c:v>-11609411.448052213</c:v>
                </c:pt>
                <c:pt idx="579">
                  <c:v>-11637791.148159776</c:v>
                </c:pt>
                <c:pt idx="580">
                  <c:v>-11638752.600079691</c:v>
                </c:pt>
                <c:pt idx="581">
                  <c:v>-11644340.744918989</c:v>
                </c:pt>
                <c:pt idx="582">
                  <c:v>-11649718.278967364</c:v>
                </c:pt>
                <c:pt idx="583">
                  <c:v>-11650075.481277321</c:v>
                </c:pt>
                <c:pt idx="584">
                  <c:v>-11660532.928964997</c:v>
                </c:pt>
                <c:pt idx="585">
                  <c:v>-11663285.762501514</c:v>
                </c:pt>
                <c:pt idx="586">
                  <c:v>-5377394.9628375079</c:v>
                </c:pt>
                <c:pt idx="587">
                  <c:v>-11671676.699456949</c:v>
                </c:pt>
                <c:pt idx="588">
                  <c:v>-11673616.827887073</c:v>
                </c:pt>
                <c:pt idx="589">
                  <c:v>-11676743.721705746</c:v>
                </c:pt>
                <c:pt idx="590">
                  <c:v>-11679862.552348886</c:v>
                </c:pt>
                <c:pt idx="591">
                  <c:v>-11684819.522951424</c:v>
                </c:pt>
                <c:pt idx="592">
                  <c:v>-11688949.340141449</c:v>
                </c:pt>
                <c:pt idx="593">
                  <c:v>-11689395.580582017</c:v>
                </c:pt>
                <c:pt idx="594">
                  <c:v>-11692204.969401298</c:v>
                </c:pt>
                <c:pt idx="595">
                  <c:v>-11695193.528683394</c:v>
                </c:pt>
                <c:pt idx="596">
                  <c:v>-11697735.565697353</c:v>
                </c:pt>
                <c:pt idx="597">
                  <c:v>-11699129.580134235</c:v>
                </c:pt>
                <c:pt idx="598">
                  <c:v>-11708000.793256056</c:v>
                </c:pt>
                <c:pt idx="599">
                  <c:v>-11709263.077127269</c:v>
                </c:pt>
                <c:pt idx="600">
                  <c:v>-11711192.34994711</c:v>
                </c:pt>
                <c:pt idx="601">
                  <c:v>-11711286.798520997</c:v>
                </c:pt>
                <c:pt idx="602">
                  <c:v>-5553722.9935594611</c:v>
                </c:pt>
                <c:pt idx="603">
                  <c:v>-11714291.022247657</c:v>
                </c:pt>
                <c:pt idx="604">
                  <c:v>-11719647.931201763</c:v>
                </c:pt>
                <c:pt idx="605">
                  <c:v>-11719721.603673486</c:v>
                </c:pt>
                <c:pt idx="606">
                  <c:v>-11729292.618063558</c:v>
                </c:pt>
                <c:pt idx="607">
                  <c:v>-11730438.104192529</c:v>
                </c:pt>
                <c:pt idx="608">
                  <c:v>-11731937.451077089</c:v>
                </c:pt>
                <c:pt idx="609">
                  <c:v>-11733121.921468653</c:v>
                </c:pt>
                <c:pt idx="610">
                  <c:v>-11733184.321645208</c:v>
                </c:pt>
                <c:pt idx="611">
                  <c:v>-11738311.575855603</c:v>
                </c:pt>
                <c:pt idx="612">
                  <c:v>-11742542.649895221</c:v>
                </c:pt>
                <c:pt idx="613">
                  <c:v>-11744036.755917566</c:v>
                </c:pt>
                <c:pt idx="614">
                  <c:v>-11746162.991483297</c:v>
                </c:pt>
                <c:pt idx="615">
                  <c:v>-11754429.152311485</c:v>
                </c:pt>
                <c:pt idx="616">
                  <c:v>-11756517.941957075</c:v>
                </c:pt>
                <c:pt idx="617">
                  <c:v>-11757759.184856663</c:v>
                </c:pt>
                <c:pt idx="618">
                  <c:v>-5747580.7983012097</c:v>
                </c:pt>
                <c:pt idx="619">
                  <c:v>-11758736.771202929</c:v>
                </c:pt>
                <c:pt idx="620">
                  <c:v>-11761750.354188923</c:v>
                </c:pt>
                <c:pt idx="621">
                  <c:v>-11765825.425768327</c:v>
                </c:pt>
                <c:pt idx="622">
                  <c:v>-11766170.116226334</c:v>
                </c:pt>
                <c:pt idx="623">
                  <c:v>-11769274.491295595</c:v>
                </c:pt>
                <c:pt idx="624">
                  <c:v>-11772073.29098911</c:v>
                </c:pt>
                <c:pt idx="625">
                  <c:v>-11772747.816604463</c:v>
                </c:pt>
                <c:pt idx="626">
                  <c:v>-11773393.477101201</c:v>
                </c:pt>
                <c:pt idx="627">
                  <c:v>-11777207.141902654</c:v>
                </c:pt>
                <c:pt idx="628">
                  <c:v>-11779453.162259826</c:v>
                </c:pt>
                <c:pt idx="629">
                  <c:v>-11780622.302523771</c:v>
                </c:pt>
                <c:pt idx="630">
                  <c:v>-11782184.836925508</c:v>
                </c:pt>
                <c:pt idx="631">
                  <c:v>-11787067.007746056</c:v>
                </c:pt>
                <c:pt idx="632">
                  <c:v>-11787402.174208848</c:v>
                </c:pt>
                <c:pt idx="633">
                  <c:v>-11791566.891180564</c:v>
                </c:pt>
                <c:pt idx="634">
                  <c:v>-5941551.0280164937</c:v>
                </c:pt>
                <c:pt idx="635">
                  <c:v>-11802609.335375443</c:v>
                </c:pt>
                <c:pt idx="636">
                  <c:v>-11804152.094203258</c:v>
                </c:pt>
                <c:pt idx="637">
                  <c:v>-11805682.532563467</c:v>
                </c:pt>
                <c:pt idx="638">
                  <c:v>-11805798.752115054</c:v>
                </c:pt>
                <c:pt idx="639">
                  <c:v>-11807989.00291503</c:v>
                </c:pt>
                <c:pt idx="640">
                  <c:v>-11812662.371001739</c:v>
                </c:pt>
                <c:pt idx="641">
                  <c:v>-11814547.479261439</c:v>
                </c:pt>
                <c:pt idx="642">
                  <c:v>-11821961.938607711</c:v>
                </c:pt>
                <c:pt idx="643">
                  <c:v>-11829077.261005737</c:v>
                </c:pt>
                <c:pt idx="644">
                  <c:v>-11831081.168064155</c:v>
                </c:pt>
                <c:pt idx="645">
                  <c:v>-11832095.127124727</c:v>
                </c:pt>
                <c:pt idx="646">
                  <c:v>-11834268.607165623</c:v>
                </c:pt>
                <c:pt idx="647">
                  <c:v>-11835978.83374821</c:v>
                </c:pt>
                <c:pt idx="648">
                  <c:v>-11836519.446047423</c:v>
                </c:pt>
                <c:pt idx="649">
                  <c:v>-11837108.205639049</c:v>
                </c:pt>
                <c:pt idx="650">
                  <c:v>-6140439.4806776764</c:v>
                </c:pt>
                <c:pt idx="651">
                  <c:v>-11841457.833796145</c:v>
                </c:pt>
                <c:pt idx="652">
                  <c:v>-11842359.213645171</c:v>
                </c:pt>
                <c:pt idx="653">
                  <c:v>-11843379.930107132</c:v>
                </c:pt>
                <c:pt idx="654">
                  <c:v>-11843462.096974788</c:v>
                </c:pt>
                <c:pt idx="655">
                  <c:v>-11843963.023268843</c:v>
                </c:pt>
                <c:pt idx="656">
                  <c:v>-11845588.112085147</c:v>
                </c:pt>
                <c:pt idx="657">
                  <c:v>-11849268.17608412</c:v>
                </c:pt>
                <c:pt idx="658">
                  <c:v>-11849274.260813979</c:v>
                </c:pt>
                <c:pt idx="659">
                  <c:v>-11854076.807675203</c:v>
                </c:pt>
                <c:pt idx="660">
                  <c:v>-11857263.095240535</c:v>
                </c:pt>
                <c:pt idx="661">
                  <c:v>-11857599.844459867</c:v>
                </c:pt>
                <c:pt idx="662">
                  <c:v>-11858424.543792214</c:v>
                </c:pt>
                <c:pt idx="663">
                  <c:v>-11858870.372393072</c:v>
                </c:pt>
                <c:pt idx="664">
                  <c:v>-11862435.074436096</c:v>
                </c:pt>
                <c:pt idx="665">
                  <c:v>-11863932.504247172</c:v>
                </c:pt>
                <c:pt idx="666">
                  <c:v>-6271399.5346230976</c:v>
                </c:pt>
                <c:pt idx="667">
                  <c:v>-11872639.623469744</c:v>
                </c:pt>
                <c:pt idx="668">
                  <c:v>-11873601.289384805</c:v>
                </c:pt>
                <c:pt idx="669">
                  <c:v>-11873655.65222675</c:v>
                </c:pt>
                <c:pt idx="670">
                  <c:v>-11873682.538899696</c:v>
                </c:pt>
                <c:pt idx="671">
                  <c:v>-11874767.489436217</c:v>
                </c:pt>
                <c:pt idx="672">
                  <c:v>-11875882.489736177</c:v>
                </c:pt>
                <c:pt idx="673">
                  <c:v>-11876610.557744166</c:v>
                </c:pt>
                <c:pt idx="674">
                  <c:v>-11876811.077654624</c:v>
                </c:pt>
                <c:pt idx="675">
                  <c:v>-11876943.224905182</c:v>
                </c:pt>
                <c:pt idx="676">
                  <c:v>-11877365.210409315</c:v>
                </c:pt>
                <c:pt idx="677">
                  <c:v>-11882022.087141925</c:v>
                </c:pt>
                <c:pt idx="678">
                  <c:v>-11882296.808455499</c:v>
                </c:pt>
                <c:pt idx="679">
                  <c:v>-11883081.98813363</c:v>
                </c:pt>
                <c:pt idx="680">
                  <c:v>-11884326.826151641</c:v>
                </c:pt>
                <c:pt idx="681">
                  <c:v>-11884567.999486817</c:v>
                </c:pt>
                <c:pt idx="682">
                  <c:v>-6412457.0697749984</c:v>
                </c:pt>
                <c:pt idx="683">
                  <c:v>-11886777.718999755</c:v>
                </c:pt>
                <c:pt idx="684">
                  <c:v>-11887961.249427743</c:v>
                </c:pt>
                <c:pt idx="685">
                  <c:v>-11890288.6703077</c:v>
                </c:pt>
                <c:pt idx="686">
                  <c:v>-11890727.65025641</c:v>
                </c:pt>
                <c:pt idx="687">
                  <c:v>-11893707.155525079</c:v>
                </c:pt>
                <c:pt idx="688">
                  <c:v>-11894898.438229991</c:v>
                </c:pt>
                <c:pt idx="689">
                  <c:v>-11895673.265388312</c:v>
                </c:pt>
                <c:pt idx="690">
                  <c:v>-11899854.8144913</c:v>
                </c:pt>
                <c:pt idx="691">
                  <c:v>-11900666.135493249</c:v>
                </c:pt>
                <c:pt idx="692">
                  <c:v>-11900849.755440008</c:v>
                </c:pt>
                <c:pt idx="693">
                  <c:v>-11901308.205716733</c:v>
                </c:pt>
                <c:pt idx="694">
                  <c:v>-11901565.771079965</c:v>
                </c:pt>
                <c:pt idx="695">
                  <c:v>-11902084.949141007</c:v>
                </c:pt>
                <c:pt idx="696">
                  <c:v>-11902934.615650231</c:v>
                </c:pt>
                <c:pt idx="697">
                  <c:v>-11905482.388541587</c:v>
                </c:pt>
                <c:pt idx="698">
                  <c:v>-6574214.5086673377</c:v>
                </c:pt>
                <c:pt idx="699">
                  <c:v>-11914991.688347094</c:v>
                </c:pt>
                <c:pt idx="700">
                  <c:v>-11915085.518353885</c:v>
                </c:pt>
                <c:pt idx="701">
                  <c:v>-11915571.854216738</c:v>
                </c:pt>
                <c:pt idx="702">
                  <c:v>-11915990.767881142</c:v>
                </c:pt>
                <c:pt idx="703">
                  <c:v>-11916546.751491945</c:v>
                </c:pt>
                <c:pt idx="704">
                  <c:v>-11917039.216498746</c:v>
                </c:pt>
                <c:pt idx="705">
                  <c:v>-11917887.625685556</c:v>
                </c:pt>
                <c:pt idx="706">
                  <c:v>-11918079.679463586</c:v>
                </c:pt>
                <c:pt idx="707">
                  <c:v>-11919383.728726737</c:v>
                </c:pt>
                <c:pt idx="708">
                  <c:v>-11920092.747129241</c:v>
                </c:pt>
                <c:pt idx="709">
                  <c:v>-11921207.091715775</c:v>
                </c:pt>
                <c:pt idx="710">
                  <c:v>-11921524.123503262</c:v>
                </c:pt>
                <c:pt idx="711">
                  <c:v>-11921707.668349836</c:v>
                </c:pt>
                <c:pt idx="712">
                  <c:v>-11922679.654483553</c:v>
                </c:pt>
                <c:pt idx="713">
                  <c:v>-11923262.367299177</c:v>
                </c:pt>
                <c:pt idx="714">
                  <c:v>-6725661.027596252</c:v>
                </c:pt>
                <c:pt idx="715">
                  <c:v>-11925394.133629981</c:v>
                </c:pt>
                <c:pt idx="716">
                  <c:v>-11925564.735404205</c:v>
                </c:pt>
                <c:pt idx="717">
                  <c:v>-11925989.628012186</c:v>
                </c:pt>
                <c:pt idx="718">
                  <c:v>-11926109.372427188</c:v>
                </c:pt>
                <c:pt idx="719">
                  <c:v>-11926641.97646283</c:v>
                </c:pt>
                <c:pt idx="720">
                  <c:v>-11927283.457997788</c:v>
                </c:pt>
                <c:pt idx="721">
                  <c:v>-11928359.848728536</c:v>
                </c:pt>
                <c:pt idx="722">
                  <c:v>-11928544.805135537</c:v>
                </c:pt>
                <c:pt idx="723">
                  <c:v>-11928765.599672744</c:v>
                </c:pt>
                <c:pt idx="724">
                  <c:v>-11929050.82693661</c:v>
                </c:pt>
                <c:pt idx="725">
                  <c:v>-11930291.32367954</c:v>
                </c:pt>
                <c:pt idx="726">
                  <c:v>-11931078.18705532</c:v>
                </c:pt>
                <c:pt idx="727">
                  <c:v>-11931572.402784657</c:v>
                </c:pt>
                <c:pt idx="728">
                  <c:v>-11932085.466237271</c:v>
                </c:pt>
                <c:pt idx="729">
                  <c:v>-11932298.18871613</c:v>
                </c:pt>
                <c:pt idx="730">
                  <c:v>-6842492.6892782841</c:v>
                </c:pt>
                <c:pt idx="731">
                  <c:v>-11933438.553497154</c:v>
                </c:pt>
                <c:pt idx="732">
                  <c:v>-11936058.413681109</c:v>
                </c:pt>
                <c:pt idx="733">
                  <c:v>-11936437.69382973</c:v>
                </c:pt>
                <c:pt idx="734">
                  <c:v>-11936601.358931158</c:v>
                </c:pt>
                <c:pt idx="735">
                  <c:v>-11938490.094610436</c:v>
                </c:pt>
                <c:pt idx="736">
                  <c:v>-11938716.067022609</c:v>
                </c:pt>
                <c:pt idx="737">
                  <c:v>-11938873.115232673</c:v>
                </c:pt>
                <c:pt idx="738">
                  <c:v>-11939482.214053355</c:v>
                </c:pt>
                <c:pt idx="739">
                  <c:v>-11939788.710011981</c:v>
                </c:pt>
                <c:pt idx="740">
                  <c:v>-11940346.594545692</c:v>
                </c:pt>
                <c:pt idx="741">
                  <c:v>-11940637.421214581</c:v>
                </c:pt>
                <c:pt idx="742">
                  <c:v>-11940903.66751291</c:v>
                </c:pt>
                <c:pt idx="743">
                  <c:v>-11941485.782757189</c:v>
                </c:pt>
                <c:pt idx="744">
                  <c:v>-11941486.79782095</c:v>
                </c:pt>
                <c:pt idx="745">
                  <c:v>-11941575.716437297</c:v>
                </c:pt>
                <c:pt idx="746">
                  <c:v>-7025901.0117968973</c:v>
                </c:pt>
                <c:pt idx="747">
                  <c:v>-11942481.332582647</c:v>
                </c:pt>
                <c:pt idx="748">
                  <c:v>-11942561.596912343</c:v>
                </c:pt>
                <c:pt idx="749">
                  <c:v>-11942753.921212539</c:v>
                </c:pt>
                <c:pt idx="750">
                  <c:v>-11942783.682688175</c:v>
                </c:pt>
                <c:pt idx="751">
                  <c:v>-11942847.53883924</c:v>
                </c:pt>
                <c:pt idx="752">
                  <c:v>-11942967.101560252</c:v>
                </c:pt>
                <c:pt idx="753">
                  <c:v>-11943144.919412248</c:v>
                </c:pt>
                <c:pt idx="754">
                  <c:v>-11943249.609066963</c:v>
                </c:pt>
                <c:pt idx="755">
                  <c:v>-11943273.072625127</c:v>
                </c:pt>
                <c:pt idx="756">
                  <c:v>-11943363.219492847</c:v>
                </c:pt>
                <c:pt idx="757">
                  <c:v>-11943378.888782583</c:v>
                </c:pt>
                <c:pt idx="758">
                  <c:v>-11943391.603324272</c:v>
                </c:pt>
                <c:pt idx="759">
                  <c:v>-11943435.689554119</c:v>
                </c:pt>
                <c:pt idx="760">
                  <c:v>-11943466.521813005</c:v>
                </c:pt>
                <c:pt idx="761">
                  <c:v>-11943468.459882237</c:v>
                </c:pt>
                <c:pt idx="762">
                  <c:v>-7135885.2326251464</c:v>
                </c:pt>
                <c:pt idx="763">
                  <c:v>-11943386.192880999</c:v>
                </c:pt>
                <c:pt idx="764">
                  <c:v>-11943337.014374252</c:v>
                </c:pt>
                <c:pt idx="765">
                  <c:v>-11943334.116960749</c:v>
                </c:pt>
                <c:pt idx="766">
                  <c:v>-11943254.641586734</c:v>
                </c:pt>
                <c:pt idx="767">
                  <c:v>-11943108.788956597</c:v>
                </c:pt>
                <c:pt idx="768">
                  <c:v>-11942811.392233014</c:v>
                </c:pt>
                <c:pt idx="769">
                  <c:v>-11942577.92595315</c:v>
                </c:pt>
                <c:pt idx="770">
                  <c:v>-11942531.339613996</c:v>
                </c:pt>
                <c:pt idx="771">
                  <c:v>-11942080.457497617</c:v>
                </c:pt>
                <c:pt idx="772">
                  <c:v>-11941753.162018493</c:v>
                </c:pt>
                <c:pt idx="773">
                  <c:v>-11941638.573675176</c:v>
                </c:pt>
                <c:pt idx="774">
                  <c:v>-11941573.025751177</c:v>
                </c:pt>
                <c:pt idx="775">
                  <c:v>-11941526.720432062</c:v>
                </c:pt>
                <c:pt idx="776">
                  <c:v>-11941112.841710018</c:v>
                </c:pt>
                <c:pt idx="777">
                  <c:v>-11940836.550560366</c:v>
                </c:pt>
                <c:pt idx="778">
                  <c:v>-7290011.5206880774</c:v>
                </c:pt>
                <c:pt idx="779">
                  <c:v>-11940562.417935321</c:v>
                </c:pt>
                <c:pt idx="780">
                  <c:v>-11939933.572611753</c:v>
                </c:pt>
                <c:pt idx="781">
                  <c:v>-11939833.290449483</c:v>
                </c:pt>
                <c:pt idx="782">
                  <c:v>-11939776.939471517</c:v>
                </c:pt>
                <c:pt idx="783">
                  <c:v>-11939752.544025064</c:v>
                </c:pt>
                <c:pt idx="784">
                  <c:v>-11939689.426762894</c:v>
                </c:pt>
                <c:pt idx="785">
                  <c:v>-11939640.36131018</c:v>
                </c:pt>
                <c:pt idx="786">
                  <c:v>-11939212.341142975</c:v>
                </c:pt>
                <c:pt idx="787">
                  <c:v>-11939118.115447052</c:v>
                </c:pt>
                <c:pt idx="788">
                  <c:v>-11938055.637630798</c:v>
                </c:pt>
                <c:pt idx="789">
                  <c:v>-11938032.710271789</c:v>
                </c:pt>
                <c:pt idx="790">
                  <c:v>-11937864.745079249</c:v>
                </c:pt>
                <c:pt idx="791">
                  <c:v>-11936885.138295809</c:v>
                </c:pt>
                <c:pt idx="792">
                  <c:v>-11936495.017072426</c:v>
                </c:pt>
                <c:pt idx="793">
                  <c:v>-11936352.633586213</c:v>
                </c:pt>
                <c:pt idx="794">
                  <c:v>-7365114.373909181</c:v>
                </c:pt>
                <c:pt idx="795">
                  <c:v>-11936111.468326326</c:v>
                </c:pt>
                <c:pt idx="796">
                  <c:v>-11933177.466500629</c:v>
                </c:pt>
                <c:pt idx="797">
                  <c:v>-11932430.786567783</c:v>
                </c:pt>
                <c:pt idx="798">
                  <c:v>-11931478.940203499</c:v>
                </c:pt>
                <c:pt idx="799">
                  <c:v>-11931338.628836306</c:v>
                </c:pt>
                <c:pt idx="800">
                  <c:v>-11929358.853969932</c:v>
                </c:pt>
                <c:pt idx="801">
                  <c:v>-11929248.635972733</c:v>
                </c:pt>
                <c:pt idx="802">
                  <c:v>-11928363.959050369</c:v>
                </c:pt>
                <c:pt idx="803">
                  <c:v>-11927634.92200776</c:v>
                </c:pt>
                <c:pt idx="804">
                  <c:v>-11926941.396046178</c:v>
                </c:pt>
                <c:pt idx="805">
                  <c:v>-11926332.312568542</c:v>
                </c:pt>
                <c:pt idx="806">
                  <c:v>-11925888.824186284</c:v>
                </c:pt>
                <c:pt idx="807">
                  <c:v>-11925281.602870166</c:v>
                </c:pt>
                <c:pt idx="808">
                  <c:v>-11924578.386562426</c:v>
                </c:pt>
                <c:pt idx="809">
                  <c:v>-11924448.820174064</c:v>
                </c:pt>
                <c:pt idx="810">
                  <c:v>-7504343.4974016948</c:v>
                </c:pt>
                <c:pt idx="811">
                  <c:v>-11921481.363235787</c:v>
                </c:pt>
                <c:pt idx="812">
                  <c:v>-11920304.914028255</c:v>
                </c:pt>
                <c:pt idx="813">
                  <c:v>-11920146.186158188</c:v>
                </c:pt>
                <c:pt idx="814">
                  <c:v>-11917498.377400858</c:v>
                </c:pt>
                <c:pt idx="815">
                  <c:v>-11916547.269925468</c:v>
                </c:pt>
                <c:pt idx="816">
                  <c:v>-11916340.594222613</c:v>
                </c:pt>
                <c:pt idx="817">
                  <c:v>-11915837.490830792</c:v>
                </c:pt>
                <c:pt idx="818">
                  <c:v>-11914538.77448814</c:v>
                </c:pt>
                <c:pt idx="819">
                  <c:v>-11914300.343520926</c:v>
                </c:pt>
                <c:pt idx="820">
                  <c:v>-11913953.8328929</c:v>
                </c:pt>
                <c:pt idx="821">
                  <c:v>-11913749.437651508</c:v>
                </c:pt>
                <c:pt idx="822">
                  <c:v>-11913247.816882646</c:v>
                </c:pt>
                <c:pt idx="823">
                  <c:v>-11913156.768005203</c:v>
                </c:pt>
                <c:pt idx="824">
                  <c:v>-11912905.106485369</c:v>
                </c:pt>
                <c:pt idx="825">
                  <c:v>-11908784.306162443</c:v>
                </c:pt>
                <c:pt idx="826">
                  <c:v>-7614535.9233924262</c:v>
                </c:pt>
                <c:pt idx="827">
                  <c:v>-11908272.219819728</c:v>
                </c:pt>
                <c:pt idx="828">
                  <c:v>-11907701.39786637</c:v>
                </c:pt>
                <c:pt idx="829">
                  <c:v>-11907409.715216905</c:v>
                </c:pt>
                <c:pt idx="830">
                  <c:v>-11905572.980357695</c:v>
                </c:pt>
                <c:pt idx="831">
                  <c:v>-11905178.07937107</c:v>
                </c:pt>
                <c:pt idx="832">
                  <c:v>-11904844.279247088</c:v>
                </c:pt>
                <c:pt idx="833">
                  <c:v>-11904776.576028598</c:v>
                </c:pt>
                <c:pt idx="834">
                  <c:v>-11904596.379196621</c:v>
                </c:pt>
                <c:pt idx="835">
                  <c:v>-11904444.151933769</c:v>
                </c:pt>
                <c:pt idx="836">
                  <c:v>-11903866.664637312</c:v>
                </c:pt>
                <c:pt idx="837">
                  <c:v>-11903473.546674382</c:v>
                </c:pt>
                <c:pt idx="838">
                  <c:v>-11902898.719377944</c:v>
                </c:pt>
                <c:pt idx="839">
                  <c:v>-11901669.89950213</c:v>
                </c:pt>
                <c:pt idx="840">
                  <c:v>-11901251.930646479</c:v>
                </c:pt>
                <c:pt idx="841">
                  <c:v>-11898096.185437182</c:v>
                </c:pt>
                <c:pt idx="842">
                  <c:v>-7670726.4574890574</c:v>
                </c:pt>
                <c:pt idx="843">
                  <c:v>-11897908.934840729</c:v>
                </c:pt>
                <c:pt idx="844">
                  <c:v>-11897577.101857016</c:v>
                </c:pt>
                <c:pt idx="845">
                  <c:v>-11896549.821800595</c:v>
                </c:pt>
                <c:pt idx="846">
                  <c:v>-11896284.938610956</c:v>
                </c:pt>
                <c:pt idx="847">
                  <c:v>-11896158.519970041</c:v>
                </c:pt>
                <c:pt idx="848">
                  <c:v>-11895795.305607822</c:v>
                </c:pt>
                <c:pt idx="849">
                  <c:v>-11895065.680684216</c:v>
                </c:pt>
                <c:pt idx="850">
                  <c:v>-11893108.316358389</c:v>
                </c:pt>
                <c:pt idx="851">
                  <c:v>-11890573.187753713</c:v>
                </c:pt>
                <c:pt idx="852">
                  <c:v>-11887255.261681003</c:v>
                </c:pt>
                <c:pt idx="853">
                  <c:v>-11886584.36671534</c:v>
                </c:pt>
                <c:pt idx="854">
                  <c:v>-11884806.814030237</c:v>
                </c:pt>
                <c:pt idx="855">
                  <c:v>-11883922.279232949</c:v>
                </c:pt>
                <c:pt idx="856">
                  <c:v>-11882234.91702212</c:v>
                </c:pt>
                <c:pt idx="857">
                  <c:v>-11882133.284671618</c:v>
                </c:pt>
                <c:pt idx="858">
                  <c:v>-7739752.7062071422</c:v>
                </c:pt>
                <c:pt idx="859">
                  <c:v>-11881417.247228382</c:v>
                </c:pt>
                <c:pt idx="860">
                  <c:v>-11879955.651509866</c:v>
                </c:pt>
                <c:pt idx="861">
                  <c:v>-11879943.887429629</c:v>
                </c:pt>
                <c:pt idx="862">
                  <c:v>-11879213.145693626</c:v>
                </c:pt>
                <c:pt idx="863">
                  <c:v>-11878013.157827748</c:v>
                </c:pt>
                <c:pt idx="864">
                  <c:v>-11874135.468909228</c:v>
                </c:pt>
                <c:pt idx="865">
                  <c:v>-11873468.624508265</c:v>
                </c:pt>
                <c:pt idx="866">
                  <c:v>-11868934.862008534</c:v>
                </c:pt>
                <c:pt idx="867">
                  <c:v>-11868199.044953732</c:v>
                </c:pt>
                <c:pt idx="868">
                  <c:v>-11868129.80339279</c:v>
                </c:pt>
                <c:pt idx="869">
                  <c:v>-11863586.952963423</c:v>
                </c:pt>
                <c:pt idx="870">
                  <c:v>-11861605.463713307</c:v>
                </c:pt>
                <c:pt idx="871">
                  <c:v>-11859858.148945859</c:v>
                </c:pt>
                <c:pt idx="872">
                  <c:v>-11859727.539230227</c:v>
                </c:pt>
                <c:pt idx="873">
                  <c:v>-11859226.742140792</c:v>
                </c:pt>
                <c:pt idx="874">
                  <c:v>-7837739.915911546</c:v>
                </c:pt>
                <c:pt idx="875">
                  <c:v>-11852553.93182265</c:v>
                </c:pt>
                <c:pt idx="876">
                  <c:v>-11847174.735879909</c:v>
                </c:pt>
                <c:pt idx="877">
                  <c:v>-11845550.330233011</c:v>
                </c:pt>
                <c:pt idx="878">
                  <c:v>-11845522.793499345</c:v>
                </c:pt>
                <c:pt idx="879">
                  <c:v>-11837149.375074709</c:v>
                </c:pt>
                <c:pt idx="880">
                  <c:v>-11836533.191803453</c:v>
                </c:pt>
                <c:pt idx="881">
                  <c:v>-11834068.891553905</c:v>
                </c:pt>
                <c:pt idx="882">
                  <c:v>-11829006.584466042</c:v>
                </c:pt>
                <c:pt idx="883">
                  <c:v>-11828690.71148245</c:v>
                </c:pt>
                <c:pt idx="884">
                  <c:v>-11828596.619028786</c:v>
                </c:pt>
                <c:pt idx="885">
                  <c:v>-11828538.244383531</c:v>
                </c:pt>
                <c:pt idx="886">
                  <c:v>-11827957.13774278</c:v>
                </c:pt>
                <c:pt idx="887">
                  <c:v>-11825955.160678303</c:v>
                </c:pt>
                <c:pt idx="888">
                  <c:v>-11821949.268480118</c:v>
                </c:pt>
                <c:pt idx="889">
                  <c:v>-11817919.311922304</c:v>
                </c:pt>
                <c:pt idx="890">
                  <c:v>-7945823.5045455527</c:v>
                </c:pt>
                <c:pt idx="891">
                  <c:v>-11813161.53446033</c:v>
                </c:pt>
                <c:pt idx="892">
                  <c:v>-11811218.746030184</c:v>
                </c:pt>
                <c:pt idx="893">
                  <c:v>-11808616.322816614</c:v>
                </c:pt>
                <c:pt idx="894">
                  <c:v>-11803301.533759613</c:v>
                </c:pt>
                <c:pt idx="895">
                  <c:v>-11798317.375275869</c:v>
                </c:pt>
                <c:pt idx="896">
                  <c:v>-11794908.85173434</c:v>
                </c:pt>
                <c:pt idx="897">
                  <c:v>-11793420.065712037</c:v>
                </c:pt>
                <c:pt idx="898">
                  <c:v>-11793355.56030778</c:v>
                </c:pt>
                <c:pt idx="899">
                  <c:v>-11792592.080544811</c:v>
                </c:pt>
                <c:pt idx="900">
                  <c:v>-11791643.075874539</c:v>
                </c:pt>
                <c:pt idx="901">
                  <c:v>-11790472.992416903</c:v>
                </c:pt>
                <c:pt idx="902">
                  <c:v>-11790165.930380557</c:v>
                </c:pt>
                <c:pt idx="903">
                  <c:v>-11788703.293757357</c:v>
                </c:pt>
                <c:pt idx="904">
                  <c:v>-11788130.946382005</c:v>
                </c:pt>
                <c:pt idx="905">
                  <c:v>-11786452.733473008</c:v>
                </c:pt>
                <c:pt idx="906">
                  <c:v>-8027493.9422309268</c:v>
                </c:pt>
                <c:pt idx="907">
                  <c:v>-11782129.245832199</c:v>
                </c:pt>
                <c:pt idx="908">
                  <c:v>-11781757.180953825</c:v>
                </c:pt>
                <c:pt idx="909">
                  <c:v>-11780955.711803801</c:v>
                </c:pt>
                <c:pt idx="910">
                  <c:v>-11780508.412692919</c:v>
                </c:pt>
                <c:pt idx="911">
                  <c:v>-11775811.10783614</c:v>
                </c:pt>
                <c:pt idx="912">
                  <c:v>-11775366.684335478</c:v>
                </c:pt>
                <c:pt idx="913">
                  <c:v>-11774579.311408998</c:v>
                </c:pt>
                <c:pt idx="914">
                  <c:v>-11772129.578979839</c:v>
                </c:pt>
                <c:pt idx="915">
                  <c:v>-11766083.011319794</c:v>
                </c:pt>
                <c:pt idx="916">
                  <c:v>-11760745.314284472</c:v>
                </c:pt>
                <c:pt idx="917">
                  <c:v>-11759275.999397714</c:v>
                </c:pt>
                <c:pt idx="918">
                  <c:v>-11751928.476117529</c:v>
                </c:pt>
                <c:pt idx="919">
                  <c:v>-11748505.66496812</c:v>
                </c:pt>
                <c:pt idx="920">
                  <c:v>-11745856.766046846</c:v>
                </c:pt>
                <c:pt idx="921">
                  <c:v>-11744538.103741691</c:v>
                </c:pt>
                <c:pt idx="922">
                  <c:v>-8113990.6560126813</c:v>
                </c:pt>
                <c:pt idx="923">
                  <c:v>-11734482.578503957</c:v>
                </c:pt>
                <c:pt idx="924">
                  <c:v>-11732755.322753053</c:v>
                </c:pt>
                <c:pt idx="925">
                  <c:v>-11728632.716795629</c:v>
                </c:pt>
                <c:pt idx="926">
                  <c:v>-11727758.477991136</c:v>
                </c:pt>
                <c:pt idx="927">
                  <c:v>-11727357.796713026</c:v>
                </c:pt>
                <c:pt idx="928">
                  <c:v>-11724447.624256061</c:v>
                </c:pt>
                <c:pt idx="929">
                  <c:v>-11722420.048527151</c:v>
                </c:pt>
                <c:pt idx="930">
                  <c:v>-11717027.385425836</c:v>
                </c:pt>
                <c:pt idx="931">
                  <c:v>-11716106.602273686</c:v>
                </c:pt>
                <c:pt idx="932">
                  <c:v>-11715804.578409811</c:v>
                </c:pt>
                <c:pt idx="933">
                  <c:v>-11705212.35173507</c:v>
                </c:pt>
                <c:pt idx="934">
                  <c:v>-11689088.924732698</c:v>
                </c:pt>
                <c:pt idx="935">
                  <c:v>-11688648.419361997</c:v>
                </c:pt>
                <c:pt idx="936">
                  <c:v>-11680395.507659592</c:v>
                </c:pt>
                <c:pt idx="937">
                  <c:v>-11679089.86917967</c:v>
                </c:pt>
                <c:pt idx="938">
                  <c:v>-8224012.9146797219</c:v>
                </c:pt>
                <c:pt idx="939">
                  <c:v>-11676493.749536276</c:v>
                </c:pt>
                <c:pt idx="940">
                  <c:v>-11670886.970161315</c:v>
                </c:pt>
                <c:pt idx="941">
                  <c:v>-11670632.617955364</c:v>
                </c:pt>
                <c:pt idx="942">
                  <c:v>-11668735.679398065</c:v>
                </c:pt>
                <c:pt idx="943">
                  <c:v>-11666335.316052463</c:v>
                </c:pt>
                <c:pt idx="944">
                  <c:v>-11664169.569715332</c:v>
                </c:pt>
                <c:pt idx="945">
                  <c:v>-11663920.39215423</c:v>
                </c:pt>
                <c:pt idx="946">
                  <c:v>-11659890.072208436</c:v>
                </c:pt>
                <c:pt idx="947">
                  <c:v>-11657666.87584658</c:v>
                </c:pt>
                <c:pt idx="948">
                  <c:v>-11644057.705250788</c:v>
                </c:pt>
                <c:pt idx="949">
                  <c:v>-11641013.563758189</c:v>
                </c:pt>
                <c:pt idx="950">
                  <c:v>-11639511.208828676</c:v>
                </c:pt>
                <c:pt idx="951">
                  <c:v>-11637642.895553928</c:v>
                </c:pt>
                <c:pt idx="952">
                  <c:v>-11637013.094116209</c:v>
                </c:pt>
                <c:pt idx="953">
                  <c:v>-11634944.205211509</c:v>
                </c:pt>
                <c:pt idx="954">
                  <c:v>-8292650.8922230098</c:v>
                </c:pt>
                <c:pt idx="955">
                  <c:v>-11633405.301526405</c:v>
                </c:pt>
                <c:pt idx="956">
                  <c:v>-11629076.492270499</c:v>
                </c:pt>
                <c:pt idx="957">
                  <c:v>-11621413.133960577</c:v>
                </c:pt>
                <c:pt idx="958">
                  <c:v>-11617793.886574088</c:v>
                </c:pt>
                <c:pt idx="959">
                  <c:v>-11611789.449309021</c:v>
                </c:pt>
                <c:pt idx="960">
                  <c:v>-11609258.350273287</c:v>
                </c:pt>
                <c:pt idx="961">
                  <c:v>-11600767.132770641</c:v>
                </c:pt>
                <c:pt idx="962">
                  <c:v>-11600577.757565793</c:v>
                </c:pt>
                <c:pt idx="963">
                  <c:v>-11599578.585973458</c:v>
                </c:pt>
                <c:pt idx="964">
                  <c:v>-11597797.462395795</c:v>
                </c:pt>
                <c:pt idx="965">
                  <c:v>-11594001.41787377</c:v>
                </c:pt>
                <c:pt idx="966">
                  <c:v>-11588762.278926633</c:v>
                </c:pt>
                <c:pt idx="967">
                  <c:v>-11578960.674674448</c:v>
                </c:pt>
                <c:pt idx="968">
                  <c:v>-11577973.313191492</c:v>
                </c:pt>
                <c:pt idx="969">
                  <c:v>-11577863.075813601</c:v>
                </c:pt>
                <c:pt idx="970">
                  <c:v>-8372117.4964732034</c:v>
                </c:pt>
                <c:pt idx="971">
                  <c:v>-11566954.718553565</c:v>
                </c:pt>
                <c:pt idx="972">
                  <c:v>-11560828.973497652</c:v>
                </c:pt>
                <c:pt idx="973">
                  <c:v>-11554524.353534481</c:v>
                </c:pt>
                <c:pt idx="974">
                  <c:v>-11545606.034832453</c:v>
                </c:pt>
                <c:pt idx="975">
                  <c:v>-11545215.363681931</c:v>
                </c:pt>
                <c:pt idx="976">
                  <c:v>-11541657.553897612</c:v>
                </c:pt>
                <c:pt idx="977">
                  <c:v>-11539024.473658912</c:v>
                </c:pt>
                <c:pt idx="978">
                  <c:v>-11537337.626651486</c:v>
                </c:pt>
                <c:pt idx="979">
                  <c:v>-11537286.27427708</c:v>
                </c:pt>
                <c:pt idx="980">
                  <c:v>-11535983.672913151</c:v>
                </c:pt>
                <c:pt idx="981">
                  <c:v>-11535219.269337185</c:v>
                </c:pt>
                <c:pt idx="982">
                  <c:v>-11526486.242974157</c:v>
                </c:pt>
                <c:pt idx="983">
                  <c:v>-11526342.430161886</c:v>
                </c:pt>
                <c:pt idx="984">
                  <c:v>-11521877.264007548</c:v>
                </c:pt>
                <c:pt idx="985">
                  <c:v>-11521270.441610683</c:v>
                </c:pt>
                <c:pt idx="986">
                  <c:v>-8457716.5369633362</c:v>
                </c:pt>
                <c:pt idx="987">
                  <c:v>-11499606.351657655</c:v>
                </c:pt>
                <c:pt idx="988">
                  <c:v>-11481785.954466235</c:v>
                </c:pt>
                <c:pt idx="989">
                  <c:v>-11479543.54699312</c:v>
                </c:pt>
                <c:pt idx="990">
                  <c:v>-11471074.000334596</c:v>
                </c:pt>
                <c:pt idx="991">
                  <c:v>-11466752.989384761</c:v>
                </c:pt>
                <c:pt idx="992">
                  <c:v>-11457297.904643418</c:v>
                </c:pt>
                <c:pt idx="993">
                  <c:v>-11454127.998608267</c:v>
                </c:pt>
                <c:pt idx="994">
                  <c:v>-11450971.860939952</c:v>
                </c:pt>
                <c:pt idx="995">
                  <c:v>-11447443.851392651</c:v>
                </c:pt>
                <c:pt idx="996">
                  <c:v>-11439139.709252696</c:v>
                </c:pt>
                <c:pt idx="997">
                  <c:v>-11437305.016633943</c:v>
                </c:pt>
                <c:pt idx="998">
                  <c:v>-11436704.81678115</c:v>
                </c:pt>
                <c:pt idx="999">
                  <c:v>-11436031.996666715</c:v>
                </c:pt>
                <c:pt idx="1000">
                  <c:v>-11433709.450838406</c:v>
                </c:pt>
                <c:pt idx="1001">
                  <c:v>-11429511.360314526</c:v>
                </c:pt>
                <c:pt idx="1002">
                  <c:v>-8548706.9921151809</c:v>
                </c:pt>
                <c:pt idx="1003">
                  <c:v>-11409565.214497268</c:v>
                </c:pt>
                <c:pt idx="1004">
                  <c:v>-11409307.601489836</c:v>
                </c:pt>
                <c:pt idx="1005">
                  <c:v>-11393830.267819658</c:v>
                </c:pt>
                <c:pt idx="1006">
                  <c:v>-11391261.77535316</c:v>
                </c:pt>
                <c:pt idx="1007">
                  <c:v>-11385422.836280011</c:v>
                </c:pt>
                <c:pt idx="1008">
                  <c:v>-11381538.618490765</c:v>
                </c:pt>
                <c:pt idx="1009">
                  <c:v>-11375973.510834401</c:v>
                </c:pt>
                <c:pt idx="1010">
                  <c:v>-11369843.31871713</c:v>
                </c:pt>
                <c:pt idx="1011">
                  <c:v>-11362952.261615291</c:v>
                </c:pt>
                <c:pt idx="1012">
                  <c:v>-11359714.690315509</c:v>
                </c:pt>
                <c:pt idx="1013">
                  <c:v>-11334913.073003959</c:v>
                </c:pt>
                <c:pt idx="1014">
                  <c:v>-11333855.07858786</c:v>
                </c:pt>
                <c:pt idx="1015">
                  <c:v>-11328215.053250292</c:v>
                </c:pt>
                <c:pt idx="1016">
                  <c:v>-11324895.803637801</c:v>
                </c:pt>
                <c:pt idx="1017">
                  <c:v>-11323463.376668749</c:v>
                </c:pt>
                <c:pt idx="1018">
                  <c:v>-8630062.9619171526</c:v>
                </c:pt>
                <c:pt idx="1019">
                  <c:v>-11309985.870421264</c:v>
                </c:pt>
                <c:pt idx="1020">
                  <c:v>-11308246.79729322</c:v>
                </c:pt>
                <c:pt idx="1021">
                  <c:v>-11281248.255763307</c:v>
                </c:pt>
                <c:pt idx="1022">
                  <c:v>-11279726.336024899</c:v>
                </c:pt>
                <c:pt idx="1023">
                  <c:v>-11277859.078997886</c:v>
                </c:pt>
                <c:pt idx="1024">
                  <c:v>-11266132.523820242</c:v>
                </c:pt>
                <c:pt idx="1025">
                  <c:v>-11241128.484867802</c:v>
                </c:pt>
                <c:pt idx="1026">
                  <c:v>-11235712.257267218</c:v>
                </c:pt>
                <c:pt idx="1027">
                  <c:v>-11217099.059747942</c:v>
                </c:pt>
                <c:pt idx="1028">
                  <c:v>-11190064.992601486</c:v>
                </c:pt>
                <c:pt idx="1029">
                  <c:v>-11189812.423419228</c:v>
                </c:pt>
                <c:pt idx="1030">
                  <c:v>-11172906.31684803</c:v>
                </c:pt>
                <c:pt idx="1031">
                  <c:v>-11168405.633959968</c:v>
                </c:pt>
                <c:pt idx="1032">
                  <c:v>-11132442.29559774</c:v>
                </c:pt>
                <c:pt idx="1033">
                  <c:v>-11131737.355215907</c:v>
                </c:pt>
                <c:pt idx="1034">
                  <c:v>-8787235.5354617722</c:v>
                </c:pt>
                <c:pt idx="1035">
                  <c:v>-11115945.699825056</c:v>
                </c:pt>
                <c:pt idx="1036">
                  <c:v>-11107684.607047906</c:v>
                </c:pt>
                <c:pt idx="1037">
                  <c:v>-11089362.775626792</c:v>
                </c:pt>
                <c:pt idx="1038">
                  <c:v>-11084549.520125534</c:v>
                </c:pt>
                <c:pt idx="1039">
                  <c:v>-11078769.120433521</c:v>
                </c:pt>
                <c:pt idx="1040">
                  <c:v>-11076386.18759807</c:v>
                </c:pt>
                <c:pt idx="1041">
                  <c:v>-11074769.876620328</c:v>
                </c:pt>
                <c:pt idx="1042">
                  <c:v>-11073478.826956548</c:v>
                </c:pt>
                <c:pt idx="1043">
                  <c:v>-11071402.468410021</c:v>
                </c:pt>
                <c:pt idx="1044">
                  <c:v>-11043047.10802942</c:v>
                </c:pt>
                <c:pt idx="1045">
                  <c:v>-11032123.222797196</c:v>
                </c:pt>
                <c:pt idx="1046">
                  <c:v>-10992403.483926602</c:v>
                </c:pt>
                <c:pt idx="1047">
                  <c:v>-10977561.570479862</c:v>
                </c:pt>
                <c:pt idx="1048">
                  <c:v>-10969058.045430066</c:v>
                </c:pt>
                <c:pt idx="1049">
                  <c:v>-10946037.129358595</c:v>
                </c:pt>
                <c:pt idx="1050">
                  <c:v>-8905473.3099778611</c:v>
                </c:pt>
                <c:pt idx="1051">
                  <c:v>-10942970.066967217</c:v>
                </c:pt>
                <c:pt idx="1052">
                  <c:v>-10935839.238400282</c:v>
                </c:pt>
                <c:pt idx="1053">
                  <c:v>-10924383.795689801</c:v>
                </c:pt>
                <c:pt idx="1054">
                  <c:v>-10916530.807803445</c:v>
                </c:pt>
                <c:pt idx="1055">
                  <c:v>-10897082.39773377</c:v>
                </c:pt>
                <c:pt idx="1056">
                  <c:v>-10889766.590956558</c:v>
                </c:pt>
                <c:pt idx="1057">
                  <c:v>-10879636.180338772</c:v>
                </c:pt>
                <c:pt idx="1058">
                  <c:v>-10845205.799019223</c:v>
                </c:pt>
                <c:pt idx="1059">
                  <c:v>-10840062.458834203</c:v>
                </c:pt>
                <c:pt idx="1060">
                  <c:v>-10810789.633437485</c:v>
                </c:pt>
                <c:pt idx="1061">
                  <c:v>-10808032.807478353</c:v>
                </c:pt>
                <c:pt idx="1062">
                  <c:v>-10788191.918201063</c:v>
                </c:pt>
                <c:pt idx="1063">
                  <c:v>-10767840.317802692</c:v>
                </c:pt>
                <c:pt idx="1064">
                  <c:v>-10740745.824080177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E7-4E19-B73F-9A86AD9D2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698507"/>
        <c:axId val="2093290447"/>
      </c:lineChart>
      <c:catAx>
        <c:axId val="1444698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093290447"/>
        <c:crosses val="autoZero"/>
        <c:auto val="1"/>
        <c:lblAlgn val="ctr"/>
        <c:lblOffset val="100"/>
        <c:noMultiLvlLbl val="1"/>
      </c:catAx>
      <c:valAx>
        <c:axId val="20932904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Beneficio liquido (BLi) - R$/ano</a:t>
                </a:r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4446985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Solar!$E$24</c:f>
              <c:strCache>
                <c:ptCount val="1"/>
                <c:pt idx="0">
                  <c:v>eanual (MWH)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Solar!$D$25:$D$29</c:f>
              <c:numCache>
                <c:formatCode>0.00</c:formatCode>
                <c:ptCount val="5"/>
                <c:pt idx="0">
                  <c:v>608.84</c:v>
                </c:pt>
                <c:pt idx="1">
                  <c:v>1521.48</c:v>
                </c:pt>
                <c:pt idx="2">
                  <c:v>3042.96</c:v>
                </c:pt>
                <c:pt idx="3">
                  <c:v>4564.4399999999996</c:v>
                </c:pt>
                <c:pt idx="4">
                  <c:v>6085.3</c:v>
                </c:pt>
              </c:numCache>
            </c:numRef>
          </c:xVal>
          <c:yVal>
            <c:numRef>
              <c:f>Solar!$E$25:$E$29</c:f>
              <c:numCache>
                <c:formatCode>_(* #,##0.00_);_(* \(#,##0.00\);_(* "-"??_);_(@_)</c:formatCode>
                <c:ptCount val="5"/>
                <c:pt idx="0">
                  <c:v>1097799.4039999999</c:v>
                </c:pt>
                <c:pt idx="1">
                  <c:v>2743380.588</c:v>
                </c:pt>
                <c:pt idx="2">
                  <c:v>5486761.176</c:v>
                </c:pt>
                <c:pt idx="3">
                  <c:v>8230141.7639999976</c:v>
                </c:pt>
                <c:pt idx="4">
                  <c:v>10972404.43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2F-4982-AB64-36D44D2FC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7752576"/>
        <c:axId val="1617752992"/>
      </c:scatterChart>
      <c:valAx>
        <c:axId val="1617752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7752992"/>
        <c:crosses val="autoZero"/>
        <c:crossBetween val="midCat"/>
      </c:valAx>
      <c:valAx>
        <c:axId val="161775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7752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e kw/h versus PH kW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'Benefício Econômico (PCH)'!$D$3:$D$1067</c:f>
              <c:numCache>
                <c:formatCode>General</c:formatCode>
                <c:ptCount val="1065"/>
                <c:pt idx="0">
                  <c:v>27633.138396938197</c:v>
                </c:pt>
                <c:pt idx="1">
                  <c:v>26908.841799890655</c:v>
                </c:pt>
                <c:pt idx="2">
                  <c:v>26715.791297977041</c:v>
                </c:pt>
                <c:pt idx="3">
                  <c:v>26473.560997266268</c:v>
                </c:pt>
                <c:pt idx="4">
                  <c:v>26324.341725533079</c:v>
                </c:pt>
                <c:pt idx="5">
                  <c:v>25883.577191908142</c:v>
                </c:pt>
                <c:pt idx="6">
                  <c:v>25304.329141607439</c:v>
                </c:pt>
                <c:pt idx="7">
                  <c:v>24950.068533624937</c:v>
                </c:pt>
                <c:pt idx="8">
                  <c:v>24271.804382722799</c:v>
                </c:pt>
                <c:pt idx="9">
                  <c:v>23356.195085839256</c:v>
                </c:pt>
                <c:pt idx="10">
                  <c:v>22337.765832695466</c:v>
                </c:pt>
                <c:pt idx="11">
                  <c:v>22246.705003827228</c:v>
                </c:pt>
                <c:pt idx="12">
                  <c:v>22043.536632039366</c:v>
                </c:pt>
                <c:pt idx="13">
                  <c:v>21856.568437397487</c:v>
                </c:pt>
                <c:pt idx="14">
                  <c:v>21285.796999453254</c:v>
                </c:pt>
                <c:pt idx="15">
                  <c:v>20999.735468562056</c:v>
                </c:pt>
                <c:pt idx="16">
                  <c:v>20462.696699835975</c:v>
                </c:pt>
                <c:pt idx="17">
                  <c:v>19954.293047566978</c:v>
                </c:pt>
                <c:pt idx="18">
                  <c:v>19801.598171678514</c:v>
                </c:pt>
                <c:pt idx="19">
                  <c:v>19737.048478950244</c:v>
                </c:pt>
                <c:pt idx="20">
                  <c:v>19643.168548933845</c:v>
                </c:pt>
                <c:pt idx="21">
                  <c:v>19455.466615636964</c:v>
                </c:pt>
                <c:pt idx="22">
                  <c:v>19265.717937670859</c:v>
                </c:pt>
                <c:pt idx="23">
                  <c:v>19236.040139967197</c:v>
                </c:pt>
                <c:pt idx="24">
                  <c:v>19231.88872389284</c:v>
                </c:pt>
                <c:pt idx="25">
                  <c:v>19053.532303991258</c:v>
                </c:pt>
                <c:pt idx="26">
                  <c:v>18683.12944559869</c:v>
                </c:pt>
                <c:pt idx="27">
                  <c:v>18643.217924548935</c:v>
                </c:pt>
                <c:pt idx="28">
                  <c:v>18600.313522143249</c:v>
                </c:pt>
                <c:pt idx="29">
                  <c:v>18434.218261344999</c:v>
                </c:pt>
                <c:pt idx="30">
                  <c:v>18433.31074248223</c:v>
                </c:pt>
                <c:pt idx="31">
                  <c:v>17923.362377255329</c:v>
                </c:pt>
                <c:pt idx="32">
                  <c:v>17366.223031164573</c:v>
                </c:pt>
                <c:pt idx="33">
                  <c:v>17173.095293603063</c:v>
                </c:pt>
                <c:pt idx="34">
                  <c:v>17147.993708037178</c:v>
                </c:pt>
                <c:pt idx="35">
                  <c:v>17037.469495899397</c:v>
                </c:pt>
                <c:pt idx="36">
                  <c:v>17003.022396938217</c:v>
                </c:pt>
                <c:pt idx="37">
                  <c:v>16890.625220338985</c:v>
                </c:pt>
                <c:pt idx="38">
                  <c:v>16619.392933843632</c:v>
                </c:pt>
                <c:pt idx="39">
                  <c:v>16424.199142700931</c:v>
                </c:pt>
                <c:pt idx="40">
                  <c:v>16414.216435210499</c:v>
                </c:pt>
                <c:pt idx="41">
                  <c:v>16303.827385456534</c:v>
                </c:pt>
                <c:pt idx="42">
                  <c:v>16286.796925095685</c:v>
                </c:pt>
                <c:pt idx="43">
                  <c:v>16209.773675232369</c:v>
                </c:pt>
                <c:pt idx="44">
                  <c:v>16024.774989611809</c:v>
                </c:pt>
                <c:pt idx="45">
                  <c:v>15964.087079278292</c:v>
                </c:pt>
                <c:pt idx="46">
                  <c:v>15933.887940951337</c:v>
                </c:pt>
                <c:pt idx="47">
                  <c:v>15896.139018042646</c:v>
                </c:pt>
                <c:pt idx="48">
                  <c:v>15814.694027337344</c:v>
                </c:pt>
                <c:pt idx="49">
                  <c:v>15810.890171678511</c:v>
                </c:pt>
                <c:pt idx="50">
                  <c:v>15773.913605248772</c:v>
                </c:pt>
                <c:pt idx="51">
                  <c:v>15723.131166757792</c:v>
                </c:pt>
                <c:pt idx="52">
                  <c:v>15711.333421541829</c:v>
                </c:pt>
                <c:pt idx="53">
                  <c:v>15682.389362493164</c:v>
                </c:pt>
                <c:pt idx="54">
                  <c:v>15674.607870967744</c:v>
                </c:pt>
                <c:pt idx="55">
                  <c:v>15584.049073810829</c:v>
                </c:pt>
                <c:pt idx="56">
                  <c:v>15579.58871514489</c:v>
                </c:pt>
                <c:pt idx="57">
                  <c:v>15512.567481683978</c:v>
                </c:pt>
                <c:pt idx="58">
                  <c:v>15404.997533078184</c:v>
                </c:pt>
                <c:pt idx="59">
                  <c:v>15365.781132859485</c:v>
                </c:pt>
                <c:pt idx="60">
                  <c:v>15362.05451284855</c:v>
                </c:pt>
                <c:pt idx="61">
                  <c:v>15324.826930563151</c:v>
                </c:pt>
                <c:pt idx="62">
                  <c:v>15074.73790267906</c:v>
                </c:pt>
                <c:pt idx="63">
                  <c:v>14981.360004373977</c:v>
                </c:pt>
                <c:pt idx="64">
                  <c:v>14938.3011306725</c:v>
                </c:pt>
                <c:pt idx="65">
                  <c:v>14893.17620338983</c:v>
                </c:pt>
                <c:pt idx="66">
                  <c:v>14760.060564242753</c:v>
                </c:pt>
                <c:pt idx="67">
                  <c:v>14663.071899398581</c:v>
                </c:pt>
                <c:pt idx="68">
                  <c:v>14533.354628758885</c:v>
                </c:pt>
                <c:pt idx="69">
                  <c:v>14507.866864953527</c:v>
                </c:pt>
                <c:pt idx="70">
                  <c:v>14481.066095133952</c:v>
                </c:pt>
                <c:pt idx="71">
                  <c:v>14381.374182613452</c:v>
                </c:pt>
                <c:pt idx="72">
                  <c:v>14369.788835429195</c:v>
                </c:pt>
                <c:pt idx="73">
                  <c:v>14357.450440677967</c:v>
                </c:pt>
                <c:pt idx="74">
                  <c:v>14230.783978130126</c:v>
                </c:pt>
                <c:pt idx="75">
                  <c:v>14189.038110442863</c:v>
                </c:pt>
                <c:pt idx="76">
                  <c:v>14154.591011481683</c:v>
                </c:pt>
                <c:pt idx="77">
                  <c:v>14144.241434663749</c:v>
                </c:pt>
                <c:pt idx="78">
                  <c:v>14134.606287588847</c:v>
                </c:pt>
                <c:pt idx="79">
                  <c:v>14126.342073264079</c:v>
                </c:pt>
                <c:pt idx="80">
                  <c:v>14117.266884636414</c:v>
                </c:pt>
                <c:pt idx="81">
                  <c:v>14104.928489885186</c:v>
                </c:pt>
                <c:pt idx="82">
                  <c:v>14057.776126845267</c:v>
                </c:pt>
                <c:pt idx="83">
                  <c:v>13923.868822307268</c:v>
                </c:pt>
                <c:pt idx="84">
                  <c:v>13791.409686167304</c:v>
                </c:pt>
                <c:pt idx="85">
                  <c:v>13766.674969928925</c:v>
                </c:pt>
                <c:pt idx="86">
                  <c:v>13691.679155822856</c:v>
                </c:pt>
                <c:pt idx="87">
                  <c:v>13551.303365773647</c:v>
                </c:pt>
                <c:pt idx="88">
                  <c:v>13521.258698742482</c:v>
                </c:pt>
                <c:pt idx="89">
                  <c:v>13416.160290869329</c:v>
                </c:pt>
                <c:pt idx="90">
                  <c:v>13398.338165117551</c:v>
                </c:pt>
                <c:pt idx="91">
                  <c:v>13289.049723346092</c:v>
                </c:pt>
                <c:pt idx="92">
                  <c:v>13254.158519409517</c:v>
                </c:pt>
                <c:pt idx="93">
                  <c:v>13169.044835429195</c:v>
                </c:pt>
                <c:pt idx="94">
                  <c:v>13150.237955166758</c:v>
                </c:pt>
                <c:pt idx="95">
                  <c:v>13113.087608529251</c:v>
                </c:pt>
                <c:pt idx="96">
                  <c:v>13091.114066703116</c:v>
                </c:pt>
                <c:pt idx="97">
                  <c:v>13073.079542919626</c:v>
                </c:pt>
                <c:pt idx="98">
                  <c:v>13060.258425369051</c:v>
                </c:pt>
                <c:pt idx="99">
                  <c:v>13032.68529907053</c:v>
                </c:pt>
                <c:pt idx="100">
                  <c:v>13008.317452159648</c:v>
                </c:pt>
                <c:pt idx="101">
                  <c:v>13002.621323127394</c:v>
                </c:pt>
                <c:pt idx="102">
                  <c:v>12969.506539092396</c:v>
                </c:pt>
                <c:pt idx="103">
                  <c:v>12951.626486604706</c:v>
                </c:pt>
                <c:pt idx="104">
                  <c:v>12947.243363586658</c:v>
                </c:pt>
                <c:pt idx="105">
                  <c:v>12817.526092946968</c:v>
                </c:pt>
                <c:pt idx="106">
                  <c:v>12812.080979770368</c:v>
                </c:pt>
                <c:pt idx="107">
                  <c:v>12723.086204483327</c:v>
                </c:pt>
                <c:pt idx="108">
                  <c:v>12665.101541826134</c:v>
                </c:pt>
                <c:pt idx="109">
                  <c:v>12564.386256971022</c:v>
                </c:pt>
                <c:pt idx="110">
                  <c:v>12536.06008310552</c:v>
                </c:pt>
                <c:pt idx="111">
                  <c:v>12522.273519956259</c:v>
                </c:pt>
                <c:pt idx="112">
                  <c:v>12494.739011481683</c:v>
                </c:pt>
                <c:pt idx="113">
                  <c:v>12474.696360852928</c:v>
                </c:pt>
                <c:pt idx="114">
                  <c:v>12451.255341716787</c:v>
                </c:pt>
                <c:pt idx="115">
                  <c:v>12443.029745215967</c:v>
                </c:pt>
                <c:pt idx="116">
                  <c:v>12420.341773646802</c:v>
                </c:pt>
                <c:pt idx="117">
                  <c:v>12260.966014215419</c:v>
                </c:pt>
                <c:pt idx="118">
                  <c:v>12238.278042646254</c:v>
                </c:pt>
                <c:pt idx="119">
                  <c:v>12114.044503007108</c:v>
                </c:pt>
                <c:pt idx="120">
                  <c:v>12077.531350464735</c:v>
                </c:pt>
                <c:pt idx="121">
                  <c:v>12071.951074904318</c:v>
                </c:pt>
                <c:pt idx="122">
                  <c:v>11956.734797156916</c:v>
                </c:pt>
                <c:pt idx="123">
                  <c:v>11904.948295243303</c:v>
                </c:pt>
                <c:pt idx="124">
                  <c:v>11877.124153089118</c:v>
                </c:pt>
                <c:pt idx="125">
                  <c:v>11855.47886276654</c:v>
                </c:pt>
                <c:pt idx="126">
                  <c:v>11831.477885183162</c:v>
                </c:pt>
                <c:pt idx="127">
                  <c:v>11788.843807545107</c:v>
                </c:pt>
                <c:pt idx="128">
                  <c:v>11783.823490431929</c:v>
                </c:pt>
                <c:pt idx="129">
                  <c:v>11749.781878622198</c:v>
                </c:pt>
                <c:pt idx="130">
                  <c:v>11717.70977583379</c:v>
                </c:pt>
                <c:pt idx="131">
                  <c:v>11683.687472936032</c:v>
                </c:pt>
                <c:pt idx="132">
                  <c:v>11660.342998359758</c:v>
                </c:pt>
                <c:pt idx="133">
                  <c:v>11636.322711864408</c:v>
                </c:pt>
                <c:pt idx="134">
                  <c:v>11552.464107162385</c:v>
                </c:pt>
                <c:pt idx="135">
                  <c:v>11527.15012356479</c:v>
                </c:pt>
                <c:pt idx="136">
                  <c:v>11509.385924548933</c:v>
                </c:pt>
                <c:pt idx="137">
                  <c:v>11367.02131656643</c:v>
                </c:pt>
                <c:pt idx="138">
                  <c:v>11329.407556041553</c:v>
                </c:pt>
                <c:pt idx="139">
                  <c:v>11323.711427009293</c:v>
                </c:pt>
                <c:pt idx="140">
                  <c:v>11261.961526517222</c:v>
                </c:pt>
                <c:pt idx="141">
                  <c:v>11252.809102241661</c:v>
                </c:pt>
                <c:pt idx="142">
                  <c:v>11240.451398578458</c:v>
                </c:pt>
                <c:pt idx="143">
                  <c:v>11236.917867687262</c:v>
                </c:pt>
                <c:pt idx="144">
                  <c:v>11220.582528157465</c:v>
                </c:pt>
                <c:pt idx="145">
                  <c:v>11175.515527610718</c:v>
                </c:pt>
                <c:pt idx="146">
                  <c:v>11159.006407873156</c:v>
                </c:pt>
                <c:pt idx="147">
                  <c:v>11151.630403499179</c:v>
                </c:pt>
                <c:pt idx="148">
                  <c:v>11078.932349917988</c:v>
                </c:pt>
                <c:pt idx="149">
                  <c:v>11071.305329688354</c:v>
                </c:pt>
                <c:pt idx="150">
                  <c:v>11066.381557135048</c:v>
                </c:pt>
                <c:pt idx="151">
                  <c:v>11001.445686167304</c:v>
                </c:pt>
                <c:pt idx="152">
                  <c:v>10998.124553307818</c:v>
                </c:pt>
                <c:pt idx="153">
                  <c:v>10972.656098414434</c:v>
                </c:pt>
                <c:pt idx="154">
                  <c:v>10971.014840896663</c:v>
                </c:pt>
                <c:pt idx="155">
                  <c:v>10938.904120284305</c:v>
                </c:pt>
                <c:pt idx="156">
                  <c:v>10909.535265172224</c:v>
                </c:pt>
                <c:pt idx="157">
                  <c:v>10907.430593767085</c:v>
                </c:pt>
                <c:pt idx="158">
                  <c:v>10828.843322033899</c:v>
                </c:pt>
                <c:pt idx="159">
                  <c:v>10813.93684199016</c:v>
                </c:pt>
                <c:pt idx="160">
                  <c:v>10800.420603608531</c:v>
                </c:pt>
                <c:pt idx="161">
                  <c:v>10793.913500273375</c:v>
                </c:pt>
                <c:pt idx="162">
                  <c:v>10790.61167632586</c:v>
                </c:pt>
                <c:pt idx="163">
                  <c:v>10719.786587206123</c:v>
                </c:pt>
                <c:pt idx="164">
                  <c:v>10681.168763258613</c:v>
                </c:pt>
                <c:pt idx="165">
                  <c:v>10647.494020776381</c:v>
                </c:pt>
                <c:pt idx="166">
                  <c:v>10646.123088026245</c:v>
                </c:pt>
                <c:pt idx="167">
                  <c:v>10591.478867140515</c:v>
                </c:pt>
                <c:pt idx="168">
                  <c:v>10558.383392017497</c:v>
                </c:pt>
                <c:pt idx="169">
                  <c:v>10547.802108255879</c:v>
                </c:pt>
                <c:pt idx="170">
                  <c:v>10526.330598141063</c:v>
                </c:pt>
                <c:pt idx="171">
                  <c:v>10516.483053034446</c:v>
                </c:pt>
                <c:pt idx="172">
                  <c:v>10475.528850738108</c:v>
                </c:pt>
                <c:pt idx="173">
                  <c:v>10471.840848551121</c:v>
                </c:pt>
                <c:pt idx="174">
                  <c:v>10454.385592126844</c:v>
                </c:pt>
                <c:pt idx="175">
                  <c:v>10430.770792782941</c:v>
                </c:pt>
                <c:pt idx="176">
                  <c:v>10405.591971569162</c:v>
                </c:pt>
                <c:pt idx="177">
                  <c:v>10346.023978130126</c:v>
                </c:pt>
                <c:pt idx="178">
                  <c:v>10342.548373974849</c:v>
                </c:pt>
                <c:pt idx="179">
                  <c:v>10307.193756150904</c:v>
                </c:pt>
                <c:pt idx="180">
                  <c:v>10307.01997594314</c:v>
                </c:pt>
                <c:pt idx="181">
                  <c:v>10269.946864953527</c:v>
                </c:pt>
                <c:pt idx="182">
                  <c:v>10269.077963914708</c:v>
                </c:pt>
                <c:pt idx="183">
                  <c:v>10262.010902132313</c:v>
                </c:pt>
                <c:pt idx="184">
                  <c:v>10130.439975943138</c:v>
                </c:pt>
                <c:pt idx="185">
                  <c:v>10110.551796610169</c:v>
                </c:pt>
                <c:pt idx="186">
                  <c:v>10110.397325314378</c:v>
                </c:pt>
                <c:pt idx="187">
                  <c:v>10094.100603608529</c:v>
                </c:pt>
                <c:pt idx="188">
                  <c:v>10059.325253143796</c:v>
                </c:pt>
                <c:pt idx="189">
                  <c:v>10025.167787862221</c:v>
                </c:pt>
                <c:pt idx="190">
                  <c:v>10012.462523783488</c:v>
                </c:pt>
                <c:pt idx="191">
                  <c:v>10010.473705850191</c:v>
                </c:pt>
                <c:pt idx="192">
                  <c:v>9970.7745828321476</c:v>
                </c:pt>
                <c:pt idx="193">
                  <c:v>9935.1689491525431</c:v>
                </c:pt>
                <c:pt idx="194">
                  <c:v>9931.1526954620022</c:v>
                </c:pt>
                <c:pt idx="195">
                  <c:v>9900.953557135048</c:v>
                </c:pt>
                <c:pt idx="196">
                  <c:v>9885.8732968835448</c:v>
                </c:pt>
                <c:pt idx="197">
                  <c:v>9865.8692640787322</c:v>
                </c:pt>
                <c:pt idx="198">
                  <c:v>9747.1580732640796</c:v>
                </c:pt>
                <c:pt idx="199">
                  <c:v>9728.6794445051946</c:v>
                </c:pt>
                <c:pt idx="200">
                  <c:v>9702.7282668124662</c:v>
                </c:pt>
                <c:pt idx="201">
                  <c:v>9698.3451437944223</c:v>
                </c:pt>
                <c:pt idx="202">
                  <c:v>9672.5098195735372</c:v>
                </c:pt>
                <c:pt idx="203">
                  <c:v>9662.4498764352102</c:v>
                </c:pt>
                <c:pt idx="204">
                  <c:v>9652.0423728813566</c:v>
                </c:pt>
                <c:pt idx="205">
                  <c:v>9634.8960590486604</c:v>
                </c:pt>
                <c:pt idx="206">
                  <c:v>9590.7945041006005</c:v>
                </c:pt>
                <c:pt idx="207">
                  <c:v>9585.3880087479483</c:v>
                </c:pt>
                <c:pt idx="208">
                  <c:v>9541.6533231273934</c:v>
                </c:pt>
                <c:pt idx="209">
                  <c:v>9479.2083018042649</c:v>
                </c:pt>
                <c:pt idx="210">
                  <c:v>9438.3506440677975</c:v>
                </c:pt>
                <c:pt idx="211">
                  <c:v>9428.1362296336811</c:v>
                </c:pt>
                <c:pt idx="212">
                  <c:v>9397.2998972115911</c:v>
                </c:pt>
                <c:pt idx="213">
                  <c:v>9371.0011591033344</c:v>
                </c:pt>
                <c:pt idx="214">
                  <c:v>9367.1973034445055</c:v>
                </c:pt>
                <c:pt idx="215">
                  <c:v>9341.1495811919085</c:v>
                </c:pt>
                <c:pt idx="216">
                  <c:v>9304.1923236741386</c:v>
                </c:pt>
                <c:pt idx="217">
                  <c:v>9258.0633329688353</c:v>
                </c:pt>
                <c:pt idx="218">
                  <c:v>9234.6609316566428</c:v>
                </c:pt>
                <c:pt idx="219">
                  <c:v>9220.3723367960647</c:v>
                </c:pt>
                <c:pt idx="220">
                  <c:v>9153.138705303445</c:v>
                </c:pt>
                <c:pt idx="221">
                  <c:v>9144.507621651177</c:v>
                </c:pt>
                <c:pt idx="222">
                  <c:v>9100.3674488791676</c:v>
                </c:pt>
                <c:pt idx="223">
                  <c:v>9084.7465390924008</c:v>
                </c:pt>
                <c:pt idx="224">
                  <c:v>9070.6510333515598</c:v>
                </c:pt>
                <c:pt idx="225">
                  <c:v>9023.1318009841434</c:v>
                </c:pt>
                <c:pt idx="226">
                  <c:v>9021.8960306178215</c:v>
                </c:pt>
                <c:pt idx="227">
                  <c:v>8991.0017714598143</c:v>
                </c:pt>
                <c:pt idx="228">
                  <c:v>8944.2742044833249</c:v>
                </c:pt>
                <c:pt idx="229">
                  <c:v>8942.9418895571343</c:v>
                </c:pt>
                <c:pt idx="230">
                  <c:v>8923.0923280481111</c:v>
                </c:pt>
                <c:pt idx="231">
                  <c:v>8894.0324155276103</c:v>
                </c:pt>
                <c:pt idx="232">
                  <c:v>8859.4694630945869</c:v>
                </c:pt>
                <c:pt idx="233">
                  <c:v>8843.3272126845277</c:v>
                </c:pt>
                <c:pt idx="234">
                  <c:v>8773.4289513395306</c:v>
                </c:pt>
                <c:pt idx="235">
                  <c:v>8765.7053865500275</c:v>
                </c:pt>
                <c:pt idx="236">
                  <c:v>8740.8934346637507</c:v>
                </c:pt>
                <c:pt idx="237">
                  <c:v>8683.93214434117</c:v>
                </c:pt>
                <c:pt idx="238">
                  <c:v>8679.703492618919</c:v>
                </c:pt>
                <c:pt idx="239">
                  <c:v>8640.4484745762729</c:v>
                </c:pt>
                <c:pt idx="240">
                  <c:v>8620.927164570805</c:v>
                </c:pt>
                <c:pt idx="241">
                  <c:v>8615.2889622744678</c:v>
                </c:pt>
                <c:pt idx="242">
                  <c:v>8610.8865303444509</c:v>
                </c:pt>
                <c:pt idx="243">
                  <c:v>8574.991262985237</c:v>
                </c:pt>
                <c:pt idx="244">
                  <c:v>8569.2758250410061</c:v>
                </c:pt>
                <c:pt idx="245">
                  <c:v>8560.2392542372891</c:v>
                </c:pt>
                <c:pt idx="246">
                  <c:v>8526.6610563149261</c:v>
                </c:pt>
                <c:pt idx="247">
                  <c:v>8523.1661432476776</c:v>
                </c:pt>
                <c:pt idx="248">
                  <c:v>8514.7860754510675</c:v>
                </c:pt>
                <c:pt idx="249">
                  <c:v>8493.2952564242769</c:v>
                </c:pt>
                <c:pt idx="250">
                  <c:v>8486.6529907053027</c:v>
                </c:pt>
                <c:pt idx="251">
                  <c:v>8482.4243389830517</c:v>
                </c:pt>
                <c:pt idx="252">
                  <c:v>8447.3593548387107</c:v>
                </c:pt>
                <c:pt idx="253">
                  <c:v>8428.5717834882453</c:v>
                </c:pt>
                <c:pt idx="254">
                  <c:v>8417.7587927829427</c:v>
                </c:pt>
                <c:pt idx="255">
                  <c:v>8415.3644876981962</c:v>
                </c:pt>
                <c:pt idx="256">
                  <c:v>8394.1053756150905</c:v>
                </c:pt>
                <c:pt idx="257">
                  <c:v>8390.996640787318</c:v>
                </c:pt>
                <c:pt idx="258">
                  <c:v>8364.0220907599778</c:v>
                </c:pt>
                <c:pt idx="259">
                  <c:v>8357.1481180973205</c:v>
                </c:pt>
                <c:pt idx="260">
                  <c:v>8305.1492181519952</c:v>
                </c:pt>
                <c:pt idx="261">
                  <c:v>8203.178854018588</c:v>
                </c:pt>
                <c:pt idx="262">
                  <c:v>8175.1036960087486</c:v>
                </c:pt>
                <c:pt idx="263">
                  <c:v>8175.1036960087486</c:v>
                </c:pt>
                <c:pt idx="264">
                  <c:v>8167.3801312192445</c:v>
                </c:pt>
                <c:pt idx="265">
                  <c:v>8160.1779070530347</c:v>
                </c:pt>
                <c:pt idx="266">
                  <c:v>8159.2896971022419</c:v>
                </c:pt>
                <c:pt idx="267">
                  <c:v>8159.2317703663202</c:v>
                </c:pt>
                <c:pt idx="268">
                  <c:v>8140.4828168398035</c:v>
                </c:pt>
                <c:pt idx="269">
                  <c:v>8126.0590595954081</c:v>
                </c:pt>
                <c:pt idx="270">
                  <c:v>8124.8619070530349</c:v>
                </c:pt>
                <c:pt idx="271">
                  <c:v>8121.3283761618386</c:v>
                </c:pt>
                <c:pt idx="272">
                  <c:v>8106.9818545653379</c:v>
                </c:pt>
                <c:pt idx="273">
                  <c:v>8084.33250082012</c:v>
                </c:pt>
                <c:pt idx="274">
                  <c:v>8063.5947293603067</c:v>
                </c:pt>
                <c:pt idx="275">
                  <c:v>8018.0063881902697</c:v>
                </c:pt>
                <c:pt idx="276">
                  <c:v>7995.3763433570257</c:v>
                </c:pt>
                <c:pt idx="277">
                  <c:v>7983.4241268452697</c:v>
                </c:pt>
                <c:pt idx="278">
                  <c:v>7973.0552411153649</c:v>
                </c:pt>
                <c:pt idx="279">
                  <c:v>7965.5826921815205</c:v>
                </c:pt>
                <c:pt idx="280">
                  <c:v>7942.0451284855108</c:v>
                </c:pt>
                <c:pt idx="281">
                  <c:v>7938.1833460907601</c:v>
                </c:pt>
                <c:pt idx="282">
                  <c:v>7938.1254193548384</c:v>
                </c:pt>
                <c:pt idx="283">
                  <c:v>7883.1336380535813</c:v>
                </c:pt>
                <c:pt idx="284">
                  <c:v>7878.7118972115904</c:v>
                </c:pt>
                <c:pt idx="285">
                  <c:v>7878.0747031164574</c:v>
                </c:pt>
                <c:pt idx="286">
                  <c:v>7868.3430114816847</c:v>
                </c:pt>
                <c:pt idx="287">
                  <c:v>7829.7251875341699</c:v>
                </c:pt>
                <c:pt idx="288">
                  <c:v>7825.4772268999459</c:v>
                </c:pt>
                <c:pt idx="289">
                  <c:v>7784.8512761071643</c:v>
                </c:pt>
                <c:pt idx="290">
                  <c:v>7784.73542263532</c:v>
                </c:pt>
                <c:pt idx="291">
                  <c:v>7780.8543313285954</c:v>
                </c:pt>
                <c:pt idx="292">
                  <c:v>7768.2842296336803</c:v>
                </c:pt>
                <c:pt idx="293">
                  <c:v>7761.7385084745756</c:v>
                </c:pt>
                <c:pt idx="294">
                  <c:v>7755.3279496992891</c:v>
                </c:pt>
                <c:pt idx="295">
                  <c:v>7733.5281880809198</c:v>
                </c:pt>
                <c:pt idx="296">
                  <c:v>7730.5159978130123</c:v>
                </c:pt>
                <c:pt idx="297">
                  <c:v>7722.6186528157468</c:v>
                </c:pt>
                <c:pt idx="298">
                  <c:v>7697.7101563696015</c:v>
                </c:pt>
                <c:pt idx="299">
                  <c:v>7688.2680984144354</c:v>
                </c:pt>
                <c:pt idx="300">
                  <c:v>7673.0333668671401</c:v>
                </c:pt>
                <c:pt idx="301">
                  <c:v>7661.6024909786756</c:v>
                </c:pt>
                <c:pt idx="302">
                  <c:v>7648.9165358119189</c:v>
                </c:pt>
                <c:pt idx="303">
                  <c:v>7646.4643039912526</c:v>
                </c:pt>
                <c:pt idx="304">
                  <c:v>7638.5862679059601</c:v>
                </c:pt>
                <c:pt idx="305">
                  <c:v>7616.0527676325855</c:v>
                </c:pt>
                <c:pt idx="306">
                  <c:v>7563.6097627118634</c:v>
                </c:pt>
                <c:pt idx="307">
                  <c:v>7562.4705369054145</c:v>
                </c:pt>
                <c:pt idx="308">
                  <c:v>7530.8811569163472</c:v>
                </c:pt>
                <c:pt idx="309">
                  <c:v>7466.1963018042652</c:v>
                </c:pt>
                <c:pt idx="310">
                  <c:v>7406.5896905412792</c:v>
                </c:pt>
                <c:pt idx="311">
                  <c:v>7398.2096227446682</c:v>
                </c:pt>
                <c:pt idx="312">
                  <c:v>7384.4616774193546</c:v>
                </c:pt>
                <c:pt idx="313">
                  <c:v>7384.172043739748</c:v>
                </c:pt>
                <c:pt idx="314">
                  <c:v>7381.1019267359225</c:v>
                </c:pt>
                <c:pt idx="315">
                  <c:v>7374.7492946965558</c:v>
                </c:pt>
                <c:pt idx="316">
                  <c:v>7362.4688266812473</c:v>
                </c:pt>
                <c:pt idx="317">
                  <c:v>7349.9180338983051</c:v>
                </c:pt>
                <c:pt idx="318">
                  <c:v>7346.4810475669765</c:v>
                </c:pt>
                <c:pt idx="319">
                  <c:v>7340.2828868234028</c:v>
                </c:pt>
                <c:pt idx="320">
                  <c:v>7318.0776380535808</c:v>
                </c:pt>
                <c:pt idx="321">
                  <c:v>7308.9252137780204</c:v>
                </c:pt>
                <c:pt idx="322">
                  <c:v>7302.9008332422072</c:v>
                </c:pt>
                <c:pt idx="323">
                  <c:v>7268.7819857845807</c:v>
                </c:pt>
                <c:pt idx="324">
                  <c:v>7230.6082668124673</c:v>
                </c:pt>
                <c:pt idx="325">
                  <c:v>7210.7007785675214</c:v>
                </c:pt>
                <c:pt idx="326">
                  <c:v>7207.5148080918525</c:v>
                </c:pt>
                <c:pt idx="327">
                  <c:v>7172.6429130672504</c:v>
                </c:pt>
                <c:pt idx="328">
                  <c:v>7140.184632039367</c:v>
                </c:pt>
                <c:pt idx="329">
                  <c:v>7135.8401268452708</c:v>
                </c:pt>
                <c:pt idx="330">
                  <c:v>7112.5728879168964</c:v>
                </c:pt>
                <c:pt idx="331">
                  <c:v>7097.2223028977587</c:v>
                </c:pt>
                <c:pt idx="332">
                  <c:v>7091.1786134499725</c:v>
                </c:pt>
                <c:pt idx="333">
                  <c:v>7079.6125751776926</c:v>
                </c:pt>
                <c:pt idx="334">
                  <c:v>7068.1623903772552</c:v>
                </c:pt>
                <c:pt idx="335">
                  <c:v>7065.5170694368499</c:v>
                </c:pt>
                <c:pt idx="336">
                  <c:v>7035.0669152542378</c:v>
                </c:pt>
                <c:pt idx="337">
                  <c:v>7024.6207938764355</c:v>
                </c:pt>
                <c:pt idx="338">
                  <c:v>7002.4155451066163</c:v>
                </c:pt>
                <c:pt idx="339">
                  <c:v>6995.9277506834333</c:v>
                </c:pt>
                <c:pt idx="340">
                  <c:v>6979.8627359212687</c:v>
                </c:pt>
                <c:pt idx="341">
                  <c:v>6953.8343225806448</c:v>
                </c:pt>
                <c:pt idx="342">
                  <c:v>6951.4207085839262</c:v>
                </c:pt>
                <c:pt idx="343">
                  <c:v>6942.1717397484963</c:v>
                </c:pt>
                <c:pt idx="344">
                  <c:v>6927.8059092400217</c:v>
                </c:pt>
                <c:pt idx="345">
                  <c:v>6908.400452706398</c:v>
                </c:pt>
                <c:pt idx="346">
                  <c:v>6900.1555472936034</c:v>
                </c:pt>
                <c:pt idx="347">
                  <c:v>6871.6362843083662</c:v>
                </c:pt>
                <c:pt idx="348">
                  <c:v>6865.1484898851813</c:v>
                </c:pt>
                <c:pt idx="349">
                  <c:v>6853.8720852925098</c:v>
                </c:pt>
                <c:pt idx="350">
                  <c:v>6845.858886823401</c:v>
                </c:pt>
                <c:pt idx="351">
                  <c:v>6842.5763717878608</c:v>
                </c:pt>
                <c:pt idx="352">
                  <c:v>6826.4534302897773</c:v>
                </c:pt>
                <c:pt idx="353">
                  <c:v>6804.2288726079832</c:v>
                </c:pt>
                <c:pt idx="354">
                  <c:v>6726.3174127938773</c:v>
                </c:pt>
                <c:pt idx="355">
                  <c:v>6717.6477113176597</c:v>
                </c:pt>
                <c:pt idx="356">
                  <c:v>6708.9007741935484</c:v>
                </c:pt>
                <c:pt idx="357">
                  <c:v>6700.4048529250949</c:v>
                </c:pt>
                <c:pt idx="358">
                  <c:v>6693.9363674138876</c:v>
                </c:pt>
                <c:pt idx="359">
                  <c:v>6685.691462001093</c:v>
                </c:pt>
                <c:pt idx="360">
                  <c:v>6682.4668737014754</c:v>
                </c:pt>
                <c:pt idx="361">
                  <c:v>6680.3622022963364</c:v>
                </c:pt>
                <c:pt idx="362">
                  <c:v>6670.3988037178769</c:v>
                </c:pt>
                <c:pt idx="363">
                  <c:v>6642.2657189721158</c:v>
                </c:pt>
                <c:pt idx="364">
                  <c:v>6639.2728376161849</c:v>
                </c:pt>
                <c:pt idx="365">
                  <c:v>6633.8084155276101</c:v>
                </c:pt>
                <c:pt idx="366">
                  <c:v>6613.4954401312189</c:v>
                </c:pt>
                <c:pt idx="367">
                  <c:v>6604.4588693275018</c:v>
                </c:pt>
                <c:pt idx="368">
                  <c:v>6602.7596850738109</c:v>
                </c:pt>
                <c:pt idx="369">
                  <c:v>6601.6590770913062</c:v>
                </c:pt>
                <c:pt idx="370">
                  <c:v>6594.4568529250955</c:v>
                </c:pt>
                <c:pt idx="371">
                  <c:v>6588.0269852378369</c:v>
                </c:pt>
                <c:pt idx="372">
                  <c:v>6568.8918534718441</c:v>
                </c:pt>
                <c:pt idx="373">
                  <c:v>6561.0138173865498</c:v>
                </c:pt>
                <c:pt idx="374">
                  <c:v>6530.6988255877541</c:v>
                </c:pt>
                <c:pt idx="375">
                  <c:v>6524.1724133406233</c:v>
                </c:pt>
                <c:pt idx="376">
                  <c:v>6513.706983050849</c:v>
                </c:pt>
                <c:pt idx="377">
                  <c:v>6490.9803936577373</c:v>
                </c:pt>
                <c:pt idx="378">
                  <c:v>6485.5159715691625</c:v>
                </c:pt>
                <c:pt idx="379">
                  <c:v>6462.5383663203938</c:v>
                </c:pt>
                <c:pt idx="380">
                  <c:v>6443.4611612903218</c:v>
                </c:pt>
                <c:pt idx="381">
                  <c:v>6424.2101760524874</c:v>
                </c:pt>
                <c:pt idx="382">
                  <c:v>6416.9307162383811</c:v>
                </c:pt>
                <c:pt idx="383">
                  <c:v>6396.0191645708028</c:v>
                </c:pt>
                <c:pt idx="384">
                  <c:v>6373.292575177692</c:v>
                </c:pt>
                <c:pt idx="385">
                  <c:v>6348.8861104428643</c:v>
                </c:pt>
                <c:pt idx="386">
                  <c:v>6340.139173318752</c:v>
                </c:pt>
                <c:pt idx="387">
                  <c:v>6334.7519868780764</c:v>
                </c:pt>
                <c:pt idx="388">
                  <c:v>6317.1036413340626</c:v>
                </c:pt>
                <c:pt idx="389">
                  <c:v>6273.6392804811385</c:v>
                </c:pt>
                <c:pt idx="390">
                  <c:v>6255.5275210497539</c:v>
                </c:pt>
                <c:pt idx="391">
                  <c:v>6239.6749043193004</c:v>
                </c:pt>
                <c:pt idx="392">
                  <c:v>6229.4991077091299</c:v>
                </c:pt>
                <c:pt idx="393">
                  <c:v>6197.1952979770367</c:v>
                </c:pt>
                <c:pt idx="394">
                  <c:v>6182.674996172771</c:v>
                </c:pt>
                <c:pt idx="395">
                  <c:v>6157.2065412793863</c:v>
                </c:pt>
                <c:pt idx="396">
                  <c:v>6149.2512695462001</c:v>
                </c:pt>
                <c:pt idx="397">
                  <c:v>6129.0155297977044</c:v>
                </c:pt>
                <c:pt idx="398">
                  <c:v>6125.2502919628214</c:v>
                </c:pt>
                <c:pt idx="399">
                  <c:v>6091.112135593221</c:v>
                </c:pt>
                <c:pt idx="400">
                  <c:v>6076.5145981410615</c:v>
                </c:pt>
                <c:pt idx="401">
                  <c:v>6072.6335068343369</c:v>
                </c:pt>
                <c:pt idx="402">
                  <c:v>6067.9800590486593</c:v>
                </c:pt>
                <c:pt idx="403">
                  <c:v>6052.3591492618916</c:v>
                </c:pt>
                <c:pt idx="404">
                  <c:v>6042.0288813559318</c:v>
                </c:pt>
                <c:pt idx="405">
                  <c:v>6023.4537080371783</c:v>
                </c:pt>
                <c:pt idx="406">
                  <c:v>6016.6183531984689</c:v>
                </c:pt>
                <c:pt idx="407">
                  <c:v>6008.7016992892286</c:v>
                </c:pt>
                <c:pt idx="408">
                  <c:v>6003.9323980317113</c:v>
                </c:pt>
                <c:pt idx="409">
                  <c:v>5999.7230552214323</c:v>
                </c:pt>
                <c:pt idx="410">
                  <c:v>5973.2698458173872</c:v>
                </c:pt>
                <c:pt idx="411">
                  <c:v>5971.1844833242203</c:v>
                </c:pt>
                <c:pt idx="412">
                  <c:v>5969.0605030071074</c:v>
                </c:pt>
                <c:pt idx="413">
                  <c:v>5937.2007982504101</c:v>
                </c:pt>
                <c:pt idx="414">
                  <c:v>5929.264835429196</c:v>
                </c:pt>
                <c:pt idx="415">
                  <c:v>5928.6469502460368</c:v>
                </c:pt>
                <c:pt idx="416">
                  <c:v>5911.1337670858393</c:v>
                </c:pt>
                <c:pt idx="417">
                  <c:v>5884.7384844177141</c:v>
                </c:pt>
                <c:pt idx="418">
                  <c:v>5855.7364986331322</c:v>
                </c:pt>
                <c:pt idx="419">
                  <c:v>5852.7436172772013</c:v>
                </c:pt>
                <c:pt idx="420">
                  <c:v>5851.0637419354834</c:v>
                </c:pt>
                <c:pt idx="421">
                  <c:v>5830.0363367960626</c:v>
                </c:pt>
                <c:pt idx="422">
                  <c:v>5827.8158119190812</c:v>
                </c:pt>
                <c:pt idx="423">
                  <c:v>5825.5566692181519</c:v>
                </c:pt>
                <c:pt idx="424">
                  <c:v>5815.689815199562</c:v>
                </c:pt>
                <c:pt idx="425">
                  <c:v>5787.7498195735379</c:v>
                </c:pt>
                <c:pt idx="426">
                  <c:v>5764.5598162930564</c:v>
                </c:pt>
                <c:pt idx="427">
                  <c:v>5763.169574630946</c:v>
                </c:pt>
                <c:pt idx="428">
                  <c:v>5762.6289250956816</c:v>
                </c:pt>
                <c:pt idx="429">
                  <c:v>5760.0801487151448</c:v>
                </c:pt>
                <c:pt idx="430">
                  <c:v>5740.7519278294149</c:v>
                </c:pt>
                <c:pt idx="431">
                  <c:v>5736.1177889557139</c:v>
                </c:pt>
                <c:pt idx="432">
                  <c:v>5720.7092772006563</c:v>
                </c:pt>
                <c:pt idx="433">
                  <c:v>5699.3150027337351</c:v>
                </c:pt>
                <c:pt idx="434">
                  <c:v>5697.3841115363584</c:v>
                </c:pt>
                <c:pt idx="435">
                  <c:v>5690.7997725533078</c:v>
                </c:pt>
                <c:pt idx="436">
                  <c:v>5687.9420535811923</c:v>
                </c:pt>
                <c:pt idx="437">
                  <c:v>5682.149379989065</c:v>
                </c:pt>
                <c:pt idx="438">
                  <c:v>5678.3455243302342</c:v>
                </c:pt>
                <c:pt idx="439">
                  <c:v>5667.3008266812458</c:v>
                </c:pt>
                <c:pt idx="440">
                  <c:v>5665.5437156916341</c:v>
                </c:pt>
                <c:pt idx="441">
                  <c:v>5660.9868124658287</c:v>
                </c:pt>
                <c:pt idx="442">
                  <c:v>5660.3882361946426</c:v>
                </c:pt>
                <c:pt idx="443">
                  <c:v>5649.4980098414444</c:v>
                </c:pt>
                <c:pt idx="444">
                  <c:v>5648.2622394751224</c:v>
                </c:pt>
                <c:pt idx="445">
                  <c:v>5645.7520809185353</c:v>
                </c:pt>
                <c:pt idx="446">
                  <c:v>5635.2287238928366</c:v>
                </c:pt>
                <c:pt idx="447">
                  <c:v>5628.2775155822847</c:v>
                </c:pt>
                <c:pt idx="448">
                  <c:v>5617.7155407326418</c:v>
                </c:pt>
                <c:pt idx="449">
                  <c:v>5593.4442383816286</c:v>
                </c:pt>
                <c:pt idx="450">
                  <c:v>5575.7379661016948</c:v>
                </c:pt>
                <c:pt idx="451">
                  <c:v>5569.9066746856206</c:v>
                </c:pt>
                <c:pt idx="452">
                  <c:v>5560.3101454346643</c:v>
                </c:pt>
                <c:pt idx="453">
                  <c:v>5545.0561049753969</c:v>
                </c:pt>
                <c:pt idx="454">
                  <c:v>5517.3864341170047</c:v>
                </c:pt>
                <c:pt idx="455">
                  <c:v>5468.8824472389279</c:v>
                </c:pt>
                <c:pt idx="456">
                  <c:v>5438.6639999999998</c:v>
                </c:pt>
                <c:pt idx="457">
                  <c:v>5430.8825084745777</c:v>
                </c:pt>
                <c:pt idx="458">
                  <c:v>5424.568494259157</c:v>
                </c:pt>
                <c:pt idx="459">
                  <c:v>5414.0258283214871</c:v>
                </c:pt>
                <c:pt idx="460">
                  <c:v>5394.9100054674691</c:v>
                </c:pt>
                <c:pt idx="461">
                  <c:v>5384.0390880262439</c:v>
                </c:pt>
                <c:pt idx="462">
                  <c:v>5382.7260820120291</c:v>
                </c:pt>
                <c:pt idx="463">
                  <c:v>5366.0045642427549</c:v>
                </c:pt>
                <c:pt idx="464">
                  <c:v>5355.6356785128492</c:v>
                </c:pt>
                <c:pt idx="465">
                  <c:v>5346.1743116457083</c:v>
                </c:pt>
                <c:pt idx="466">
                  <c:v>5336.7901804264629</c:v>
                </c:pt>
                <c:pt idx="467">
                  <c:v>5330.2058414434123</c:v>
                </c:pt>
                <c:pt idx="468">
                  <c:v>5323.5828846364129</c:v>
                </c:pt>
                <c:pt idx="469">
                  <c:v>5315.2028168398028</c:v>
                </c:pt>
                <c:pt idx="470">
                  <c:v>5311.3024166211044</c:v>
                </c:pt>
                <c:pt idx="471">
                  <c:v>5309.8156303991245</c:v>
                </c:pt>
                <c:pt idx="472">
                  <c:v>5307.8461213778028</c:v>
                </c:pt>
                <c:pt idx="473">
                  <c:v>5305.1235647895037</c:v>
                </c:pt>
                <c:pt idx="474">
                  <c:v>5302.3237725533081</c:v>
                </c:pt>
                <c:pt idx="475">
                  <c:v>5292.688625478404</c:v>
                </c:pt>
                <c:pt idx="476">
                  <c:v>5290.9315144887923</c:v>
                </c:pt>
                <c:pt idx="477">
                  <c:v>5287.880706396938</c:v>
                </c:pt>
                <c:pt idx="478">
                  <c:v>5282.609373428103</c:v>
                </c:pt>
                <c:pt idx="479">
                  <c:v>5277.6856008747955</c:v>
                </c:pt>
                <c:pt idx="480">
                  <c:v>5256.7354313832693</c:v>
                </c:pt>
                <c:pt idx="481">
                  <c:v>5252.8929579004916</c:v>
                </c:pt>
                <c:pt idx="482">
                  <c:v>5252.6419420448328</c:v>
                </c:pt>
                <c:pt idx="483">
                  <c:v>5248.8380863860029</c:v>
                </c:pt>
                <c:pt idx="484">
                  <c:v>5242.9681771459809</c:v>
                </c:pt>
                <c:pt idx="485">
                  <c:v>5238.6236719518874</c:v>
                </c:pt>
                <c:pt idx="486">
                  <c:v>5218.3300054674683</c:v>
                </c:pt>
                <c:pt idx="487">
                  <c:v>5215.2791973756148</c:v>
                </c:pt>
                <c:pt idx="488">
                  <c:v>5202.2649907053037</c:v>
                </c:pt>
                <c:pt idx="489">
                  <c:v>5193.4408179332968</c:v>
                </c:pt>
                <c:pt idx="490">
                  <c:v>5177.8199081465282</c:v>
                </c:pt>
                <c:pt idx="491">
                  <c:v>5175.3290585019131</c:v>
                </c:pt>
                <c:pt idx="492">
                  <c:v>5170.3666681246577</c:v>
                </c:pt>
                <c:pt idx="493">
                  <c:v>5161.8321290322583</c:v>
                </c:pt>
                <c:pt idx="494">
                  <c:v>5155.6725861126297</c:v>
                </c:pt>
                <c:pt idx="495">
                  <c:v>5145.8443499179875</c:v>
                </c:pt>
                <c:pt idx="496">
                  <c:v>5144.9754488791705</c:v>
                </c:pt>
                <c:pt idx="497">
                  <c:v>5104.8129119737559</c:v>
                </c:pt>
                <c:pt idx="498">
                  <c:v>5095.0426025150355</c:v>
                </c:pt>
                <c:pt idx="499">
                  <c:v>5088.632043739749</c:v>
                </c:pt>
                <c:pt idx="500">
                  <c:v>5079.9044155276115</c:v>
                </c:pt>
                <c:pt idx="501">
                  <c:v>5063.4725314379448</c:v>
                </c:pt>
                <c:pt idx="502">
                  <c:v>5036.6717616183714</c:v>
                </c:pt>
                <c:pt idx="503">
                  <c:v>5018.9461804264629</c:v>
                </c:pt>
                <c:pt idx="504">
                  <c:v>5017.0152892290871</c:v>
                </c:pt>
                <c:pt idx="505">
                  <c:v>5015.3740317113179</c:v>
                </c:pt>
                <c:pt idx="506">
                  <c:v>5011.1839978130138</c:v>
                </c:pt>
                <c:pt idx="507">
                  <c:v>4989.4807807545103</c:v>
                </c:pt>
                <c:pt idx="508">
                  <c:v>4984.1901388737015</c:v>
                </c:pt>
                <c:pt idx="509">
                  <c:v>4983.8425784581732</c:v>
                </c:pt>
                <c:pt idx="510">
                  <c:v>4982.6454259158008</c:v>
                </c:pt>
                <c:pt idx="511">
                  <c:v>4968.1830508474577</c:v>
                </c:pt>
                <c:pt idx="512">
                  <c:v>4952.4849054127944</c:v>
                </c:pt>
                <c:pt idx="513">
                  <c:v>4940.8802493165667</c:v>
                </c:pt>
                <c:pt idx="514">
                  <c:v>4939.7217145981404</c:v>
                </c:pt>
                <c:pt idx="515">
                  <c:v>4937.2887916894479</c:v>
                </c:pt>
                <c:pt idx="516">
                  <c:v>4931.380264625479</c:v>
                </c:pt>
                <c:pt idx="517">
                  <c:v>4925.6841355932193</c:v>
                </c:pt>
                <c:pt idx="518">
                  <c:v>4919.8721530891198</c:v>
                </c:pt>
                <c:pt idx="519">
                  <c:v>4904.1933165664295</c:v>
                </c:pt>
                <c:pt idx="520">
                  <c:v>4896.8366211044286</c:v>
                </c:pt>
                <c:pt idx="521">
                  <c:v>4896.0642646254782</c:v>
                </c:pt>
                <c:pt idx="522">
                  <c:v>4894.9057299070537</c:v>
                </c:pt>
                <c:pt idx="523">
                  <c:v>4883.8803411700383</c:v>
                </c:pt>
                <c:pt idx="524">
                  <c:v>4877.431164570804</c:v>
                </c:pt>
                <c:pt idx="525">
                  <c:v>4871.0206057955174</c:v>
                </c:pt>
                <c:pt idx="526">
                  <c:v>4870.6344275560414</c:v>
                </c:pt>
                <c:pt idx="527">
                  <c:v>4858.7787556041549</c:v>
                </c:pt>
                <c:pt idx="528">
                  <c:v>4856.7320109349366</c:v>
                </c:pt>
                <c:pt idx="529">
                  <c:v>4842.3468715144891</c:v>
                </c:pt>
                <c:pt idx="530">
                  <c:v>4840.3966714051394</c:v>
                </c:pt>
                <c:pt idx="531">
                  <c:v>4832.0552214324771</c:v>
                </c:pt>
                <c:pt idx="532">
                  <c:v>4819.3499573537447</c:v>
                </c:pt>
                <c:pt idx="533">
                  <c:v>4816.2991492618921</c:v>
                </c:pt>
                <c:pt idx="534">
                  <c:v>4814.8509808638601</c:v>
                </c:pt>
                <c:pt idx="535">
                  <c:v>4803.0725445598691</c:v>
                </c:pt>
                <c:pt idx="536">
                  <c:v>4802.5705128485506</c:v>
                </c:pt>
                <c:pt idx="537">
                  <c:v>4795.2524352104974</c:v>
                </c:pt>
                <c:pt idx="538">
                  <c:v>4792.0664647348285</c:v>
                </c:pt>
                <c:pt idx="539">
                  <c:v>4786.3510267905967</c:v>
                </c:pt>
                <c:pt idx="540">
                  <c:v>4779.3225828321483</c:v>
                </c:pt>
                <c:pt idx="541">
                  <c:v>4764.5705740841986</c:v>
                </c:pt>
                <c:pt idx="542">
                  <c:v>4761.8093996719526</c:v>
                </c:pt>
                <c:pt idx="543">
                  <c:v>4739.4496796063431</c:v>
                </c:pt>
                <c:pt idx="544">
                  <c:v>4735.3175724439579</c:v>
                </c:pt>
                <c:pt idx="545">
                  <c:v>4735.0086298523784</c:v>
                </c:pt>
                <c:pt idx="546">
                  <c:v>4722.071658829962</c:v>
                </c:pt>
                <c:pt idx="547">
                  <c:v>4721.0675954073258</c:v>
                </c:pt>
                <c:pt idx="548">
                  <c:v>4713.3247217058506</c:v>
                </c:pt>
                <c:pt idx="549">
                  <c:v>4712.8033810825582</c:v>
                </c:pt>
                <c:pt idx="550">
                  <c:v>4693.7454849644619</c:v>
                </c:pt>
                <c:pt idx="551">
                  <c:v>4692.5869502460364</c:v>
                </c:pt>
                <c:pt idx="552">
                  <c:v>4692.3938611262984</c:v>
                </c:pt>
                <c:pt idx="553">
                  <c:v>4688.9761837069427</c:v>
                </c:pt>
                <c:pt idx="554">
                  <c:v>4676.9660404592678</c:v>
                </c:pt>
                <c:pt idx="555">
                  <c:v>4652.9457539639143</c:v>
                </c:pt>
                <c:pt idx="556">
                  <c:v>4626.4153089119745</c:v>
                </c:pt>
                <c:pt idx="557">
                  <c:v>4621.3563739748506</c:v>
                </c:pt>
                <c:pt idx="558">
                  <c:v>4616.7994707490425</c:v>
                </c:pt>
                <c:pt idx="559">
                  <c:v>4602.1633154729352</c:v>
                </c:pt>
                <c:pt idx="560">
                  <c:v>4589.2456533624927</c:v>
                </c:pt>
                <c:pt idx="561">
                  <c:v>4583.2019639147074</c:v>
                </c:pt>
                <c:pt idx="562">
                  <c:v>4579.2243280481134</c:v>
                </c:pt>
                <c:pt idx="563">
                  <c:v>4577.9692487698185</c:v>
                </c:pt>
                <c:pt idx="564">
                  <c:v>4575.3818545653357</c:v>
                </c:pt>
                <c:pt idx="565">
                  <c:v>4569.3960918534722</c:v>
                </c:pt>
                <c:pt idx="566">
                  <c:v>4566.7700798250407</c:v>
                </c:pt>
                <c:pt idx="567">
                  <c:v>4564.5302460360863</c:v>
                </c:pt>
                <c:pt idx="568">
                  <c:v>4558.7375724439589</c:v>
                </c:pt>
                <c:pt idx="569">
                  <c:v>4550.9946987424828</c:v>
                </c:pt>
                <c:pt idx="570">
                  <c:v>4537.1888266812466</c:v>
                </c:pt>
                <c:pt idx="571">
                  <c:v>4531.5313154729356</c:v>
                </c:pt>
                <c:pt idx="572">
                  <c:v>4521.355518862767</c:v>
                </c:pt>
                <c:pt idx="573">
                  <c:v>4513.0913045379993</c:v>
                </c:pt>
                <c:pt idx="574">
                  <c:v>4509.0943597594314</c:v>
                </c:pt>
                <c:pt idx="575">
                  <c:v>4496.9683630399122</c:v>
                </c:pt>
                <c:pt idx="576">
                  <c:v>4490.3454062329138</c:v>
                </c:pt>
                <c:pt idx="577">
                  <c:v>4476.5781519956272</c:v>
                </c:pt>
                <c:pt idx="578">
                  <c:v>4467.7539792236203</c:v>
                </c:pt>
                <c:pt idx="579">
                  <c:v>4416.7398337889554</c:v>
                </c:pt>
                <c:pt idx="580">
                  <c:v>4415.0020317113176</c:v>
                </c:pt>
                <c:pt idx="581">
                  <c:v>4404.845544013122</c:v>
                </c:pt>
                <c:pt idx="582">
                  <c:v>4395.0173078184798</c:v>
                </c:pt>
                <c:pt idx="583">
                  <c:v>4394.3608048113729</c:v>
                </c:pt>
                <c:pt idx="584">
                  <c:v>4375.0325839256429</c:v>
                </c:pt>
                <c:pt idx="585">
                  <c:v>4369.9157222525973</c:v>
                </c:pt>
                <c:pt idx="586">
                  <c:v>4366.4787359212696</c:v>
                </c:pt>
                <c:pt idx="587">
                  <c:v>4354.1596500820115</c:v>
                </c:pt>
                <c:pt idx="588">
                  <c:v>4350.4909568069979</c:v>
                </c:pt>
                <c:pt idx="589">
                  <c:v>4344.5438119190812</c:v>
                </c:pt>
                <c:pt idx="590">
                  <c:v>4338.5773581191916</c:v>
                </c:pt>
                <c:pt idx="591">
                  <c:v>4329.0387556041551</c:v>
                </c:pt>
                <c:pt idx="592">
                  <c:v>4321.0448660470202</c:v>
                </c:pt>
                <c:pt idx="593">
                  <c:v>4320.1759650082013</c:v>
                </c:pt>
                <c:pt idx="594">
                  <c:v>4314.6729250956814</c:v>
                </c:pt>
                <c:pt idx="595">
                  <c:v>4308.7837069436855</c:v>
                </c:pt>
                <c:pt idx="596">
                  <c:v>4303.7440809185346</c:v>
                </c:pt>
                <c:pt idx="597">
                  <c:v>4300.9635975943129</c:v>
                </c:pt>
                <c:pt idx="598">
                  <c:v>4283.1607807545115</c:v>
                </c:pt>
                <c:pt idx="599">
                  <c:v>4280.6120043739747</c:v>
                </c:pt>
                <c:pt idx="600">
                  <c:v>4276.6922952433024</c:v>
                </c:pt>
                <c:pt idx="601">
                  <c:v>4276.4992061235644</c:v>
                </c:pt>
                <c:pt idx="602">
                  <c:v>4276.1902635319848</c:v>
                </c:pt>
                <c:pt idx="603">
                  <c:v>4270.281736468015</c:v>
                </c:pt>
                <c:pt idx="604">
                  <c:v>4259.1211853471841</c:v>
                </c:pt>
                <c:pt idx="605">
                  <c:v>4258.9667140513939</c:v>
                </c:pt>
                <c:pt idx="606">
                  <c:v>4238.7695921268451</c:v>
                </c:pt>
                <c:pt idx="607">
                  <c:v>4236.3366692181517</c:v>
                </c:pt>
                <c:pt idx="608">
                  <c:v>4233.1313898305089</c:v>
                </c:pt>
                <c:pt idx="609">
                  <c:v>4230.582613449973</c:v>
                </c:pt>
                <c:pt idx="610">
                  <c:v>4230.4474510661566</c:v>
                </c:pt>
                <c:pt idx="611">
                  <c:v>4219.2675910333519</c:v>
                </c:pt>
                <c:pt idx="612">
                  <c:v>4209.9800043739751</c:v>
                </c:pt>
                <c:pt idx="613">
                  <c:v>4206.6781804264638</c:v>
                </c:pt>
                <c:pt idx="614">
                  <c:v>4201.9474969928924</c:v>
                </c:pt>
                <c:pt idx="615">
                  <c:v>4183.4302504100597</c:v>
                </c:pt>
                <c:pt idx="616">
                  <c:v>4178.718875888464</c:v>
                </c:pt>
                <c:pt idx="617">
                  <c:v>4175.8997747402955</c:v>
                </c:pt>
                <c:pt idx="618">
                  <c:v>4174.2392083105524</c:v>
                </c:pt>
                <c:pt idx="619">
                  <c:v>4173.6599409513401</c:v>
                </c:pt>
                <c:pt idx="620">
                  <c:v>4166.6701148168404</c:v>
                </c:pt>
                <c:pt idx="621">
                  <c:v>4157.1508212137778</c:v>
                </c:pt>
                <c:pt idx="622">
                  <c:v>4156.3398469108806</c:v>
                </c:pt>
                <c:pt idx="623">
                  <c:v>4148.9831514488797</c:v>
                </c:pt>
                <c:pt idx="624">
                  <c:v>4142.3022679059604</c:v>
                </c:pt>
                <c:pt idx="625">
                  <c:v>4140.6803193001651</c:v>
                </c:pt>
                <c:pt idx="626">
                  <c:v>4139.1162974302897</c:v>
                </c:pt>
                <c:pt idx="627">
                  <c:v>4129.80940185894</c:v>
                </c:pt>
                <c:pt idx="628">
                  <c:v>4124.2870530344453</c:v>
                </c:pt>
                <c:pt idx="629">
                  <c:v>4121.3907162383821</c:v>
                </c:pt>
                <c:pt idx="630">
                  <c:v>4117.4903160196836</c:v>
                </c:pt>
                <c:pt idx="631">
                  <c:v>4105.2098480043742</c:v>
                </c:pt>
                <c:pt idx="632">
                  <c:v>4104.3602558775283</c:v>
                </c:pt>
                <c:pt idx="633">
                  <c:v>4093.7210453799894</c:v>
                </c:pt>
                <c:pt idx="634">
                  <c:v>4069.1408004373975</c:v>
                </c:pt>
                <c:pt idx="635">
                  <c:v>4065.2597091306725</c:v>
                </c:pt>
                <c:pt idx="636">
                  <c:v>4061.2241465281572</c:v>
                </c:pt>
                <c:pt idx="637">
                  <c:v>4057.1885839256429</c:v>
                </c:pt>
                <c:pt idx="638">
                  <c:v>4056.8796413340624</c:v>
                </c:pt>
                <c:pt idx="639">
                  <c:v>4051.0097320940399</c:v>
                </c:pt>
                <c:pt idx="640">
                  <c:v>4038.3817036632049</c:v>
                </c:pt>
                <c:pt idx="641">
                  <c:v>4033.2455330781854</c:v>
                </c:pt>
                <c:pt idx="642">
                  <c:v>4012.8746309458725</c:v>
                </c:pt>
                <c:pt idx="643">
                  <c:v>3993.1602318206669</c:v>
                </c:pt>
                <c:pt idx="644">
                  <c:v>3987.5606473482771</c:v>
                </c:pt>
                <c:pt idx="645">
                  <c:v>3984.7029283761631</c:v>
                </c:pt>
                <c:pt idx="646">
                  <c:v>3978.5240765445601</c:v>
                </c:pt>
                <c:pt idx="647">
                  <c:v>3973.619612903226</c:v>
                </c:pt>
                <c:pt idx="648">
                  <c:v>3972.0555910333519</c:v>
                </c:pt>
                <c:pt idx="649">
                  <c:v>3970.3370978676876</c:v>
                </c:pt>
                <c:pt idx="650">
                  <c:v>3958.7517506834342</c:v>
                </c:pt>
                <c:pt idx="651">
                  <c:v>3957.5159803171132</c:v>
                </c:pt>
                <c:pt idx="652">
                  <c:v>3954.8127326407871</c:v>
                </c:pt>
                <c:pt idx="653">
                  <c:v>3951.7233067249872</c:v>
                </c:pt>
                <c:pt idx="654">
                  <c:v>3951.4722908693284</c:v>
                </c:pt>
                <c:pt idx="655">
                  <c:v>3949.9275779114269</c:v>
                </c:pt>
                <c:pt idx="656">
                  <c:v>3944.8686429743025</c:v>
                </c:pt>
                <c:pt idx="657">
                  <c:v>3933.3026047020235</c:v>
                </c:pt>
                <c:pt idx="658">
                  <c:v>3933.2832957900491</c:v>
                </c:pt>
                <c:pt idx="659">
                  <c:v>3917.8940929469663</c:v>
                </c:pt>
                <c:pt idx="660">
                  <c:v>3907.5831339529805</c:v>
                </c:pt>
                <c:pt idx="661">
                  <c:v>3906.4825259704758</c:v>
                </c:pt>
                <c:pt idx="662">
                  <c:v>3903.7599693821767</c:v>
                </c:pt>
                <c:pt idx="663">
                  <c:v>3902.2731831601973</c:v>
                </c:pt>
                <c:pt idx="664">
                  <c:v>3890.263039912521</c:v>
                </c:pt>
                <c:pt idx="665">
                  <c:v>3885.1654871514493</c:v>
                </c:pt>
                <c:pt idx="666">
                  <c:v>3883.9490256971021</c:v>
                </c:pt>
                <c:pt idx="667">
                  <c:v>3854.9084220885729</c:v>
                </c:pt>
                <c:pt idx="668">
                  <c:v>3851.5293624931651</c:v>
                </c:pt>
                <c:pt idx="669">
                  <c:v>3851.3362733734289</c:v>
                </c:pt>
                <c:pt idx="670">
                  <c:v>3851.2397288135589</c:v>
                </c:pt>
                <c:pt idx="671">
                  <c:v>3847.3007107709132</c:v>
                </c:pt>
                <c:pt idx="672">
                  <c:v>3843.2072214324767</c:v>
                </c:pt>
                <c:pt idx="673">
                  <c:v>3840.5039737561515</c:v>
                </c:pt>
                <c:pt idx="674">
                  <c:v>3839.7509261891742</c:v>
                </c:pt>
                <c:pt idx="675">
                  <c:v>3839.248894477857</c:v>
                </c:pt>
                <c:pt idx="676">
                  <c:v>3837.6269458720608</c:v>
                </c:pt>
                <c:pt idx="677">
                  <c:v>3819.5151864406776</c:v>
                </c:pt>
                <c:pt idx="678">
                  <c:v>3818.4338873701477</c:v>
                </c:pt>
                <c:pt idx="679">
                  <c:v>3815.3058436303986</c:v>
                </c:pt>
                <c:pt idx="680">
                  <c:v>3810.2855265172225</c:v>
                </c:pt>
                <c:pt idx="681">
                  <c:v>3809.3007720065611</c:v>
                </c:pt>
                <c:pt idx="682">
                  <c:v>3801.4034270092943</c:v>
                </c:pt>
                <c:pt idx="683">
                  <c:v>3800.1483477310007</c:v>
                </c:pt>
                <c:pt idx="684">
                  <c:v>3795.1280306178246</c:v>
                </c:pt>
                <c:pt idx="685">
                  <c:v>3785.1260142154192</c:v>
                </c:pt>
                <c:pt idx="686">
                  <c:v>3783.2144319300169</c:v>
                </c:pt>
                <c:pt idx="687">
                  <c:v>3770.0650628758881</c:v>
                </c:pt>
                <c:pt idx="688">
                  <c:v>3764.7358031711319</c:v>
                </c:pt>
                <c:pt idx="689">
                  <c:v>3761.2215811919082</c:v>
                </c:pt>
                <c:pt idx="690">
                  <c:v>3741.9899048660468</c:v>
                </c:pt>
                <c:pt idx="691">
                  <c:v>3738.2053581191904</c:v>
                </c:pt>
                <c:pt idx="692">
                  <c:v>3737.3364570803719</c:v>
                </c:pt>
                <c:pt idx="693">
                  <c:v>3735.1352411153644</c:v>
                </c:pt>
                <c:pt idx="694">
                  <c:v>3733.8801618370694</c:v>
                </c:pt>
                <c:pt idx="695">
                  <c:v>3731.3120765445601</c:v>
                </c:pt>
                <c:pt idx="696">
                  <c:v>3727.0448069983595</c:v>
                </c:pt>
                <c:pt idx="697">
                  <c:v>3714.0499092400214</c:v>
                </c:pt>
                <c:pt idx="698">
                  <c:v>3703.6617145981418</c:v>
                </c:pt>
                <c:pt idx="699">
                  <c:v>3664.1556806998365</c:v>
                </c:pt>
                <c:pt idx="700">
                  <c:v>3663.6536489885189</c:v>
                </c:pt>
                <c:pt idx="701">
                  <c:v>3661.008328048114</c:v>
                </c:pt>
                <c:pt idx="702">
                  <c:v>3658.6912586112626</c:v>
                </c:pt>
                <c:pt idx="703">
                  <c:v>3655.563214871514</c:v>
                </c:pt>
                <c:pt idx="704">
                  <c:v>3652.7441137233463</c:v>
                </c:pt>
                <c:pt idx="705">
                  <c:v>3647.801032258064</c:v>
                </c:pt>
                <c:pt idx="706">
                  <c:v>3646.6618064516124</c:v>
                </c:pt>
                <c:pt idx="707">
                  <c:v>3638.7837703663199</c:v>
                </c:pt>
                <c:pt idx="708">
                  <c:v>3634.4199562602516</c:v>
                </c:pt>
                <c:pt idx="709">
                  <c:v>3627.4301301257519</c:v>
                </c:pt>
                <c:pt idx="710">
                  <c:v>3625.4026943685071</c:v>
                </c:pt>
                <c:pt idx="711">
                  <c:v>3624.2055418261352</c:v>
                </c:pt>
                <c:pt idx="712">
                  <c:v>3617.7370563149257</c:v>
                </c:pt>
                <c:pt idx="713">
                  <c:v>3613.7787293603055</c:v>
                </c:pt>
                <c:pt idx="714">
                  <c:v>3609.8397113176597</c:v>
                </c:pt>
                <c:pt idx="715">
                  <c:v>3598.756395844724</c:v>
                </c:pt>
                <c:pt idx="716">
                  <c:v>3597.520625478403</c:v>
                </c:pt>
                <c:pt idx="717">
                  <c:v>3594.3732728266823</c:v>
                </c:pt>
                <c:pt idx="718">
                  <c:v>3593.4657539639147</c:v>
                </c:pt>
                <c:pt idx="719">
                  <c:v>3589.3336468015309</c:v>
                </c:pt>
                <c:pt idx="720">
                  <c:v>3584.2360940404592</c:v>
                </c:pt>
                <c:pt idx="721">
                  <c:v>3575.4698480043739</c:v>
                </c:pt>
                <c:pt idx="722">
                  <c:v>3573.9251350464733</c:v>
                </c:pt>
                <c:pt idx="723">
                  <c:v>3572.0328616730449</c:v>
                </c:pt>
                <c:pt idx="724">
                  <c:v>3569.5227031164568</c:v>
                </c:pt>
                <c:pt idx="725">
                  <c:v>3558.3042252597052</c:v>
                </c:pt>
                <c:pt idx="726">
                  <c:v>3550.9861476216506</c:v>
                </c:pt>
                <c:pt idx="727">
                  <c:v>3546.2554641880815</c:v>
                </c:pt>
                <c:pt idx="728">
                  <c:v>3541.1965292509576</c:v>
                </c:pt>
                <c:pt idx="729">
                  <c:v>3539.033931109896</c:v>
                </c:pt>
                <c:pt idx="730">
                  <c:v>3534.8632061235639</c:v>
                </c:pt>
                <c:pt idx="731">
                  <c:v>3526.8113898305082</c:v>
                </c:pt>
                <c:pt idx="732">
                  <c:v>3497.4425347184251</c:v>
                </c:pt>
                <c:pt idx="733">
                  <c:v>3493.0401027884086</c:v>
                </c:pt>
                <c:pt idx="734">
                  <c:v>3491.0705937670864</c:v>
                </c:pt>
                <c:pt idx="735">
                  <c:v>3467.4751033351558</c:v>
                </c:pt>
                <c:pt idx="736">
                  <c:v>3464.5401487151444</c:v>
                </c:pt>
                <c:pt idx="737">
                  <c:v>3462.416168398031</c:v>
                </c:pt>
                <c:pt idx="738">
                  <c:v>3453.8237025697103</c:v>
                </c:pt>
                <c:pt idx="739">
                  <c:v>3449.3054171678514</c:v>
                </c:pt>
                <c:pt idx="740">
                  <c:v>3440.6936424275555</c:v>
                </c:pt>
                <c:pt idx="741">
                  <c:v>3435.9822679059594</c:v>
                </c:pt>
                <c:pt idx="742">
                  <c:v>3431.4446735921269</c:v>
                </c:pt>
                <c:pt idx="743">
                  <c:v>3420.9792433023513</c:v>
                </c:pt>
                <c:pt idx="744">
                  <c:v>3420.9599343903774</c:v>
                </c:pt>
                <c:pt idx="745">
                  <c:v>3419.1642055768175</c:v>
                </c:pt>
                <c:pt idx="746">
                  <c:v>3413.8349458720609</c:v>
                </c:pt>
                <c:pt idx="747">
                  <c:v>3398.6774499726635</c:v>
                </c:pt>
                <c:pt idx="748">
                  <c:v>3396.6886320393664</c:v>
                </c:pt>
                <c:pt idx="749">
                  <c:v>3391.533152542373</c:v>
                </c:pt>
                <c:pt idx="750">
                  <c:v>3390.6642515035533</c:v>
                </c:pt>
                <c:pt idx="751">
                  <c:v>3388.617506834335</c:v>
                </c:pt>
                <c:pt idx="752">
                  <c:v>3384.3695462001092</c:v>
                </c:pt>
                <c:pt idx="753">
                  <c:v>3377.2831755057405</c:v>
                </c:pt>
                <c:pt idx="754">
                  <c:v>3372.5331831601975</c:v>
                </c:pt>
                <c:pt idx="755">
                  <c:v>3371.2974127938764</c:v>
                </c:pt>
                <c:pt idx="756">
                  <c:v>3365.6399015855659</c:v>
                </c:pt>
                <c:pt idx="757">
                  <c:v>3364.4234401312192</c:v>
                </c:pt>
                <c:pt idx="758">
                  <c:v>3363.1297430289778</c:v>
                </c:pt>
                <c:pt idx="759">
                  <c:v>3356.6226396938214</c:v>
                </c:pt>
                <c:pt idx="760">
                  <c:v>3348.3391164570799</c:v>
                </c:pt>
                <c:pt idx="761">
                  <c:v>3345.4427796610175</c:v>
                </c:pt>
                <c:pt idx="762">
                  <c:v>3338.5881159103342</c:v>
                </c:pt>
                <c:pt idx="763">
                  <c:v>3326.4621191908145</c:v>
                </c:pt>
                <c:pt idx="764">
                  <c:v>3320.669445598689</c:v>
                </c:pt>
                <c:pt idx="765">
                  <c:v>3320.4184297430293</c:v>
                </c:pt>
                <c:pt idx="766">
                  <c:v>3314.9733165664293</c:v>
                </c:pt>
                <c:pt idx="767">
                  <c:v>3306.7091022416616</c:v>
                </c:pt>
                <c:pt idx="768">
                  <c:v>3292.3432717331866</c:v>
                </c:pt>
                <c:pt idx="769">
                  <c:v>3282.5150355385454</c:v>
                </c:pt>
                <c:pt idx="770">
                  <c:v>3280.7772334609076</c:v>
                </c:pt>
                <c:pt idx="771">
                  <c:v>3265.677664297431</c:v>
                </c:pt>
                <c:pt idx="772">
                  <c:v>3255.7335746309459</c:v>
                </c:pt>
                <c:pt idx="773">
                  <c:v>3252.5476041552765</c:v>
                </c:pt>
                <c:pt idx="774">
                  <c:v>3250.8677288135586</c:v>
                </c:pt>
                <c:pt idx="775">
                  <c:v>3249.7671208310553</c:v>
                </c:pt>
                <c:pt idx="776">
                  <c:v>3240.595387643521</c:v>
                </c:pt>
                <c:pt idx="777">
                  <c:v>3234.8606407873149</c:v>
                </c:pt>
                <c:pt idx="778">
                  <c:v>3229.5506899945326</c:v>
                </c:pt>
                <c:pt idx="779">
                  <c:v>3229.5120721705844</c:v>
                </c:pt>
                <c:pt idx="780">
                  <c:v>3218.5446101694915</c:v>
                </c:pt>
                <c:pt idx="781">
                  <c:v>3216.884043739748</c:v>
                </c:pt>
                <c:pt idx="782">
                  <c:v>3215.9958337889557</c:v>
                </c:pt>
                <c:pt idx="783">
                  <c:v>3215.6289644614553</c:v>
                </c:pt>
                <c:pt idx="784">
                  <c:v>3214.7214455986887</c:v>
                </c:pt>
                <c:pt idx="785">
                  <c:v>3214.0456336796065</c:v>
                </c:pt>
                <c:pt idx="786">
                  <c:v>3208.3881224712964</c:v>
                </c:pt>
                <c:pt idx="787">
                  <c:v>3207.1909699289226</c:v>
                </c:pt>
                <c:pt idx="788">
                  <c:v>3194.196072170585</c:v>
                </c:pt>
                <c:pt idx="789">
                  <c:v>3193.9257474029523</c:v>
                </c:pt>
                <c:pt idx="790">
                  <c:v>3192.0141651175504</c:v>
                </c:pt>
                <c:pt idx="791">
                  <c:v>3181.2397922361952</c:v>
                </c:pt>
                <c:pt idx="792">
                  <c:v>3177.0883761618375</c:v>
                </c:pt>
                <c:pt idx="793">
                  <c:v>3175.6208988518315</c:v>
                </c:pt>
                <c:pt idx="794">
                  <c:v>3174.3851284855109</c:v>
                </c:pt>
                <c:pt idx="795">
                  <c:v>3173.2459026790598</c:v>
                </c:pt>
                <c:pt idx="796">
                  <c:v>3145.6148496446144</c:v>
                </c:pt>
                <c:pt idx="797">
                  <c:v>3138.779494805905</c:v>
                </c:pt>
                <c:pt idx="798">
                  <c:v>3130.3028824494263</c:v>
                </c:pt>
                <c:pt idx="799">
                  <c:v>3129.0864209950796</c:v>
                </c:pt>
                <c:pt idx="800">
                  <c:v>3112.3649032258068</c:v>
                </c:pt>
                <c:pt idx="801">
                  <c:v>3111.4573843630405</c:v>
                </c:pt>
                <c:pt idx="802">
                  <c:v>3104.3517047566975</c:v>
                </c:pt>
                <c:pt idx="803">
                  <c:v>3098.6362668124657</c:v>
                </c:pt>
                <c:pt idx="804">
                  <c:v>3093.3263160196825</c:v>
                </c:pt>
                <c:pt idx="805">
                  <c:v>3088.7694127938767</c:v>
                </c:pt>
                <c:pt idx="806">
                  <c:v>3085.5255155822852</c:v>
                </c:pt>
                <c:pt idx="807">
                  <c:v>3081.1810103881908</c:v>
                </c:pt>
                <c:pt idx="808">
                  <c:v>3076.2572378348827</c:v>
                </c:pt>
                <c:pt idx="809">
                  <c:v>3075.3690278840895</c:v>
                </c:pt>
                <c:pt idx="810">
                  <c:v>3068.8426156369601</c:v>
                </c:pt>
                <c:pt idx="811">
                  <c:v>3055.7125554948057</c:v>
                </c:pt>
                <c:pt idx="812">
                  <c:v>3048.1241530891198</c:v>
                </c:pt>
                <c:pt idx="813">
                  <c:v>3047.1200896664845</c:v>
                </c:pt>
                <c:pt idx="814">
                  <c:v>3030.6882055768174</c:v>
                </c:pt>
                <c:pt idx="815">
                  <c:v>3024.8955319846914</c:v>
                </c:pt>
                <c:pt idx="816">
                  <c:v>3023.6597616183703</c:v>
                </c:pt>
                <c:pt idx="817">
                  <c:v>3020.7054980863863</c:v>
                </c:pt>
                <c:pt idx="818">
                  <c:v>3013.2136402405681</c:v>
                </c:pt>
                <c:pt idx="819">
                  <c:v>3011.8620164024055</c:v>
                </c:pt>
                <c:pt idx="820">
                  <c:v>3009.9311252050302</c:v>
                </c:pt>
                <c:pt idx="821">
                  <c:v>3008.8112083105525</c:v>
                </c:pt>
                <c:pt idx="822">
                  <c:v>3006.1079606342264</c:v>
                </c:pt>
                <c:pt idx="823">
                  <c:v>3005.6252378348827</c:v>
                </c:pt>
                <c:pt idx="824">
                  <c:v>3004.312231820667</c:v>
                </c:pt>
                <c:pt idx="825">
                  <c:v>2983.1496642974303</c:v>
                </c:pt>
                <c:pt idx="826">
                  <c:v>2981.9525117550575</c:v>
                </c:pt>
                <c:pt idx="827">
                  <c:v>2980.5815790049205</c:v>
                </c:pt>
                <c:pt idx="828">
                  <c:v>2977.7817867687259</c:v>
                </c:pt>
                <c:pt idx="829">
                  <c:v>2976.3722361946425</c:v>
                </c:pt>
                <c:pt idx="830">
                  <c:v>2967.6252990705307</c:v>
                </c:pt>
                <c:pt idx="831">
                  <c:v>2965.77164352105</c:v>
                </c:pt>
                <c:pt idx="832">
                  <c:v>2964.2269305631494</c:v>
                </c:pt>
                <c:pt idx="833">
                  <c:v>2963.9179879715689</c:v>
                </c:pt>
                <c:pt idx="834">
                  <c:v>2963.1070136686717</c:v>
                </c:pt>
                <c:pt idx="835">
                  <c:v>2962.4312017495904</c:v>
                </c:pt>
                <c:pt idx="836">
                  <c:v>2959.901734281028</c:v>
                </c:pt>
                <c:pt idx="837">
                  <c:v>2958.2025500273376</c:v>
                </c:pt>
                <c:pt idx="838">
                  <c:v>2955.7503182066703</c:v>
                </c:pt>
                <c:pt idx="839">
                  <c:v>2950.5755297977039</c:v>
                </c:pt>
                <c:pt idx="840">
                  <c:v>2948.8377277200657</c:v>
                </c:pt>
                <c:pt idx="841">
                  <c:v>2935.8814477856754</c:v>
                </c:pt>
                <c:pt idx="842">
                  <c:v>2935.6304319300166</c:v>
                </c:pt>
                <c:pt idx="843">
                  <c:v>2935.128400218699</c:v>
                </c:pt>
                <c:pt idx="844">
                  <c:v>2933.8153942044833</c:v>
                </c:pt>
                <c:pt idx="845">
                  <c:v>2929.7991405139414</c:v>
                </c:pt>
                <c:pt idx="846">
                  <c:v>2928.7757681793323</c:v>
                </c:pt>
                <c:pt idx="847">
                  <c:v>2928.2930453799891</c:v>
                </c:pt>
                <c:pt idx="848">
                  <c:v>2926.9221126298521</c:v>
                </c:pt>
                <c:pt idx="849">
                  <c:v>2924.1995560415521</c:v>
                </c:pt>
                <c:pt idx="850">
                  <c:v>2916.9780229633684</c:v>
                </c:pt>
                <c:pt idx="851">
                  <c:v>2907.729054127939</c:v>
                </c:pt>
                <c:pt idx="852">
                  <c:v>2895.7575287042105</c:v>
                </c:pt>
                <c:pt idx="853">
                  <c:v>2893.3632236194649</c:v>
                </c:pt>
                <c:pt idx="854">
                  <c:v>2887.0878272279929</c:v>
                </c:pt>
                <c:pt idx="855">
                  <c:v>2883.998401312193</c:v>
                </c:pt>
                <c:pt idx="856">
                  <c:v>2878.1671098961183</c:v>
                </c:pt>
                <c:pt idx="857">
                  <c:v>2877.8195494805905</c:v>
                </c:pt>
                <c:pt idx="858">
                  <c:v>2876.352072170585</c:v>
                </c:pt>
                <c:pt idx="859">
                  <c:v>2875.405935483871</c:v>
                </c:pt>
                <c:pt idx="860">
                  <c:v>2870.5593985784581</c:v>
                </c:pt>
                <c:pt idx="861">
                  <c:v>2870.5207807545112</c:v>
                </c:pt>
                <c:pt idx="862">
                  <c:v>2868.1457845817386</c:v>
                </c:pt>
                <c:pt idx="863">
                  <c:v>2864.284002186987</c:v>
                </c:pt>
                <c:pt idx="864">
                  <c:v>2851.9262985237833</c:v>
                </c:pt>
                <c:pt idx="865">
                  <c:v>2849.8216271186443</c:v>
                </c:pt>
                <c:pt idx="866">
                  <c:v>2835.6488857299078</c:v>
                </c:pt>
                <c:pt idx="867">
                  <c:v>2833.3704341170037</c:v>
                </c:pt>
                <c:pt idx="868">
                  <c:v>2833.1580360852927</c:v>
                </c:pt>
                <c:pt idx="869">
                  <c:v>2819.3521640240569</c:v>
                </c:pt>
                <c:pt idx="870">
                  <c:v>2813.3857102241659</c:v>
                </c:pt>
                <c:pt idx="871">
                  <c:v>2808.1723039912522</c:v>
                </c:pt>
                <c:pt idx="872">
                  <c:v>2807.786125751777</c:v>
                </c:pt>
                <c:pt idx="873">
                  <c:v>2806.3186484417715</c:v>
                </c:pt>
                <c:pt idx="874">
                  <c:v>2788.4192870420993</c:v>
                </c:pt>
                <c:pt idx="875">
                  <c:v>2786.9518097320943</c:v>
                </c:pt>
                <c:pt idx="876">
                  <c:v>2771.6012247129574</c:v>
                </c:pt>
                <c:pt idx="877">
                  <c:v>2767.0057036632038</c:v>
                </c:pt>
                <c:pt idx="878">
                  <c:v>2766.9284680153091</c:v>
                </c:pt>
                <c:pt idx="879">
                  <c:v>2743.6419201749591</c:v>
                </c:pt>
                <c:pt idx="880">
                  <c:v>2741.9427359212686</c:v>
                </c:pt>
                <c:pt idx="881">
                  <c:v>2735.2039256424277</c:v>
                </c:pt>
                <c:pt idx="882">
                  <c:v>2721.4752892290867</c:v>
                </c:pt>
                <c:pt idx="883">
                  <c:v>2720.6256971022412</c:v>
                </c:pt>
                <c:pt idx="884">
                  <c:v>2720.3746812465829</c:v>
                </c:pt>
                <c:pt idx="885">
                  <c:v>2720.2202099507927</c:v>
                </c:pt>
                <c:pt idx="886">
                  <c:v>2718.6948059048659</c:v>
                </c:pt>
                <c:pt idx="887">
                  <c:v>2713.4813996719517</c:v>
                </c:pt>
                <c:pt idx="888">
                  <c:v>2703.1318228540181</c:v>
                </c:pt>
                <c:pt idx="889">
                  <c:v>2692.8015549480588</c:v>
                </c:pt>
                <c:pt idx="890">
                  <c:v>2687.5109130672495</c:v>
                </c:pt>
                <c:pt idx="891">
                  <c:v>2680.7527938764351</c:v>
                </c:pt>
                <c:pt idx="892">
                  <c:v>2675.8869480590488</c:v>
                </c:pt>
                <c:pt idx="893">
                  <c:v>2669.4184625478406</c:v>
                </c:pt>
                <c:pt idx="894">
                  <c:v>2656.3077113176596</c:v>
                </c:pt>
                <c:pt idx="895">
                  <c:v>2644.1044789502457</c:v>
                </c:pt>
                <c:pt idx="896">
                  <c:v>2635.8209557135046</c:v>
                </c:pt>
                <c:pt idx="897">
                  <c:v>2632.2294980863858</c:v>
                </c:pt>
                <c:pt idx="898">
                  <c:v>2632.0750267905955</c:v>
                </c:pt>
                <c:pt idx="899">
                  <c:v>2630.2599890650627</c:v>
                </c:pt>
                <c:pt idx="900">
                  <c:v>2628.0201552761073</c:v>
                </c:pt>
                <c:pt idx="901">
                  <c:v>2625.2782897758339</c:v>
                </c:pt>
                <c:pt idx="902">
                  <c:v>2624.5638600328048</c:v>
                </c:pt>
                <c:pt idx="903">
                  <c:v>2621.1848004373978</c:v>
                </c:pt>
                <c:pt idx="904">
                  <c:v>2619.8717944231821</c:v>
                </c:pt>
                <c:pt idx="905">
                  <c:v>2616.0486298523783</c:v>
                </c:pt>
                <c:pt idx="906">
                  <c:v>2607.8809600874797</c:v>
                </c:pt>
                <c:pt idx="907">
                  <c:v>2606.2783203936579</c:v>
                </c:pt>
                <c:pt idx="908">
                  <c:v>2605.4480371787859</c:v>
                </c:pt>
                <c:pt idx="909">
                  <c:v>2603.6716172772008</c:v>
                </c:pt>
                <c:pt idx="910">
                  <c:v>2602.6868627665399</c:v>
                </c:pt>
                <c:pt idx="911">
                  <c:v>2592.4145215965009</c:v>
                </c:pt>
                <c:pt idx="912">
                  <c:v>2591.4490759978125</c:v>
                </c:pt>
                <c:pt idx="913">
                  <c:v>2589.749891744123</c:v>
                </c:pt>
                <c:pt idx="914">
                  <c:v>2584.4978676872606</c:v>
                </c:pt>
                <c:pt idx="915">
                  <c:v>2571.6188234007655</c:v>
                </c:pt>
                <c:pt idx="916">
                  <c:v>2560.3231098961182</c:v>
                </c:pt>
                <c:pt idx="917">
                  <c:v>2557.2336839803174</c:v>
                </c:pt>
                <c:pt idx="918">
                  <c:v>2541.8830989611815</c:v>
                </c:pt>
                <c:pt idx="919">
                  <c:v>2534.7774193548385</c:v>
                </c:pt>
                <c:pt idx="920">
                  <c:v>2529.3129972662655</c:v>
                </c:pt>
                <c:pt idx="921">
                  <c:v>2526.6097495899403</c:v>
                </c:pt>
                <c:pt idx="922">
                  <c:v>2518.4227709130673</c:v>
                </c:pt>
                <c:pt idx="923">
                  <c:v>2506.2002296336796</c:v>
                </c:pt>
                <c:pt idx="924">
                  <c:v>2502.7246254784036</c:v>
                </c:pt>
                <c:pt idx="925">
                  <c:v>2494.4797200656099</c:v>
                </c:pt>
                <c:pt idx="926">
                  <c:v>2492.7419179879721</c:v>
                </c:pt>
                <c:pt idx="927">
                  <c:v>2491.9502525970479</c:v>
                </c:pt>
                <c:pt idx="928">
                  <c:v>2486.2348146528161</c:v>
                </c:pt>
                <c:pt idx="929">
                  <c:v>2482.2764876981955</c:v>
                </c:pt>
                <c:pt idx="930">
                  <c:v>2471.8110574084194</c:v>
                </c:pt>
                <c:pt idx="931">
                  <c:v>2470.0346375068343</c:v>
                </c:pt>
                <c:pt idx="932">
                  <c:v>2469.4553701476216</c:v>
                </c:pt>
                <c:pt idx="933">
                  <c:v>2449.2582482230728</c:v>
                </c:pt>
                <c:pt idx="934">
                  <c:v>2418.6922405686169</c:v>
                </c:pt>
                <c:pt idx="935">
                  <c:v>2417.8619573537458</c:v>
                </c:pt>
                <c:pt idx="936">
                  <c:v>2402.3955188627665</c:v>
                </c:pt>
                <c:pt idx="937">
                  <c:v>2399.9625959540731</c:v>
                </c:pt>
                <c:pt idx="938">
                  <c:v>2398.9971503553852</c:v>
                </c:pt>
                <c:pt idx="939">
                  <c:v>2395.1739857845819</c:v>
                </c:pt>
                <c:pt idx="940">
                  <c:v>2384.9016446145438</c:v>
                </c:pt>
                <c:pt idx="941">
                  <c:v>2384.4382307271735</c:v>
                </c:pt>
                <c:pt idx="942">
                  <c:v>2381.0012443958449</c:v>
                </c:pt>
                <c:pt idx="943">
                  <c:v>2376.6760481137235</c:v>
                </c:pt>
                <c:pt idx="944">
                  <c:v>2372.7949568069989</c:v>
                </c:pt>
                <c:pt idx="945">
                  <c:v>2372.3508518316025</c:v>
                </c:pt>
                <c:pt idx="946">
                  <c:v>2365.2065544013126</c:v>
                </c:pt>
                <c:pt idx="947">
                  <c:v>2361.2868452706398</c:v>
                </c:pt>
                <c:pt idx="948">
                  <c:v>2337.421030071077</c:v>
                </c:pt>
                <c:pt idx="949">
                  <c:v>2332.1110792782938</c:v>
                </c:pt>
                <c:pt idx="950">
                  <c:v>2329.5043761618372</c:v>
                </c:pt>
                <c:pt idx="951">
                  <c:v>2326.2797878622205</c:v>
                </c:pt>
                <c:pt idx="952">
                  <c:v>2325.1984887916897</c:v>
                </c:pt>
                <c:pt idx="953">
                  <c:v>2321.664957900492</c:v>
                </c:pt>
                <c:pt idx="954">
                  <c:v>2320.6029677419356</c:v>
                </c:pt>
                <c:pt idx="955">
                  <c:v>2319.0582547840354</c:v>
                </c:pt>
                <c:pt idx="956">
                  <c:v>2311.7787949699291</c:v>
                </c:pt>
                <c:pt idx="957">
                  <c:v>2298.9576774193547</c:v>
                </c:pt>
                <c:pt idx="958">
                  <c:v>2292.9332968835429</c:v>
                </c:pt>
                <c:pt idx="959">
                  <c:v>2282.9892072170587</c:v>
                </c:pt>
                <c:pt idx="960">
                  <c:v>2278.8184822307271</c:v>
                </c:pt>
                <c:pt idx="961">
                  <c:v>2264.8967566976485</c:v>
                </c:pt>
                <c:pt idx="962">
                  <c:v>2264.5878141060689</c:v>
                </c:pt>
                <c:pt idx="963">
                  <c:v>2262.9658655002731</c:v>
                </c:pt>
                <c:pt idx="964">
                  <c:v>2260.0888376161838</c:v>
                </c:pt>
                <c:pt idx="965">
                  <c:v>2253.9872214324769</c:v>
                </c:pt>
                <c:pt idx="966">
                  <c:v>2245.6071536358663</c:v>
                </c:pt>
                <c:pt idx="967">
                  <c:v>2230.0055527610712</c:v>
                </c:pt>
                <c:pt idx="968">
                  <c:v>2228.4415308911975</c:v>
                </c:pt>
                <c:pt idx="969">
                  <c:v>2228.2677506834339</c:v>
                </c:pt>
                <c:pt idx="970">
                  <c:v>2224.5797484964464</c:v>
                </c:pt>
                <c:pt idx="971">
                  <c:v>2211.2179814106071</c:v>
                </c:pt>
                <c:pt idx="972">
                  <c:v>2201.6986878075454</c:v>
                </c:pt>
                <c:pt idx="973">
                  <c:v>2191.9476872607984</c:v>
                </c:pt>
                <c:pt idx="974">
                  <c:v>2178.2190508474582</c:v>
                </c:pt>
                <c:pt idx="975">
                  <c:v>2177.6204745762711</c:v>
                </c:pt>
                <c:pt idx="976">
                  <c:v>2172.1946703116455</c:v>
                </c:pt>
                <c:pt idx="977">
                  <c:v>2168.1977255330785</c:v>
                </c:pt>
                <c:pt idx="978">
                  <c:v>2165.6489491525422</c:v>
                </c:pt>
                <c:pt idx="979">
                  <c:v>2165.5717135046475</c:v>
                </c:pt>
                <c:pt idx="980">
                  <c:v>2163.6215133952983</c:v>
                </c:pt>
                <c:pt idx="981">
                  <c:v>2162.4822875888467</c:v>
                </c:pt>
                <c:pt idx="982">
                  <c:v>2149.5260076544564</c:v>
                </c:pt>
                <c:pt idx="983">
                  <c:v>2149.3136096227449</c:v>
                </c:pt>
                <c:pt idx="984">
                  <c:v>2142.7485795516677</c:v>
                </c:pt>
                <c:pt idx="985">
                  <c:v>2141.8603696008749</c:v>
                </c:pt>
                <c:pt idx="986">
                  <c:v>2114.3644789502464</c:v>
                </c:pt>
                <c:pt idx="987">
                  <c:v>2110.3096074357572</c:v>
                </c:pt>
                <c:pt idx="988">
                  <c:v>2084.5708277747403</c:v>
                </c:pt>
                <c:pt idx="989">
                  <c:v>2081.3462394751232</c:v>
                </c:pt>
                <c:pt idx="990">
                  <c:v>2069.2202427556044</c:v>
                </c:pt>
                <c:pt idx="991">
                  <c:v>2063.0606998359763</c:v>
                </c:pt>
                <c:pt idx="992">
                  <c:v>2049.6410060142157</c:v>
                </c:pt>
                <c:pt idx="993">
                  <c:v>2045.1613384363038</c:v>
                </c:pt>
                <c:pt idx="994">
                  <c:v>2040.72028868234</c:v>
                </c:pt>
                <c:pt idx="995">
                  <c:v>2035.7772072170587</c:v>
                </c:pt>
                <c:pt idx="996">
                  <c:v>2024.1918600328047</c:v>
                </c:pt>
                <c:pt idx="997">
                  <c:v>2021.6430836522688</c:v>
                </c:pt>
                <c:pt idx="998">
                  <c:v>2020.8128004373973</c:v>
                </c:pt>
                <c:pt idx="999">
                  <c:v>2019.885972662657</c:v>
                </c:pt>
                <c:pt idx="1000">
                  <c:v>2016.7000021869876</c:v>
                </c:pt>
                <c:pt idx="1001">
                  <c:v>2010.9652553307817</c:v>
                </c:pt>
                <c:pt idx="1002">
                  <c:v>1989.7061432476769</c:v>
                </c:pt>
                <c:pt idx="1003">
                  <c:v>1983.8555429196283</c:v>
                </c:pt>
                <c:pt idx="1004">
                  <c:v>1983.5079825041009</c:v>
                </c:pt>
                <c:pt idx="1005">
                  <c:v>1962.7122843083653</c:v>
                </c:pt>
                <c:pt idx="1006">
                  <c:v>1959.2752979770366</c:v>
                </c:pt>
                <c:pt idx="1007">
                  <c:v>1951.4938064516132</c:v>
                </c:pt>
                <c:pt idx="1008">
                  <c:v>1946.3383269546202</c:v>
                </c:pt>
                <c:pt idx="1009">
                  <c:v>1938.9816314926193</c:v>
                </c:pt>
                <c:pt idx="1010">
                  <c:v>1930.9105062875888</c:v>
                </c:pt>
                <c:pt idx="1011">
                  <c:v>1921.8739354838708</c:v>
                </c:pt>
                <c:pt idx="1012">
                  <c:v>1917.6452837616187</c:v>
                </c:pt>
                <c:pt idx="1013">
                  <c:v>1885.3800918534719</c:v>
                </c:pt>
                <c:pt idx="1014">
                  <c:v>1884.0091591033347</c:v>
                </c:pt>
                <c:pt idx="1015">
                  <c:v>1876.7296992892295</c:v>
                </c:pt>
                <c:pt idx="1016">
                  <c:v>1872.4624297430289</c:v>
                </c:pt>
                <c:pt idx="1017">
                  <c:v>1870.6280831055221</c:v>
                </c:pt>
                <c:pt idx="1018">
                  <c:v>1870.1646692181519</c:v>
                </c:pt>
                <c:pt idx="1019">
                  <c:v>1853.5010781848</c:v>
                </c:pt>
                <c:pt idx="1020">
                  <c:v>1851.2998622197917</c:v>
                </c:pt>
                <c:pt idx="1021">
                  <c:v>1817.2582504100603</c:v>
                </c:pt>
                <c:pt idx="1022">
                  <c:v>1815.3466681246582</c:v>
                </c:pt>
                <c:pt idx="1023">
                  <c:v>1813.0102897758343</c:v>
                </c:pt>
                <c:pt idx="1024">
                  <c:v>1798.3934434117004</c:v>
                </c:pt>
                <c:pt idx="1025">
                  <c:v>1767.3447129579004</c:v>
                </c:pt>
                <c:pt idx="1026">
                  <c:v>1760.644520503007</c:v>
                </c:pt>
                <c:pt idx="1027">
                  <c:v>1737.7055330781845</c:v>
                </c:pt>
                <c:pt idx="1028">
                  <c:v>1704.5135133952981</c:v>
                </c:pt>
                <c:pt idx="1029">
                  <c:v>1704.2045708037181</c:v>
                </c:pt>
                <c:pt idx="1030">
                  <c:v>1683.6019617277202</c:v>
                </c:pt>
                <c:pt idx="1031">
                  <c:v>1678.1375396391472</c:v>
                </c:pt>
                <c:pt idx="1032">
                  <c:v>1634.6345609622747</c:v>
                </c:pt>
                <c:pt idx="1033">
                  <c:v>1633.7849688354293</c:v>
                </c:pt>
                <c:pt idx="1034">
                  <c:v>1620.3652750136682</c:v>
                </c:pt>
                <c:pt idx="1035">
                  <c:v>1614.8429261891745</c:v>
                </c:pt>
                <c:pt idx="1036">
                  <c:v>1604.9953810825593</c:v>
                </c:pt>
                <c:pt idx="1037">
                  <c:v>1583.2342372881358</c:v>
                </c:pt>
                <c:pt idx="1038">
                  <c:v>1577.5381082558777</c:v>
                </c:pt>
                <c:pt idx="1039">
                  <c:v>1570.7220623291419</c:v>
                </c:pt>
                <c:pt idx="1040">
                  <c:v>1567.9222700929472</c:v>
                </c:pt>
                <c:pt idx="1041">
                  <c:v>1566.029996719519</c:v>
                </c:pt>
                <c:pt idx="1042">
                  <c:v>1564.5239015855661</c:v>
                </c:pt>
                <c:pt idx="1043">
                  <c:v>1562.1102875888466</c:v>
                </c:pt>
                <c:pt idx="1044">
                  <c:v>1529.2658283214871</c:v>
                </c:pt>
                <c:pt idx="1045">
                  <c:v>1516.6571088026244</c:v>
                </c:pt>
                <c:pt idx="1046">
                  <c:v>1470.9722230727177</c:v>
                </c:pt>
                <c:pt idx="1047">
                  <c:v>1453.9610716238385</c:v>
                </c:pt>
                <c:pt idx="1048">
                  <c:v>1444.2486889010388</c:v>
                </c:pt>
                <c:pt idx="1049">
                  <c:v>1418.0464953526516</c:v>
                </c:pt>
                <c:pt idx="1050">
                  <c:v>1415.497718972116</c:v>
                </c:pt>
                <c:pt idx="1051">
                  <c:v>1414.5708911973757</c:v>
                </c:pt>
                <c:pt idx="1052">
                  <c:v>1406.5383838162929</c:v>
                </c:pt>
                <c:pt idx="1053">
                  <c:v>1393.6786484417714</c:v>
                </c:pt>
                <c:pt idx="1054">
                  <c:v>1384.8930934937121</c:v>
                </c:pt>
                <c:pt idx="1055">
                  <c:v>1363.2091853471841</c:v>
                </c:pt>
                <c:pt idx="1056">
                  <c:v>1355.080133406233</c:v>
                </c:pt>
                <c:pt idx="1057">
                  <c:v>1343.8616555494807</c:v>
                </c:pt>
                <c:pt idx="1058">
                  <c:v>1305.8617167851285</c:v>
                </c:pt>
                <c:pt idx="1059">
                  <c:v>1300.2042055768179</c:v>
                </c:pt>
                <c:pt idx="1060">
                  <c:v>1268.1127938764353</c:v>
                </c:pt>
                <c:pt idx="1061">
                  <c:v>1265.1006036085294</c:v>
                </c:pt>
                <c:pt idx="1062">
                  <c:v>1243.493931109896</c:v>
                </c:pt>
                <c:pt idx="1063">
                  <c:v>1221.404535811919</c:v>
                </c:pt>
                <c:pt idx="1064">
                  <c:v>1192.0936074357571</c:v>
                </c:pt>
              </c:numCache>
            </c:numRef>
          </c:cat>
          <c:val>
            <c:numRef>
              <c:f>'Benefício Econômico (PCH)'!$E$3:$E$1067</c:f>
              <c:numCache>
                <c:formatCode>General</c:formatCode>
                <c:ptCount val="1065"/>
                <c:pt idx="0">
                  <c:v>27607.457041550708</c:v>
                </c:pt>
                <c:pt idx="1">
                  <c:v>26522.358422182086</c:v>
                </c:pt>
                <c:pt idx="2">
                  <c:v>26233.410621687777</c:v>
                </c:pt>
                <c:pt idx="3">
                  <c:v>25871.190776108193</c:v>
                </c:pt>
                <c:pt idx="4">
                  <c:v>25648.263286042114</c:v>
                </c:pt>
                <c:pt idx="5">
                  <c:v>24990.393545334264</c:v>
                </c:pt>
                <c:pt idx="6">
                  <c:v>24126.635648765976</c:v>
                </c:pt>
                <c:pt idx="7">
                  <c:v>23598.86636010803</c:v>
                </c:pt>
                <c:pt idx="8">
                  <c:v>22589.349596474411</c:v>
                </c:pt>
                <c:pt idx="9">
                  <c:v>21227.848783264679</c:v>
                </c:pt>
                <c:pt idx="10">
                  <c:v>19714.875585169561</c:v>
                </c:pt>
                <c:pt idx="11">
                  <c:v>19579.723035260104</c:v>
                </c:pt>
                <c:pt idx="12">
                  <c:v>19278.463614082099</c:v>
                </c:pt>
                <c:pt idx="13">
                  <c:v>19001.486567372845</c:v>
                </c:pt>
                <c:pt idx="14">
                  <c:v>18156.734230080845</c:v>
                </c:pt>
                <c:pt idx="15">
                  <c:v>17733.756631895067</c:v>
                </c:pt>
                <c:pt idx="16">
                  <c:v>16940.426592034375</c:v>
                </c:pt>
                <c:pt idx="17">
                  <c:v>16190.105960247045</c:v>
                </c:pt>
                <c:pt idx="18">
                  <c:v>15964.966164153133</c:v>
                </c:pt>
                <c:pt idx="19">
                  <c:v>15869.881347262513</c:v>
                </c:pt>
                <c:pt idx="20">
                  <c:v>15731.722546908453</c:v>
                </c:pt>
                <c:pt idx="21">
                  <c:v>15455.751860592778</c:v>
                </c:pt>
                <c:pt idx="22">
                  <c:v>15177.036446535689</c:v>
                </c:pt>
                <c:pt idx="23">
                  <c:v>15133.485105853457</c:v>
                </c:pt>
                <c:pt idx="24">
                  <c:v>15127.398805800205</c:v>
                </c:pt>
                <c:pt idx="25">
                  <c:v>14866.163008620937</c:v>
                </c:pt>
                <c:pt idx="26">
                  <c:v>14324.156223733298</c:v>
                </c:pt>
                <c:pt idx="27">
                  <c:v>14265.809734317625</c:v>
                </c:pt>
                <c:pt idx="28">
                  <c:v>14203.147774856161</c:v>
                </c:pt>
                <c:pt idx="29">
                  <c:v>13960.79688317098</c:v>
                </c:pt>
                <c:pt idx="30">
                  <c:v>13959.473980442121</c:v>
                </c:pt>
                <c:pt idx="31">
                  <c:v>13216.826128852386</c:v>
                </c:pt>
                <c:pt idx="32">
                  <c:v>12406.229803290045</c:v>
                </c:pt>
                <c:pt idx="33">
                  <c:v>12125.512534195062</c:v>
                </c:pt>
                <c:pt idx="34">
                  <c:v>12089.061579318952</c:v>
                </c:pt>
                <c:pt idx="35">
                  <c:v>11928.71929758375</c:v>
                </c:pt>
                <c:pt idx="36">
                  <c:v>11878.793413912783</c:v>
                </c:pt>
                <c:pt idx="37">
                  <c:v>11716.047316197539</c:v>
                </c:pt>
                <c:pt idx="38">
                  <c:v>11323.693176857374</c:v>
                </c:pt>
                <c:pt idx="39">
                  <c:v>11041.605495419733</c:v>
                </c:pt>
                <c:pt idx="40">
                  <c:v>11027.192729540193</c:v>
                </c:pt>
                <c:pt idx="41">
                  <c:v>10867.969862237076</c:v>
                </c:pt>
                <c:pt idx="42">
                  <c:v>10843.429222098139</c:v>
                </c:pt>
                <c:pt idx="43">
                  <c:v>10732.54723879119</c:v>
                </c:pt>
                <c:pt idx="44">
                  <c:v>10466.482679313667</c:v>
                </c:pt>
                <c:pt idx="45">
                  <c:v>10379.286109261977</c:v>
                </c:pt>
                <c:pt idx="46">
                  <c:v>10335.937996672776</c:v>
                </c:pt>
                <c:pt idx="47">
                  <c:v>10281.805479899438</c:v>
                </c:pt>
                <c:pt idx="48">
                  <c:v>10165.125690705921</c:v>
                </c:pt>
                <c:pt idx="49">
                  <c:v>10159.681510673763</c:v>
                </c:pt>
                <c:pt idx="50">
                  <c:v>10106.811206350199</c:v>
                </c:pt>
                <c:pt idx="51">
                  <c:v>10034.271607873772</c:v>
                </c:pt>
                <c:pt idx="52">
                  <c:v>10017.435699157126</c:v>
                </c:pt>
                <c:pt idx="53">
                  <c:v>9976.1715852345878</c:v>
                </c:pt>
                <c:pt idx="54">
                  <c:v>9965.0887453064224</c:v>
                </c:pt>
                <c:pt idx="55">
                  <c:v>9836.2360329948642</c:v>
                </c:pt>
                <c:pt idx="56">
                  <c:v>9829.8957740919323</c:v>
                </c:pt>
                <c:pt idx="57">
                  <c:v>9734.7206395861031</c:v>
                </c:pt>
                <c:pt idx="58">
                  <c:v>9582.1132729069723</c:v>
                </c:pt>
                <c:pt idx="59">
                  <c:v>9526.5324082847474</c:v>
                </c:pt>
                <c:pt idx="60">
                  <c:v>9521.2559161038371</c:v>
                </c:pt>
                <c:pt idx="61">
                  <c:v>9468.5975701573898</c:v>
                </c:pt>
                <c:pt idx="62">
                  <c:v>9115.1957421854931</c:v>
                </c:pt>
                <c:pt idx="63">
                  <c:v>8983.3732258979271</c:v>
                </c:pt>
                <c:pt idx="64">
                  <c:v>8922.6466080150349</c:v>
                </c:pt>
                <c:pt idx="65">
                  <c:v>8859.0691082375924</c:v>
                </c:pt>
                <c:pt idx="66">
                  <c:v>8671.7051347355027</c:v>
                </c:pt>
                <c:pt idx="67">
                  <c:v>8535.3260920689299</c:v>
                </c:pt>
                <c:pt idx="68">
                  <c:v>8353.1070822437432</c:v>
                </c:pt>
                <c:pt idx="69">
                  <c:v>8317.3389378700522</c:v>
                </c:pt>
                <c:pt idx="70">
                  <c:v>8279.765553787498</c:v>
                </c:pt>
                <c:pt idx="71">
                  <c:v>8140.1412859730053</c:v>
                </c:pt>
                <c:pt idx="72">
                  <c:v>8123.9314902612041</c:v>
                </c:pt>
                <c:pt idx="73">
                  <c:v>8106.6852581925723</c:v>
                </c:pt>
                <c:pt idx="74">
                  <c:v>7929.8113176924508</c:v>
                </c:pt>
                <c:pt idx="75">
                  <c:v>7871.5766082142154</c:v>
                </c:pt>
                <c:pt idx="76">
                  <c:v>7823.5715664927566</c:v>
                </c:pt>
                <c:pt idx="77">
                  <c:v>7809.162954900502</c:v>
                </c:pt>
                <c:pt idx="78">
                  <c:v>7795.7623995124077</c:v>
                </c:pt>
                <c:pt idx="79">
                  <c:v>7784.2800571187936</c:v>
                </c:pt>
                <c:pt idx="80">
                  <c:v>7771.6835940933124</c:v>
                </c:pt>
                <c:pt idx="81">
                  <c:v>7754.5749649401223</c:v>
                </c:pt>
                <c:pt idx="82">
                  <c:v>7689.2584248741377</c:v>
                </c:pt>
                <c:pt idx="83">
                  <c:v>7503.9536140404198</c:v>
                </c:pt>
                <c:pt idx="84">
                  <c:v>7320.8374755569666</c:v>
                </c:pt>
                <c:pt idx="85">
                  <c:v>7286.6778209749664</c:v>
                </c:pt>
                <c:pt idx="86">
                  <c:v>7183.2100830191494</c:v>
                </c:pt>
                <c:pt idx="87">
                  <c:v>6989.7367590015128</c:v>
                </c:pt>
                <c:pt idx="88">
                  <c:v>6948.3694967276551</c:v>
                </c:pt>
                <c:pt idx="89">
                  <c:v>6803.8103483519435</c:v>
                </c:pt>
                <c:pt idx="90">
                  <c:v>6779.3214887571448</c:v>
                </c:pt>
                <c:pt idx="91">
                  <c:v>6629.3038042808939</c:v>
                </c:pt>
                <c:pt idx="92">
                  <c:v>6581.4581059459342</c:v>
                </c:pt>
                <c:pt idx="93">
                  <c:v>6464.8618511253071</c:v>
                </c:pt>
                <c:pt idx="94">
                  <c:v>6439.1247403572424</c:v>
                </c:pt>
                <c:pt idx="95">
                  <c:v>6388.3364876585692</c:v>
                </c:pt>
                <c:pt idx="96">
                  <c:v>6358.3270827203669</c:v>
                </c:pt>
                <c:pt idx="97">
                  <c:v>6333.7223606811822</c:v>
                </c:pt>
                <c:pt idx="98">
                  <c:v>6316.2482260269835</c:v>
                </c:pt>
                <c:pt idx="99">
                  <c:v>6278.7067483064138</c:v>
                </c:pt>
                <c:pt idx="100">
                  <c:v>6245.5633059699121</c:v>
                </c:pt>
                <c:pt idx="101">
                  <c:v>6237.8237700543395</c:v>
                </c:pt>
                <c:pt idx="102">
                  <c:v>6192.8756826164999</c:v>
                </c:pt>
                <c:pt idx="103">
                  <c:v>6168.6312620035451</c:v>
                </c:pt>
                <c:pt idx="104">
                  <c:v>6162.6940856106039</c:v>
                </c:pt>
                <c:pt idx="105">
                  <c:v>5987.165882960614</c:v>
                </c:pt>
                <c:pt idx="106">
                  <c:v>5979.8053651954051</c:v>
                </c:pt>
                <c:pt idx="107">
                  <c:v>5859.6293349983134</c:v>
                </c:pt>
                <c:pt idx="108">
                  <c:v>5781.4093184119611</c:v>
                </c:pt>
                <c:pt idx="109">
                  <c:v>5645.6870479287709</c:v>
                </c:pt>
                <c:pt idx="110">
                  <c:v>5607.5546475159645</c:v>
                </c:pt>
                <c:pt idx="111">
                  <c:v>5589.0145388942356</c:v>
                </c:pt>
                <c:pt idx="112">
                  <c:v>5552.0246392659819</c:v>
                </c:pt>
                <c:pt idx="113">
                  <c:v>5525.1272531062032</c:v>
                </c:pt>
                <c:pt idx="114">
                  <c:v>5493.7019091434868</c:v>
                </c:pt>
                <c:pt idx="115">
                  <c:v>5482.6860313017742</c:v>
                </c:pt>
                <c:pt idx="116">
                  <c:v>5452.3334894116133</c:v>
                </c:pt>
                <c:pt idx="117">
                  <c:v>5239.3387477179995</c:v>
                </c:pt>
                <c:pt idx="118">
                  <c:v>5209.0494622541473</c:v>
                </c:pt>
                <c:pt idx="119">
                  <c:v>5043.3662565086315</c:v>
                </c:pt>
                <c:pt idx="120">
                  <c:v>4994.7216429682112</c:v>
                </c:pt>
                <c:pt idx="121">
                  <c:v>4987.2951052335311</c:v>
                </c:pt>
                <c:pt idx="122">
                  <c:v>4834.1195612580113</c:v>
                </c:pt>
                <c:pt idx="123">
                  <c:v>4765.3436214489466</c:v>
                </c:pt>
                <c:pt idx="124">
                  <c:v>4728.430087131941</c:v>
                </c:pt>
                <c:pt idx="125">
                  <c:v>4699.7440425222785</c:v>
                </c:pt>
                <c:pt idx="126">
                  <c:v>4667.9695141138</c:v>
                </c:pt>
                <c:pt idx="127">
                  <c:v>4611.5863426649594</c:v>
                </c:pt>
                <c:pt idx="128">
                  <c:v>4604.95401852334</c:v>
                </c:pt>
                <c:pt idx="129">
                  <c:v>4560.0292148339176</c:v>
                </c:pt>
                <c:pt idx="130">
                  <c:v>4517.7482875055184</c:v>
                </c:pt>
                <c:pt idx="131">
                  <c:v>4472.943823559307</c:v>
                </c:pt>
                <c:pt idx="132">
                  <c:v>4442.2336899508355</c:v>
                </c:pt>
                <c:pt idx="133">
                  <c:v>4410.6679974746039</c:v>
                </c:pt>
                <c:pt idx="134">
                  <c:v>4300.5840949266412</c:v>
                </c:pt>
                <c:pt idx="135">
                  <c:v>4267.3888989636243</c:v>
                </c:pt>
                <c:pt idx="136">
                  <c:v>4244.11878882157</c:v>
                </c:pt>
                <c:pt idx="137">
                  <c:v>4057.8275545842425</c:v>
                </c:pt>
                <c:pt idx="138">
                  <c:v>4008.6604967977746</c:v>
                </c:pt>
                <c:pt idx="139">
                  <c:v>4001.2227074944985</c:v>
                </c:pt>
                <c:pt idx="140">
                  <c:v>3920.6781114530272</c:v>
                </c:pt>
                <c:pt idx="141">
                  <c:v>3908.7527407891466</c:v>
                </c:pt>
                <c:pt idx="142">
                  <c:v>3892.6682017739831</c:v>
                </c:pt>
                <c:pt idx="143">
                  <c:v>3888.0739548252996</c:v>
                </c:pt>
                <c:pt idx="144">
                  <c:v>3866.8577494415727</c:v>
                </c:pt>
                <c:pt idx="145">
                  <c:v>3808.3879234534134</c:v>
                </c:pt>
                <c:pt idx="146">
                  <c:v>3786.9920429013405</c:v>
                </c:pt>
                <c:pt idx="147">
                  <c:v>3777.4429963465545</c:v>
                </c:pt>
                <c:pt idx="148">
                  <c:v>3683.4287383928117</c:v>
                </c:pt>
                <c:pt idx="149">
                  <c:v>3673.5759892114065</c:v>
                </c:pt>
                <c:pt idx="150">
                  <c:v>3667.2222176591158</c:v>
                </c:pt>
                <c:pt idx="151">
                  <c:v>3583.5177074060857</c:v>
                </c:pt>
                <c:pt idx="152">
                  <c:v>3579.2412858662919</c:v>
                </c:pt>
                <c:pt idx="153">
                  <c:v>3546.4826041075157</c:v>
                </c:pt>
                <c:pt idx="154">
                  <c:v>3544.3738322503423</c:v>
                </c:pt>
                <c:pt idx="155">
                  <c:v>3503.1610951075299</c:v>
                </c:pt>
                <c:pt idx="156">
                  <c:v>3465.508366829541</c:v>
                </c:pt>
                <c:pt idx="157">
                  <c:v>3462.812979100655</c:v>
                </c:pt>
                <c:pt idx="158">
                  <c:v>3362.2782397505339</c:v>
                </c:pt>
                <c:pt idx="159">
                  <c:v>3343.2295315162019</c:v>
                </c:pt>
                <c:pt idx="160">
                  <c:v>3325.9762290838894</c:v>
                </c:pt>
                <c:pt idx="161">
                  <c:v>3317.6790675821849</c:v>
                </c:pt>
                <c:pt idx="162">
                  <c:v>3313.4735381025666</c:v>
                </c:pt>
                <c:pt idx="163">
                  <c:v>3223.3624349381435</c:v>
                </c:pt>
                <c:pt idx="164">
                  <c:v>3174.2826261572695</c:v>
                </c:pt>
                <c:pt idx="165">
                  <c:v>3131.5319772439534</c:v>
                </c:pt>
                <c:pt idx="166">
                  <c:v>3129.7934663354395</c:v>
                </c:pt>
                <c:pt idx="167">
                  <c:v>3060.5740675740549</c:v>
                </c:pt>
                <c:pt idx="168">
                  <c:v>3018.6972187078936</c:v>
                </c:pt>
                <c:pt idx="169">
                  <c:v>3005.3231054032467</c:v>
                </c:pt>
                <c:pt idx="170">
                  <c:v>2978.2143261365391</c:v>
                </c:pt>
                <c:pt idx="171">
                  <c:v>2965.7950708301455</c:v>
                </c:pt>
                <c:pt idx="172">
                  <c:v>2914.2026719335972</c:v>
                </c:pt>
                <c:pt idx="173">
                  <c:v>2909.5618215979271</c:v>
                </c:pt>
                <c:pt idx="174">
                  <c:v>2887.6210833880441</c:v>
                </c:pt>
                <c:pt idx="175">
                  <c:v>2857.9709031709322</c:v>
                </c:pt>
                <c:pt idx="176">
                  <c:v>2826.3920748921255</c:v>
                </c:pt>
                <c:pt idx="177">
                  <c:v>2751.7660013272371</c:v>
                </c:pt>
                <c:pt idx="178">
                  <c:v>2747.4166509600614</c:v>
                </c:pt>
                <c:pt idx="179">
                  <c:v>2703.2233786801303</c:v>
                </c:pt>
                <c:pt idx="180">
                  <c:v>2703.0063956790791</c:v>
                </c:pt>
                <c:pt idx="181">
                  <c:v>2656.7683706344128</c:v>
                </c:pt>
                <c:pt idx="182">
                  <c:v>2655.6858782156983</c:v>
                </c:pt>
                <c:pt idx="183">
                  <c:v>2646.8914583954138</c:v>
                </c:pt>
                <c:pt idx="184">
                  <c:v>2483.3448842522707</c:v>
                </c:pt>
                <c:pt idx="185">
                  <c:v>2458.6510110284353</c:v>
                </c:pt>
                <c:pt idx="186">
                  <c:v>2458.4594292958764</c:v>
                </c:pt>
                <c:pt idx="187">
                  <c:v>2438.2702749892815</c:v>
                </c:pt>
                <c:pt idx="188">
                  <c:v>2395.237394744121</c:v>
                </c:pt>
                <c:pt idx="189">
                  <c:v>2353.0167359852976</c:v>
                </c:pt>
                <c:pt idx="190">
                  <c:v>2337.3299856799099</c:v>
                </c:pt>
                <c:pt idx="191">
                  <c:v>2334.8772334517635</c:v>
                </c:pt>
                <c:pt idx="192">
                  <c:v>2285.9727840461724</c:v>
                </c:pt>
                <c:pt idx="193">
                  <c:v>2242.1606474366963</c:v>
                </c:pt>
                <c:pt idx="194">
                  <c:v>2237.2243133235547</c:v>
                </c:pt>
                <c:pt idx="195">
                  <c:v>2200.1489771433444</c:v>
                </c:pt>
                <c:pt idx="196">
                  <c:v>2181.6560371787918</c:v>
                </c:pt>
                <c:pt idx="197">
                  <c:v>2157.1529561037519</c:v>
                </c:pt>
                <c:pt idx="198">
                  <c:v>2011.9082695726272</c:v>
                </c:pt>
                <c:pt idx="199">
                  <c:v>1989.3251870280792</c:v>
                </c:pt>
                <c:pt idx="200">
                  <c:v>1957.6459380509427</c:v>
                </c:pt>
                <c:pt idx="201">
                  <c:v>1952.3014609136994</c:v>
                </c:pt>
                <c:pt idx="202">
                  <c:v>1920.8356687283185</c:v>
                </c:pt>
                <c:pt idx="203">
                  <c:v>1908.5973178286251</c:v>
                </c:pt>
                <c:pt idx="204">
                  <c:v>1895.9506534265215</c:v>
                </c:pt>
                <c:pt idx="205">
                  <c:v>1875.139235335907</c:v>
                </c:pt>
                <c:pt idx="206">
                  <c:v>1821.6722479476689</c:v>
                </c:pt>
                <c:pt idx="207">
                  <c:v>1815.1251629620688</c:v>
                </c:pt>
                <c:pt idx="208">
                  <c:v>1762.2248903457562</c:v>
                </c:pt>
                <c:pt idx="209">
                  <c:v>1686.7801619813818</c:v>
                </c:pt>
                <c:pt idx="210">
                  <c:v>1637.4737785512675</c:v>
                </c:pt>
                <c:pt idx="211">
                  <c:v>1625.1614221190659</c:v>
                </c:pt>
                <c:pt idx="212">
                  <c:v>1588.0345925160757</c:v>
                </c:pt>
                <c:pt idx="213">
                  <c:v>1556.4076714081909</c:v>
                </c:pt>
                <c:pt idx="214">
                  <c:v>1551.8384488812053</c:v>
                </c:pt>
                <c:pt idx="215">
                  <c:v>1520.5860237621507</c:v>
                </c:pt>
                <c:pt idx="216">
                  <c:v>1476.2957044599534</c:v>
                </c:pt>
                <c:pt idx="217">
                  <c:v>1421.0781022030476</c:v>
                </c:pt>
                <c:pt idx="218">
                  <c:v>1393.0974430133303</c:v>
                </c:pt>
                <c:pt idx="219">
                  <c:v>1376.0334612328072</c:v>
                </c:pt>
                <c:pt idx="220">
                  <c:v>1295.8342363064341</c:v>
                </c:pt>
                <c:pt idx="221">
                  <c:v>1285.55073329323</c:v>
                </c:pt>
                <c:pt idx="222">
                  <c:v>1233.0214663466147</c:v>
                </c:pt>
                <c:pt idx="223">
                  <c:v>1214.45348900714</c:v>
                </c:pt>
                <c:pt idx="224">
                  <c:v>1197.7183509179911</c:v>
                </c:pt>
                <c:pt idx="225">
                  <c:v>1141.3665474785641</c:v>
                </c:pt>
                <c:pt idx="226">
                  <c:v>1139.9028027463362</c:v>
                </c:pt>
                <c:pt idx="227">
                  <c:v>1103.3522526458314</c:v>
                </c:pt>
                <c:pt idx="228">
                  <c:v>1048.134686279097</c:v>
                </c:pt>
                <c:pt idx="229">
                  <c:v>1046.5621584387047</c:v>
                </c:pt>
                <c:pt idx="230">
                  <c:v>1023.1614439645449</c:v>
                </c:pt>
                <c:pt idx="231">
                  <c:v>988.94312689811875</c:v>
                </c:pt>
                <c:pt idx="232">
                  <c:v>948.29311174571069</c:v>
                </c:pt>
                <c:pt idx="233">
                  <c:v>929.33046814132888</c:v>
                </c:pt>
                <c:pt idx="234">
                  <c:v>847.31694123792852</c:v>
                </c:pt>
                <c:pt idx="235">
                  <c:v>838.26544012309262</c:v>
                </c:pt>
                <c:pt idx="236">
                  <c:v>809.22208194394238</c:v>
                </c:pt>
                <c:pt idx="237">
                  <c:v>742.62607522850885</c:v>
                </c:pt>
                <c:pt idx="238">
                  <c:v>737.68806324987656</c:v>
                </c:pt>
                <c:pt idx="239">
                  <c:v>691.90270298638143</c:v>
                </c:pt>
                <c:pt idx="240">
                  <c:v>669.16110252926796</c:v>
                </c:pt>
                <c:pt idx="241">
                  <c:v>662.60066640007278</c:v>
                </c:pt>
                <c:pt idx="242">
                  <c:v>657.48427129924914</c:v>
                </c:pt>
                <c:pt idx="243">
                  <c:v>615.81773883488279</c:v>
                </c:pt>
                <c:pt idx="244">
                  <c:v>609.19133657147381</c:v>
                </c:pt>
                <c:pt idx="245">
                  <c:v>598.72705476716953</c:v>
                </c:pt>
                <c:pt idx="246">
                  <c:v>559.8905609805704</c:v>
                </c:pt>
                <c:pt idx="247">
                  <c:v>555.85322181459469</c:v>
                </c:pt>
                <c:pt idx="248">
                  <c:v>546.18421236339452</c:v>
                </c:pt>
                <c:pt idx="249">
                  <c:v>521.41784099423057</c:v>
                </c:pt>
                <c:pt idx="250">
                  <c:v>513.77244499706558</c:v>
                </c:pt>
                <c:pt idx="251">
                  <c:v>508.91106750596475</c:v>
                </c:pt>
                <c:pt idx="252">
                  <c:v>468.64825346290405</c:v>
                </c:pt>
                <c:pt idx="253">
                  <c:v>447.10191234164535</c:v>
                </c:pt>
                <c:pt idx="254">
                  <c:v>434.71621434509757</c:v>
                </c:pt>
                <c:pt idx="255">
                  <c:v>431.97700471747402</c:v>
                </c:pt>
                <c:pt idx="256">
                  <c:v>407.68511038087689</c:v>
                </c:pt>
                <c:pt idx="257">
                  <c:v>404.13722342130018</c:v>
                </c:pt>
                <c:pt idx="258">
                  <c:v>373.38974608994999</c:v>
                </c:pt>
                <c:pt idx="259">
                  <c:v>365.56389431322589</c:v>
                </c:pt>
                <c:pt idx="260">
                  <c:v>306.4368923772542</c:v>
                </c:pt>
                <c:pt idx="261">
                  <c:v>190.6304007684962</c:v>
                </c:pt>
                <c:pt idx="262">
                  <c:v>158.78492646458443</c:v>
                </c:pt>
                <c:pt idx="263">
                  <c:v>158.78492646458443</c:v>
                </c:pt>
                <c:pt idx="264">
                  <c:v>150.04566983705544</c:v>
                </c:pt>
                <c:pt idx="265">
                  <c:v>141.90635330721238</c:v>
                </c:pt>
                <c:pt idx="266">
                  <c:v>140.90381521684267</c:v>
                </c:pt>
                <c:pt idx="267">
                  <c:v>140.83851305078969</c:v>
                </c:pt>
                <c:pt idx="268">
                  <c:v>119.72851565545973</c:v>
                </c:pt>
                <c:pt idx="269">
                  <c:v>103.5084912449408</c:v>
                </c:pt>
                <c:pt idx="270">
                  <c:v>102.16391982537009</c:v>
                </c:pt>
                <c:pt idx="271">
                  <c:v>98.20019140002259</c:v>
                </c:pt>
                <c:pt idx="272">
                  <c:v>82.127020596508117</c:v>
                </c:pt>
                <c:pt idx="273">
                  <c:v>56.783319937360929</c:v>
                </c:pt>
                <c:pt idx="274">
                  <c:v>33.607511219493368</c:v>
                </c:pt>
                <c:pt idx="275">
                  <c:v>-17.27687330208137</c:v>
                </c:pt>
                <c:pt idx="276">
                  <c:v>-42.504325697505351</c:v>
                </c:pt>
                <c:pt idx="277">
                  <c:v>-55.811719174348902</c:v>
                </c:pt>
                <c:pt idx="278">
                  <c:v>-67.341804467872265</c:v>
                </c:pt>
                <c:pt idx="279">
                  <c:v>-75.640778423210534</c:v>
                </c:pt>
                <c:pt idx="280">
                  <c:v>-101.74866157487195</c:v>
                </c:pt>
                <c:pt idx="281">
                  <c:v>-106.02676995269982</c:v>
                </c:pt>
                <c:pt idx="282">
                  <c:v>-106.09086082548306</c:v>
                </c:pt>
                <c:pt idx="283">
                  <c:v>-166.85780131544095</c:v>
                </c:pt>
                <c:pt idx="284">
                  <c:v>-171.73774299747083</c:v>
                </c:pt>
                <c:pt idx="285">
                  <c:v>-172.44007775288699</c:v>
                </c:pt>
                <c:pt idx="286">
                  <c:v>-183.15307844190954</c:v>
                </c:pt>
                <c:pt idx="287">
                  <c:v>-225.61115068160285</c:v>
                </c:pt>
                <c:pt idx="288">
                  <c:v>-230.27561674975865</c:v>
                </c:pt>
                <c:pt idx="289">
                  <c:v>-274.82823936637789</c:v>
                </c:pt>
                <c:pt idx="290">
                  <c:v>-274.95512906579097</c:v>
                </c:pt>
                <c:pt idx="291">
                  <c:v>-279.20052355279358</c:v>
                </c:pt>
                <c:pt idx="292">
                  <c:v>-292.933009186969</c:v>
                </c:pt>
                <c:pt idx="293">
                  <c:v>-300.07490197580626</c:v>
                </c:pt>
                <c:pt idx="294">
                  <c:v>-307.06038539961986</c:v>
                </c:pt>
                <c:pt idx="295">
                  <c:v>-330.7848471608749</c:v>
                </c:pt>
                <c:pt idx="296">
                  <c:v>-334.05878444555691</c:v>
                </c:pt>
                <c:pt idx="297">
                  <c:v>-342.63136711916849</c:v>
                </c:pt>
                <c:pt idx="298">
                  <c:v>-369.63486256938091</c:v>
                </c:pt>
                <c:pt idx="299">
                  <c:v>-379.85790858961184</c:v>
                </c:pt>
                <c:pt idx="300">
                  <c:v>-396.33152397555796</c:v>
                </c:pt>
                <c:pt idx="301">
                  <c:v>-408.67602005585138</c:v>
                </c:pt>
                <c:pt idx="302">
                  <c:v>-422.35822356051784</c:v>
                </c:pt>
                <c:pt idx="303">
                  <c:v>-424.9996145272022</c:v>
                </c:pt>
                <c:pt idx="304">
                  <c:v>-433.47436059479145</c:v>
                </c:pt>
                <c:pt idx="305">
                  <c:v>-457.68321404834256</c:v>
                </c:pt>
                <c:pt idx="306">
                  <c:v>-513.9522188633739</c:v>
                </c:pt>
                <c:pt idx="307">
                  <c:v>-515.17296919314674</c:v>
                </c:pt>
                <c:pt idx="308">
                  <c:v>-548.97889025022016</c:v>
                </c:pt>
                <c:pt idx="309">
                  <c:v>-618.11233205216649</c:v>
                </c:pt>
                <c:pt idx="310">
                  <c:v>-681.73518803315108</c:v>
                </c:pt>
                <c:pt idx="311">
                  <c:v>-690.66821569366482</c:v>
                </c:pt>
                <c:pt idx="312">
                  <c:v>-705.30415562874543</c:v>
                </c:pt>
                <c:pt idx="313">
                  <c:v>-705.61209329553901</c:v>
                </c:pt>
                <c:pt idx="314">
                  <c:v>-708.87195266066044</c:v>
                </c:pt>
                <c:pt idx="315">
                  <c:v>-715.60834035296284</c:v>
                </c:pt>
                <c:pt idx="316">
                  <c:v>-728.61353859036444</c:v>
                </c:pt>
                <c:pt idx="317">
                  <c:v>-741.88751831804859</c:v>
                </c:pt>
                <c:pt idx="318">
                  <c:v>-745.51775527488405</c:v>
                </c:pt>
                <c:pt idx="319">
                  <c:v>-752.05577799231537</c:v>
                </c:pt>
                <c:pt idx="320">
                  <c:v>-775.4476455393351</c:v>
                </c:pt>
                <c:pt idx="321">
                  <c:v>-785.07640416380946</c:v>
                </c:pt>
                <c:pt idx="322">
                  <c:v>-791.40592293308157</c:v>
                </c:pt>
                <c:pt idx="323">
                  <c:v>-827.2053455907585</c:v>
                </c:pt>
                <c:pt idx="324">
                  <c:v>-867.20615241330302</c:v>
                </c:pt>
                <c:pt idx="325">
                  <c:v>-888.0387098146125</c:v>
                </c:pt>
                <c:pt idx="326">
                  <c:v>-891.36828583681483</c:v>
                </c:pt>
                <c:pt idx="327">
                  <c:v>-927.76339560691531</c:v>
                </c:pt>
                <c:pt idx="328">
                  <c:v>-961.59421547008571</c:v>
                </c:pt>
                <c:pt idx="329">
                  <c:v>-966.11637701040888</c:v>
                </c:pt>
                <c:pt idx="330">
                  <c:v>-990.30262862879806</c:v>
                </c:pt>
                <c:pt idx="331">
                  <c:v>-1006.238133709074</c:v>
                </c:pt>
                <c:pt idx="332">
                  <c:v>-1012.5036872211608</c:v>
                </c:pt>
                <c:pt idx="333">
                  <c:v>-1024.4781915290789</c:v>
                </c:pt>
                <c:pt idx="334">
                  <c:v>-1036.3167887321335</c:v>
                </c:pt>
                <c:pt idx="335">
                  <c:v>-1039.0481563574033</c:v>
                </c:pt>
                <c:pt idx="336">
                  <c:v>-1070.4463404332473</c:v>
                </c:pt>
                <c:pt idx="337">
                  <c:v>-1081.2031271308356</c:v>
                </c:pt>
                <c:pt idx="338">
                  <c:v>-1104.0377997737771</c:v>
                </c:pt>
                <c:pt idx="339">
                  <c:v>-1110.7004511098526</c:v>
                </c:pt>
                <c:pt idx="340">
                  <c:v>-1127.1760494277416</c:v>
                </c:pt>
                <c:pt idx="341">
                  <c:v>-1153.8334021241799</c:v>
                </c:pt>
                <c:pt idx="342">
                  <c:v>-1156.3019729451732</c:v>
                </c:pt>
                <c:pt idx="343">
                  <c:v>-1165.7486427873084</c:v>
                </c:pt>
                <c:pt idx="344">
                  <c:v>-1180.4015228830806</c:v>
                </c:pt>
                <c:pt idx="345">
                  <c:v>-1200.1676756348013</c:v>
                </c:pt>
                <c:pt idx="346">
                  <c:v>-1208.5543382503251</c:v>
                </c:pt>
                <c:pt idx="347">
                  <c:v>-1237.5241843868162</c:v>
                </c:pt>
                <c:pt idx="348">
                  <c:v>-1244.1054368151676</c:v>
                </c:pt>
                <c:pt idx="349">
                  <c:v>-1255.5285604267028</c:v>
                </c:pt>
                <c:pt idx="350">
                  <c:v>-1263.634849026726</c:v>
                </c:pt>
                <c:pt idx="351">
                  <c:v>-1266.9509213721092</c:v>
                </c:pt>
                <c:pt idx="352">
                  <c:v>-1283.2162122607426</c:v>
                </c:pt>
                <c:pt idx="353">
                  <c:v>-1305.6060082896133</c:v>
                </c:pt>
                <c:pt idx="354">
                  <c:v>-1383.9881228330796</c:v>
                </c:pt>
                <c:pt idx="355">
                  <c:v>-1392.6981110261941</c:v>
                </c:pt>
                <c:pt idx="356">
                  <c:v>-1401.47350008333</c:v>
                </c:pt>
                <c:pt idx="357">
                  <c:v>-1409.9852130270037</c:v>
                </c:pt>
                <c:pt idx="358">
                  <c:v>-1416.4567043400284</c:v>
                </c:pt>
                <c:pt idx="359">
                  <c:v>-1424.6939472013241</c:v>
                </c:pt>
                <c:pt idx="360">
                  <c:v>-1427.911043427755</c:v>
                </c:pt>
                <c:pt idx="361">
                  <c:v>-1430.0078907756258</c:v>
                </c:pt>
                <c:pt idx="362">
                  <c:v>-1439.9203612015001</c:v>
                </c:pt>
                <c:pt idx="363">
                  <c:v>-1467.8704240204765</c:v>
                </c:pt>
                <c:pt idx="364">
                  <c:v>-1470.839662726291</c:v>
                </c:pt>
                <c:pt idx="365">
                  <c:v>-1476.2533002229645</c:v>
                </c:pt>
                <c:pt idx="366">
                  <c:v>-1496.3491759752494</c:v>
                </c:pt>
                <c:pt idx="367">
                  <c:v>-1505.2765688789216</c:v>
                </c:pt>
                <c:pt idx="368">
                  <c:v>-1506.9528552035431</c:v>
                </c:pt>
                <c:pt idx="369">
                  <c:v>-1508.0370972680923</c:v>
                </c:pt>
                <c:pt idx="370">
                  <c:v>-1515.122184888849</c:v>
                </c:pt>
                <c:pt idx="371">
                  <c:v>-1521.4385140202917</c:v>
                </c:pt>
                <c:pt idx="372">
                  <c:v>-1540.2090824022669</c:v>
                </c:pt>
                <c:pt idx="373">
                  <c:v>-1547.9260434003154</c:v>
                </c:pt>
                <c:pt idx="374">
                  <c:v>-1577.57895127042</c:v>
                </c:pt>
                <c:pt idx="375">
                  <c:v>-1583.9537275452662</c:v>
                </c:pt>
                <c:pt idx="376">
                  <c:v>-1594.1614125723277</c:v>
                </c:pt>
                <c:pt idx="377">
                  <c:v>-1616.2966037284439</c:v>
                </c:pt>
                <c:pt idx="378">
                  <c:v>-1621.61121127091</c:v>
                </c:pt>
                <c:pt idx="379">
                  <c:v>-1643.9268223164149</c:v>
                </c:pt>
                <c:pt idx="380">
                  <c:v>-1662.4278106518054</c:v>
                </c:pt>
                <c:pt idx="381">
                  <c:v>-1681.0704933821246</c:v>
                </c:pt>
                <c:pt idx="382">
                  <c:v>-1688.1097851447432</c:v>
                </c:pt>
                <c:pt idx="383">
                  <c:v>-1708.3022592921538</c:v>
                </c:pt>
                <c:pt idx="384">
                  <c:v>-1730.2156761093959</c:v>
                </c:pt>
                <c:pt idx="385">
                  <c:v>-1753.7148373224827</c:v>
                </c:pt>
                <c:pt idx="386">
                  <c:v>-1762.1244158121613</c:v>
                </c:pt>
                <c:pt idx="387">
                  <c:v>-1767.2963150623636</c:v>
                </c:pt>
                <c:pt idx="388">
                  <c:v>-1784.2147801447525</c:v>
                </c:pt>
                <c:pt idx="389">
                  <c:v>-1825.8209991768267</c:v>
                </c:pt>
                <c:pt idx="390">
                  <c:v>-1843.1332153247627</c:v>
                </c:pt>
                <c:pt idx="391">
                  <c:v>-1858.263919211543</c:v>
                </c:pt>
                <c:pt idx="392">
                  <c:v>-1867.9621342893588</c:v>
                </c:pt>
                <c:pt idx="393">
                  <c:v>-1898.7047933652541</c:v>
                </c:pt>
                <c:pt idx="394">
                  <c:v>-1912.5031284905901</c:v>
                </c:pt>
                <c:pt idx="395">
                  <c:v>-1936.6697571580119</c:v>
                </c:pt>
                <c:pt idx="396">
                  <c:v>-1944.2073031914535</c:v>
                </c:pt>
                <c:pt idx="397">
                  <c:v>-1963.3522688642868</c:v>
                </c:pt>
                <c:pt idx="398">
                  <c:v>-1966.9092988449174</c:v>
                </c:pt>
                <c:pt idx="399">
                  <c:v>-1999.1121136359438</c:v>
                </c:pt>
                <c:pt idx="400">
                  <c:v>-2012.861745799293</c:v>
                </c:pt>
                <c:pt idx="401">
                  <c:v>-2016.5119915264354</c:v>
                </c:pt>
                <c:pt idx="402">
                  <c:v>-2020.8821671653084</c:v>
                </c:pt>
                <c:pt idx="403">
                  <c:v>-2035.530399483941</c:v>
                </c:pt>
                <c:pt idx="404">
                  <c:v>-2045.2030248698652</c:v>
                </c:pt>
                <c:pt idx="405">
                  <c:v>-2062.5697761325659</c:v>
                </c:pt>
                <c:pt idx="406">
                  <c:v>-2068.9509229127552</c:v>
                </c:pt>
                <c:pt idx="407">
                  <c:v>-2076.3304804136546</c:v>
                </c:pt>
                <c:pt idx="408">
                  <c:v>-2080.7695651807585</c:v>
                </c:pt>
                <c:pt idx="409">
                  <c:v>-2084.6815938148466</c:v>
                </c:pt>
                <c:pt idx="410">
                  <c:v>-2109.2294837683216</c:v>
                </c:pt>
                <c:pt idx="411">
                  <c:v>-2111.1617387921947</c:v>
                </c:pt>
                <c:pt idx="412">
                  <c:v>-2113.1268153774045</c:v>
                </c:pt>
                <c:pt idx="413">
                  <c:v>-2142.5585500690004</c:v>
                </c:pt>
                <c:pt idx="414">
                  <c:v>-2149.8786644742559</c:v>
                </c:pt>
                <c:pt idx="415">
                  <c:v>-2150.4477390249162</c:v>
                </c:pt>
                <c:pt idx="416">
                  <c:v>-2166.5530315314363</c:v>
                </c:pt>
                <c:pt idx="417">
                  <c:v>-2190.7895921969639</c:v>
                </c:pt>
                <c:pt idx="418">
                  <c:v>-2217.3792380858949</c:v>
                </c:pt>
                <c:pt idx="419">
                  <c:v>-2220.1190040111665</c:v>
                </c:pt>
                <c:pt idx="420">
                  <c:v>-2221.6544662775045</c:v>
                </c:pt>
                <c:pt idx="421">
                  <c:v>-2240.8449047969389</c:v>
                </c:pt>
                <c:pt idx="422">
                  <c:v>-2242.868347772664</c:v>
                </c:pt>
                <c:pt idx="423">
                  <c:v>-2244.9238316985097</c:v>
                </c:pt>
                <c:pt idx="424">
                  <c:v>-2253.8874467572195</c:v>
                </c:pt>
                <c:pt idx="425">
                  <c:v>-2279.2307885146538</c:v>
                </c:pt>
                <c:pt idx="426">
                  <c:v>-2300.2332589578036</c:v>
                </c:pt>
                <c:pt idx="427">
                  <c:v>-2301.4904198660133</c:v>
                </c:pt>
                <c:pt idx="428">
                  <c:v>-2301.9785620811708</c:v>
                </c:pt>
                <c:pt idx="429">
                  <c:v>-2304.2762508257069</c:v>
                </c:pt>
                <c:pt idx="430">
                  <c:v>-2321.6734459259201</c:v>
                </c:pt>
                <c:pt idx="431">
                  <c:v>-2325.8381413635307</c:v>
                </c:pt>
                <c:pt idx="432">
                  <c:v>-2339.6642734262705</c:v>
                </c:pt>
                <c:pt idx="433">
                  <c:v>-2358.83163456578</c:v>
                </c:pt>
                <c:pt idx="434">
                  <c:v>-2360.5588490429873</c:v>
                </c:pt>
                <c:pt idx="435">
                  <c:v>-2366.439471499039</c:v>
                </c:pt>
                <c:pt idx="436">
                  <c:v>-2368.9877813073517</c:v>
                </c:pt>
                <c:pt idx="437">
                  <c:v>-2374.1451988735766</c:v>
                </c:pt>
                <c:pt idx="438">
                  <c:v>-2377.5266003026395</c:v>
                </c:pt>
                <c:pt idx="439">
                  <c:v>-2387.3292826955612</c:v>
                </c:pt>
                <c:pt idx="440">
                  <c:v>-2388.886350844813</c:v>
                </c:pt>
                <c:pt idx="441">
                  <c:v>-2392.9181090892057</c:v>
                </c:pt>
                <c:pt idx="442">
                  <c:v>-2393.4468700053417</c:v>
                </c:pt>
                <c:pt idx="443">
                  <c:v>-2403.0517257759598</c:v>
                </c:pt>
                <c:pt idx="444">
                  <c:v>-2404.139915759315</c:v>
                </c:pt>
                <c:pt idx="445">
                  <c:v>-2406.3468023713331</c:v>
                </c:pt>
                <c:pt idx="446">
                  <c:v>-2415.5840799835751</c:v>
                </c:pt>
                <c:pt idx="447">
                  <c:v>-2421.6760776014657</c:v>
                </c:pt>
                <c:pt idx="448">
                  <c:v>-2430.9178055949033</c:v>
                </c:pt>
                <c:pt idx="449">
                  <c:v>-2452.1213596933721</c:v>
                </c:pt>
                <c:pt idx="450">
                  <c:v>-2467.5649810081654</c:v>
                </c:pt>
                <c:pt idx="451">
                  <c:v>-2472.6429736260666</c:v>
                </c:pt>
                <c:pt idx="452">
                  <c:v>-2480.9864244757596</c:v>
                </c:pt>
                <c:pt idx="453">
                  <c:v>-2494.2273852461644</c:v>
                </c:pt>
                <c:pt idx="454">
                  <c:v>-2518.2069094798549</c:v>
                </c:pt>
                <c:pt idx="455">
                  <c:v>-2560.1745784236182</c:v>
                </c:pt>
                <c:pt idx="456">
                  <c:v>-2586.2787110524132</c:v>
                </c:pt>
                <c:pt idx="457">
                  <c:v>-2592.9898858996175</c:v>
                </c:pt>
                <c:pt idx="458">
                  <c:v>-2598.4266276938438</c:v>
                </c:pt>
                <c:pt idx="459">
                  <c:v>-2607.4897931142386</c:v>
                </c:pt>
                <c:pt idx="460">
                  <c:v>-2623.8963566882958</c:v>
                </c:pt>
                <c:pt idx="461">
                  <c:v>-2633.2113993284534</c:v>
                </c:pt>
                <c:pt idx="462">
                  <c:v>-2634.3346540088296</c:v>
                </c:pt>
                <c:pt idx="463">
                  <c:v>-2648.6163220664162</c:v>
                </c:pt>
                <c:pt idx="464">
                  <c:v>-2657.4578208184503</c:v>
                </c:pt>
                <c:pt idx="465">
                  <c:v>-2665.5122929841577</c:v>
                </c:pt>
                <c:pt idx="466">
                  <c:v>-2673.487932389362</c:v>
                </c:pt>
                <c:pt idx="467">
                  <c:v>-2679.0748296863185</c:v>
                </c:pt>
                <c:pt idx="468">
                  <c:v>-2684.6852619628798</c:v>
                </c:pt>
                <c:pt idx="469">
                  <c:v>-2691.7724940213511</c:v>
                </c:pt>
                <c:pt idx="470">
                  <c:v>-2695.0657222729196</c:v>
                </c:pt>
                <c:pt idx="471">
                  <c:v>-2696.3189890975809</c:v>
                </c:pt>
                <c:pt idx="472">
                  <c:v>-2697.9764151373643</c:v>
                </c:pt>
                <c:pt idx="473">
                  <c:v>-2700.2637675126639</c:v>
                </c:pt>
                <c:pt idx="474">
                  <c:v>-2702.61210626096</c:v>
                </c:pt>
                <c:pt idx="475">
                  <c:v>-2710.6801987465442</c:v>
                </c:pt>
                <c:pt idx="476">
                  <c:v>-2712.1490847457594</c:v>
                </c:pt>
                <c:pt idx="477">
                  <c:v>-2714.6952052536453</c:v>
                </c:pt>
                <c:pt idx="478">
                  <c:v>-2719.0871662262853</c:v>
                </c:pt>
                <c:pt idx="479">
                  <c:v>-2723.1826833593805</c:v>
                </c:pt>
                <c:pt idx="480">
                  <c:v>-2740.579501612799</c:v>
                </c:pt>
                <c:pt idx="481">
                  <c:v>-2743.7648978457337</c:v>
                </c:pt>
                <c:pt idx="482">
                  <c:v>-2743.9726391277636</c:v>
                </c:pt>
                <c:pt idx="483">
                  <c:v>-2747.1154157826891</c:v>
                </c:pt>
                <c:pt idx="484">
                  <c:v>-2751.9569998445104</c:v>
                </c:pt>
                <c:pt idx="485">
                  <c:v>-2755.5343526344423</c:v>
                </c:pt>
                <c:pt idx="486">
                  <c:v>-2772.2162745726105</c:v>
                </c:pt>
                <c:pt idx="487">
                  <c:v>-2774.7198652279139</c:v>
                </c:pt>
                <c:pt idx="488">
                  <c:v>-2785.3815968077274</c:v>
                </c:pt>
                <c:pt idx="489">
                  <c:v>-2792.5983923833464</c:v>
                </c:pt>
                <c:pt idx="490">
                  <c:v>-2805.352081275239</c:v>
                </c:pt>
                <c:pt idx="491">
                  <c:v>-2807.3822626305619</c:v>
                </c:pt>
                <c:pt idx="492">
                  <c:v>-2811.4199696707915</c:v>
                </c:pt>
                <c:pt idx="493">
                  <c:v>-2818.3522997514206</c:v>
                </c:pt>
                <c:pt idx="494">
                  <c:v>-2823.3469105296508</c:v>
                </c:pt>
                <c:pt idx="495">
                  <c:v>-2831.3026667801464</c:v>
                </c:pt>
                <c:pt idx="496">
                  <c:v>-2832.0048131121644</c:v>
                </c:pt>
                <c:pt idx="497">
                  <c:v>-2864.4035882366065</c:v>
                </c:pt>
                <c:pt idx="498">
                  <c:v>-2872.2715930191171</c:v>
                </c:pt>
                <c:pt idx="499">
                  <c:v>-2877.4250626665362</c:v>
                </c:pt>
                <c:pt idx="500">
                  <c:v>-2884.4290654185629</c:v>
                </c:pt>
                <c:pt idx="501">
                  <c:v>-2897.5928982115861</c:v>
                </c:pt>
                <c:pt idx="502">
                  <c:v>-2919.0260417336522</c:v>
                </c:pt>
                <c:pt idx="503">
                  <c:v>-2933.176854227936</c:v>
                </c:pt>
                <c:pt idx="504">
                  <c:v>-2934.7156453076291</c:v>
                </c:pt>
                <c:pt idx="505">
                  <c:v>-2936.0213297269697</c:v>
                </c:pt>
                <c:pt idx="506">
                  <c:v>-2939.3488241192567</c:v>
                </c:pt>
                <c:pt idx="507">
                  <c:v>-2956.5540696126614</c:v>
                </c:pt>
                <c:pt idx="508">
                  <c:v>-2960.7408554504946</c:v>
                </c:pt>
                <c:pt idx="509">
                  <c:v>-2961.0154152583004</c:v>
                </c:pt>
                <c:pt idx="510">
                  <c:v>-2961.9594523700134</c:v>
                </c:pt>
                <c:pt idx="511">
                  <c:v>-2973.3438684321759</c:v>
                </c:pt>
                <c:pt idx="512">
                  <c:v>-2985.6791676561606</c:v>
                </c:pt>
                <c:pt idx="513">
                  <c:v>-2994.7817045940938</c:v>
                </c:pt>
                <c:pt idx="514">
                  <c:v>-2995.6888286649805</c:v>
                </c:pt>
                <c:pt idx="515">
                  <c:v>-2997.5903975926853</c:v>
                </c:pt>
                <c:pt idx="516">
                  <c:v>-3002.2002567657355</c:v>
                </c:pt>
                <c:pt idx="517">
                  <c:v>-3006.6364613466217</c:v>
                </c:pt>
                <c:pt idx="518">
                  <c:v>-3011.1547916111936</c:v>
                </c:pt>
                <c:pt idx="519">
                  <c:v>-3023.3219184666268</c:v>
                </c:pt>
                <c:pt idx="520">
                  <c:v>-3029.0206226186506</c:v>
                </c:pt>
                <c:pt idx="521">
                  <c:v>-3029.6178350633409</c:v>
                </c:pt>
                <c:pt idx="522">
                  <c:v>-3030.5120386726826</c:v>
                </c:pt>
                <c:pt idx="523">
                  <c:v>-3039.0065063892121</c:v>
                </c:pt>
                <c:pt idx="524">
                  <c:v>-3043.9662588389019</c:v>
                </c:pt>
                <c:pt idx="525">
                  <c:v>-3048.8873755195586</c:v>
                </c:pt>
                <c:pt idx="526">
                  <c:v>-3049.1832899790829</c:v>
                </c:pt>
                <c:pt idx="527">
                  <c:v>-3058.2513364627284</c:v>
                </c:pt>
                <c:pt idx="528">
                  <c:v>-3059.8139765610208</c:v>
                </c:pt>
                <c:pt idx="529">
                  <c:v>-3070.7766292792057</c:v>
                </c:pt>
                <c:pt idx="530">
                  <c:v>-3072.2601225779999</c:v>
                </c:pt>
                <c:pt idx="531">
                  <c:v>-3078.5937328267592</c:v>
                </c:pt>
                <c:pt idx="532">
                  <c:v>-3088.2230477488838</c:v>
                </c:pt>
                <c:pt idx="533">
                  <c:v>-3090.5310010823114</c:v>
                </c:pt>
                <c:pt idx="534">
                  <c:v>-3091.624529728595</c:v>
                </c:pt>
                <c:pt idx="535">
                  <c:v>-3100.5021429651533</c:v>
                </c:pt>
                <c:pt idx="536">
                  <c:v>-3100.8798331791982</c:v>
                </c:pt>
                <c:pt idx="537">
                  <c:v>-3106.3751925951342</c:v>
                </c:pt>
                <c:pt idx="538">
                  <c:v>-3108.7631899823341</c:v>
                </c:pt>
                <c:pt idx="539">
                  <c:v>-3113.0391449499052</c:v>
                </c:pt>
                <c:pt idx="540">
                  <c:v>-3118.2876158798431</c:v>
                </c:pt>
                <c:pt idx="541">
                  <c:v>-3129.2830722142817</c:v>
                </c:pt>
                <c:pt idx="542">
                  <c:v>-3131.3372730665146</c:v>
                </c:pt>
                <c:pt idx="543">
                  <c:v>-3147.9408198438587</c:v>
                </c:pt>
                <c:pt idx="544">
                  <c:v>-3151.0034178568717</c:v>
                </c:pt>
                <c:pt idx="545">
                  <c:v>-3151.2319664655124</c:v>
                </c:pt>
                <c:pt idx="546">
                  <c:v>-3160.7844046414507</c:v>
                </c:pt>
                <c:pt idx="547">
                  <c:v>-3161.5243881862002</c:v>
                </c:pt>
                <c:pt idx="548">
                  <c:v>-3167.2200057835216</c:v>
                </c:pt>
                <c:pt idx="549">
                  <c:v>-3167.6027744567568</c:v>
                </c:pt>
                <c:pt idx="550">
                  <c:v>-3181.5685282570535</c:v>
                </c:pt>
                <c:pt idx="551">
                  <c:v>-3182.4158951932995</c:v>
                </c:pt>
                <c:pt idx="552">
                  <c:v>-3182.5568538397256</c:v>
                </c:pt>
                <c:pt idx="553">
                  <c:v>-3185.0470574612636</c:v>
                </c:pt>
                <c:pt idx="554">
                  <c:v>-3193.7811997394288</c:v>
                </c:pt>
                <c:pt idx="555">
                  <c:v>-3211.2159987662608</c:v>
                </c:pt>
                <c:pt idx="556">
                  <c:v>-3230.4357775004496</c:v>
                </c:pt>
                <c:pt idx="557">
                  <c:v>-3234.0936319438347</c:v>
                </c:pt>
                <c:pt idx="558">
                  <c:v>-3237.3821406379238</c:v>
                </c:pt>
                <c:pt idx="559">
                  <c:v>-3247.9239811016628</c:v>
                </c:pt>
                <c:pt idx="560">
                  <c:v>-3257.2100514013164</c:v>
                </c:pt>
                <c:pt idx="561">
                  <c:v>-3261.5462300757495</c:v>
                </c:pt>
                <c:pt idx="562">
                  <c:v>-3264.3945278779897</c:v>
                </c:pt>
                <c:pt idx="563">
                  <c:v>-3265.2915129755816</c:v>
                </c:pt>
                <c:pt idx="564">
                  <c:v>-3267.1370752915113</c:v>
                </c:pt>
                <c:pt idx="565">
                  <c:v>-3271.3983152889905</c:v>
                </c:pt>
                <c:pt idx="566">
                  <c:v>-3273.2641017162541</c:v>
                </c:pt>
                <c:pt idx="567">
                  <c:v>-3274.8523853416932</c:v>
                </c:pt>
                <c:pt idx="568">
                  <c:v>-3278.9519401190214</c:v>
                </c:pt>
                <c:pt idx="569">
                  <c:v>-3284.4208843691345</c:v>
                </c:pt>
                <c:pt idx="570">
                  <c:v>-3294.1529977134169</c:v>
                </c:pt>
                <c:pt idx="571">
                  <c:v>-3298.1332356174053</c:v>
                </c:pt>
                <c:pt idx="572">
                  <c:v>-3305.2780444826303</c:v>
                </c:pt>
                <c:pt idx="573">
                  <c:v>-3311.0691389072354</c:v>
                </c:pt>
                <c:pt idx="574">
                  <c:v>-3313.8644000093473</c:v>
                </c:pt>
                <c:pt idx="575">
                  <c:v>-3322.3278047829149</c:v>
                </c:pt>
                <c:pt idx="576">
                  <c:v>-3326.9411004398344</c:v>
                </c:pt>
                <c:pt idx="577">
                  <c:v>-3336.5116452070188</c:v>
                </c:pt>
                <c:pt idx="578">
                  <c:v>-3342.6336200902001</c:v>
                </c:pt>
                <c:pt idx="579">
                  <c:v>-3377.9547523846477</c:v>
                </c:pt>
                <c:pt idx="580">
                  <c:v>-3379.1555477793722</c:v>
                </c:pt>
                <c:pt idx="581">
                  <c:v>-3386.1593710805441</c:v>
                </c:pt>
                <c:pt idx="582">
                  <c:v>-3392.9231340007418</c:v>
                </c:pt>
                <c:pt idx="583">
                  <c:v>-3393.3740222184483</c:v>
                </c:pt>
                <c:pt idx="584">
                  <c:v>-3406.6217572586211</c:v>
                </c:pt>
                <c:pt idx="585">
                  <c:v>-3410.1217667301466</c:v>
                </c:pt>
                <c:pt idx="586">
                  <c:v>-3412.4679251505559</c:v>
                </c:pt>
                <c:pt idx="587">
                  <c:v>-3420.8600161544373</c:v>
                </c:pt>
                <c:pt idx="588">
                  <c:v>-3423.3541138595233</c:v>
                </c:pt>
                <c:pt idx="589">
                  <c:v>-3427.3888868782774</c:v>
                </c:pt>
                <c:pt idx="590">
                  <c:v>-3431.4284422623105</c:v>
                </c:pt>
                <c:pt idx="591">
                  <c:v>-3437.8732043705181</c:v>
                </c:pt>
                <c:pt idx="592">
                  <c:v>-3443.263136409274</c:v>
                </c:pt>
                <c:pt idx="593">
                  <c:v>-3443.8477872941298</c:v>
                </c:pt>
                <c:pt idx="594">
                  <c:v>-3447.5429047075086</c:v>
                </c:pt>
                <c:pt idx="595">
                  <c:v>-3451.4891187294315</c:v>
                </c:pt>
                <c:pt idx="596">
                  <c:v>-3454.8590173587031</c:v>
                </c:pt>
                <c:pt idx="597">
                  <c:v>-3456.7143956363902</c:v>
                </c:pt>
                <c:pt idx="598">
                  <c:v>-3468.5691523889159</c:v>
                </c:pt>
                <c:pt idx="599">
                  <c:v>-3470.26280955628</c:v>
                </c:pt>
                <c:pt idx="600">
                  <c:v>-3472.8619847093792</c:v>
                </c:pt>
                <c:pt idx="601">
                  <c:v>-3472.9897537179791</c:v>
                </c:pt>
                <c:pt idx="602">
                  <c:v>-3473.1937534496865</c:v>
                </c:pt>
                <c:pt idx="603">
                  <c:v>-3477.0870115243656</c:v>
                </c:pt>
                <c:pt idx="604">
                  <c:v>-3484.425385054094</c:v>
                </c:pt>
                <c:pt idx="605">
                  <c:v>-3484.5267388968709</c:v>
                </c:pt>
                <c:pt idx="606">
                  <c:v>-3497.7505980008159</c:v>
                </c:pt>
                <c:pt idx="607">
                  <c:v>-3499.3401377822393</c:v>
                </c:pt>
                <c:pt idx="608">
                  <c:v>-3501.4298250410047</c:v>
                </c:pt>
                <c:pt idx="609">
                  <c:v>-3503.0879509391229</c:v>
                </c:pt>
                <c:pt idx="610">
                  <c:v>-3503.1756934345649</c:v>
                </c:pt>
                <c:pt idx="611">
                  <c:v>-3510.4176659651084</c:v>
                </c:pt>
                <c:pt idx="612">
                  <c:v>-3516.4209341078563</c:v>
                </c:pt>
                <c:pt idx="613">
                  <c:v>-3518.5505491818089</c:v>
                </c:pt>
                <c:pt idx="614">
                  <c:v>-3521.5951572466306</c:v>
                </c:pt>
                <c:pt idx="615">
                  <c:v>-3533.4868090948994</c:v>
                </c:pt>
                <c:pt idx="616">
                  <c:v>-3536.505854385457</c:v>
                </c:pt>
                <c:pt idx="617">
                  <c:v>-3538.3084023314977</c:v>
                </c:pt>
                <c:pt idx="618">
                  <c:v>-3539.3678622330021</c:v>
                </c:pt>
                <c:pt idx="619">
                  <c:v>-3539.7366337395638</c:v>
                </c:pt>
                <c:pt idx="620">
                  <c:v>-3544.1767324039974</c:v>
                </c:pt>
                <c:pt idx="621">
                  <c:v>-3550.2103367137452</c:v>
                </c:pt>
                <c:pt idx="622">
                  <c:v>-3550.7232252017761</c:v>
                </c:pt>
                <c:pt idx="623">
                  <c:v>-3555.3656008697117</c:v>
                </c:pt>
                <c:pt idx="624">
                  <c:v>-3559.5721980819121</c:v>
                </c:pt>
                <c:pt idx="625">
                  <c:v>-3560.5911918156644</c:v>
                </c:pt>
                <c:pt idx="626">
                  <c:v>-3561.5716125881841</c:v>
                </c:pt>
                <c:pt idx="627">
                  <c:v>-3567.3927470858775</c:v>
                </c:pt>
                <c:pt idx="628">
                  <c:v>-3570.83908280674</c:v>
                </c:pt>
                <c:pt idx="629">
                  <c:v>-3572.6425638972255</c:v>
                </c:pt>
                <c:pt idx="630">
                  <c:v>-3575.0658144048462</c:v>
                </c:pt>
                <c:pt idx="631">
                  <c:v>-3582.6783350054143</c:v>
                </c:pt>
                <c:pt idx="632">
                  <c:v>-3583.203802998366</c:v>
                </c:pt>
                <c:pt idx="633">
                  <c:v>-3589.7692637514942</c:v>
                </c:pt>
                <c:pt idx="634">
                  <c:v>-3604.9034759024862</c:v>
                </c:pt>
                <c:pt idx="635">
                  <c:v>-3607.287677904108</c:v>
                </c:pt>
                <c:pt idx="636">
                  <c:v>-3609.7611477334376</c:v>
                </c:pt>
                <c:pt idx="637">
                  <c:v>-3612.2289917784697</c:v>
                </c:pt>
                <c:pt idx="638">
                  <c:v>-3612.4174869563253</c:v>
                </c:pt>
                <c:pt idx="639">
                  <c:v>-3615.9907123765993</c:v>
                </c:pt>
                <c:pt idx="640">
                  <c:v>-3623.6602445137282</c:v>
                </c:pt>
                <c:pt idx="641">
                  <c:v>-3626.7724965782568</c:v>
                </c:pt>
                <c:pt idx="642">
                  <c:v>-3639.0878049770204</c:v>
                </c:pt>
                <c:pt idx="643">
                  <c:v>-3650.9787390218703</c:v>
                </c:pt>
                <c:pt idx="644">
                  <c:v>-3654.3483774474021</c:v>
                </c:pt>
                <c:pt idx="645">
                  <c:v>-3656.0640711797309</c:v>
                </c:pt>
                <c:pt idx="646">
                  <c:v>-3659.7650656086048</c:v>
                </c:pt>
                <c:pt idx="647">
                  <c:v>-3662.6958928589561</c:v>
                </c:pt>
                <c:pt idx="648">
                  <c:v>-3663.6283464179933</c:v>
                </c:pt>
                <c:pt idx="649">
                  <c:v>-3664.6504984867897</c:v>
                </c:pt>
                <c:pt idx="650">
                  <c:v>-3671.5252607332077</c:v>
                </c:pt>
                <c:pt idx="651">
                  <c:v>-3672.2568459779536</c:v>
                </c:pt>
                <c:pt idx="652">
                  <c:v>-3673.8534202328842</c:v>
                </c:pt>
                <c:pt idx="653">
                  <c:v>-3675.6737697037179</c:v>
                </c:pt>
                <c:pt idx="654">
                  <c:v>-3675.8213231690565</c:v>
                </c:pt>
                <c:pt idx="655">
                  <c:v>-3676.72719108396</c:v>
                </c:pt>
                <c:pt idx="656">
                  <c:v>-3679.6868560866737</c:v>
                </c:pt>
                <c:pt idx="657">
                  <c:v>-3686.4372947809034</c:v>
                </c:pt>
                <c:pt idx="658">
                  <c:v>-3686.4485373769553</c:v>
                </c:pt>
                <c:pt idx="659">
                  <c:v>-3695.3874330804188</c:v>
                </c:pt>
                <c:pt idx="660">
                  <c:v>-3701.3622313450564</c:v>
                </c:pt>
                <c:pt idx="661">
                  <c:v>-3701.9984564055749</c:v>
                </c:pt>
                <c:pt idx="662">
                  <c:v>-3703.568480906541</c:v>
                </c:pt>
                <c:pt idx="663">
                  <c:v>-3704.4237975156539</c:v>
                </c:pt>
                <c:pt idx="664">
                  <c:v>-3711.3162356712673</c:v>
                </c:pt>
                <c:pt idx="665">
                  <c:v>-3714.2345372519553</c:v>
                </c:pt>
                <c:pt idx="666">
                  <c:v>-3714.9292543185875</c:v>
                </c:pt>
                <c:pt idx="667">
                  <c:v>-3731.4737617647106</c:v>
                </c:pt>
                <c:pt idx="668">
                  <c:v>-3733.3941102243684</c:v>
                </c:pt>
                <c:pt idx="669">
                  <c:v>-3733.5035752457802</c:v>
                </c:pt>
                <c:pt idx="670">
                  <c:v>-3733.558173168346</c:v>
                </c:pt>
                <c:pt idx="671">
                  <c:v>-3735.7802772128498</c:v>
                </c:pt>
                <c:pt idx="672">
                  <c:v>-3738.0838160552507</c:v>
                </c:pt>
                <c:pt idx="673">
                  <c:v>-3739.6012524832249</c:v>
                </c:pt>
                <c:pt idx="674">
                  <c:v>-3740.0229171292322</c:v>
                </c:pt>
                <c:pt idx="675">
                  <c:v>-3740.3033270349028</c:v>
                </c:pt>
                <c:pt idx="676">
                  <c:v>-3741.2070056493776</c:v>
                </c:pt>
                <c:pt idx="677">
                  <c:v>-3751.2728347757411</c:v>
                </c:pt>
                <c:pt idx="678">
                  <c:v>-3751.8722724110303</c:v>
                </c:pt>
                <c:pt idx="679">
                  <c:v>-3753.6019992002039</c:v>
                </c:pt>
                <c:pt idx="680">
                  <c:v>-3756.3711053402317</c:v>
                </c:pt>
                <c:pt idx="681">
                  <c:v>-3756.9129033609674</c:v>
                </c:pt>
                <c:pt idx="682">
                  <c:v>-3761.2469017075159</c:v>
                </c:pt>
                <c:pt idx="683">
                  <c:v>-3761.9339293050207</c:v>
                </c:pt>
                <c:pt idx="684">
                  <c:v>-3764.6750411117036</c:v>
                </c:pt>
                <c:pt idx="685">
                  <c:v>-3770.1222359182179</c:v>
                </c:pt>
                <c:pt idx="686">
                  <c:v>-3771.1606372619149</c:v>
                </c:pt>
                <c:pt idx="687">
                  <c:v>-3778.2852489334364</c:v>
                </c:pt>
                <c:pt idx="688">
                  <c:v>-3781.1653274820569</c:v>
                </c:pt>
                <c:pt idx="689">
                  <c:v>-3783.0596107050587</c:v>
                </c:pt>
                <c:pt idx="690">
                  <c:v>-3793.3993177259795</c:v>
                </c:pt>
                <c:pt idx="691">
                  <c:v>-3795.4287633327976</c:v>
                </c:pt>
                <c:pt idx="692">
                  <c:v>-3795.89349618395</c:v>
                </c:pt>
                <c:pt idx="693">
                  <c:v>-3797.0677507972532</c:v>
                </c:pt>
                <c:pt idx="694">
                  <c:v>-3797.7355322905837</c:v>
                </c:pt>
                <c:pt idx="695">
                  <c:v>-3799.0983359169991</c:v>
                </c:pt>
                <c:pt idx="696">
                  <c:v>-3801.3568954026509</c:v>
                </c:pt>
                <c:pt idx="697">
                  <c:v>-3808.21665555761</c:v>
                </c:pt>
                <c:pt idx="698">
                  <c:v>-3813.6859048741758</c:v>
                </c:pt>
                <c:pt idx="699">
                  <c:v>-3834.4302442352746</c:v>
                </c:pt>
                <c:pt idx="700">
                  <c:v>-3834.693157682605</c:v>
                </c:pt>
                <c:pt idx="701">
                  <c:v>-3836.0748215938575</c:v>
                </c:pt>
                <c:pt idx="702">
                  <c:v>-3837.2818080430725</c:v>
                </c:pt>
                <c:pt idx="703">
                  <c:v>-3838.9068790937413</c:v>
                </c:pt>
                <c:pt idx="704">
                  <c:v>-3840.3675193261793</c:v>
                </c:pt>
                <c:pt idx="705">
                  <c:v>-3842.9217510127005</c:v>
                </c:pt>
                <c:pt idx="706">
                  <c:v>-3843.5088334566385</c:v>
                </c:pt>
                <c:pt idx="707">
                  <c:v>-3847.5576754224066</c:v>
                </c:pt>
                <c:pt idx="708">
                  <c:v>-3849.7943329312325</c:v>
                </c:pt>
                <c:pt idx="709">
                  <c:v>-3853.3671994497963</c:v>
                </c:pt>
                <c:pt idx="710">
                  <c:v>-3854.4007017851577</c:v>
                </c:pt>
                <c:pt idx="711">
                  <c:v>-3855.00929141404</c:v>
                </c:pt>
                <c:pt idx="712">
                  <c:v>-3858.2886211969071</c:v>
                </c:pt>
                <c:pt idx="713">
                  <c:v>-3860.2898571293545</c:v>
                </c:pt>
                <c:pt idx="714">
                  <c:v>-3862.2758397391458</c:v>
                </c:pt>
                <c:pt idx="715">
                  <c:v>-3867.8483989128058</c:v>
                </c:pt>
                <c:pt idx="716">
                  <c:v>-3868.4680068241723</c:v>
                </c:pt>
                <c:pt idx="717">
                  <c:v>-3870.0416831500324</c:v>
                </c:pt>
                <c:pt idx="718">
                  <c:v>-3870.4941774528902</c:v>
                </c:pt>
                <c:pt idx="719">
                  <c:v>-3872.5487102892057</c:v>
                </c:pt>
                <c:pt idx="720">
                  <c:v>-3875.0761679081943</c:v>
                </c:pt>
                <c:pt idx="721">
                  <c:v>-3879.4104085133963</c:v>
                </c:pt>
                <c:pt idx="722">
                  <c:v>-3880.17199794106</c:v>
                </c:pt>
                <c:pt idx="723">
                  <c:v>-3881.1023070623833</c:v>
                </c:pt>
                <c:pt idx="724">
                  <c:v>-3882.3328912990005</c:v>
                </c:pt>
                <c:pt idx="725">
                  <c:v>-3887.8170170914273</c:v>
                </c:pt>
                <c:pt idx="726">
                  <c:v>-3891.3842398806091</c:v>
                </c:pt>
                <c:pt idx="727">
                  <c:v>-3893.6836334082641</c:v>
                </c:pt>
                <c:pt idx="728">
                  <c:v>-3896.1355242723071</c:v>
                </c:pt>
                <c:pt idx="729">
                  <c:v>-3897.1806460505154</c:v>
                </c:pt>
                <c:pt idx="730">
                  <c:v>-3899.1904238436505</c:v>
                </c:pt>
                <c:pt idx="731">
                  <c:v>-3903.0591868766523</c:v>
                </c:pt>
                <c:pt idx="732">
                  <c:v>-3917.1294887449412</c:v>
                </c:pt>
                <c:pt idx="733">
                  <c:v>-3919.232509202217</c:v>
                </c:pt>
                <c:pt idx="734">
                  <c:v>-3920.1705885455513</c:v>
                </c:pt>
                <c:pt idx="735">
                  <c:v>-3931.3762536112731</c:v>
                </c:pt>
                <c:pt idx="736">
                  <c:v>-3932.7659928109906</c:v>
                </c:pt>
                <c:pt idx="737">
                  <c:v>-3933.7687641874718</c:v>
                </c:pt>
                <c:pt idx="738">
                  <c:v>-3937.8134518659517</c:v>
                </c:pt>
                <c:pt idx="739">
                  <c:v>-3939.9340226168242</c:v>
                </c:pt>
                <c:pt idx="740">
                  <c:v>-3943.9637889567302</c:v>
                </c:pt>
                <c:pt idx="741">
                  <c:v>-3946.1618465866941</c:v>
                </c:pt>
                <c:pt idx="742">
                  <c:v>-3948.2725026778403</c:v>
                </c:pt>
                <c:pt idx="743">
                  <c:v>-3953.1258946059056</c:v>
                </c:pt>
                <c:pt idx="744">
                  <c:v>-3953.1348222859306</c:v>
                </c:pt>
                <c:pt idx="745">
                  <c:v>-3953.9625931888354</c:v>
                </c:pt>
                <c:pt idx="746">
                  <c:v>-3956.411774344971</c:v>
                </c:pt>
                <c:pt idx="747">
                  <c:v>-3963.3566121501781</c:v>
                </c:pt>
                <c:pt idx="748">
                  <c:v>-3964.2650731299323</c:v>
                </c:pt>
                <c:pt idx="749">
                  <c:v>-3966.6128286629496</c:v>
                </c:pt>
                <c:pt idx="750">
                  <c:v>-3967.0073065044585</c:v>
                </c:pt>
                <c:pt idx="751">
                  <c:v>-3967.9336677069764</c:v>
                </c:pt>
                <c:pt idx="752">
                  <c:v>-3969.8503822868247</c:v>
                </c:pt>
                <c:pt idx="753">
                  <c:v>-3973.0379319300164</c:v>
                </c:pt>
                <c:pt idx="754">
                  <c:v>-3975.1679238507641</c:v>
                </c:pt>
                <c:pt idx="755">
                  <c:v>-3975.7203453621028</c:v>
                </c:pt>
                <c:pt idx="756">
                  <c:v>-3978.2415132286314</c:v>
                </c:pt>
                <c:pt idx="757">
                  <c:v>-3978.7819115327002</c:v>
                </c:pt>
                <c:pt idx="758">
                  <c:v>-3979.3548173591112</c:v>
                </c:pt>
                <c:pt idx="759">
                  <c:v>-3982.2273769169174</c:v>
                </c:pt>
                <c:pt idx="760">
                  <c:v>-3985.8725890475839</c:v>
                </c:pt>
                <c:pt idx="761">
                  <c:v>-3987.1431010993883</c:v>
                </c:pt>
                <c:pt idx="762">
                  <c:v>-3990.1404238639761</c:v>
                </c:pt>
                <c:pt idx="763">
                  <c:v>-3995.425825779826</c:v>
                </c:pt>
                <c:pt idx="764">
                  <c:v>-3997.9426240180405</c:v>
                </c:pt>
                <c:pt idx="765">
                  <c:v>-3998.0513353458632</c:v>
                </c:pt>
                <c:pt idx="766">
                  <c:v>-4000.4019441474716</c:v>
                </c:pt>
                <c:pt idx="767">
                  <c:v>-4003.9580140660287</c:v>
                </c:pt>
                <c:pt idx="768">
                  <c:v>-4010.1195668352307</c:v>
                </c:pt>
                <c:pt idx="769">
                  <c:v>-4014.3212291489249</c:v>
                </c:pt>
                <c:pt idx="770">
                  <c:v>-4015.0617331011526</c:v>
                </c:pt>
                <c:pt idx="771">
                  <c:v>-4021.474840078577</c:v>
                </c:pt>
                <c:pt idx="772">
                  <c:v>-4025.6844430925958</c:v>
                </c:pt>
                <c:pt idx="773">
                  <c:v>-4027.0287094457126</c:v>
                </c:pt>
                <c:pt idx="774">
                  <c:v>-4027.7351625982474</c:v>
                </c:pt>
                <c:pt idx="775">
                  <c:v>-4028.1964769106162</c:v>
                </c:pt>
                <c:pt idx="776">
                  <c:v>-4032.0279769736244</c:v>
                </c:pt>
                <c:pt idx="777">
                  <c:v>-4034.4156782669147</c:v>
                </c:pt>
                <c:pt idx="778">
                  <c:v>-4036.619110449979</c:v>
                </c:pt>
                <c:pt idx="779">
                  <c:v>-4036.6350815760543</c:v>
                </c:pt>
                <c:pt idx="780">
                  <c:v>-4041.1555921685122</c:v>
                </c:pt>
                <c:pt idx="781">
                  <c:v>-4041.8377207576818</c:v>
                </c:pt>
                <c:pt idx="782">
                  <c:v>-4042.2013420247117</c:v>
                </c:pt>
                <c:pt idx="783">
                  <c:v>-4042.351021982679</c:v>
                </c:pt>
                <c:pt idx="784">
                  <c:v>-4042.7200178028093</c:v>
                </c:pt>
                <c:pt idx="785">
                  <c:v>-4042.9938598071958</c:v>
                </c:pt>
                <c:pt idx="786">
                  <c:v>-4045.278421721704</c:v>
                </c:pt>
                <c:pt idx="787">
                  <c:v>-4045.7601754864327</c:v>
                </c:pt>
                <c:pt idx="788">
                  <c:v>-4050.9714193365467</c:v>
                </c:pt>
                <c:pt idx="789">
                  <c:v>-4051.0794487511212</c:v>
                </c:pt>
                <c:pt idx="790">
                  <c:v>-4051.8407061947037</c:v>
                </c:pt>
                <c:pt idx="791">
                  <c:v>-4056.1164099310781</c:v>
                </c:pt>
                <c:pt idx="792">
                  <c:v>-4057.7580712132708</c:v>
                </c:pt>
                <c:pt idx="793">
                  <c:v>-4058.3363336476968</c:v>
                </c:pt>
                <c:pt idx="794">
                  <c:v>-4058.8215687590077</c:v>
                </c:pt>
                <c:pt idx="795">
                  <c:v>-4059.2673067371825</c:v>
                </c:pt>
                <c:pt idx="796">
                  <c:v>-4070.0398223021916</c:v>
                </c:pt>
                <c:pt idx="797">
                  <c:v>-4072.6951924904633</c:v>
                </c:pt>
                <c:pt idx="798">
                  <c:v>-4075.9763347269627</c:v>
                </c:pt>
                <c:pt idx="799">
                  <c:v>-4076.4455089867711</c:v>
                </c:pt>
                <c:pt idx="800">
                  <c:v>-4082.8714825904831</c:v>
                </c:pt>
                <c:pt idx="801">
                  <c:v>-4083.2189712256686</c:v>
                </c:pt>
                <c:pt idx="802">
                  <c:v>-4085.9298276182371</c:v>
                </c:pt>
                <c:pt idx="803">
                  <c:v>-4088.1023314464815</c:v>
                </c:pt>
                <c:pt idx="804">
                  <c:v>-4090.1133025878003</c:v>
                </c:pt>
                <c:pt idx="805">
                  <c:v>-4091.832728897909</c:v>
                </c:pt>
                <c:pt idx="806">
                  <c:v>-4093.0522051266162</c:v>
                </c:pt>
                <c:pt idx="807">
                  <c:v>-4094.6793757522855</c:v>
                </c:pt>
                <c:pt idx="808">
                  <c:v>-4096.5166384661825</c:v>
                </c:pt>
                <c:pt idx="809">
                  <c:v>-4096.8468280389679</c:v>
                </c:pt>
                <c:pt idx="810">
                  <c:v>-4099.2639054371848</c:v>
                </c:pt>
                <c:pt idx="811">
                  <c:v>-4104.108360712682</c:v>
                </c:pt>
                <c:pt idx="812">
                  <c:v>-4106.8975922660729</c:v>
                </c:pt>
                <c:pt idx="813">
                  <c:v>-4107.2652511773349</c:v>
                </c:pt>
                <c:pt idx="814">
                  <c:v>-4113.2592237658055</c:v>
                </c:pt>
                <c:pt idx="815">
                  <c:v>-4115.3641822923119</c:v>
                </c:pt>
                <c:pt idx="816">
                  <c:v>-4115.8115173830947</c:v>
                </c:pt>
                <c:pt idx="817">
                  <c:v>-4116.8768094373791</c:v>
                </c:pt>
                <c:pt idx="818">
                  <c:v>-4119.567890345751</c:v>
                </c:pt>
                <c:pt idx="819">
                  <c:v>-4120.0515103993685</c:v>
                </c:pt>
                <c:pt idx="820">
                  <c:v>-4120.7397044274294</c:v>
                </c:pt>
                <c:pt idx="821">
                  <c:v>-4121.1372957412677</c:v>
                </c:pt>
                <c:pt idx="822">
                  <c:v>-4122.0932304446524</c:v>
                </c:pt>
                <c:pt idx="823">
                  <c:v>-4122.2632601295509</c:v>
                </c:pt>
                <c:pt idx="824">
                  <c:v>-4122.7239104737573</c:v>
                </c:pt>
                <c:pt idx="825">
                  <c:v>-4130.1190084186801</c:v>
                </c:pt>
                <c:pt idx="826">
                  <c:v>-4130.535675358381</c:v>
                </c:pt>
                <c:pt idx="827">
                  <c:v>-4131.0109150570806</c:v>
                </c:pt>
                <c:pt idx="828">
                  <c:v>-4131.9775719490381</c:v>
                </c:pt>
                <c:pt idx="829">
                  <c:v>-4132.4622687077845</c:v>
                </c:pt>
                <c:pt idx="830">
                  <c:v>-4135.4578507990809</c:v>
                </c:pt>
                <c:pt idx="831">
                  <c:v>-4136.0900920506228</c:v>
                </c:pt>
                <c:pt idx="832">
                  <c:v>-4136.6148063499841</c:v>
                </c:pt>
                <c:pt idx="833">
                  <c:v>-4136.7193185278047</c:v>
                </c:pt>
                <c:pt idx="834">
                  <c:v>-4136.9925324541991</c:v>
                </c:pt>
                <c:pt idx="835">
                  <c:v>-4137.2192686092067</c:v>
                </c:pt>
                <c:pt idx="836">
                  <c:v>-4138.0643834372258</c:v>
                </c:pt>
                <c:pt idx="837">
                  <c:v>-4138.6297254101082</c:v>
                </c:pt>
                <c:pt idx="838">
                  <c:v>-4139.4421981276437</c:v>
                </c:pt>
                <c:pt idx="839">
                  <c:v>-4141.1494935599703</c:v>
                </c:pt>
                <c:pt idx="840">
                  <c:v>-4141.7204164544364</c:v>
                </c:pt>
                <c:pt idx="841">
                  <c:v>-4145.958902083531</c:v>
                </c:pt>
                <c:pt idx="842">
                  <c:v>-4146.0406688655094</c:v>
                </c:pt>
                <c:pt idx="843">
                  <c:v>-4146.203502571132</c:v>
                </c:pt>
                <c:pt idx="844">
                  <c:v>-4146.627544940965</c:v>
                </c:pt>
                <c:pt idx="845">
                  <c:v>-4147.9190168526075</c:v>
                </c:pt>
                <c:pt idx="846">
                  <c:v>-4148.2466671957982</c:v>
                </c:pt>
                <c:pt idx="847">
                  <c:v>-4148.4005463037674</c:v>
                </c:pt>
                <c:pt idx="848">
                  <c:v>-4148.8356518187966</c:v>
                </c:pt>
                <c:pt idx="849">
                  <c:v>-4149.6959392165863</c:v>
                </c:pt>
                <c:pt idx="850">
                  <c:v>-4151.9677690929484</c:v>
                </c:pt>
                <c:pt idx="851">
                  <c:v>-4154.8645186259782</c:v>
                </c:pt>
                <c:pt idx="852">
                  <c:v>-4158.5972758561466</c:v>
                </c:pt>
                <c:pt idx="853">
                  <c:v>-4159.3404895162812</c:v>
                </c:pt>
                <c:pt idx="854">
                  <c:v>-4161.2796803156907</c:v>
                </c:pt>
                <c:pt idx="855">
                  <c:v>-4162.230052042577</c:v>
                </c:pt>
                <c:pt idx="856">
                  <c:v>-4164.0157495533549</c:v>
                </c:pt>
                <c:pt idx="857">
                  <c:v>-4164.1216973380142</c:v>
                </c:pt>
                <c:pt idx="858">
                  <c:v>-4164.5669866890521</c:v>
                </c:pt>
                <c:pt idx="859">
                  <c:v>-4164.852762175281</c:v>
                </c:pt>
                <c:pt idx="860">
                  <c:v>-4166.3098761984229</c:v>
                </c:pt>
                <c:pt idx="861">
                  <c:v>-4166.3214328334698</c:v>
                </c:pt>
                <c:pt idx="862">
                  <c:v>-4167.0288550206196</c:v>
                </c:pt>
                <c:pt idx="863">
                  <c:v>-4168.1737514740826</c:v>
                </c:pt>
                <c:pt idx="864">
                  <c:v>-4171.8201928431045</c:v>
                </c:pt>
                <c:pt idx="865">
                  <c:v>-4172.4382933672905</c:v>
                </c:pt>
                <c:pt idx="866">
                  <c:v>-4176.5807907341659</c:v>
                </c:pt>
                <c:pt idx="867">
                  <c:v>-4177.2435745211906</c:v>
                </c:pt>
                <c:pt idx="868">
                  <c:v>-4177.305063356579</c:v>
                </c:pt>
                <c:pt idx="869">
                  <c:v>-4181.2825915526601</c:v>
                </c:pt>
                <c:pt idx="870">
                  <c:v>-4182.9932337434284</c:v>
                </c:pt>
                <c:pt idx="871">
                  <c:v>-4184.480701878656</c:v>
                </c:pt>
                <c:pt idx="872">
                  <c:v>-4184.590346350923</c:v>
                </c:pt>
                <c:pt idx="873">
                  <c:v>-4185.0049496057945</c:v>
                </c:pt>
                <c:pt idx="874">
                  <c:v>-4190.0370656126724</c:v>
                </c:pt>
                <c:pt idx="875">
                  <c:v>-4190.4475773880549</c:v>
                </c:pt>
                <c:pt idx="876">
                  <c:v>-4194.7203471029543</c:v>
                </c:pt>
                <c:pt idx="877">
                  <c:v>-4195.9930843453585</c:v>
                </c:pt>
                <c:pt idx="878">
                  <c:v>-4196.0143672167351</c:v>
                </c:pt>
                <c:pt idx="879">
                  <c:v>-4202.3986902770539</c:v>
                </c:pt>
                <c:pt idx="880">
                  <c:v>-4202.862175944766</c:v>
                </c:pt>
                <c:pt idx="881">
                  <c:v>-4204.6909237156042</c:v>
                </c:pt>
                <c:pt idx="882">
                  <c:v>-4208.3974003680905</c:v>
                </c:pt>
                <c:pt idx="883">
                  <c:v>-4208.625590075022</c:v>
                </c:pt>
                <c:pt idx="884">
                  <c:v>-4208.6926598319942</c:v>
                </c:pt>
                <c:pt idx="885">
                  <c:v>-4208.7337181875664</c:v>
                </c:pt>
                <c:pt idx="886">
                  <c:v>-4209.1370429562148</c:v>
                </c:pt>
                <c:pt idx="887">
                  <c:v>-4210.508226937548</c:v>
                </c:pt>
                <c:pt idx="888">
                  <c:v>-4213.2158532147305</c:v>
                </c:pt>
                <c:pt idx="889">
                  <c:v>-4215.9040270192554</c:v>
                </c:pt>
                <c:pt idx="890">
                  <c:v>-4217.2733985469558</c:v>
                </c:pt>
                <c:pt idx="891">
                  <c:v>-4219.0131745839963</c:v>
                </c:pt>
                <c:pt idx="892">
                  <c:v>-4220.2590300883548</c:v>
                </c:pt>
                <c:pt idx="893">
                  <c:v>-4221.9062094843321</c:v>
                </c:pt>
                <c:pt idx="894">
                  <c:v>-4225.2265437875149</c:v>
                </c:pt>
                <c:pt idx="895">
                  <c:v>-4228.3000344674119</c:v>
                </c:pt>
                <c:pt idx="896">
                  <c:v>-4230.3747644974319</c:v>
                </c:pt>
                <c:pt idx="897">
                  <c:v>-4231.269291118313</c:v>
                </c:pt>
                <c:pt idx="898">
                  <c:v>-4231.3075500405512</c:v>
                </c:pt>
                <c:pt idx="899">
                  <c:v>-4231.7545621197951</c:v>
                </c:pt>
                <c:pt idx="900">
                  <c:v>-4232.3030716024996</c:v>
                </c:pt>
                <c:pt idx="901">
                  <c:v>-4232.9707005626033</c:v>
                </c:pt>
                <c:pt idx="902">
                  <c:v>-4233.1436642689778</c:v>
                </c:pt>
                <c:pt idx="903">
                  <c:v>-4233.9570252682443</c:v>
                </c:pt>
                <c:pt idx="904">
                  <c:v>-4234.2712437149548</c:v>
                </c:pt>
                <c:pt idx="905">
                  <c:v>-4235.1808442076372</c:v>
                </c:pt>
                <c:pt idx="906">
                  <c:v>-4237.1126954670854</c:v>
                </c:pt>
                <c:pt idx="907">
                  <c:v>-4237.4895243170267</c:v>
                </c:pt>
                <c:pt idx="908">
                  <c:v>-4237.6835914439225</c:v>
                </c:pt>
                <c:pt idx="909">
                  <c:v>-4238.0963284099043</c:v>
                </c:pt>
                <c:pt idx="910">
                  <c:v>-4238.3237554507032</c:v>
                </c:pt>
                <c:pt idx="911">
                  <c:v>-4240.6818114627849</c:v>
                </c:pt>
                <c:pt idx="912">
                  <c:v>-4240.9020873870213</c:v>
                </c:pt>
                <c:pt idx="913">
                  <c:v>-4241.2874042623935</c:v>
                </c:pt>
                <c:pt idx="914">
                  <c:v>-4242.4710621004879</c:v>
                </c:pt>
                <c:pt idx="915">
                  <c:v>-4245.3556807557343</c:v>
                </c:pt>
                <c:pt idx="916">
                  <c:v>-4247.8699218192687</c:v>
                </c:pt>
                <c:pt idx="917">
                  <c:v>-4248.5532706742506</c:v>
                </c:pt>
                <c:pt idx="918">
                  <c:v>-4251.9272607830108</c:v>
                </c:pt>
                <c:pt idx="919">
                  <c:v>-4253.4791517751028</c:v>
                </c:pt>
                <c:pt idx="920">
                  <c:v>-4254.6649719959969</c:v>
                </c:pt>
                <c:pt idx="921">
                  <c:v>-4255.2478283723049</c:v>
                </c:pt>
                <c:pt idx="922">
                  <c:v>-4257.0016374661891</c:v>
                </c:pt>
                <c:pt idx="923">
                  <c:v>-4259.6029032217466</c:v>
                </c:pt>
                <c:pt idx="924">
                  <c:v>-4260.3377544720488</c:v>
                </c:pt>
                <c:pt idx="925">
                  <c:v>-4262.0694911107958</c:v>
                </c:pt>
                <c:pt idx="926">
                  <c:v>-4262.4320715628683</c:v>
                </c:pt>
                <c:pt idx="927">
                  <c:v>-4262.596143479389</c:v>
                </c:pt>
                <c:pt idx="928">
                  <c:v>-4263.7726950636334</c:v>
                </c:pt>
                <c:pt idx="929">
                  <c:v>-4264.5820184186678</c:v>
                </c:pt>
                <c:pt idx="930">
                  <c:v>-4266.707201056508</c:v>
                </c:pt>
                <c:pt idx="931">
                  <c:v>-4267.0654567429801</c:v>
                </c:pt>
                <c:pt idx="932">
                  <c:v>-4267.1814717205916</c:v>
                </c:pt>
                <c:pt idx="933">
                  <c:v>-4271.1983714342105</c:v>
                </c:pt>
                <c:pt idx="934">
                  <c:v>-4277.2348738752626</c:v>
                </c:pt>
                <c:pt idx="935">
                  <c:v>-4277.3976896357999</c:v>
                </c:pt>
                <c:pt idx="936">
                  <c:v>-4280.4090454572315</c:v>
                </c:pt>
                <c:pt idx="937">
                  <c:v>-4280.8793502574254</c:v>
                </c:pt>
                <c:pt idx="938">
                  <c:v>-4281.0646332649803</c:v>
                </c:pt>
                <c:pt idx="939">
                  <c:v>-4281.7930242845105</c:v>
                </c:pt>
                <c:pt idx="940">
                  <c:v>-4283.7357951284721</c:v>
                </c:pt>
                <c:pt idx="941">
                  <c:v>-4283.8227929028671</c:v>
                </c:pt>
                <c:pt idx="942">
                  <c:v>-4284.4632350584725</c:v>
                </c:pt>
                <c:pt idx="943">
                  <c:v>-4285.2631551887162</c:v>
                </c:pt>
                <c:pt idx="944">
                  <c:v>-4285.9755302194581</c:v>
                </c:pt>
                <c:pt idx="945">
                  <c:v>-4286.0564266647907</c:v>
                </c:pt>
                <c:pt idx="946">
                  <c:v>-4287.3478447411771</c:v>
                </c:pt>
                <c:pt idx="947">
                  <c:v>-4288.0509152450986</c:v>
                </c:pt>
                <c:pt idx="948">
                  <c:v>-4292.2984093071027</c:v>
                </c:pt>
                <c:pt idx="949">
                  <c:v>-4293.2360400233001</c:v>
                </c:pt>
                <c:pt idx="950">
                  <c:v>-4293.6926975859878</c:v>
                </c:pt>
                <c:pt idx="951">
                  <c:v>-4294.2531046603635</c:v>
                </c:pt>
                <c:pt idx="952">
                  <c:v>-4294.4395182083035</c:v>
                </c:pt>
                <c:pt idx="953">
                  <c:v>-4295.0437651265011</c:v>
                </c:pt>
                <c:pt idx="954">
                  <c:v>-4295.2238889219807</c:v>
                </c:pt>
                <c:pt idx="955">
                  <c:v>-4295.4837337596946</c:v>
                </c:pt>
                <c:pt idx="956">
                  <c:v>-4296.6981046115834</c:v>
                </c:pt>
                <c:pt idx="957">
                  <c:v>-4298.8190701543363</c:v>
                </c:pt>
                <c:pt idx="958">
                  <c:v>-4299.8072701214096</c:v>
                </c:pt>
                <c:pt idx="959">
                  <c:v>-4301.4245709500665</c:v>
                </c:pt>
                <c:pt idx="960">
                  <c:v>-4302.0970809734199</c:v>
                </c:pt>
                <c:pt idx="961">
                  <c:v>-4304.322486913652</c:v>
                </c:pt>
                <c:pt idx="962">
                  <c:v>-4304.371441106834</c:v>
                </c:pt>
                <c:pt idx="963">
                  <c:v>-4304.6261895402722</c:v>
                </c:pt>
                <c:pt idx="964">
                  <c:v>-4305.0740540110764</c:v>
                </c:pt>
                <c:pt idx="965">
                  <c:v>-4306.0153814148825</c:v>
                </c:pt>
                <c:pt idx="966">
                  <c:v>-4307.2965349023752</c:v>
                </c:pt>
                <c:pt idx="967">
                  <c:v>-4309.6599744401001</c:v>
                </c:pt>
                <c:pt idx="968">
                  <c:v>-4309.8947230757731</c:v>
                </c:pt>
                <c:pt idx="969">
                  <c:v>-4309.9205639988604</c:v>
                </c:pt>
                <c:pt idx="970">
                  <c:v>-4310.4638245440628</c:v>
                </c:pt>
                <c:pt idx="971">
                  <c:v>-4312.4134504106769</c:v>
                </c:pt>
                <c:pt idx="972">
                  <c:v>-4313.7891475810075</c:v>
                </c:pt>
                <c:pt idx="973">
                  <c:v>-4315.1847368785902</c:v>
                </c:pt>
                <c:pt idx="974">
                  <c:v>-4317.1304776341985</c:v>
                </c:pt>
                <c:pt idx="975">
                  <c:v>-4317.2144785793189</c:v>
                </c:pt>
                <c:pt idx="976">
                  <c:v>-4317.9683426476849</c:v>
                </c:pt>
                <c:pt idx="977">
                  <c:v>-4318.5181082863728</c:v>
                </c:pt>
                <c:pt idx="978">
                  <c:v>-4318.8651303493361</c:v>
                </c:pt>
                <c:pt idx="979">
                  <c:v>-4318.8755384989126</c:v>
                </c:pt>
                <c:pt idx="980">
                  <c:v>-4319.1356255952805</c:v>
                </c:pt>
                <c:pt idx="981">
                  <c:v>-4319.2859695214111</c:v>
                </c:pt>
                <c:pt idx="982">
                  <c:v>-4320.9777514273419</c:v>
                </c:pt>
                <c:pt idx="983">
                  <c:v>-4321.0051894630369</c:v>
                </c:pt>
                <c:pt idx="984">
                  <c:v>-4321.8441222091087</c:v>
                </c:pt>
                <c:pt idx="985">
                  <c:v>-4321.9563866638555</c:v>
                </c:pt>
                <c:pt idx="986">
                  <c:v>-4325.3933729951841</c:v>
                </c:pt>
                <c:pt idx="987">
                  <c:v>-4325.8945792325694</c:v>
                </c:pt>
                <c:pt idx="988">
                  <c:v>-4329.0401642933721</c:v>
                </c:pt>
                <c:pt idx="989">
                  <c:v>-4329.4297520990876</c:v>
                </c:pt>
                <c:pt idx="990">
                  <c:v>-4330.8778846069481</c:v>
                </c:pt>
                <c:pt idx="991">
                  <c:v>-4331.6048938548965</c:v>
                </c:pt>
                <c:pt idx="992">
                  <c:v>-4333.1701090729548</c:v>
                </c:pt>
                <c:pt idx="993">
                  <c:v>-4333.6863532919706</c:v>
                </c:pt>
                <c:pt idx="994">
                  <c:v>-4334.1919560752985</c:v>
                </c:pt>
                <c:pt idx="995">
                  <c:v>-4334.7478230430488</c:v>
                </c:pt>
                <c:pt idx="996">
                  <c:v>-4336.0344856717829</c:v>
                </c:pt>
                <c:pt idx="997">
                  <c:v>-4336.3139983231804</c:v>
                </c:pt>
                <c:pt idx="998">
                  <c:v>-4336.4038942288798</c:v>
                </c:pt>
                <c:pt idx="999">
                  <c:v>-4336.5029511007151</c:v>
                </c:pt>
                <c:pt idx="1000">
                  <c:v>-4336.8390176889943</c:v>
                </c:pt>
                <c:pt idx="1001">
                  <c:v>-4337.4359430123168</c:v>
                </c:pt>
                <c:pt idx="1002">
                  <c:v>-4339.6191510840481</c:v>
                </c:pt>
                <c:pt idx="1003">
                  <c:v>-4340.2118234221125</c:v>
                </c:pt>
                <c:pt idx="1004">
                  <c:v>-4340.246547162511</c:v>
                </c:pt>
                <c:pt idx="1005">
                  <c:v>-4342.2951940107896</c:v>
                </c:pt>
                <c:pt idx="1006">
                  <c:v>-4342.6289905457561</c:v>
                </c:pt>
                <c:pt idx="1007">
                  <c:v>-4343.3738730988407</c:v>
                </c:pt>
                <c:pt idx="1008">
                  <c:v>-4343.8601938878228</c:v>
                </c:pt>
                <c:pt idx="1009">
                  <c:v>-4344.5439016445143</c:v>
                </c:pt>
                <c:pt idx="1010">
                  <c:v>-4345.2827546488779</c:v>
                </c:pt>
                <c:pt idx="1011">
                  <c:v>-4346.0973897492131</c:v>
                </c:pt>
                <c:pt idx="1012">
                  <c:v>-4346.4727022394318</c:v>
                </c:pt>
                <c:pt idx="1013">
                  <c:v>-4349.29140859572</c:v>
                </c:pt>
                <c:pt idx="1014">
                  <c:v>-4349.4092629445931</c:v>
                </c:pt>
                <c:pt idx="1015">
                  <c:v>-4350.0249049920685</c:v>
                </c:pt>
                <c:pt idx="1016">
                  <c:v>-4350.3798498102706</c:v>
                </c:pt>
                <c:pt idx="1017">
                  <c:v>-4350.5298707248621</c:v>
                </c:pt>
                <c:pt idx="1018">
                  <c:v>-4350.5671247223136</c:v>
                </c:pt>
                <c:pt idx="1019">
                  <c:v>-4351.8834864675136</c:v>
                </c:pt>
                <c:pt idx="1020">
                  <c:v>-4352.0543057361738</c:v>
                </c:pt>
                <c:pt idx="1021">
                  <c:v>-4354.6485549633098</c:v>
                </c:pt>
                <c:pt idx="1022">
                  <c:v>-4354.7915683220226</c:v>
                </c:pt>
                <c:pt idx="1023">
                  <c:v>-4354.9631053941021</c:v>
                </c:pt>
                <c:pt idx="1024">
                  <c:v>-4356.0158986963515</c:v>
                </c:pt>
                <c:pt idx="1025">
                  <c:v>-4358.208931702382</c:v>
                </c:pt>
                <c:pt idx="1026">
                  <c:v>-4358.6728390796025</c:v>
                </c:pt>
                <c:pt idx="1027">
                  <c:v>-4360.2291086725509</c:v>
                </c:pt>
                <c:pt idx="1028">
                  <c:v>-4362.4347122109584</c:v>
                </c:pt>
                <c:pt idx="1029">
                  <c:v>-4362.454810706693</c:v>
                </c:pt>
                <c:pt idx="1030">
                  <c:v>-4363.7664080316981</c:v>
                </c:pt>
                <c:pt idx="1031">
                  <c:v>-4364.1066647974367</c:v>
                </c:pt>
                <c:pt idx="1032">
                  <c:v>-4366.7548479789748</c:v>
                </c:pt>
                <c:pt idx="1033">
                  <c:v>-4366.8053813396791</c:v>
                </c:pt>
                <c:pt idx="1034">
                  <c:v>-4367.5848709901065</c:v>
                </c:pt>
                <c:pt idx="1035">
                  <c:v>-4367.8979409513468</c:v>
                </c:pt>
                <c:pt idx="1036">
                  <c:v>-4368.4424845701606</c:v>
                </c:pt>
                <c:pt idx="1037">
                  <c:v>-4369.6154830274809</c:v>
                </c:pt>
                <c:pt idx="1038">
                  <c:v>-4369.9145827396769</c:v>
                </c:pt>
                <c:pt idx="1039">
                  <c:v>-4370.2629865742219</c:v>
                </c:pt>
                <c:pt idx="1040">
                  <c:v>-4370.402195574813</c:v>
                </c:pt>
                <c:pt idx="1041">
                  <c:v>-4370.4936437304059</c:v>
                </c:pt>
                <c:pt idx="1042">
                  <c:v>-4370.5643294221018</c:v>
                </c:pt>
                <c:pt idx="1043">
                  <c:v>-4370.6742430706508</c:v>
                </c:pt>
                <c:pt idx="1044">
                  <c:v>-4372.1241611145169</c:v>
                </c:pt>
                <c:pt idx="1045">
                  <c:v>-4372.6631955920893</c:v>
                </c:pt>
                <c:pt idx="1046">
                  <c:v>-4374.5525798067556</c:v>
                </c:pt>
                <c:pt idx="1047">
                  <c:v>-4375.2323934798987</c:v>
                </c:pt>
                <c:pt idx="1048">
                  <c:v>-4375.6069881666981</c:v>
                </c:pt>
                <c:pt idx="1049">
                  <c:v>-4376.5810474064147</c:v>
                </c:pt>
                <c:pt idx="1050">
                  <c:v>-4376.6722443308108</c:v>
                </c:pt>
                <c:pt idx="1051">
                  <c:v>-4376.7041148026192</c:v>
                </c:pt>
                <c:pt idx="1052">
                  <c:v>-4376.9691278249502</c:v>
                </c:pt>
                <c:pt idx="1053">
                  <c:v>-4377.3754763405022</c:v>
                </c:pt>
                <c:pt idx="1054">
                  <c:v>-4377.6408392920002</c:v>
                </c:pt>
                <c:pt idx="1055">
                  <c:v>-4378.2655615527274</c:v>
                </c:pt>
                <c:pt idx="1056">
                  <c:v>-4378.4884305418145</c:v>
                </c:pt>
                <c:pt idx="1057">
                  <c:v>-4378.7803611923619</c:v>
                </c:pt>
                <c:pt idx="1058">
                  <c:v>-4379.7162332901826</c:v>
                </c:pt>
                <c:pt idx="1059">
                  <c:v>-4379.8476810413049</c:v>
                </c:pt>
                <c:pt idx="1060">
                  <c:v>-4380.5485622447986</c:v>
                </c:pt>
                <c:pt idx="1061">
                  <c:v>-4380.6101497781574</c:v>
                </c:pt>
                <c:pt idx="1062">
                  <c:v>-4381.0218010664676</c:v>
                </c:pt>
                <c:pt idx="1063">
                  <c:v>-4381.4118554444058</c:v>
                </c:pt>
                <c:pt idx="1064">
                  <c:v>-4381.8885666401147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2E-48CE-ACAE-2AFA33844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7634893"/>
        <c:axId val="25566466"/>
      </c:lineChart>
      <c:catAx>
        <c:axId val="82763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PH kW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5566466"/>
        <c:crosses val="autoZero"/>
        <c:auto val="1"/>
        <c:lblAlgn val="ctr"/>
        <c:lblOffset val="100"/>
        <c:noMultiLvlLbl val="1"/>
      </c:catAx>
      <c:valAx>
        <c:axId val="255664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e kw/h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8276348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133350</xdr:colOff>
      <xdr:row>2</xdr:row>
      <xdr:rowOff>76200</xdr:rowOff>
    </xdr:from>
    <xdr:ext cx="5715000" cy="35337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266700</xdr:colOff>
      <xdr:row>1039</xdr:row>
      <xdr:rowOff>152400</xdr:rowOff>
    </xdr:from>
    <xdr:ext cx="5715000" cy="3533775"/>
    <xdr:graphicFrame macro="">
      <xdr:nvGraphicFramePr>
        <xdr:cNvPr id="2" name="Chart 2" title="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640080</xdr:colOff>
      <xdr:row>29</xdr:row>
      <xdr:rowOff>57150</xdr:rowOff>
    </xdr:from>
    <xdr:to>
      <xdr:col>8</xdr:col>
      <xdr:colOff>182880</xdr:colOff>
      <xdr:row>45</xdr:row>
      <xdr:rowOff>118110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11EB85-5204-4385-B141-F57204013D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123825</xdr:colOff>
      <xdr:row>3</xdr:row>
      <xdr:rowOff>85725</xdr:rowOff>
    </xdr:from>
    <xdr:ext cx="3810000" cy="2857500"/>
    <xdr:graphicFrame macro="">
      <xdr:nvGraphicFramePr>
        <xdr:cNvPr id="3" name="Chart 3" title="Gráfic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77"/>
  <sheetViews>
    <sheetView showGridLines="0" tabSelected="1" workbookViewId="0">
      <selection activeCell="E2" sqref="E2"/>
    </sheetView>
  </sheetViews>
  <sheetFormatPr defaultColWidth="12.6640625" defaultRowHeight="15.75" customHeight="1" x14ac:dyDescent="0.25"/>
  <cols>
    <col min="1" max="1" width="11.6640625" bestFit="1" customWidth="1"/>
    <col min="2" max="2" width="10.21875" bestFit="1" customWidth="1"/>
    <col min="3" max="3" width="25.77734375" bestFit="1" customWidth="1"/>
    <col min="4" max="4" width="12.5546875" bestFit="1" customWidth="1"/>
    <col min="5" max="5" width="39.88671875" bestFit="1" customWidth="1"/>
    <col min="6" max="6" width="19.109375" bestFit="1" customWidth="1"/>
    <col min="7" max="7" width="13.77734375" bestFit="1" customWidth="1"/>
    <col min="8" max="8" width="16.77734375" bestFit="1" customWidth="1"/>
    <col min="9" max="9" width="16.5546875" bestFit="1" customWidth="1"/>
    <col min="10" max="10" width="11.33203125" bestFit="1" customWidth="1"/>
  </cols>
  <sheetData>
    <row r="1" spans="1:10" ht="19.95" customHeight="1" x14ac:dyDescent="0.25">
      <c r="A1" s="38" t="s">
        <v>39</v>
      </c>
      <c r="B1" s="39" t="s">
        <v>0</v>
      </c>
      <c r="C1" s="38" t="s">
        <v>1</v>
      </c>
      <c r="D1" s="38" t="s">
        <v>2</v>
      </c>
      <c r="E1" s="38" t="s">
        <v>3</v>
      </c>
      <c r="F1" s="38" t="s">
        <v>4</v>
      </c>
      <c r="G1" s="40" t="s">
        <v>5</v>
      </c>
      <c r="H1" s="15" t="s">
        <v>6</v>
      </c>
      <c r="I1" s="15" t="s">
        <v>7</v>
      </c>
      <c r="J1" s="15" t="s">
        <v>8</v>
      </c>
    </row>
    <row r="2" spans="1:10" ht="15.75" customHeight="1" x14ac:dyDescent="0.3">
      <c r="A2" s="41">
        <v>42.338500000000003</v>
      </c>
      <c r="B2" s="42">
        <v>45261</v>
      </c>
      <c r="C2" s="43">
        <f>A2*($H$2/$I$2)</f>
        <v>41.667195188627666</v>
      </c>
      <c r="D2" s="44">
        <v>1</v>
      </c>
      <c r="E2" s="73">
        <v>140.84168398031699</v>
      </c>
      <c r="F2" s="43">
        <f>D2/1076</f>
        <v>9.2936802973977691E-4</v>
      </c>
      <c r="G2" s="45">
        <f>1000*E2*$J$2*9.81/1000</f>
        <v>27633.138396938197</v>
      </c>
      <c r="H2" s="11">
        <v>1800</v>
      </c>
      <c r="I2" s="10">
        <v>1829</v>
      </c>
      <c r="J2" s="10">
        <v>20</v>
      </c>
    </row>
    <row r="3" spans="1:10" ht="15.75" customHeight="1" x14ac:dyDescent="0.3">
      <c r="A3" s="46">
        <v>18.3659</v>
      </c>
      <c r="B3" s="47">
        <v>45231</v>
      </c>
      <c r="C3" s="48">
        <f>A3*($H$2/$I$2)</f>
        <v>18.074696555494807</v>
      </c>
      <c r="D3" s="48">
        <f>D2+1</f>
        <v>2</v>
      </c>
      <c r="E3" s="48">
        <v>137.15006014215419</v>
      </c>
      <c r="F3" s="48">
        <f>D3/1076</f>
        <v>1.8587360594795538E-3</v>
      </c>
      <c r="G3" s="49">
        <f>1000*E3*$J$2*9.81/1000</f>
        <v>26908.841799890655</v>
      </c>
    </row>
    <row r="4" spans="1:10" ht="15.75" customHeight="1" x14ac:dyDescent="0.3">
      <c r="A4" s="41">
        <v>16.6555</v>
      </c>
      <c r="B4" s="42">
        <v>45200</v>
      </c>
      <c r="C4" s="43">
        <f>A4*($H$2/$I$2)</f>
        <v>16.391416074357572</v>
      </c>
      <c r="D4" s="43">
        <f>D3+1</f>
        <v>3</v>
      </c>
      <c r="E4" s="48">
        <v>136.16611262985239</v>
      </c>
      <c r="F4" s="43">
        <f>D4/1076</f>
        <v>2.7881040892193307E-3</v>
      </c>
      <c r="G4" s="45">
        <f>1000*E4*$J$2*9.81/1000</f>
        <v>26715.791297977041</v>
      </c>
    </row>
    <row r="5" spans="1:10" ht="15.75" customHeight="1" x14ac:dyDescent="0.3">
      <c r="A5" s="46">
        <v>13.2598</v>
      </c>
      <c r="B5" s="47">
        <v>45170</v>
      </c>
      <c r="C5" s="48">
        <f>A5*($H$2/$I$2)</f>
        <v>13.049557135046474</v>
      </c>
      <c r="D5" s="48">
        <f>D4+1</f>
        <v>4</v>
      </c>
      <c r="E5" s="43">
        <v>134.93150355385455</v>
      </c>
      <c r="F5" s="48">
        <f>D5/1076</f>
        <v>3.7174721189591076E-3</v>
      </c>
      <c r="G5" s="49">
        <f>1000*E5*$J$2*9.81/1000</f>
        <v>26473.560997266268</v>
      </c>
    </row>
    <row r="6" spans="1:10" ht="15.75" customHeight="1" x14ac:dyDescent="0.3">
      <c r="A6" s="41">
        <v>15.2035</v>
      </c>
      <c r="B6" s="42">
        <v>45139</v>
      </c>
      <c r="C6" s="43">
        <f>A6*($H$2/$I$2)</f>
        <v>14.962438490978677</v>
      </c>
      <c r="D6" s="43">
        <f>D5+1</f>
        <v>5</v>
      </c>
      <c r="E6" s="50">
        <v>134.17095680699836</v>
      </c>
      <c r="F6" s="43">
        <f>D6/1076</f>
        <v>4.646840148698885E-3</v>
      </c>
      <c r="G6" s="45">
        <f>1000*E6*$J$2*9.81/1000</f>
        <v>26324.341725533079</v>
      </c>
    </row>
    <row r="7" spans="1:10" ht="15.75" customHeight="1" x14ac:dyDescent="0.3">
      <c r="A7" s="46">
        <v>17.5275</v>
      </c>
      <c r="B7" s="47">
        <v>45108</v>
      </c>
      <c r="C7" s="48">
        <f>A7*($H$2/$I$2)</f>
        <v>17.249589939857845</v>
      </c>
      <c r="D7" s="48">
        <f>D6+1</f>
        <v>6</v>
      </c>
      <c r="E7" s="48">
        <v>131.9244505194095</v>
      </c>
      <c r="F7" s="48">
        <f>D7/1076</f>
        <v>5.5762081784386614E-3</v>
      </c>
      <c r="G7" s="49">
        <f>1000*E7*$J$2*9.81/1000</f>
        <v>25883.577191908142</v>
      </c>
    </row>
    <row r="8" spans="1:10" ht="15.75" customHeight="1" x14ac:dyDescent="0.3">
      <c r="A8" s="41">
        <v>21.2607</v>
      </c>
      <c r="B8" s="42">
        <v>45078</v>
      </c>
      <c r="C8" s="43">
        <f>A8*($H$2/$I$2)</f>
        <v>20.923597594313833</v>
      </c>
      <c r="D8" s="43">
        <f>D7+1</f>
        <v>7</v>
      </c>
      <c r="E8" s="43">
        <v>128.97211591033351</v>
      </c>
      <c r="F8" s="43">
        <f>D8/1076</f>
        <v>6.5055762081784388E-3</v>
      </c>
      <c r="G8" s="45">
        <f>1000*E8*$J$2*9.81/1000</f>
        <v>25304.329141607439</v>
      </c>
    </row>
    <row r="9" spans="1:10" ht="15.75" customHeight="1" x14ac:dyDescent="0.3">
      <c r="A9" s="46">
        <v>26.802800000000001</v>
      </c>
      <c r="B9" s="47">
        <v>45047</v>
      </c>
      <c r="C9" s="48">
        <f>A9*($H$2/$I$2)</f>
        <v>26.377823947512301</v>
      </c>
      <c r="D9" s="48">
        <f>D8+1</f>
        <v>8</v>
      </c>
      <c r="E9" s="43">
        <v>127.16650628758886</v>
      </c>
      <c r="F9" s="48">
        <f>D9/1076</f>
        <v>7.4349442379182153E-3</v>
      </c>
      <c r="G9" s="49">
        <f>1000*E9*$J$2*9.81/1000</f>
        <v>24950.068533624937</v>
      </c>
    </row>
    <row r="10" spans="1:10" ht="15.75" customHeight="1" x14ac:dyDescent="0.3">
      <c r="A10" s="41">
        <v>35.4544</v>
      </c>
      <c r="B10" s="42">
        <v>45017</v>
      </c>
      <c r="C10" s="43">
        <f>A10*($H$2/$I$2)</f>
        <v>34.892247129579005</v>
      </c>
      <c r="D10" s="43">
        <f>D9+1</f>
        <v>9</v>
      </c>
      <c r="E10" s="48">
        <v>123.70950246036085</v>
      </c>
      <c r="F10" s="43">
        <f>D10/1076</f>
        <v>8.3643122676579917E-3</v>
      </c>
      <c r="G10" s="45">
        <f>1000*E10*$J$2*9.81/1000</f>
        <v>24271.804382722799</v>
      </c>
    </row>
    <row r="11" spans="1:10" ht="15.75" customHeight="1" x14ac:dyDescent="0.3">
      <c r="A11" s="46">
        <v>52.362099999999998</v>
      </c>
      <c r="B11" s="47">
        <v>44986</v>
      </c>
      <c r="C11" s="48">
        <f>A11*($H$2/$I$2)</f>
        <v>51.531864406779654</v>
      </c>
      <c r="D11" s="48">
        <f>D10+1</f>
        <v>10</v>
      </c>
      <c r="E11" s="48">
        <v>119.04278840896664</v>
      </c>
      <c r="F11" s="48">
        <f>D11/1076</f>
        <v>9.2936802973977699E-3</v>
      </c>
      <c r="G11" s="49">
        <f>1000*E11*$J$2*9.81/1000</f>
        <v>23356.195085839256</v>
      </c>
    </row>
    <row r="12" spans="1:10" ht="15.75" customHeight="1" x14ac:dyDescent="0.3">
      <c r="A12" s="41">
        <v>63.381500000000003</v>
      </c>
      <c r="B12" s="42">
        <v>44958</v>
      </c>
      <c r="C12" s="43">
        <f>A12*($H$2/$I$2)</f>
        <v>62.376544559868783</v>
      </c>
      <c r="D12" s="43">
        <f>D11+1</f>
        <v>11</v>
      </c>
      <c r="E12" s="48">
        <v>113.8520174958994</v>
      </c>
      <c r="F12" s="43">
        <f>D12/1076</f>
        <v>1.0223048327137546E-2</v>
      </c>
      <c r="G12" s="45">
        <f>1000*E12*$J$2*9.81/1000</f>
        <v>22337.765832695466</v>
      </c>
    </row>
    <row r="13" spans="1:10" ht="15.75" customHeight="1" x14ac:dyDescent="0.3">
      <c r="A13" s="46">
        <v>102.21729999999999</v>
      </c>
      <c r="B13" s="47">
        <v>44927</v>
      </c>
      <c r="C13" s="48">
        <f>A13*($H$2/$I$2)</f>
        <v>100.59657736468014</v>
      </c>
      <c r="D13" s="48">
        <f>D12+1</f>
        <v>12</v>
      </c>
      <c r="E13" s="48">
        <v>113.38789502460359</v>
      </c>
      <c r="F13" s="48">
        <f>D13/1076</f>
        <v>1.1152416356877323E-2</v>
      </c>
      <c r="G13" s="49">
        <f>1000*E13*$J$2*9.81/1000</f>
        <v>22246.705003827228</v>
      </c>
    </row>
    <row r="14" spans="1:10" ht="15.75" customHeight="1" x14ac:dyDescent="0.3">
      <c r="A14" s="41">
        <v>42.338500000000003</v>
      </c>
      <c r="B14" s="42">
        <v>44896</v>
      </c>
      <c r="C14" s="43">
        <f>A14*($H$2/$I$2)</f>
        <v>41.667195188627666</v>
      </c>
      <c r="D14" s="43">
        <f>D13+1</f>
        <v>13</v>
      </c>
      <c r="E14" s="43">
        <v>112.35237834882449</v>
      </c>
      <c r="F14" s="43">
        <f>D14/1076</f>
        <v>1.2081784386617101E-2</v>
      </c>
      <c r="G14" s="45">
        <f>1000*E14*$J$2*9.81/1000</f>
        <v>22043.536632039366</v>
      </c>
    </row>
    <row r="15" spans="1:10" ht="15.75" customHeight="1" x14ac:dyDescent="0.3">
      <c r="A15" s="46">
        <v>18.885899999999999</v>
      </c>
      <c r="B15" s="47">
        <v>44866</v>
      </c>
      <c r="C15" s="48">
        <f>A15*($H$2/$I$2)</f>
        <v>18.586451612903225</v>
      </c>
      <c r="D15" s="48">
        <f>D14+1</f>
        <v>14</v>
      </c>
      <c r="E15" s="48">
        <v>111.39943138326954</v>
      </c>
      <c r="F15" s="48">
        <f>D15/1076</f>
        <v>1.3011152416356878E-2</v>
      </c>
      <c r="G15" s="49">
        <f>1000*E15*$J$2*9.81/1000</f>
        <v>21856.568437397487</v>
      </c>
    </row>
    <row r="16" spans="1:10" ht="15.75" customHeight="1" x14ac:dyDescent="0.3">
      <c r="A16" s="41">
        <v>17.290400000000002</v>
      </c>
      <c r="B16" s="42">
        <v>44835</v>
      </c>
      <c r="C16" s="43">
        <f>A16*($H$2/$I$2)</f>
        <v>17.01624931656643</v>
      </c>
      <c r="D16" s="43">
        <f>D15+1</f>
        <v>15</v>
      </c>
      <c r="E16" s="48">
        <v>108.49030071077091</v>
      </c>
      <c r="F16" s="43">
        <f>D16/1076</f>
        <v>1.3940520446096654E-2</v>
      </c>
      <c r="G16" s="45">
        <f>1000*E16*$J$2*9.81/1000</f>
        <v>21285.796999453254</v>
      </c>
    </row>
    <row r="17" spans="1:8" ht="15.75" customHeight="1" x14ac:dyDescent="0.3">
      <c r="A17" s="46">
        <v>11.9726</v>
      </c>
      <c r="B17" s="47">
        <v>44805</v>
      </c>
      <c r="C17" s="48">
        <f>A17*($H$2/$I$2)</f>
        <v>11.7827665390924</v>
      </c>
      <c r="D17" s="48">
        <f>D16+1</f>
        <v>16</v>
      </c>
      <c r="E17" s="48">
        <v>107.0322908693275</v>
      </c>
      <c r="F17" s="48">
        <f>D17/1076</f>
        <v>1.4869888475836431E-2</v>
      </c>
      <c r="G17" s="49">
        <f>1000*E17*$J$2*9.81/1000</f>
        <v>20999.735468562056</v>
      </c>
    </row>
    <row r="18" spans="1:8" ht="15.75" customHeight="1" x14ac:dyDescent="0.3">
      <c r="A18" s="41">
        <v>11.249700000000001</v>
      </c>
      <c r="B18" s="42">
        <v>44774</v>
      </c>
      <c r="C18" s="43">
        <f>A18*($H$2/$I$2)</f>
        <v>11.07132859486058</v>
      </c>
      <c r="D18" s="43">
        <f>D17+1</f>
        <v>17</v>
      </c>
      <c r="E18" s="43">
        <v>104.29509021323126</v>
      </c>
      <c r="F18" s="43">
        <f>D18/1076</f>
        <v>1.5799256505576207E-2</v>
      </c>
      <c r="G18" s="45">
        <f>1000*E18*$J$2*9.81/1000</f>
        <v>20462.696699835975</v>
      </c>
    </row>
    <row r="19" spans="1:8" ht="15.75" customHeight="1" x14ac:dyDescent="0.3">
      <c r="A19" s="46">
        <v>12.522</v>
      </c>
      <c r="B19" s="47">
        <v>44743</v>
      </c>
      <c r="C19" s="48">
        <f>A19*($H$2/$I$2)</f>
        <v>12.32345544013122</v>
      </c>
      <c r="D19" s="48">
        <f>D18+1</f>
        <v>18</v>
      </c>
      <c r="E19" s="48">
        <v>101.70383816293055</v>
      </c>
      <c r="F19" s="48">
        <f>D19/1076</f>
        <v>1.6728624535315983E-2</v>
      </c>
      <c r="G19" s="49">
        <f>1000*E19*$J$2*9.81/1000</f>
        <v>19954.293047566978</v>
      </c>
    </row>
    <row r="20" spans="1:8" ht="15.75" customHeight="1" x14ac:dyDescent="0.3">
      <c r="A20" s="41">
        <v>14.997</v>
      </c>
      <c r="B20" s="42">
        <v>44713</v>
      </c>
      <c r="C20" s="43">
        <f>A20*($H$2/$I$2)</f>
        <v>14.759212684527064</v>
      </c>
      <c r="D20" s="43">
        <f>D19+1</f>
        <v>19</v>
      </c>
      <c r="E20" s="48">
        <v>100.92557681793329</v>
      </c>
      <c r="F20" s="43">
        <f>D20/1076</f>
        <v>1.7657992565055763E-2</v>
      </c>
      <c r="G20" s="45">
        <f>1000*E20*$J$2*9.81/1000</f>
        <v>19801.598171678514</v>
      </c>
    </row>
    <row r="21" spans="1:8" ht="15.75" customHeight="1" x14ac:dyDescent="0.3">
      <c r="A21" s="46">
        <v>17.716999999999999</v>
      </c>
      <c r="B21" s="47">
        <v>44682</v>
      </c>
      <c r="C21" s="48">
        <f>A21*($H$2/$I$2)</f>
        <v>17.436085292509567</v>
      </c>
      <c r="D21" s="48">
        <f>D20+1</f>
        <v>20</v>
      </c>
      <c r="E21" s="48">
        <v>100.59657736468014</v>
      </c>
      <c r="F21" s="48">
        <f>D21/1076</f>
        <v>1.858736059479554E-2</v>
      </c>
      <c r="G21" s="49">
        <f>1000*E21*$J$2*9.81/1000</f>
        <v>19737.048478950244</v>
      </c>
    </row>
    <row r="22" spans="1:8" ht="15.75" customHeight="1" x14ac:dyDescent="0.3">
      <c r="A22" s="41">
        <v>27.3857</v>
      </c>
      <c r="B22" s="42">
        <v>44652</v>
      </c>
      <c r="C22" s="43">
        <f>A22*($H$2/$I$2)</f>
        <v>26.951481683980315</v>
      </c>
      <c r="D22" s="43">
        <f>D21+1</f>
        <v>21</v>
      </c>
      <c r="E22" s="48">
        <v>100.11808638600327</v>
      </c>
      <c r="F22" s="43">
        <f>D22/1076</f>
        <v>1.9516728624535316E-2</v>
      </c>
      <c r="G22" s="45">
        <f>1000*E22*$J$2*9.81/1000</f>
        <v>19643.168548933845</v>
      </c>
    </row>
    <row r="23" spans="1:8" ht="15.75" customHeight="1" x14ac:dyDescent="0.3">
      <c r="A23" s="46">
        <v>30.170300000000001</v>
      </c>
      <c r="B23" s="47">
        <v>44621</v>
      </c>
      <c r="C23" s="48">
        <f>A23*($H$2/$I$2)</f>
        <v>29.691930016402406</v>
      </c>
      <c r="D23" s="48">
        <f>D22+1</f>
        <v>22</v>
      </c>
      <c r="E23" s="48">
        <v>99.161399671951884</v>
      </c>
      <c r="F23" s="48">
        <f>D23/1076</f>
        <v>2.0446096654275093E-2</v>
      </c>
      <c r="G23" s="49">
        <f>1000*E23*$J$2*9.81/1000</f>
        <v>19455.466615636964</v>
      </c>
      <c r="H23" s="16">
        <f>MAX(E2:E1076)</f>
        <v>140.84168398031699</v>
      </c>
    </row>
    <row r="24" spans="1:8" ht="15.75" customHeight="1" x14ac:dyDescent="0.3">
      <c r="A24" s="41">
        <v>72.804599999999994</v>
      </c>
      <c r="B24" s="42">
        <v>44593</v>
      </c>
      <c r="C24" s="43">
        <f>A24*($H$2/$I$2)</f>
        <v>71.650235101148155</v>
      </c>
      <c r="D24" s="43">
        <f>D23+1</f>
        <v>23</v>
      </c>
      <c r="E24" s="43">
        <v>98.194281027884088</v>
      </c>
      <c r="F24" s="43">
        <f>D24/1076</f>
        <v>2.1375464684014869E-2</v>
      </c>
      <c r="G24" s="45">
        <f>1000*E24*$J$2*9.81/1000</f>
        <v>19265.717937670859</v>
      </c>
      <c r="H24" s="71">
        <f>AVERAGE(E2:E1076)</f>
        <v>32.116586936564595</v>
      </c>
    </row>
    <row r="25" spans="1:8" ht="15.75" customHeight="1" x14ac:dyDescent="0.3">
      <c r="A25" s="46">
        <v>66.381399999999999</v>
      </c>
      <c r="B25" s="47">
        <v>44562</v>
      </c>
      <c r="C25" s="48">
        <f>A25*($H$2/$I$2)</f>
        <v>65.328879168944781</v>
      </c>
      <c r="D25" s="48">
        <f>D24+1</f>
        <v>24</v>
      </c>
      <c r="E25" s="48">
        <v>98.043018042646253</v>
      </c>
      <c r="F25" s="48">
        <f>D25/1076</f>
        <v>2.2304832713754646E-2</v>
      </c>
      <c r="G25" s="49">
        <f>1000*E25*$J$2*9.81/1000</f>
        <v>19236.040139967197</v>
      </c>
      <c r="H25">
        <f>MEDIAN(E2:E1076)</f>
        <v>24.440634226353197</v>
      </c>
    </row>
    <row r="26" spans="1:8" ht="15.75" customHeight="1" x14ac:dyDescent="0.3">
      <c r="A26" s="41">
        <v>23.9102</v>
      </c>
      <c r="B26" s="42">
        <v>44531</v>
      </c>
      <c r="C26" s="43">
        <f>A26*($H$2/$I$2)</f>
        <v>23.531088026243847</v>
      </c>
      <c r="D26" s="43">
        <f>D25+1</f>
        <v>25</v>
      </c>
      <c r="E26" s="48">
        <v>98.021858939311102</v>
      </c>
      <c r="F26" s="43">
        <f>D26/1076</f>
        <v>2.3234200743494422E-2</v>
      </c>
      <c r="G26" s="45">
        <f>1000*E26*$J$2*9.81/1000</f>
        <v>19231.88872389284</v>
      </c>
      <c r="H26">
        <f>_xlfn.PERCENTILE.INC(E2:E1076, 0.5)</f>
        <v>24.440634226353197</v>
      </c>
    </row>
    <row r="27" spans="1:8" ht="15.75" customHeight="1" x14ac:dyDescent="0.3">
      <c r="A27" s="46">
        <v>18.976500000000001</v>
      </c>
      <c r="B27" s="47">
        <v>44501</v>
      </c>
      <c r="C27" s="48">
        <f>A27*($H$2/$I$2)</f>
        <v>18.675615090213231</v>
      </c>
      <c r="D27" s="48">
        <f>D26+1</f>
        <v>26</v>
      </c>
      <c r="E27" s="48">
        <v>97.112804811372342</v>
      </c>
      <c r="F27" s="48">
        <f>D27/1076</f>
        <v>2.4163568773234202E-2</v>
      </c>
      <c r="G27" s="49">
        <f>1000*E27*$J$2*9.81/1000</f>
        <v>19053.532303991258</v>
      </c>
      <c r="H27">
        <f>_xlfn.PERCENTILE.INC(E2:E1076, 0.9)</f>
        <v>64.729318753417175</v>
      </c>
    </row>
    <row r="28" spans="1:8" ht="14.4" x14ac:dyDescent="0.3">
      <c r="A28" s="41">
        <v>17.459800000000001</v>
      </c>
      <c r="B28" s="42">
        <v>44470</v>
      </c>
      <c r="C28" s="43">
        <f>A28*($H$2/$I$2)</f>
        <v>17.182963367960635</v>
      </c>
      <c r="D28" s="43">
        <f>D27+1</f>
        <v>27</v>
      </c>
      <c r="E28" s="48">
        <v>95.224920721705857</v>
      </c>
      <c r="F28" s="43">
        <f>D28/1076</f>
        <v>2.5092936802973979E-2</v>
      </c>
      <c r="G28" s="45">
        <f>1000*E28*$J$2*9.81/1000</f>
        <v>18683.12944559869</v>
      </c>
      <c r="H28">
        <f>_xlfn.PERCENTILE.INC(E2:E1076, 0.95)</f>
        <v>79.902866047020225</v>
      </c>
    </row>
    <row r="29" spans="1:8" ht="14.4" x14ac:dyDescent="0.3">
      <c r="A29" s="46">
        <v>10.4832</v>
      </c>
      <c r="B29" s="47">
        <v>44440</v>
      </c>
      <c r="C29" s="48">
        <f>A29*($H$2/$I$2)</f>
        <v>10.316981957353745</v>
      </c>
      <c r="D29" s="48">
        <f>D28+1</f>
        <v>28</v>
      </c>
      <c r="E29" s="48">
        <v>95.021498086386003</v>
      </c>
      <c r="F29" s="48">
        <f>D29/1076</f>
        <v>2.6022304832713755E-2</v>
      </c>
      <c r="G29" s="49">
        <f>1000*E29*$J$2*9.81/1000</f>
        <v>18643.217924548935</v>
      </c>
      <c r="H29" s="72">
        <f>MIN(E2:E1076)</f>
        <v>3.2229743028977582</v>
      </c>
    </row>
    <row r="30" spans="1:8" ht="14.4" x14ac:dyDescent="0.3">
      <c r="A30" s="41">
        <v>10.4657</v>
      </c>
      <c r="B30" s="42">
        <v>44409</v>
      </c>
      <c r="C30" s="43">
        <f>A30*($H$2/$I$2)</f>
        <v>10.299759431383269</v>
      </c>
      <c r="D30" s="43">
        <f>D29+1</f>
        <v>29</v>
      </c>
      <c r="E30" s="48">
        <v>94.802821213778017</v>
      </c>
      <c r="F30" s="43">
        <f>D30/1076</f>
        <v>2.6951672862453532E-2</v>
      </c>
      <c r="G30" s="45">
        <f>1000*E30*$J$2*9.81/1000</f>
        <v>18600.313522143249</v>
      </c>
    </row>
    <row r="31" spans="1:8" ht="14.4" x14ac:dyDescent="0.3">
      <c r="A31" s="46">
        <v>12.0238</v>
      </c>
      <c r="B31" s="47">
        <v>44378</v>
      </c>
      <c r="C31" s="48">
        <f>A31*($H$2/$I$2)</f>
        <v>11.833154729360306</v>
      </c>
      <c r="D31" s="48">
        <f>D30+1</f>
        <v>30</v>
      </c>
      <c r="E31" s="43">
        <v>93.956260251503551</v>
      </c>
      <c r="F31" s="48">
        <f>D31/1076</f>
        <v>2.7881040892193308E-2</v>
      </c>
      <c r="G31" s="49">
        <f>1000*E31*$J$2*9.81/1000</f>
        <v>18434.218261344999</v>
      </c>
    </row>
    <row r="32" spans="1:8" ht="14.4" x14ac:dyDescent="0.3">
      <c r="A32" s="41">
        <v>14.853999999999999</v>
      </c>
      <c r="B32" s="42">
        <v>44348</v>
      </c>
      <c r="C32" s="43">
        <f>A32*($H$2/$I$2)</f>
        <v>14.618480043739748</v>
      </c>
      <c r="D32" s="43">
        <f>D31+1</f>
        <v>31</v>
      </c>
      <c r="E32" s="48">
        <v>93.951634773100054</v>
      </c>
      <c r="F32" s="43">
        <f>D32/1076</f>
        <v>2.8810408921933085E-2</v>
      </c>
      <c r="G32" s="45">
        <f>1000*E32*$J$2*9.81/1000</f>
        <v>18433.31074248223</v>
      </c>
    </row>
    <row r="33" spans="1:7" ht="14.4" x14ac:dyDescent="0.3">
      <c r="A33" s="46">
        <v>15.144299999999999</v>
      </c>
      <c r="B33" s="47">
        <v>44317</v>
      </c>
      <c r="C33" s="48">
        <f>A33*($H$2/$I$2)</f>
        <v>14.904177145981409</v>
      </c>
      <c r="D33" s="48">
        <f>D32+1</f>
        <v>32</v>
      </c>
      <c r="E33" s="48">
        <v>91.352509568069976</v>
      </c>
      <c r="F33" s="48">
        <f>D33/1076</f>
        <v>2.9739776951672861E-2</v>
      </c>
      <c r="G33" s="49">
        <f>1000*E33*$J$2*9.81/1000</f>
        <v>17923.362377255329</v>
      </c>
    </row>
    <row r="34" spans="1:7" ht="14.4" x14ac:dyDescent="0.3">
      <c r="A34" s="41">
        <v>18.917400000000001</v>
      </c>
      <c r="B34" s="42">
        <v>44287</v>
      </c>
      <c r="C34" s="43">
        <f>A34*($H$2/$I$2)</f>
        <v>18.617452159650082</v>
      </c>
      <c r="D34" s="43">
        <f>D33+1</f>
        <v>33</v>
      </c>
      <c r="E34" s="43">
        <v>88.512859486057962</v>
      </c>
      <c r="F34" s="43">
        <f>D34/1076</f>
        <v>3.0669144981412641E-2</v>
      </c>
      <c r="G34" s="45">
        <f>1000*E34*$J$2*9.81/1000</f>
        <v>17366.223031164573</v>
      </c>
    </row>
    <row r="35" spans="1:7" ht="14.4" x14ac:dyDescent="0.3">
      <c r="A35" s="46">
        <v>34.020000000000003</v>
      </c>
      <c r="B35" s="47">
        <v>44256</v>
      </c>
      <c r="C35" s="48">
        <f>A35*($H$2/$I$2)</f>
        <v>33.480590486604704</v>
      </c>
      <c r="D35" s="48">
        <f>D34+1</f>
        <v>34</v>
      </c>
      <c r="E35" s="48">
        <v>87.528518316019671</v>
      </c>
      <c r="F35" s="48">
        <f>D35/1076</f>
        <v>3.1598513011152414E-2</v>
      </c>
      <c r="G35" s="49">
        <f>1000*E35*$J$2*9.81/1000</f>
        <v>17173.095293603063</v>
      </c>
    </row>
    <row r="36" spans="1:7" ht="14.4" x14ac:dyDescent="0.3">
      <c r="A36" s="41">
        <v>50.25</v>
      </c>
      <c r="B36" s="42">
        <v>44228</v>
      </c>
      <c r="C36" s="43">
        <f>A36*($H$2/$I$2)</f>
        <v>49.45325314379442</v>
      </c>
      <c r="D36" s="43">
        <f>D35+1</f>
        <v>35</v>
      </c>
      <c r="E36" s="43">
        <v>87.400579551667576</v>
      </c>
      <c r="F36" s="43">
        <f>D36/1076</f>
        <v>3.2527881040892194E-2</v>
      </c>
      <c r="G36" s="45">
        <f>1000*E36*$J$2*9.81/1000</f>
        <v>17147.993708037178</v>
      </c>
    </row>
    <row r="37" spans="1:7" ht="14.4" x14ac:dyDescent="0.3">
      <c r="A37" s="46">
        <v>37.852600000000002</v>
      </c>
      <c r="B37" s="47">
        <v>44197</v>
      </c>
      <c r="C37" s="48">
        <f>A37*($H$2/$I$2)</f>
        <v>37.252422088572992</v>
      </c>
      <c r="D37" s="48">
        <f>D36+1</f>
        <v>36</v>
      </c>
      <c r="E37" s="48">
        <v>86.837255330781844</v>
      </c>
      <c r="F37" s="48">
        <f>D37/1076</f>
        <v>3.3457249070631967E-2</v>
      </c>
      <c r="G37" s="49">
        <f>1000*E37*$J$2*9.81/1000</f>
        <v>17037.469495899397</v>
      </c>
    </row>
    <row r="38" spans="1:7" ht="14.4" x14ac:dyDescent="0.3">
      <c r="A38" s="41">
        <v>36.2316</v>
      </c>
      <c r="B38" s="42">
        <v>44166</v>
      </c>
      <c r="C38" s="43">
        <f>A38*($H$2/$I$2)</f>
        <v>35.657124111536355</v>
      </c>
      <c r="D38" s="43">
        <f>D37+1</f>
        <v>37</v>
      </c>
      <c r="E38" s="48">
        <v>86.661683980317108</v>
      </c>
      <c r="F38" s="43">
        <f>D38/1076</f>
        <v>3.4386617100371747E-2</v>
      </c>
      <c r="G38" s="45">
        <f>1000*E38*$J$2*9.81/1000</f>
        <v>17003.022396938217</v>
      </c>
    </row>
    <row r="39" spans="1:7" ht="14.4" x14ac:dyDescent="0.3">
      <c r="A39" s="46">
        <v>14.09</v>
      </c>
      <c r="B39" s="47">
        <v>44136</v>
      </c>
      <c r="C39" s="48">
        <f>A39*($H$2/$I$2)</f>
        <v>13.866593767085838</v>
      </c>
      <c r="D39" s="48">
        <f>D38+1</f>
        <v>38</v>
      </c>
      <c r="E39" s="43">
        <v>86.088813559322034</v>
      </c>
      <c r="F39" s="48">
        <f>D39/1076</f>
        <v>3.5315985130111527E-2</v>
      </c>
      <c r="G39" s="49">
        <f>1000*E39*$J$2*9.81/1000</f>
        <v>16890.625220338985</v>
      </c>
    </row>
    <row r="40" spans="1:7" ht="14.4" x14ac:dyDescent="0.3">
      <c r="A40" s="41">
        <v>7.06</v>
      </c>
      <c r="B40" s="42">
        <v>44105</v>
      </c>
      <c r="C40" s="43">
        <f>A40*($H$2/$I$2)</f>
        <v>6.9480590486604692</v>
      </c>
      <c r="D40" s="43">
        <f>D39+1</f>
        <v>39</v>
      </c>
      <c r="E40" s="48">
        <v>84.706386003280485</v>
      </c>
      <c r="F40" s="43">
        <f>D40/1076</f>
        <v>3.62453531598513E-2</v>
      </c>
      <c r="G40" s="45">
        <f>1000*E40*$J$2*9.81/1000</f>
        <v>16619.392933843632</v>
      </c>
    </row>
    <row r="41" spans="1:7" ht="14.4" x14ac:dyDescent="0.3">
      <c r="A41" s="46">
        <v>7.92</v>
      </c>
      <c r="B41" s="47">
        <v>44075</v>
      </c>
      <c r="C41" s="48">
        <f>A41*($H$2/$I$2)</f>
        <v>7.7944231820667031</v>
      </c>
      <c r="D41" s="48">
        <f>D40+1</f>
        <v>40</v>
      </c>
      <c r="E41" s="43">
        <v>83.711514488791678</v>
      </c>
      <c r="F41" s="48">
        <f>D41/1076</f>
        <v>3.717472118959108E-2</v>
      </c>
      <c r="G41" s="49">
        <f>1000*E41*$J$2*9.81/1000</f>
        <v>16424.199142700931</v>
      </c>
    </row>
    <row r="42" spans="1:7" ht="14.4" x14ac:dyDescent="0.3">
      <c r="A42" s="41">
        <v>9.6854999999999993</v>
      </c>
      <c r="B42" s="42">
        <v>44044</v>
      </c>
      <c r="C42" s="43">
        <f>A42*($H$2/$I$2)</f>
        <v>9.5319300164024039</v>
      </c>
      <c r="D42" s="43">
        <f>D41+1</f>
        <v>41</v>
      </c>
      <c r="E42" s="43">
        <v>83.660634226353196</v>
      </c>
      <c r="F42" s="43">
        <f>D42/1076</f>
        <v>3.8104089219330853E-2</v>
      </c>
      <c r="G42" s="45">
        <f>1000*E42*$J$2*9.81/1000</f>
        <v>16414.216435210499</v>
      </c>
    </row>
    <row r="43" spans="1:7" ht="14.4" x14ac:dyDescent="0.3">
      <c r="A43" s="46">
        <v>11.215400000000001</v>
      </c>
      <c r="B43" s="47">
        <v>44013</v>
      </c>
      <c r="C43" s="48">
        <f>A43*($H$2/$I$2)</f>
        <v>11.037572443958448</v>
      </c>
      <c r="D43" s="48">
        <f>D42+1</f>
        <v>42</v>
      </c>
      <c r="E43" s="43">
        <v>83.097998906506291</v>
      </c>
      <c r="F43" s="48">
        <f>D43/1076</f>
        <v>3.9033457249070633E-2</v>
      </c>
      <c r="G43" s="49">
        <f>1000*E43*$J$2*9.81/1000</f>
        <v>16303.827385456534</v>
      </c>
    </row>
    <row r="44" spans="1:7" ht="14.4" x14ac:dyDescent="0.3">
      <c r="A44" s="41">
        <v>14.087899999999999</v>
      </c>
      <c r="B44" s="42">
        <v>43983</v>
      </c>
      <c r="C44" s="43">
        <f>A44*($H$2/$I$2)</f>
        <v>13.864527063969382</v>
      </c>
      <c r="D44" s="43">
        <f>D43+1</f>
        <v>43</v>
      </c>
      <c r="E44" s="48">
        <v>83.011197375615097</v>
      </c>
      <c r="F44" s="43">
        <f>D44/1076</f>
        <v>3.9962825278810406E-2</v>
      </c>
      <c r="G44" s="45">
        <f>1000*E44*$J$2*9.81/1000</f>
        <v>16286.796925095685</v>
      </c>
    </row>
    <row r="45" spans="1:7" ht="14.4" x14ac:dyDescent="0.3">
      <c r="A45" s="46">
        <v>16.782900000000001</v>
      </c>
      <c r="B45" s="47">
        <v>43952</v>
      </c>
      <c r="C45" s="48">
        <f>A45*($H$2/$I$2)</f>
        <v>16.516796063422635</v>
      </c>
      <c r="D45" s="48">
        <f>D44+1</f>
        <v>44</v>
      </c>
      <c r="E45" s="43">
        <v>82.618622197922363</v>
      </c>
      <c r="F45" s="48">
        <f>D45/1076</f>
        <v>4.0892193308550186E-2</v>
      </c>
      <c r="G45" s="49">
        <f>1000*E45*$J$2*9.81/1000</f>
        <v>16209.773675232369</v>
      </c>
    </row>
    <row r="46" spans="1:7" ht="14.4" x14ac:dyDescent="0.3">
      <c r="A46" s="41">
        <v>23.834399999999999</v>
      </c>
      <c r="B46" s="42">
        <v>43922</v>
      </c>
      <c r="C46" s="43">
        <f>A46*($H$2/$I$2)</f>
        <v>23.456489885183156</v>
      </c>
      <c r="D46" s="43">
        <f>D45+1</f>
        <v>45</v>
      </c>
      <c r="E46" s="43">
        <v>81.675713504647348</v>
      </c>
      <c r="F46" s="43">
        <f>D46/1076</f>
        <v>4.1821561338289966E-2</v>
      </c>
      <c r="G46" s="45">
        <f>1000*E46*$J$2*9.81/1000</f>
        <v>16024.774989611809</v>
      </c>
    </row>
    <row r="47" spans="1:7" ht="14.4" x14ac:dyDescent="0.3">
      <c r="A47" s="46">
        <v>45.268700000000003</v>
      </c>
      <c r="B47" s="47">
        <v>43891</v>
      </c>
      <c r="C47" s="48">
        <f>A47*($H$2/$I$2)</f>
        <v>44.550934937124111</v>
      </c>
      <c r="D47" s="48">
        <f>D46+1</f>
        <v>46</v>
      </c>
      <c r="E47" s="48">
        <v>81.366396938217605</v>
      </c>
      <c r="F47" s="48">
        <f>D47/1076</f>
        <v>4.2750929368029739E-2</v>
      </c>
      <c r="G47" s="49">
        <f>1000*E47*$J$2*9.81/1000</f>
        <v>15964.087079278292</v>
      </c>
    </row>
    <row r="48" spans="1:7" ht="14.4" x14ac:dyDescent="0.3">
      <c r="A48" s="41">
        <v>67.075900000000004</v>
      </c>
      <c r="B48" s="42">
        <v>43862</v>
      </c>
      <c r="C48" s="43">
        <f>A48*($H$2/$I$2)</f>
        <v>66.012367413887375</v>
      </c>
      <c r="D48" s="43">
        <f>D47+1</f>
        <v>47</v>
      </c>
      <c r="E48" s="43">
        <v>81.212476763258607</v>
      </c>
      <c r="F48" s="43">
        <f>D48/1076</f>
        <v>4.3680297397769519E-2</v>
      </c>
      <c r="G48" s="45">
        <f>1000*E48*$J$2*9.81/1000</f>
        <v>15933.887940951337</v>
      </c>
    </row>
    <row r="49" spans="1:7" ht="14.4" x14ac:dyDescent="0.3">
      <c r="A49" s="46">
        <v>29.974499999999999</v>
      </c>
      <c r="B49" s="47">
        <v>43831</v>
      </c>
      <c r="C49" s="48">
        <f>A49*($H$2/$I$2)</f>
        <v>29.499234554401312</v>
      </c>
      <c r="D49" s="48">
        <f>D48+1</f>
        <v>48</v>
      </c>
      <c r="E49" s="48">
        <v>81.020076544559871</v>
      </c>
      <c r="F49" s="48">
        <f>D49/1076</f>
        <v>4.4609665427509292E-2</v>
      </c>
      <c r="G49" s="49">
        <f>1000*E49*$J$2*9.81/1000</f>
        <v>15896.139018042646</v>
      </c>
    </row>
    <row r="50" spans="1:7" ht="14.4" x14ac:dyDescent="0.3">
      <c r="A50" s="41">
        <v>22.4693</v>
      </c>
      <c r="B50" s="42">
        <v>43800</v>
      </c>
      <c r="C50" s="43">
        <f>A50*($H$2/$I$2)</f>
        <v>22.113034445051941</v>
      </c>
      <c r="D50" s="43">
        <f>D49+1</f>
        <v>49</v>
      </c>
      <c r="E50" s="43">
        <v>80.604964461454344</v>
      </c>
      <c r="F50" s="43">
        <f>D50/1076</f>
        <v>4.5539033457249072E-2</v>
      </c>
      <c r="G50" s="45">
        <f>1000*E50*$J$2*9.81/1000</f>
        <v>15814.694027337344</v>
      </c>
    </row>
    <row r="51" spans="1:7" ht="14.4" x14ac:dyDescent="0.3">
      <c r="A51" s="46">
        <v>14.08</v>
      </c>
      <c r="B51" s="47">
        <v>43770</v>
      </c>
      <c r="C51" s="48">
        <f>A51*($H$2/$I$2)</f>
        <v>13.856752323674138</v>
      </c>
      <c r="D51" s="48">
        <f>D50+1</f>
        <v>50</v>
      </c>
      <c r="E51" s="43">
        <v>80.585576817933287</v>
      </c>
      <c r="F51" s="48">
        <f>D51/1076</f>
        <v>4.6468401486988845E-2</v>
      </c>
      <c r="G51" s="49">
        <f>1000*E51*$J$2*9.81/1000</f>
        <v>15810.890171678511</v>
      </c>
    </row>
    <row r="52" spans="1:7" ht="14.4" x14ac:dyDescent="0.3">
      <c r="A52" s="41">
        <v>10.47</v>
      </c>
      <c r="B52" s="42">
        <v>43739</v>
      </c>
      <c r="C52" s="43">
        <f>A52*($H$2/$I$2)</f>
        <v>10.303991252050301</v>
      </c>
      <c r="D52" s="43">
        <f>D51+1</f>
        <v>51</v>
      </c>
      <c r="E52" s="48">
        <v>80.397113176599234</v>
      </c>
      <c r="F52" s="43">
        <f>D52/1076</f>
        <v>4.7397769516728624E-2</v>
      </c>
      <c r="G52" s="45">
        <f>1000*E52*$J$2*9.81/1000</f>
        <v>15773.913605248772</v>
      </c>
    </row>
    <row r="53" spans="1:7" ht="14.4" x14ac:dyDescent="0.3">
      <c r="A53" s="46">
        <v>10.08</v>
      </c>
      <c r="B53" s="47">
        <v>43709</v>
      </c>
      <c r="C53" s="48">
        <f>A53*($H$2/$I$2)</f>
        <v>9.9201749589939858</v>
      </c>
      <c r="D53" s="48">
        <f>D52+1</f>
        <v>52</v>
      </c>
      <c r="E53" s="43">
        <v>80.138283214871507</v>
      </c>
      <c r="F53" s="48">
        <f>D53/1076</f>
        <v>4.8327137546468404E-2</v>
      </c>
      <c r="G53" s="49">
        <f>1000*E53*$J$2*9.81/1000</f>
        <v>15723.131166757792</v>
      </c>
    </row>
    <row r="54" spans="1:7" ht="14.4" x14ac:dyDescent="0.3">
      <c r="A54" s="41">
        <v>8.1347000000000005</v>
      </c>
      <c r="B54" s="42">
        <v>43678</v>
      </c>
      <c r="C54" s="43">
        <f>A54*($H$2/$I$2)</f>
        <v>8.0057189721159112</v>
      </c>
      <c r="D54" s="43">
        <f>D53+1</f>
        <v>53</v>
      </c>
      <c r="E54" s="48">
        <v>80.07815199562603</v>
      </c>
      <c r="F54" s="43">
        <f>D54/1076</f>
        <v>4.9256505576208177E-2</v>
      </c>
      <c r="G54" s="45">
        <f>1000*E54*$J$2*9.81/1000</f>
        <v>15711.333421541829</v>
      </c>
    </row>
    <row r="55" spans="1:7" ht="14.4" x14ac:dyDescent="0.3">
      <c r="A55" s="46">
        <v>9.7195</v>
      </c>
      <c r="B55" s="47">
        <v>43647</v>
      </c>
      <c r="C55" s="48">
        <f>A55*($H$2/$I$2)</f>
        <v>9.5653909240021875</v>
      </c>
      <c r="D55" s="48">
        <f>D54+1</f>
        <v>54</v>
      </c>
      <c r="E55" s="48">
        <v>79.930628758884637</v>
      </c>
      <c r="F55" s="48">
        <f>D55/1076</f>
        <v>5.0185873605947957E-2</v>
      </c>
      <c r="G55" s="49">
        <f>1000*E55*$J$2*9.81/1000</f>
        <v>15682.389362493164</v>
      </c>
    </row>
    <row r="56" spans="1:7" ht="14.4" x14ac:dyDescent="0.3">
      <c r="A56" s="41">
        <v>11.719799999999999</v>
      </c>
      <c r="B56" s="42">
        <v>43617</v>
      </c>
      <c r="C56" s="43">
        <f>A56*($H$2/$I$2)</f>
        <v>11.533974849644613</v>
      </c>
      <c r="D56" s="43">
        <f>D55+1</f>
        <v>55</v>
      </c>
      <c r="E56" s="48">
        <v>79.890967741935484</v>
      </c>
      <c r="F56" s="43">
        <f>D56/1076</f>
        <v>5.111524163568773E-2</v>
      </c>
      <c r="G56" s="45">
        <f>1000*E56*$J$2*9.81/1000</f>
        <v>15674.607870967744</v>
      </c>
    </row>
    <row r="57" spans="1:7" ht="14.4" x14ac:dyDescent="0.3">
      <c r="A57" s="46">
        <v>14.834</v>
      </c>
      <c r="B57" s="47">
        <v>43586</v>
      </c>
      <c r="C57" s="48">
        <f>A57*($H$2/$I$2)</f>
        <v>14.598797156916348</v>
      </c>
      <c r="D57" s="48">
        <f>D56+1</f>
        <v>56</v>
      </c>
      <c r="E57" s="48">
        <v>79.429404045926745</v>
      </c>
      <c r="F57" s="48">
        <f>D57/1076</f>
        <v>5.204460966542751E-2</v>
      </c>
      <c r="G57" s="49">
        <f>1000*E57*$J$2*9.81/1000</f>
        <v>15584.049073810829</v>
      </c>
    </row>
    <row r="58" spans="1:7" ht="14.4" x14ac:dyDescent="0.3">
      <c r="A58" s="41">
        <v>21.487400000000001</v>
      </c>
      <c r="B58" s="42">
        <v>43556</v>
      </c>
      <c r="C58" s="43">
        <f>A58*($H$2/$I$2)</f>
        <v>21.146703116457079</v>
      </c>
      <c r="D58" s="43">
        <f>D57+1</f>
        <v>57</v>
      </c>
      <c r="E58" s="43">
        <v>79.406670311645712</v>
      </c>
      <c r="F58" s="43">
        <f>D58/1076</f>
        <v>5.2973977695167283E-2</v>
      </c>
      <c r="G58" s="45">
        <f>1000*E58*$J$2*9.81/1000</f>
        <v>15579.58871514489</v>
      </c>
    </row>
    <row r="59" spans="1:7" ht="14.4" x14ac:dyDescent="0.3">
      <c r="A59" s="46">
        <v>44.409500000000001</v>
      </c>
      <c r="B59" s="47">
        <v>43525</v>
      </c>
      <c r="C59" s="48">
        <f>A59*($H$2/$I$2)</f>
        <v>43.705358119190812</v>
      </c>
      <c r="D59" s="48">
        <f>D58+1</f>
        <v>58</v>
      </c>
      <c r="E59" s="43">
        <v>79.065073810825581</v>
      </c>
      <c r="F59" s="48">
        <f>D59/1076</f>
        <v>5.3903345724907063E-2</v>
      </c>
      <c r="G59" s="49">
        <f>1000*E59*$J$2*9.81/1000</f>
        <v>15512.567481683978</v>
      </c>
    </row>
    <row r="60" spans="1:7" ht="14.4" x14ac:dyDescent="0.3">
      <c r="A60" s="41">
        <v>27.475000000000001</v>
      </c>
      <c r="B60" s="42">
        <v>43497</v>
      </c>
      <c r="C60" s="43">
        <f>A60*($H$2/$I$2)</f>
        <v>27.039365773646804</v>
      </c>
      <c r="D60" s="43">
        <f>D59+1</f>
        <v>59</v>
      </c>
      <c r="E60" s="43">
        <v>78.516806998359755</v>
      </c>
      <c r="F60" s="43">
        <f>D60/1076</f>
        <v>5.4832713754646843E-2</v>
      </c>
      <c r="G60" s="45">
        <f>1000*E60*$J$2*9.81/1000</f>
        <v>15404.997533078184</v>
      </c>
    </row>
    <row r="61" spans="1:7" ht="14.4" x14ac:dyDescent="0.3">
      <c r="A61" s="46">
        <v>24.455400000000001</v>
      </c>
      <c r="B61" s="47">
        <v>43466</v>
      </c>
      <c r="C61" s="48">
        <f>A61*($H$2/$I$2)</f>
        <v>24.067643521049753</v>
      </c>
      <c r="D61" s="48">
        <f>D60+1</f>
        <v>60</v>
      </c>
      <c r="E61" s="43">
        <v>78.316927282668118</v>
      </c>
      <c r="F61" s="48">
        <f>D61/1076</f>
        <v>5.5762081784386616E-2</v>
      </c>
      <c r="G61" s="49">
        <f>1000*E61*$J$2*9.81/1000</f>
        <v>15365.781132859485</v>
      </c>
    </row>
    <row r="62" spans="1:7" ht="14.4" x14ac:dyDescent="0.3">
      <c r="A62" s="41">
        <v>34.250999999999998</v>
      </c>
      <c r="B62" s="42">
        <v>43435</v>
      </c>
      <c r="C62" s="43">
        <f>A62*($H$2/$I$2)</f>
        <v>33.707927829414977</v>
      </c>
      <c r="D62" s="43">
        <f>D61+1</f>
        <v>61</v>
      </c>
      <c r="E62" s="43">
        <v>78.297933296883542</v>
      </c>
      <c r="F62" s="43">
        <f>D62/1076</f>
        <v>5.6691449814126396E-2</v>
      </c>
      <c r="G62" s="45">
        <f>1000*E62*$J$2*9.81/1000</f>
        <v>15362.05451284855</v>
      </c>
    </row>
    <row r="63" spans="1:7" ht="14.4" x14ac:dyDescent="0.3">
      <c r="A63" s="46">
        <v>22.758199999999999</v>
      </c>
      <c r="B63" s="47">
        <v>43405</v>
      </c>
      <c r="C63" s="48">
        <f>A63*($H$2/$I$2)</f>
        <v>22.397353745215963</v>
      </c>
      <c r="D63" s="48">
        <f>D62+1</f>
        <v>62</v>
      </c>
      <c r="E63" s="43">
        <v>78.108190267905968</v>
      </c>
      <c r="F63" s="48">
        <f>D63/1076</f>
        <v>5.7620817843866169E-2</v>
      </c>
      <c r="G63" s="49">
        <f>1000*E63*$J$2*9.81/1000</f>
        <v>15324.826930563151</v>
      </c>
    </row>
    <row r="64" spans="1:7" ht="14.4" x14ac:dyDescent="0.3">
      <c r="A64" s="41">
        <v>12.424300000000001</v>
      </c>
      <c r="B64" s="42">
        <v>43374</v>
      </c>
      <c r="C64" s="43">
        <f>A64*($H$2/$I$2)</f>
        <v>12.227304537998906</v>
      </c>
      <c r="D64" s="43">
        <f>D63+1</f>
        <v>63</v>
      </c>
      <c r="E64" s="48">
        <v>76.833526517222523</v>
      </c>
      <c r="F64" s="43">
        <f>D64/1076</f>
        <v>5.8550185873605949E-2</v>
      </c>
      <c r="G64" s="45">
        <f>1000*E64*$J$2*9.81/1000</f>
        <v>15074.73790267906</v>
      </c>
    </row>
    <row r="65" spans="1:7" ht="14.4" x14ac:dyDescent="0.3">
      <c r="A65" s="46">
        <v>7.3440000000000003</v>
      </c>
      <c r="B65" s="47">
        <v>43344</v>
      </c>
      <c r="C65" s="48">
        <f>A65*($H$2/$I$2)</f>
        <v>7.2275560415527611</v>
      </c>
      <c r="D65" s="48">
        <f>D64+1</f>
        <v>64</v>
      </c>
      <c r="E65" s="43">
        <v>76.357594313832692</v>
      </c>
      <c r="F65" s="48">
        <f>D65/1076</f>
        <v>5.9479553903345722E-2</v>
      </c>
      <c r="G65" s="49">
        <f>1000*E65*$J$2*9.81/1000</f>
        <v>14981.360004373977</v>
      </c>
    </row>
    <row r="66" spans="1:7" ht="14.4" x14ac:dyDescent="0.3">
      <c r="A66" s="41">
        <v>8.3917999999999999</v>
      </c>
      <c r="B66" s="42">
        <v>43313</v>
      </c>
      <c r="C66" s="43">
        <f>A66*($H$2/$I$2)</f>
        <v>8.2587424822307263</v>
      </c>
      <c r="D66" s="43">
        <f>D65+1</f>
        <v>65</v>
      </c>
      <c r="E66" s="48">
        <v>76.138130125751772</v>
      </c>
      <c r="F66" s="43">
        <f>D66/1076</f>
        <v>6.0408921933085502E-2</v>
      </c>
      <c r="G66" s="45">
        <f>1000*E66*$J$2*9.81/1000</f>
        <v>14938.3011306725</v>
      </c>
    </row>
    <row r="67" spans="1:7" ht="14.4" x14ac:dyDescent="0.3">
      <c r="A67" s="46">
        <v>6.1738</v>
      </c>
      <c r="B67" s="47">
        <v>43282</v>
      </c>
      <c r="C67" s="48">
        <f>A67*($H$2/$I$2)</f>
        <v>6.0759103335155817</v>
      </c>
      <c r="D67" s="48">
        <f>D66+1</f>
        <v>66</v>
      </c>
      <c r="E67" s="48">
        <v>75.908135593220337</v>
      </c>
      <c r="F67" s="48">
        <f>D67/1076</f>
        <v>6.1338289962825282E-2</v>
      </c>
      <c r="G67" s="49">
        <f>1000*E67*$J$2*9.81/1000</f>
        <v>14893.17620338983</v>
      </c>
    </row>
    <row r="68" spans="1:7" ht="14.4" x14ac:dyDescent="0.3">
      <c r="A68" s="41">
        <v>7.8547000000000002</v>
      </c>
      <c r="B68" s="42">
        <v>43252</v>
      </c>
      <c r="C68" s="43">
        <f>A68*($H$2/$I$2)</f>
        <v>7.7301585565882993</v>
      </c>
      <c r="D68" s="43">
        <f>D67+1</f>
        <v>67</v>
      </c>
      <c r="E68" s="43">
        <v>75.229666484417706</v>
      </c>
      <c r="F68" s="43">
        <f>D68/1076</f>
        <v>6.2267657992565055E-2</v>
      </c>
      <c r="G68" s="45">
        <f>1000*E68*$J$2*9.81/1000</f>
        <v>14760.060564242753</v>
      </c>
    </row>
    <row r="69" spans="1:7" ht="14.4" x14ac:dyDescent="0.3">
      <c r="A69" s="46">
        <v>8.4657</v>
      </c>
      <c r="B69" s="47">
        <v>43221</v>
      </c>
      <c r="C69" s="48">
        <f>A69*($H$2/$I$2)</f>
        <v>8.3314707490431932</v>
      </c>
      <c r="D69" s="48">
        <f>D68+1</f>
        <v>68</v>
      </c>
      <c r="E69" s="48">
        <v>74.735330781848006</v>
      </c>
      <c r="F69" s="48">
        <f>D69/1076</f>
        <v>6.3197026022304828E-2</v>
      </c>
      <c r="G69" s="49">
        <f>1000*E69*$J$2*9.81/1000</f>
        <v>14663.071899398581</v>
      </c>
    </row>
    <row r="70" spans="1:7" ht="14.4" x14ac:dyDescent="0.3">
      <c r="A70" s="41">
        <v>11.2158</v>
      </c>
      <c r="B70" s="42">
        <v>43191</v>
      </c>
      <c r="C70" s="43">
        <f>A70*($H$2/$I$2)</f>
        <v>11.037966101694915</v>
      </c>
      <c r="D70" s="43">
        <f>D69+1</f>
        <v>69</v>
      </c>
      <c r="E70" s="48">
        <v>74.074182613449977</v>
      </c>
      <c r="F70" s="43">
        <f>D70/1076</f>
        <v>6.4126394052044608E-2</v>
      </c>
      <c r="G70" s="45">
        <f>1000*E70*$J$2*9.81/1000</f>
        <v>14533.354628758885</v>
      </c>
    </row>
    <row r="71" spans="1:7" ht="14.4" x14ac:dyDescent="0.3">
      <c r="A71" s="46">
        <v>20.888000000000002</v>
      </c>
      <c r="B71" s="47">
        <v>43160</v>
      </c>
      <c r="C71" s="48">
        <f>A71*($H$2/$I$2)</f>
        <v>20.556806998359761</v>
      </c>
      <c r="D71" s="48">
        <f>D70+1</f>
        <v>70</v>
      </c>
      <c r="E71" s="48">
        <v>73.94427556041552</v>
      </c>
      <c r="F71" s="48">
        <f>D71/1076</f>
        <v>6.5055762081784388E-2</v>
      </c>
      <c r="G71" s="49">
        <f>1000*E71*$J$2*9.81/1000</f>
        <v>14507.866864953527</v>
      </c>
    </row>
    <row r="72" spans="1:7" ht="14.4" x14ac:dyDescent="0.3">
      <c r="A72" s="41">
        <v>20.209700000000002</v>
      </c>
      <c r="B72" s="42">
        <v>43132</v>
      </c>
      <c r="C72" s="43">
        <f>A72*($H$2/$I$2)</f>
        <v>19.889261891744123</v>
      </c>
      <c r="D72" s="43">
        <f>D71+1</f>
        <v>71</v>
      </c>
      <c r="E72" s="48">
        <v>73.807676325861124</v>
      </c>
      <c r="F72" s="43">
        <f>D72/1076</f>
        <v>6.5985130111524168E-2</v>
      </c>
      <c r="G72" s="45">
        <f>1000*E72*$J$2*9.81/1000</f>
        <v>14481.066095133952</v>
      </c>
    </row>
    <row r="73" spans="1:7" ht="14.4" x14ac:dyDescent="0.3">
      <c r="A73" s="46">
        <v>33.616500000000002</v>
      </c>
      <c r="B73" s="47">
        <v>43101</v>
      </c>
      <c r="C73" s="48">
        <f>A73*($H$2/$I$2)</f>
        <v>33.083488244942593</v>
      </c>
      <c r="D73" s="48">
        <f>D72+1</f>
        <v>72</v>
      </c>
      <c r="E73" s="48">
        <v>73.299562602515039</v>
      </c>
      <c r="F73" s="48">
        <f>D73/1076</f>
        <v>6.6914498141263934E-2</v>
      </c>
      <c r="G73" s="49">
        <f>1000*E73*$J$2*9.81/1000</f>
        <v>14381.374182613452</v>
      </c>
    </row>
    <row r="74" spans="1:7" ht="14.4" x14ac:dyDescent="0.3">
      <c r="A74" s="41">
        <v>14.77</v>
      </c>
      <c r="B74" s="42">
        <v>43070</v>
      </c>
      <c r="C74" s="43">
        <f>A74*($H$2/$I$2)</f>
        <v>14.535811919081464</v>
      </c>
      <c r="D74" s="43">
        <f>D73+1</f>
        <v>73</v>
      </c>
      <c r="E74" s="43">
        <v>73.240513942044828</v>
      </c>
      <c r="F74" s="43">
        <f>D74/1076</f>
        <v>6.7843866171003714E-2</v>
      </c>
      <c r="G74" s="45">
        <f>1000*E74*$J$2*9.81/1000</f>
        <v>14369.788835429195</v>
      </c>
    </row>
    <row r="75" spans="1:7" ht="14.4" x14ac:dyDescent="0.3">
      <c r="A75" s="46">
        <v>14.2004</v>
      </c>
      <c r="B75" s="47">
        <v>43040</v>
      </c>
      <c r="C75" s="48">
        <f>A75*($H$2/$I$2)</f>
        <v>13.975243302351011</v>
      </c>
      <c r="D75" s="48">
        <f>D74+1</f>
        <v>74</v>
      </c>
      <c r="E75" s="43">
        <v>73.177627118644068</v>
      </c>
      <c r="F75" s="48">
        <f>D75/1076</f>
        <v>6.8773234200743494E-2</v>
      </c>
      <c r="G75" s="49">
        <f>1000*E75*$J$2*9.81/1000</f>
        <v>14357.450440677967</v>
      </c>
    </row>
    <row r="76" spans="1:7" ht="14.4" x14ac:dyDescent="0.3">
      <c r="A76" s="41">
        <v>11.092599999999999</v>
      </c>
      <c r="B76" s="42">
        <v>43009</v>
      </c>
      <c r="C76" s="43">
        <f>A76*($H$2/$I$2)</f>
        <v>10.916719518862765</v>
      </c>
      <c r="D76" s="43">
        <f>D75+1</f>
        <v>75</v>
      </c>
      <c r="E76" s="48">
        <v>72.532028430836519</v>
      </c>
      <c r="F76" s="43">
        <f>D76/1076</f>
        <v>6.9702602230483274E-2</v>
      </c>
      <c r="G76" s="45">
        <f>1000*E76*$J$2*9.81/1000</f>
        <v>14230.783978130126</v>
      </c>
    </row>
    <row r="77" spans="1:7" ht="14.4" x14ac:dyDescent="0.3">
      <c r="A77" s="46">
        <v>6.9598000000000004</v>
      </c>
      <c r="B77" s="47">
        <v>42979</v>
      </c>
      <c r="C77" s="48">
        <f>A77*($H$2/$I$2)</f>
        <v>6.8494477856752329</v>
      </c>
      <c r="D77" s="48">
        <f>D76+1</f>
        <v>76</v>
      </c>
      <c r="E77" s="48">
        <v>72.319256424275551</v>
      </c>
      <c r="F77" s="48">
        <f>D77/1076</f>
        <v>7.0631970260223054E-2</v>
      </c>
      <c r="G77" s="49">
        <f>1000*E77*$J$2*9.81/1000</f>
        <v>14189.038110442863</v>
      </c>
    </row>
    <row r="78" spans="1:7" ht="14.4" x14ac:dyDescent="0.3">
      <c r="A78" s="41">
        <v>8.8260000000000005</v>
      </c>
      <c r="B78" s="42">
        <v>42948</v>
      </c>
      <c r="C78" s="43">
        <f>A78*($H$2/$I$2)</f>
        <v>8.686057955166758</v>
      </c>
      <c r="D78" s="43">
        <f>D77+1</f>
        <v>77</v>
      </c>
      <c r="E78" s="43">
        <v>72.143685073810815</v>
      </c>
      <c r="F78" s="43">
        <f>D78/1076</f>
        <v>7.156133828996282E-2</v>
      </c>
      <c r="G78" s="45">
        <f>1000*E78*$J$2*9.81/1000</f>
        <v>14154.591011481683</v>
      </c>
    </row>
    <row r="79" spans="1:7" ht="14.4" x14ac:dyDescent="0.3">
      <c r="A79" s="46">
        <v>9.9533000000000005</v>
      </c>
      <c r="B79" s="47">
        <v>42917</v>
      </c>
      <c r="C79" s="48">
        <f>A79*($H$2/$I$2)</f>
        <v>9.7954838709677414</v>
      </c>
      <c r="D79" s="48">
        <f>D78+1</f>
        <v>78</v>
      </c>
      <c r="E79" s="48">
        <v>72.090934937124103</v>
      </c>
      <c r="F79" s="48">
        <f>D79/1076</f>
        <v>7.24907063197026E-2</v>
      </c>
      <c r="G79" s="49">
        <f>1000*E79*$J$2*9.81/1000</f>
        <v>14144.241434663749</v>
      </c>
    </row>
    <row r="80" spans="1:7" ht="14.4" x14ac:dyDescent="0.3">
      <c r="A80" s="41">
        <v>12.4293</v>
      </c>
      <c r="B80" s="42">
        <v>42887</v>
      </c>
      <c r="C80" s="43">
        <f>A80*($H$2/$I$2)</f>
        <v>12.232225259704755</v>
      </c>
      <c r="D80" s="43">
        <f>D79+1</f>
        <v>79</v>
      </c>
      <c r="E80" s="48">
        <v>72.041826134499729</v>
      </c>
      <c r="F80" s="43">
        <f>D80/1076</f>
        <v>7.342007434944238E-2</v>
      </c>
      <c r="G80" s="45">
        <f>1000*E80*$J$2*9.81/1000</f>
        <v>14134.606287588847</v>
      </c>
    </row>
    <row r="81" spans="1:7" ht="14.4" x14ac:dyDescent="0.3">
      <c r="A81" s="46">
        <v>15.3596</v>
      </c>
      <c r="B81" s="47">
        <v>42856</v>
      </c>
      <c r="C81" s="48">
        <f>A81*($H$2/$I$2)</f>
        <v>15.116063422635319</v>
      </c>
      <c r="D81" s="48">
        <f>D80+1</f>
        <v>80</v>
      </c>
      <c r="E81" s="43">
        <v>71.999704756697653</v>
      </c>
      <c r="F81" s="48">
        <f>D81/1076</f>
        <v>7.434944237918216E-2</v>
      </c>
      <c r="G81" s="49">
        <f>1000*E81*$J$2*9.81/1000</f>
        <v>14126.342073264079</v>
      </c>
    </row>
    <row r="82" spans="1:7" ht="14.4" x14ac:dyDescent="0.3">
      <c r="A82" s="41">
        <v>15.421799999999999</v>
      </c>
      <c r="B82" s="42">
        <v>42826</v>
      </c>
      <c r="C82" s="43">
        <f>A82*($H$2/$I$2)</f>
        <v>15.177277200656095</v>
      </c>
      <c r="D82" s="43">
        <f>D81+1</f>
        <v>81</v>
      </c>
      <c r="E82" s="48">
        <v>71.953449972662654</v>
      </c>
      <c r="F82" s="43">
        <f>D82/1076</f>
        <v>7.527881040892194E-2</v>
      </c>
      <c r="G82" s="45">
        <f>1000*E82*$J$2*9.81/1000</f>
        <v>14117.266884636414</v>
      </c>
    </row>
    <row r="83" spans="1:7" ht="14.4" x14ac:dyDescent="0.3">
      <c r="A83" s="46">
        <v>20.495799999999999</v>
      </c>
      <c r="B83" s="47">
        <v>42795</v>
      </c>
      <c r="C83" s="48">
        <f>A83*($H$2/$I$2)</f>
        <v>20.170825587752869</v>
      </c>
      <c r="D83" s="48">
        <f>D82+1</f>
        <v>82</v>
      </c>
      <c r="E83" s="43">
        <v>71.890563149261894</v>
      </c>
      <c r="F83" s="48">
        <f>D83/1076</f>
        <v>7.6208178438661706E-2</v>
      </c>
      <c r="G83" s="49">
        <f>1000*E83*$J$2*9.81/1000</f>
        <v>14104.928489885186</v>
      </c>
    </row>
    <row r="84" spans="1:7" ht="14.4" x14ac:dyDescent="0.3">
      <c r="A84" s="41">
        <v>22.55</v>
      </c>
      <c r="B84" s="42">
        <v>42767</v>
      </c>
      <c r="C84" s="43">
        <f>A84*($H$2/$I$2)</f>
        <v>22.192454893384362</v>
      </c>
      <c r="D84" s="43">
        <f>D83+1</f>
        <v>83</v>
      </c>
      <c r="E84" s="43">
        <v>71.650235101148155</v>
      </c>
      <c r="F84" s="43">
        <f>D84/1076</f>
        <v>7.7137546468401486E-2</v>
      </c>
      <c r="G84" s="45">
        <f>1000*E84*$J$2*9.81/1000</f>
        <v>14057.776126845267</v>
      </c>
    </row>
    <row r="85" spans="1:7" ht="14.4" x14ac:dyDescent="0.3">
      <c r="A85" s="46">
        <v>37.9</v>
      </c>
      <c r="B85" s="47">
        <v>42736</v>
      </c>
      <c r="C85" s="48">
        <f>A85*($H$2/$I$2)</f>
        <v>37.299070530344451</v>
      </c>
      <c r="D85" s="48">
        <f>D84+1</f>
        <v>84</v>
      </c>
      <c r="E85" s="48">
        <v>70.967731000546735</v>
      </c>
      <c r="F85" s="48">
        <f>D85/1076</f>
        <v>7.8066914498141265E-2</v>
      </c>
      <c r="G85" s="49">
        <f>1000*E85*$J$2*9.81/1000</f>
        <v>13923.868822307268</v>
      </c>
    </row>
    <row r="86" spans="1:7" ht="14.4" x14ac:dyDescent="0.3">
      <c r="A86" s="41">
        <v>27.94</v>
      </c>
      <c r="B86" s="42">
        <v>42705</v>
      </c>
      <c r="C86" s="43">
        <f>A86*($H$2/$I$2)</f>
        <v>27.496992892290869</v>
      </c>
      <c r="D86" s="43">
        <f>D85+1</f>
        <v>85</v>
      </c>
      <c r="E86" s="43">
        <v>70.292607982504094</v>
      </c>
      <c r="F86" s="43">
        <f>D86/1076</f>
        <v>7.8996282527881045E-2</v>
      </c>
      <c r="G86" s="45">
        <f>1000*E86*$J$2*9.81/1000</f>
        <v>13791.409686167304</v>
      </c>
    </row>
    <row r="87" spans="1:7" ht="14.4" x14ac:dyDescent="0.3">
      <c r="A87" s="46">
        <v>25.8111</v>
      </c>
      <c r="B87" s="47">
        <v>42675</v>
      </c>
      <c r="C87" s="48">
        <f>A87*($H$2/$I$2)</f>
        <v>25.401848004373974</v>
      </c>
      <c r="D87" s="48">
        <f>D86+1</f>
        <v>86</v>
      </c>
      <c r="E87" s="43">
        <v>70.166539092400214</v>
      </c>
      <c r="F87" s="48">
        <f>D87/1076</f>
        <v>7.9925650557620811E-2</v>
      </c>
      <c r="G87" s="49">
        <f>1000*E87*$J$2*9.81/1000</f>
        <v>13766.674969928925</v>
      </c>
    </row>
    <row r="88" spans="1:7" ht="14.4" x14ac:dyDescent="0.3">
      <c r="A88" s="41">
        <v>14.6739</v>
      </c>
      <c r="B88" s="42">
        <v>42644</v>
      </c>
      <c r="C88" s="43">
        <f>A88*($H$2/$I$2)</f>
        <v>14.441235647895024</v>
      </c>
      <c r="D88" s="43">
        <f>D87+1</f>
        <v>87</v>
      </c>
      <c r="E88" s="48">
        <v>69.784297430289783</v>
      </c>
      <c r="F88" s="43">
        <f>D88/1076</f>
        <v>8.0855018587360591E-2</v>
      </c>
      <c r="G88" s="45">
        <f>1000*E88*$J$2*9.81/1000</f>
        <v>13691.679155822856</v>
      </c>
    </row>
    <row r="89" spans="1:7" ht="14.4" x14ac:dyDescent="0.3">
      <c r="A89" s="46">
        <v>9.5877999999999997</v>
      </c>
      <c r="B89" s="47">
        <v>42614</v>
      </c>
      <c r="C89" s="48">
        <f>A89*($H$2/$I$2)</f>
        <v>9.4357791142700922</v>
      </c>
      <c r="D89" s="48">
        <f>D88+1</f>
        <v>88</v>
      </c>
      <c r="E89" s="43">
        <v>69.068824494259161</v>
      </c>
      <c r="F89" s="48">
        <f>D89/1076</f>
        <v>8.1784386617100371E-2</v>
      </c>
      <c r="G89" s="49">
        <f>1000*E89*$J$2*9.81/1000</f>
        <v>13551.303365773647</v>
      </c>
    </row>
    <row r="90" spans="1:7" ht="14.4" x14ac:dyDescent="0.3">
      <c r="A90" s="41">
        <v>11.205299999999999</v>
      </c>
      <c r="B90" s="42">
        <v>42583</v>
      </c>
      <c r="C90" s="43">
        <f>A90*($H$2/$I$2)</f>
        <v>11.027632586112629</v>
      </c>
      <c r="D90" s="43">
        <f>D89+1</f>
        <v>89</v>
      </c>
      <c r="E90" s="43">
        <v>68.915691634773097</v>
      </c>
      <c r="F90" s="43">
        <f>D90/1076</f>
        <v>8.2713754646840151E-2</v>
      </c>
      <c r="G90" s="45">
        <f>1000*E90*$J$2*9.81/1000</f>
        <v>13521.258698742482</v>
      </c>
    </row>
    <row r="91" spans="1:7" ht="14.4" x14ac:dyDescent="0.3">
      <c r="A91" s="46">
        <v>12.404500000000001</v>
      </c>
      <c r="B91" s="47">
        <v>42552</v>
      </c>
      <c r="C91" s="48">
        <f>A91*($H$2/$I$2)</f>
        <v>12.207818480043739</v>
      </c>
      <c r="D91" s="48">
        <f>D90+1</f>
        <v>90</v>
      </c>
      <c r="E91" s="43">
        <v>68.380021869874255</v>
      </c>
      <c r="F91" s="48">
        <f>D91/1076</f>
        <v>8.3643122676579931E-2</v>
      </c>
      <c r="G91" s="49">
        <f>1000*E91*$J$2*9.81/1000</f>
        <v>13416.160290869329</v>
      </c>
    </row>
    <row r="92" spans="1:7" ht="14.4" x14ac:dyDescent="0.3">
      <c r="A92" s="41">
        <v>18.769600000000001</v>
      </c>
      <c r="B92" s="42">
        <v>42522</v>
      </c>
      <c r="C92" s="43">
        <f>A92*($H$2/$I$2)</f>
        <v>18.471995626025151</v>
      </c>
      <c r="D92" s="43">
        <f>D91+1</f>
        <v>91</v>
      </c>
      <c r="E92" s="43">
        <v>68.289185347184244</v>
      </c>
      <c r="F92" s="43">
        <f>D92/1076</f>
        <v>8.4572490706319697E-2</v>
      </c>
      <c r="G92" s="45">
        <f>1000*E92*$J$2*9.81/1000</f>
        <v>13398.338165117551</v>
      </c>
    </row>
    <row r="93" spans="1:7" ht="14.4" x14ac:dyDescent="0.3">
      <c r="A93" s="46">
        <v>15.280900000000001</v>
      </c>
      <c r="B93" s="47">
        <v>42491</v>
      </c>
      <c r="C93" s="48">
        <f>A93*($H$2/$I$2)</f>
        <v>15.038611262985238</v>
      </c>
      <c r="D93" s="48">
        <f>D92+1</f>
        <v>92</v>
      </c>
      <c r="E93" s="43">
        <v>67.732159650082011</v>
      </c>
      <c r="F93" s="48">
        <f>D93/1076</f>
        <v>8.5501858736059477E-2</v>
      </c>
      <c r="G93" s="49">
        <f>1000*E93*$J$2*9.81/1000</f>
        <v>13289.049723346092</v>
      </c>
    </row>
    <row r="94" spans="1:7" ht="14.4" x14ac:dyDescent="0.3">
      <c r="A94" s="41">
        <v>19.497399999999999</v>
      </c>
      <c r="B94" s="42">
        <v>42461</v>
      </c>
      <c r="C94" s="43">
        <f>A94*($H$2/$I$2)</f>
        <v>19.188255877528704</v>
      </c>
      <c r="D94" s="43">
        <f>D93+1</f>
        <v>93</v>
      </c>
      <c r="E94" s="48">
        <v>67.554324767632593</v>
      </c>
      <c r="F94" s="43">
        <f>D94/1076</f>
        <v>8.6431226765799257E-2</v>
      </c>
      <c r="G94" s="45">
        <f>1000*E94*$J$2*9.81/1000</f>
        <v>13254.158519409517</v>
      </c>
    </row>
    <row r="95" spans="1:7" ht="14.4" x14ac:dyDescent="0.3">
      <c r="A95" s="46">
        <v>33.822200000000002</v>
      </c>
      <c r="B95" s="47">
        <v>42430</v>
      </c>
      <c r="C95" s="48">
        <f>A95*($H$2/$I$2)</f>
        <v>33.285926735921272</v>
      </c>
      <c r="D95" s="48">
        <f>D94+1</f>
        <v>94</v>
      </c>
      <c r="E95" s="43">
        <v>67.120513942044823</v>
      </c>
      <c r="F95" s="48">
        <f>D95/1076</f>
        <v>8.7360594795539037E-2</v>
      </c>
      <c r="G95" s="49">
        <f>1000*E95*$J$2*9.81/1000</f>
        <v>13169.044835429195</v>
      </c>
    </row>
    <row r="96" spans="1:7" ht="14.4" x14ac:dyDescent="0.3">
      <c r="A96" s="41">
        <v>37.327399999999997</v>
      </c>
      <c r="B96" s="42">
        <v>42401</v>
      </c>
      <c r="C96" s="43">
        <f>A96*($H$2/$I$2)</f>
        <v>36.735549480590485</v>
      </c>
      <c r="D96" s="43">
        <f>D95+1</f>
        <v>95</v>
      </c>
      <c r="E96" s="43">
        <v>67.024658283214876</v>
      </c>
      <c r="F96" s="43">
        <f>D96/1076</f>
        <v>8.8289962825278817E-2</v>
      </c>
      <c r="G96" s="45">
        <f>1000*E96*$J$2*9.81/1000</f>
        <v>13150.237955166758</v>
      </c>
    </row>
    <row r="97" spans="1:7" ht="14.4" x14ac:dyDescent="0.3">
      <c r="A97" s="46">
        <v>58.195500000000003</v>
      </c>
      <c r="B97" s="47">
        <v>42370</v>
      </c>
      <c r="C97" s="48">
        <f>A97*($H$2/$I$2)</f>
        <v>57.272772006560963</v>
      </c>
      <c r="D97" s="48">
        <f>D96+1</f>
        <v>96</v>
      </c>
      <c r="E97" s="43">
        <v>66.835308911973755</v>
      </c>
      <c r="F97" s="48">
        <f>D97/1076</f>
        <v>8.9219330855018583E-2</v>
      </c>
      <c r="G97" s="49">
        <f>1000*E97*$J$2*9.81/1000</f>
        <v>13113.087608529251</v>
      </c>
    </row>
    <row r="98" spans="1:7" ht="14.4" x14ac:dyDescent="0.3">
      <c r="A98" s="41">
        <v>33.006999999999998</v>
      </c>
      <c r="B98" s="42">
        <v>42339</v>
      </c>
      <c r="C98" s="43">
        <f>A98*($H$2/$I$2)</f>
        <v>32.48365226899945</v>
      </c>
      <c r="D98" s="43">
        <f>D97+1</f>
        <v>97</v>
      </c>
      <c r="E98" s="43">
        <v>66.723313285948606</v>
      </c>
      <c r="F98" s="43">
        <f>D98/1076</f>
        <v>9.0148698884758363E-2</v>
      </c>
      <c r="G98" s="45">
        <f>1000*E98*$J$2*9.81/1000</f>
        <v>13091.114066703116</v>
      </c>
    </row>
    <row r="99" spans="1:7" ht="14.4" x14ac:dyDescent="0.3">
      <c r="A99" s="46">
        <v>24.524000000000001</v>
      </c>
      <c r="B99" s="47">
        <v>42309</v>
      </c>
      <c r="C99" s="48">
        <f>A99*($H$2/$I$2)</f>
        <v>24.135155822854017</v>
      </c>
      <c r="D99" s="48">
        <f>D98+1</f>
        <v>98</v>
      </c>
      <c r="E99" s="48">
        <v>66.631394204483314</v>
      </c>
      <c r="F99" s="48">
        <f>D99/1076</f>
        <v>9.1078066914498143E-2</v>
      </c>
      <c r="G99" s="49">
        <f>1000*E99*$J$2*9.81/1000</f>
        <v>13073.079542919626</v>
      </c>
    </row>
    <row r="100" spans="1:7" ht="14.4" x14ac:dyDescent="0.3">
      <c r="A100" s="41">
        <v>6.7336999999999998</v>
      </c>
      <c r="B100" s="42">
        <v>42278</v>
      </c>
      <c r="C100" s="43">
        <f>A100*($H$2/$I$2)</f>
        <v>6.6269327501366861</v>
      </c>
      <c r="D100" s="43">
        <f>D99+1</f>
        <v>99</v>
      </c>
      <c r="E100" s="48">
        <v>66.566047020229618</v>
      </c>
      <c r="F100" s="43">
        <f>D100/1076</f>
        <v>9.2007434944237923E-2</v>
      </c>
      <c r="G100" s="45">
        <f>1000*E100*$J$2*9.81/1000</f>
        <v>13060.258425369051</v>
      </c>
    </row>
    <row r="101" spans="1:7" ht="14.4" x14ac:dyDescent="0.3">
      <c r="A101" s="46">
        <v>11.097200000000001</v>
      </c>
      <c r="B101" s="47">
        <v>42248</v>
      </c>
      <c r="C101" s="48">
        <f>A101*($H$2/$I$2)</f>
        <v>10.921246582832149</v>
      </c>
      <c r="D101" s="48">
        <f>D100+1</f>
        <v>100</v>
      </c>
      <c r="E101" s="48">
        <v>66.425511208310553</v>
      </c>
      <c r="F101" s="48">
        <f>D101/1076</f>
        <v>9.2936802973977689E-2</v>
      </c>
      <c r="G101" s="49">
        <f>1000*E101*$J$2*9.81/1000</f>
        <v>13032.68529907053</v>
      </c>
    </row>
    <row r="102" spans="1:7" ht="14.4" x14ac:dyDescent="0.3">
      <c r="A102" s="41">
        <v>7.0179</v>
      </c>
      <c r="B102" s="42">
        <v>42217</v>
      </c>
      <c r="C102" s="43">
        <f>A102*($H$2/$I$2)</f>
        <v>6.9066265718972115</v>
      </c>
      <c r="D102" s="43">
        <f>D101+1</f>
        <v>101</v>
      </c>
      <c r="E102" s="43">
        <v>66.301312192454887</v>
      </c>
      <c r="F102" s="43">
        <f>D102/1076</f>
        <v>9.3866171003717469E-2</v>
      </c>
      <c r="G102" s="45">
        <f>1000*E102*$J$2*9.81/1000</f>
        <v>13008.317452159648</v>
      </c>
    </row>
    <row r="103" spans="1:7" ht="14.4" x14ac:dyDescent="0.3">
      <c r="A103" s="46">
        <v>8.4612999999999996</v>
      </c>
      <c r="B103" s="47">
        <v>42186</v>
      </c>
      <c r="C103" s="48">
        <f>A103*($H$2/$I$2)</f>
        <v>8.3271405139420445</v>
      </c>
      <c r="D103" s="48">
        <f>D102+1</f>
        <v>102</v>
      </c>
      <c r="E103" s="48">
        <v>66.272279934390383</v>
      </c>
      <c r="F103" s="48">
        <f>D103/1076</f>
        <v>9.4795539033457249E-2</v>
      </c>
      <c r="G103" s="49">
        <f>1000*E103*$J$2*9.81/1000</f>
        <v>13002.621323127394</v>
      </c>
    </row>
    <row r="104" spans="1:7" ht="14.4" x14ac:dyDescent="0.3">
      <c r="A104" s="41">
        <v>10.272500000000001</v>
      </c>
      <c r="B104" s="42">
        <v>42156</v>
      </c>
      <c r="C104" s="43">
        <f>A104*($H$2/$I$2)</f>
        <v>10.109622744669219</v>
      </c>
      <c r="D104" s="43">
        <f>D103+1</f>
        <v>103</v>
      </c>
      <c r="E104" s="48">
        <v>66.103499179879705</v>
      </c>
      <c r="F104" s="43">
        <f>D104/1076</f>
        <v>9.5724907063197029E-2</v>
      </c>
      <c r="G104" s="45">
        <f>1000*E104*$J$2*9.81/1000</f>
        <v>12969.506539092396</v>
      </c>
    </row>
    <row r="105" spans="1:7" ht="14.4" x14ac:dyDescent="0.3">
      <c r="A105" s="46">
        <v>12.792199999999999</v>
      </c>
      <c r="B105" s="47">
        <v>42125</v>
      </c>
      <c r="C105" s="48">
        <f>A105*($H$2/$I$2)</f>
        <v>12.589371241115362</v>
      </c>
      <c r="D105" s="48">
        <f>D104+1</f>
        <v>104</v>
      </c>
      <c r="E105" s="43">
        <v>66.012367413887375</v>
      </c>
      <c r="F105" s="48">
        <f>D105/1076</f>
        <v>9.6654275092936809E-2</v>
      </c>
      <c r="G105" s="49">
        <f>1000*E105*$J$2*9.81/1000</f>
        <v>12951.626486604706</v>
      </c>
    </row>
    <row r="106" spans="1:7" ht="14.4" x14ac:dyDescent="0.3">
      <c r="A106" s="41">
        <v>16.830400000000001</v>
      </c>
      <c r="B106" s="42">
        <v>42095</v>
      </c>
      <c r="C106" s="43">
        <f>A106*($H$2/$I$2)</f>
        <v>16.563542919628212</v>
      </c>
      <c r="D106" s="43">
        <f>D105+1</f>
        <v>105</v>
      </c>
      <c r="E106" s="48">
        <v>65.990027337342809</v>
      </c>
      <c r="F106" s="43">
        <f>D106/1076</f>
        <v>9.7583643122676575E-2</v>
      </c>
      <c r="G106" s="45">
        <f>1000*E106*$J$2*9.81/1000</f>
        <v>12947.243363586658</v>
      </c>
    </row>
    <row r="107" spans="1:7" ht="14.4" x14ac:dyDescent="0.3">
      <c r="A107" s="46">
        <v>24.661200000000001</v>
      </c>
      <c r="B107" s="47">
        <v>42064</v>
      </c>
      <c r="C107" s="48">
        <f>A107*($H$2/$I$2)</f>
        <v>24.270180426462549</v>
      </c>
      <c r="D107" s="48">
        <f>D106+1</f>
        <v>106</v>
      </c>
      <c r="E107" s="48">
        <v>65.328879168944781</v>
      </c>
      <c r="F107" s="48">
        <f>D107/1076</f>
        <v>9.8513011152416355E-2</v>
      </c>
      <c r="G107" s="49">
        <f>1000*E107*$J$2*9.81/1000</f>
        <v>12817.526092946968</v>
      </c>
    </row>
    <row r="108" spans="1:7" ht="14.4" x14ac:dyDescent="0.3">
      <c r="A108" s="41">
        <v>19.479199999999999</v>
      </c>
      <c r="B108" s="42">
        <v>42036</v>
      </c>
      <c r="C108" s="43">
        <f>A108*($H$2/$I$2)</f>
        <v>19.170344450519408</v>
      </c>
      <c r="D108" s="43">
        <f>D107+1</f>
        <v>107</v>
      </c>
      <c r="E108" s="48">
        <v>65.301126298523783</v>
      </c>
      <c r="F108" s="43">
        <f>D108/1076</f>
        <v>9.9442379182156135E-2</v>
      </c>
      <c r="G108" s="45">
        <f>1000*E108*$J$2*9.81/1000</f>
        <v>12812.080979770368</v>
      </c>
    </row>
    <row r="109" spans="1:7" ht="14.4" x14ac:dyDescent="0.3">
      <c r="A109" s="46">
        <v>11.541</v>
      </c>
      <c r="B109" s="47">
        <v>42005</v>
      </c>
      <c r="C109" s="48">
        <f>A109*($H$2/$I$2)</f>
        <v>11.358009841443412</v>
      </c>
      <c r="D109" s="48">
        <f>D108+1</f>
        <v>108</v>
      </c>
      <c r="E109" s="48">
        <v>64.847534171678518</v>
      </c>
      <c r="F109" s="48">
        <f>D109/1076</f>
        <v>0.10037174721189591</v>
      </c>
      <c r="G109" s="49">
        <f>1000*E109*$J$2*9.81/1000</f>
        <v>12723.086204483327</v>
      </c>
    </row>
    <row r="110" spans="1:7" ht="14.4" x14ac:dyDescent="0.3">
      <c r="A110" s="41">
        <v>6.44</v>
      </c>
      <c r="B110" s="42">
        <v>41913</v>
      </c>
      <c r="C110" s="43">
        <f>A110*($H$2/$I$2)</f>
        <v>6.3378895571350462</v>
      </c>
      <c r="D110" s="43">
        <f>D109+1</f>
        <v>109</v>
      </c>
      <c r="E110" s="43">
        <v>64.551995626025146</v>
      </c>
      <c r="F110" s="43">
        <f>D110/1076</f>
        <v>0.10130111524163568</v>
      </c>
      <c r="G110" s="45">
        <f>1000*E110*$J$2*9.81/1000</f>
        <v>12665.101541826134</v>
      </c>
    </row>
    <row r="111" spans="1:7" ht="14.4" x14ac:dyDescent="0.3">
      <c r="A111" s="46">
        <v>5.1100000000000003</v>
      </c>
      <c r="B111" s="47">
        <v>41883</v>
      </c>
      <c r="C111" s="48">
        <f>A111*($H$2/$I$2)</f>
        <v>5.0289775833788957</v>
      </c>
      <c r="D111" s="48">
        <f>D110+1</f>
        <v>110</v>
      </c>
      <c r="E111" s="43">
        <v>64.038665937670856</v>
      </c>
      <c r="F111" s="48">
        <f>D111/1076</f>
        <v>0.10223048327137546</v>
      </c>
      <c r="G111" s="49">
        <f>1000*E111*$J$2*9.81/1000</f>
        <v>12564.386256971022</v>
      </c>
    </row>
    <row r="112" spans="1:7" ht="14.4" x14ac:dyDescent="0.3">
      <c r="A112" s="41">
        <v>7.53</v>
      </c>
      <c r="B112" s="42">
        <v>41852</v>
      </c>
      <c r="C112" s="43">
        <f>A112*($H$2/$I$2)</f>
        <v>7.4106068890103884</v>
      </c>
      <c r="D112" s="43">
        <f>D111+1</f>
        <v>111</v>
      </c>
      <c r="E112" s="43">
        <v>63.894291962821207</v>
      </c>
      <c r="F112" s="43">
        <f>D112/1076</f>
        <v>0.10315985130111524</v>
      </c>
      <c r="G112" s="45">
        <f>1000*E112*$J$2*9.81/1000</f>
        <v>12536.06008310552</v>
      </c>
    </row>
    <row r="113" spans="1:7" ht="14.4" x14ac:dyDescent="0.3">
      <c r="A113" s="46">
        <v>8.17</v>
      </c>
      <c r="B113" s="47">
        <v>41821</v>
      </c>
      <c r="C113" s="48">
        <f>A113*($H$2/$I$2)</f>
        <v>8.0404592673592123</v>
      </c>
      <c r="D113" s="48">
        <f>D112+1</f>
        <v>112</v>
      </c>
      <c r="E113" s="48">
        <v>63.824024056861667</v>
      </c>
      <c r="F113" s="48">
        <f>D113/1076</f>
        <v>0.10408921933085502</v>
      </c>
      <c r="G113" s="49">
        <f>1000*E113*$J$2*9.81/1000</f>
        <v>12522.273519956259</v>
      </c>
    </row>
    <row r="114" spans="1:7" ht="14.4" x14ac:dyDescent="0.3">
      <c r="A114" s="41">
        <v>5.96</v>
      </c>
      <c r="B114" s="42">
        <v>41791</v>
      </c>
      <c r="C114" s="43">
        <f>A114*($H$2/$I$2)</f>
        <v>5.8655002733734278</v>
      </c>
      <c r="D114" s="43">
        <f>D113+1</f>
        <v>113</v>
      </c>
      <c r="E114" s="43">
        <v>63.683685073810821</v>
      </c>
      <c r="F114" s="43">
        <f>D114/1076</f>
        <v>0.1050185873605948</v>
      </c>
      <c r="G114" s="45">
        <f>1000*E114*$J$2*9.81/1000</f>
        <v>12494.739011481683</v>
      </c>
    </row>
    <row r="115" spans="1:7" ht="14.4" x14ac:dyDescent="0.3">
      <c r="A115" s="46">
        <v>8.8276000000000003</v>
      </c>
      <c r="B115" s="47">
        <v>41760</v>
      </c>
      <c r="C115" s="48">
        <f>A115*($H$2/$I$2)</f>
        <v>8.6876325861126293</v>
      </c>
      <c r="D115" s="48">
        <f>D114+1</f>
        <v>114</v>
      </c>
      <c r="E115" s="48">
        <v>63.581530891197382</v>
      </c>
      <c r="F115" s="48">
        <f>D115/1076</f>
        <v>0.10594795539033457</v>
      </c>
      <c r="G115" s="49">
        <f>1000*E115*$J$2*9.81/1000</f>
        <v>12474.696360852928</v>
      </c>
    </row>
    <row r="116" spans="1:7" ht="14.4" x14ac:dyDescent="0.3">
      <c r="A116" s="41">
        <v>12.789199999999999</v>
      </c>
      <c r="B116" s="42">
        <v>41730</v>
      </c>
      <c r="C116" s="43">
        <f>A116*($H$2/$I$2)</f>
        <v>12.586418808091853</v>
      </c>
      <c r="D116" s="43">
        <f>D115+1</f>
        <v>115</v>
      </c>
      <c r="E116" s="43">
        <v>63.462055768179326</v>
      </c>
      <c r="F116" s="43">
        <f>D116/1076</f>
        <v>0.10687732342007435</v>
      </c>
      <c r="G116" s="45">
        <f>1000*E116*$J$2*9.81/1000</f>
        <v>12451.255341716787</v>
      </c>
    </row>
    <row r="117" spans="1:7" ht="14.4" x14ac:dyDescent="0.3">
      <c r="A117" s="46">
        <v>12.855600000000001</v>
      </c>
      <c r="B117" s="47">
        <v>41699</v>
      </c>
      <c r="C117" s="48">
        <f>A117*($H$2/$I$2)</f>
        <v>12.651765992345544</v>
      </c>
      <c r="D117" s="48">
        <f>D116+1</f>
        <v>116</v>
      </c>
      <c r="E117" s="48">
        <v>63.420131219245491</v>
      </c>
      <c r="F117" s="48">
        <f>D117/1076</f>
        <v>0.10780669144981413</v>
      </c>
      <c r="G117" s="49">
        <f>1000*E117*$J$2*9.81/1000</f>
        <v>12443.029745215967</v>
      </c>
    </row>
    <row r="118" spans="1:7" ht="14.4" x14ac:dyDescent="0.3">
      <c r="A118" s="41">
        <v>15.194100000000001</v>
      </c>
      <c r="B118" s="42">
        <v>41671</v>
      </c>
      <c r="C118" s="43">
        <f>A118*($H$2/$I$2)</f>
        <v>14.953187534171679</v>
      </c>
      <c r="D118" s="43">
        <f>D117+1</f>
        <v>117</v>
      </c>
      <c r="E118" s="48">
        <v>63.304494259158005</v>
      </c>
      <c r="F118" s="43">
        <f>D118/1076</f>
        <v>0.10873605947955391</v>
      </c>
      <c r="G118" s="45">
        <f>1000*E118*$J$2*9.81/1000</f>
        <v>12420.341773646802</v>
      </c>
    </row>
    <row r="119" spans="1:7" ht="14.4" x14ac:dyDescent="0.3">
      <c r="A119" s="46">
        <v>21.010400000000001</v>
      </c>
      <c r="B119" s="47">
        <v>41640</v>
      </c>
      <c r="C119" s="48">
        <f>A119*($H$2/$I$2)</f>
        <v>20.677266265718973</v>
      </c>
      <c r="D119" s="48">
        <f>D118+1</f>
        <v>118</v>
      </c>
      <c r="E119" s="48">
        <v>62.492181519956262</v>
      </c>
      <c r="F119" s="48">
        <f>D119/1076</f>
        <v>0.10966542750929369</v>
      </c>
      <c r="G119" s="49">
        <f>1000*E119*$J$2*9.81/1000</f>
        <v>12260.966014215419</v>
      </c>
    </row>
    <row r="120" spans="1:7" ht="14.4" x14ac:dyDescent="0.3">
      <c r="A120" s="41">
        <v>40.2316</v>
      </c>
      <c r="B120" s="42">
        <v>41609</v>
      </c>
      <c r="C120" s="43">
        <f>A120*($H$2/$I$2)</f>
        <v>39.593701476216509</v>
      </c>
      <c r="D120" s="43">
        <f>D119+1</f>
        <v>119</v>
      </c>
      <c r="E120" s="43">
        <v>62.376544559868783</v>
      </c>
      <c r="F120" s="43">
        <f>D120/1076</f>
        <v>0.11059479553903345</v>
      </c>
      <c r="G120" s="45">
        <f>1000*E120*$J$2*9.81/1000</f>
        <v>12238.278042646254</v>
      </c>
    </row>
    <row r="121" spans="1:7" ht="14.4" x14ac:dyDescent="0.3">
      <c r="A121" s="46">
        <v>22.378499999999999</v>
      </c>
      <c r="B121" s="47">
        <v>41579</v>
      </c>
      <c r="C121" s="48">
        <f>A121*($H$2/$I$2)</f>
        <v>22.023674138873698</v>
      </c>
      <c r="D121" s="48">
        <f>D120+1</f>
        <v>120</v>
      </c>
      <c r="E121" s="43">
        <v>61.743346090759978</v>
      </c>
      <c r="F121" s="48">
        <f>D121/1076</f>
        <v>0.11152416356877323</v>
      </c>
      <c r="G121" s="49">
        <f>1000*E121*$J$2*9.81/1000</f>
        <v>12114.044503007108</v>
      </c>
    </row>
    <row r="122" spans="1:7" ht="14.4" x14ac:dyDescent="0.3">
      <c r="A122" s="41">
        <v>20.237200000000001</v>
      </c>
      <c r="B122" s="42">
        <v>41548</v>
      </c>
      <c r="C122" s="43">
        <f>A122*($H$2/$I$2)</f>
        <v>19.9163258611263</v>
      </c>
      <c r="D122" s="43">
        <f>D121+1</f>
        <v>121</v>
      </c>
      <c r="E122" s="43">
        <v>61.55724439584472</v>
      </c>
      <c r="F122" s="43">
        <f>D122/1076</f>
        <v>0.11245353159851301</v>
      </c>
      <c r="G122" s="45">
        <f>1000*E122*$J$2*9.81/1000</f>
        <v>12077.531350464735</v>
      </c>
    </row>
    <row r="123" spans="1:7" ht="14.4" x14ac:dyDescent="0.3">
      <c r="A123" s="46">
        <v>14.4411</v>
      </c>
      <c r="B123" s="47">
        <v>41518</v>
      </c>
      <c r="C123" s="48">
        <f>A123*($H$2/$I$2)</f>
        <v>14.212126845270639</v>
      </c>
      <c r="D123" s="48">
        <f>D122+1</f>
        <v>122</v>
      </c>
      <c r="E123" s="48">
        <v>61.528802624384909</v>
      </c>
      <c r="F123" s="48">
        <f>D123/1076</f>
        <v>0.11338289962825279</v>
      </c>
      <c r="G123" s="49">
        <f>1000*E123*$J$2*9.81/1000</f>
        <v>12071.951074904318</v>
      </c>
    </row>
    <row r="124" spans="1:7" ht="14.4" x14ac:dyDescent="0.3">
      <c r="A124" s="41">
        <v>15.351599999999999</v>
      </c>
      <c r="B124" s="42">
        <v>41487</v>
      </c>
      <c r="C124" s="43">
        <f>A124*($H$2/$I$2)</f>
        <v>15.108190267905959</v>
      </c>
      <c r="D124" s="43">
        <f>D123+1</f>
        <v>123</v>
      </c>
      <c r="E124" s="43">
        <v>60.94156369600875</v>
      </c>
      <c r="F124" s="43">
        <f>D124/1076</f>
        <v>0.11431226765799256</v>
      </c>
      <c r="G124" s="45">
        <f>1000*E124*$J$2*9.81/1000</f>
        <v>11956.734797156916</v>
      </c>
    </row>
    <row r="125" spans="1:7" ht="14.4" x14ac:dyDescent="0.3">
      <c r="A125" s="46">
        <v>20.604600000000001</v>
      </c>
      <c r="B125" s="47">
        <v>41456</v>
      </c>
      <c r="C125" s="48">
        <f>A125*($H$2/$I$2)</f>
        <v>20.27790049207217</v>
      </c>
      <c r="D125" s="48">
        <f>D124+1</f>
        <v>124</v>
      </c>
      <c r="E125" s="43">
        <v>60.677616183706945</v>
      </c>
      <c r="F125" s="48">
        <f>D125/1076</f>
        <v>0.11524163568773234</v>
      </c>
      <c r="G125" s="49">
        <f>1000*E125*$J$2*9.81/1000</f>
        <v>11904.948295243303</v>
      </c>
    </row>
    <row r="126" spans="1:7" ht="14.4" x14ac:dyDescent="0.3">
      <c r="A126" s="41">
        <v>23.569400000000002</v>
      </c>
      <c r="B126" s="42">
        <v>41426</v>
      </c>
      <c r="C126" s="43">
        <f>A126*($H$2/$I$2)</f>
        <v>23.195691634773102</v>
      </c>
      <c r="D126" s="43">
        <f>D125+1</f>
        <v>125</v>
      </c>
      <c r="E126" s="48">
        <v>60.535800984144338</v>
      </c>
      <c r="F126" s="43">
        <f>D126/1076</f>
        <v>0.11617100371747212</v>
      </c>
      <c r="G126" s="45">
        <f>1000*E126*$J$2*9.81/1000</f>
        <v>11877.124153089118</v>
      </c>
    </row>
    <row r="127" spans="1:7" ht="14.4" x14ac:dyDescent="0.3">
      <c r="A127" s="46">
        <v>25.539400000000001</v>
      </c>
      <c r="B127" s="47">
        <v>41395</v>
      </c>
      <c r="C127" s="48">
        <f>A127*($H$2/$I$2)</f>
        <v>25.134455986878073</v>
      </c>
      <c r="D127" s="48">
        <f>D126+1</f>
        <v>126</v>
      </c>
      <c r="E127" s="48">
        <v>60.425478403499177</v>
      </c>
      <c r="F127" s="48">
        <f>D127/1076</f>
        <v>0.1171003717472119</v>
      </c>
      <c r="G127" s="49">
        <f>1000*E127*$J$2*9.81/1000</f>
        <v>11855.47886276654</v>
      </c>
    </row>
    <row r="128" spans="1:7" ht="14.4" x14ac:dyDescent="0.3">
      <c r="A128" s="41">
        <v>36.4343</v>
      </c>
      <c r="B128" s="42">
        <v>41365</v>
      </c>
      <c r="C128" s="43">
        <f>A128*($H$2/$I$2)</f>
        <v>35.856610169491525</v>
      </c>
      <c r="D128" s="43">
        <f>D127+1</f>
        <v>127</v>
      </c>
      <c r="E128" s="48">
        <v>60.303149261891747</v>
      </c>
      <c r="F128" s="43">
        <f>D128/1076</f>
        <v>0.11802973977695168</v>
      </c>
      <c r="G128" s="45">
        <f>1000*E128*$J$2*9.81/1000</f>
        <v>11831.477885183162</v>
      </c>
    </row>
    <row r="129" spans="1:7" ht="14.4" x14ac:dyDescent="0.3">
      <c r="A129" s="46">
        <v>43.986400000000003</v>
      </c>
      <c r="B129" s="47">
        <v>41334</v>
      </c>
      <c r="C129" s="48">
        <f>A129*($H$2/$I$2)</f>
        <v>43.288966648441772</v>
      </c>
      <c r="D129" s="48">
        <f>D128+1</f>
        <v>128</v>
      </c>
      <c r="E129" s="43">
        <v>60.085850191361395</v>
      </c>
      <c r="F129" s="48">
        <f>D129/1076</f>
        <v>0.11895910780669144</v>
      </c>
      <c r="G129" s="49">
        <f>1000*E129*$J$2*9.81/1000</f>
        <v>11788.843807545107</v>
      </c>
    </row>
    <row r="130" spans="1:7" ht="14.4" x14ac:dyDescent="0.3">
      <c r="A130" s="41">
        <v>67.369500000000002</v>
      </c>
      <c r="B130" s="42">
        <v>41306</v>
      </c>
      <c r="C130" s="43">
        <f>A130*($H$2/$I$2)</f>
        <v>66.301312192454887</v>
      </c>
      <c r="D130" s="43">
        <f>D129+1</f>
        <v>129</v>
      </c>
      <c r="E130" s="43">
        <v>60.06026243849098</v>
      </c>
      <c r="F130" s="43">
        <f>D130/1076</f>
        <v>0.11988847583643122</v>
      </c>
      <c r="G130" s="45">
        <f>1000*E130*$J$2*9.81/1000</f>
        <v>11783.823490431929</v>
      </c>
    </row>
    <row r="131" spans="1:7" ht="14.4" x14ac:dyDescent="0.3">
      <c r="A131" s="46">
        <v>96.552400000000006</v>
      </c>
      <c r="B131" s="47">
        <v>41275</v>
      </c>
      <c r="C131" s="48">
        <f>A131*($H$2/$I$2)</f>
        <v>95.021498086386003</v>
      </c>
      <c r="D131" s="48">
        <f>D130+1</f>
        <v>130</v>
      </c>
      <c r="E131" s="43">
        <v>59.886757791142699</v>
      </c>
      <c r="F131" s="48">
        <f>D131/1076</f>
        <v>0.120817843866171</v>
      </c>
      <c r="G131" s="49">
        <f>1000*E131*$J$2*9.81/1000</f>
        <v>11749.781878622198</v>
      </c>
    </row>
    <row r="132" spans="1:7" ht="14.4" x14ac:dyDescent="0.3">
      <c r="A132" s="41">
        <v>27.204499999999999</v>
      </c>
      <c r="B132" s="42">
        <v>41244</v>
      </c>
      <c r="C132" s="43">
        <f>A132*($H$2/$I$2)</f>
        <v>26.773154729360304</v>
      </c>
      <c r="D132" s="43">
        <f>D131+1</f>
        <v>131</v>
      </c>
      <c r="E132" s="48">
        <v>59.723291416074353</v>
      </c>
      <c r="F132" s="43">
        <f>D132/1076</f>
        <v>0.12174721189591078</v>
      </c>
      <c r="G132" s="45">
        <f>1000*E132*$J$2*9.81/1000</f>
        <v>11717.70977583379</v>
      </c>
    </row>
    <row r="133" spans="1:7" ht="14.4" x14ac:dyDescent="0.3">
      <c r="A133" s="46">
        <v>20.9146</v>
      </c>
      <c r="B133" s="47">
        <v>41214</v>
      </c>
      <c r="C133" s="48">
        <f>A133*($H$2/$I$2)</f>
        <v>20.582985237834883</v>
      </c>
      <c r="D133" s="48">
        <f>D132+1</f>
        <v>132</v>
      </c>
      <c r="E133" s="43">
        <v>59.5498851831602</v>
      </c>
      <c r="F133" s="48">
        <f>D133/1076</f>
        <v>0.12267657992565056</v>
      </c>
      <c r="G133" s="49">
        <f>1000*E133*$J$2*9.81/1000</f>
        <v>11683.687472936032</v>
      </c>
    </row>
    <row r="134" spans="1:7" ht="14.4" x14ac:dyDescent="0.3">
      <c r="A134" s="41">
        <v>12.961499999999999</v>
      </c>
      <c r="B134" s="42">
        <v>41183</v>
      </c>
      <c r="C134" s="43">
        <f>A134*($H$2/$I$2)</f>
        <v>12.755986878075451</v>
      </c>
      <c r="D134" s="43">
        <f>D133+1</f>
        <v>133</v>
      </c>
      <c r="E134" s="43">
        <v>59.430902132312731</v>
      </c>
      <c r="F134" s="43">
        <f>D134/1076</f>
        <v>0.12360594795539033</v>
      </c>
      <c r="G134" s="45">
        <f>1000*E134*$J$2*9.81/1000</f>
        <v>11660.342998359758</v>
      </c>
    </row>
    <row r="135" spans="1:7" ht="14.4" x14ac:dyDescent="0.3">
      <c r="A135" s="46">
        <v>13.4122</v>
      </c>
      <c r="B135" s="47">
        <v>41153</v>
      </c>
      <c r="C135" s="48">
        <f>A135*($H$2/$I$2)</f>
        <v>13.199540732640788</v>
      </c>
      <c r="D135" s="48">
        <f>D134+1</f>
        <v>134</v>
      </c>
      <c r="E135" s="48">
        <v>59.308474576271188</v>
      </c>
      <c r="F135" s="48">
        <f>D135/1076</f>
        <v>0.12453531598513011</v>
      </c>
      <c r="G135" s="49">
        <f>1000*E135*$J$2*9.81/1000</f>
        <v>11636.322711864408</v>
      </c>
    </row>
    <row r="136" spans="1:7" ht="14.4" x14ac:dyDescent="0.3">
      <c r="A136" s="41">
        <v>16.6099</v>
      </c>
      <c r="B136" s="42">
        <v>41122</v>
      </c>
      <c r="C136" s="43">
        <f>A136*($H$2/$I$2)</f>
        <v>16.346539092400217</v>
      </c>
      <c r="D136" s="43">
        <f>D135+1</f>
        <v>135</v>
      </c>
      <c r="E136" s="48">
        <v>58.881060688901037</v>
      </c>
      <c r="F136" s="43">
        <f>D136/1076</f>
        <v>0.12546468401486988</v>
      </c>
      <c r="G136" s="45">
        <f>1000*E136*$J$2*9.81/1000</f>
        <v>11552.464107162385</v>
      </c>
    </row>
    <row r="137" spans="1:7" ht="14.4" x14ac:dyDescent="0.3">
      <c r="A137" s="46">
        <v>21.444400000000002</v>
      </c>
      <c r="B137" s="47">
        <v>41091</v>
      </c>
      <c r="C137" s="48">
        <f>A137*($H$2/$I$2)</f>
        <v>21.10438490978677</v>
      </c>
      <c r="D137" s="48">
        <f>D136+1</f>
        <v>136</v>
      </c>
      <c r="E137" s="43">
        <v>58.752039365773641</v>
      </c>
      <c r="F137" s="48">
        <f>D137/1076</f>
        <v>0.12639405204460966</v>
      </c>
      <c r="G137" s="49">
        <f>1000*E137*$J$2*9.81/1000</f>
        <v>11527.15012356479</v>
      </c>
    </row>
    <row r="138" spans="1:7" ht="14.4" x14ac:dyDescent="0.3">
      <c r="A138" s="41">
        <v>27.332899999999999</v>
      </c>
      <c r="B138" s="42">
        <v>41061</v>
      </c>
      <c r="C138" s="43">
        <f>A138*($H$2/$I$2)</f>
        <v>26.899518862766538</v>
      </c>
      <c r="D138" s="43">
        <f>D137+1</f>
        <v>137</v>
      </c>
      <c r="E138" s="48">
        <v>58.661498086386004</v>
      </c>
      <c r="F138" s="43">
        <f>D138/1076</f>
        <v>0.12732342007434944</v>
      </c>
      <c r="G138" s="45">
        <f>1000*E138*$J$2*9.81/1000</f>
        <v>11509.385924548933</v>
      </c>
    </row>
    <row r="139" spans="1:7" ht="14.4" x14ac:dyDescent="0.3">
      <c r="A139" s="46">
        <v>28.126300000000001</v>
      </c>
      <c r="B139" s="47">
        <v>41030</v>
      </c>
      <c r="C139" s="48">
        <f>A139*($H$2/$I$2)</f>
        <v>27.680338983050849</v>
      </c>
      <c r="D139" s="48">
        <f>D138+1</f>
        <v>138</v>
      </c>
      <c r="E139" s="48">
        <v>57.935888463641334</v>
      </c>
      <c r="F139" s="48">
        <f>D139/1076</f>
        <v>0.12825278810408922</v>
      </c>
      <c r="G139" s="49">
        <f>1000*E139*$J$2*9.81/1000</f>
        <v>11367.02131656643</v>
      </c>
    </row>
    <row r="140" spans="1:7" ht="14.4" x14ac:dyDescent="0.3">
      <c r="A140" s="41">
        <v>31.1952</v>
      </c>
      <c r="B140" s="42">
        <v>41000</v>
      </c>
      <c r="C140" s="43">
        <f>A140*($H$2/$I$2)</f>
        <v>30.700579551667577</v>
      </c>
      <c r="D140" s="43">
        <f>D139+1</f>
        <v>139</v>
      </c>
      <c r="E140" s="48">
        <v>57.744177145981411</v>
      </c>
      <c r="F140" s="43">
        <f>D140/1076</f>
        <v>0.129182156133829</v>
      </c>
      <c r="G140" s="45">
        <f>1000*E140*$J$2*9.81/1000</f>
        <v>11329.407556041553</v>
      </c>
    </row>
    <row r="141" spans="1:7" ht="14.4" x14ac:dyDescent="0.3">
      <c r="A141" s="46">
        <v>43.012</v>
      </c>
      <c r="B141" s="47">
        <v>40969</v>
      </c>
      <c r="C141" s="48">
        <f>A141*($H$2/$I$2)</f>
        <v>42.330016402405683</v>
      </c>
      <c r="D141" s="48">
        <f>D140+1</f>
        <v>140</v>
      </c>
      <c r="E141" s="43">
        <v>57.715144887916892</v>
      </c>
      <c r="F141" s="48">
        <f>D141/1076</f>
        <v>0.13011152416356878</v>
      </c>
      <c r="G141" s="49">
        <f>1000*E141*$J$2*9.81/1000</f>
        <v>11323.711427009293</v>
      </c>
    </row>
    <row r="142" spans="1:7" ht="14.4" x14ac:dyDescent="0.3">
      <c r="A142" s="41">
        <v>52.276899999999998</v>
      </c>
      <c r="B142" s="42">
        <v>40940</v>
      </c>
      <c r="C142" s="43">
        <f>A142*($H$2/$I$2)</f>
        <v>51.44801530891197</v>
      </c>
      <c r="D142" s="43">
        <f>D141+1</f>
        <v>141</v>
      </c>
      <c r="E142" s="43">
        <v>57.400415527610718</v>
      </c>
      <c r="F142" s="43">
        <f>D142/1076</f>
        <v>0.13104089219330856</v>
      </c>
      <c r="G142" s="45">
        <f>1000*E142*$J$2*9.81/1000</f>
        <v>11261.961526517222</v>
      </c>
    </row>
    <row r="143" spans="1:7" ht="14.4" x14ac:dyDescent="0.3">
      <c r="A143" s="46">
        <v>88.2363</v>
      </c>
      <c r="B143" s="47">
        <v>40909</v>
      </c>
      <c r="C143" s="48">
        <f>A143*($H$2/$I$2)</f>
        <v>86.837255330781844</v>
      </c>
      <c r="D143" s="48">
        <f>D142+1</f>
        <v>142</v>
      </c>
      <c r="E143" s="43">
        <v>57.353767085839252</v>
      </c>
      <c r="F143" s="48">
        <f>D143/1076</f>
        <v>0.13197026022304834</v>
      </c>
      <c r="G143" s="49">
        <f>1000*E143*$J$2*9.81/1000</f>
        <v>11252.809102241661</v>
      </c>
    </row>
    <row r="144" spans="1:7" ht="14.4" x14ac:dyDescent="0.3">
      <c r="A144" s="41">
        <v>64.709699999999998</v>
      </c>
      <c r="B144" s="42">
        <v>40878</v>
      </c>
      <c r="C144" s="43">
        <f>A144*($H$2/$I$2)</f>
        <v>63.683685073810821</v>
      </c>
      <c r="D144" s="43">
        <f>D143+1</f>
        <v>143</v>
      </c>
      <c r="E144" s="43">
        <v>57.290781848004372</v>
      </c>
      <c r="F144" s="43">
        <f>D144/1076</f>
        <v>0.13289962825278812</v>
      </c>
      <c r="G144" s="45">
        <f>1000*E144*$J$2*9.81/1000</f>
        <v>11240.451398578458</v>
      </c>
    </row>
    <row r="145" spans="1:7" ht="14.4" x14ac:dyDescent="0.3">
      <c r="A145" s="46">
        <v>18.610399999999998</v>
      </c>
      <c r="B145" s="47">
        <v>40848</v>
      </c>
      <c r="C145" s="48">
        <f>A145*($H$2/$I$2)</f>
        <v>18.315319846910878</v>
      </c>
      <c r="D145" s="48">
        <f>D144+1</f>
        <v>144</v>
      </c>
      <c r="E145" s="48">
        <v>57.272772006560963</v>
      </c>
      <c r="F145" s="48">
        <f>D145/1076</f>
        <v>0.13382899628252787</v>
      </c>
      <c r="G145" s="49">
        <f>1000*E145*$J$2*9.81/1000</f>
        <v>11236.917867687262</v>
      </c>
    </row>
    <row r="146" spans="1:7" ht="14.4" x14ac:dyDescent="0.3">
      <c r="A146" s="41">
        <v>17.383800000000001</v>
      </c>
      <c r="B146" s="42">
        <v>40817</v>
      </c>
      <c r="C146" s="43">
        <f>A146*($H$2/$I$2)</f>
        <v>17.108168398031712</v>
      </c>
      <c r="D146" s="43">
        <f>D145+1</f>
        <v>145</v>
      </c>
      <c r="E146" s="43">
        <v>57.189513395297979</v>
      </c>
      <c r="F146" s="43">
        <f>D146/1076</f>
        <v>0.13475836431226765</v>
      </c>
      <c r="G146" s="45">
        <f>1000*E146*$J$2*9.81/1000</f>
        <v>11220.582528157465</v>
      </c>
    </row>
    <row r="147" spans="1:7" ht="14.4" x14ac:dyDescent="0.3">
      <c r="A147" s="46">
        <v>13.5962</v>
      </c>
      <c r="B147" s="47">
        <v>40787</v>
      </c>
      <c r="C147" s="48">
        <f>A147*($H$2/$I$2)</f>
        <v>13.380623291416073</v>
      </c>
      <c r="D147" s="48">
        <f>D146+1</f>
        <v>146</v>
      </c>
      <c r="E147" s="48">
        <v>56.959814106068883</v>
      </c>
      <c r="F147" s="48">
        <f>D147/1076</f>
        <v>0.13568773234200743</v>
      </c>
      <c r="G147" s="49">
        <f>1000*E147*$J$2*9.81/1000</f>
        <v>11175.515527610718</v>
      </c>
    </row>
    <row r="148" spans="1:7" ht="14.4" x14ac:dyDescent="0.3">
      <c r="A148" s="41">
        <v>17.466200000000001</v>
      </c>
      <c r="B148" s="42">
        <v>40756</v>
      </c>
      <c r="C148" s="43">
        <f>A148*($H$2/$I$2)</f>
        <v>17.189261891744124</v>
      </c>
      <c r="D148" s="43">
        <f>D147+1</f>
        <v>147</v>
      </c>
      <c r="E148" s="43">
        <v>56.875669764898852</v>
      </c>
      <c r="F148" s="43">
        <f>D148/1076</f>
        <v>0.13661710037174721</v>
      </c>
      <c r="G148" s="45">
        <f>1000*E148*$J$2*9.81/1000</f>
        <v>11159.006407873156</v>
      </c>
    </row>
    <row r="149" spans="1:7" ht="14.4" x14ac:dyDescent="0.3">
      <c r="A149" s="46">
        <v>20.782499999999999</v>
      </c>
      <c r="B149" s="47">
        <v>40725</v>
      </c>
      <c r="C149" s="48">
        <f>A149*($H$2/$I$2)</f>
        <v>20.452979770366319</v>
      </c>
      <c r="D149" s="48">
        <f>D148+1</f>
        <v>148</v>
      </c>
      <c r="E149" s="43">
        <v>56.838075451066153</v>
      </c>
      <c r="F149" s="48">
        <f>D149/1076</f>
        <v>0.13754646840148699</v>
      </c>
      <c r="G149" s="49">
        <f>1000*E149*$J$2*9.81/1000</f>
        <v>11151.630403499179</v>
      </c>
    </row>
    <row r="150" spans="1:7" ht="14.4" x14ac:dyDescent="0.3">
      <c r="A150" s="41">
        <v>25.9527</v>
      </c>
      <c r="B150" s="42">
        <v>40695</v>
      </c>
      <c r="C150" s="43">
        <f>A150*($H$2/$I$2)</f>
        <v>25.541202843083653</v>
      </c>
      <c r="D150" s="43">
        <f>D149+1</f>
        <v>149</v>
      </c>
      <c r="E150" s="43">
        <v>56.467545106615631</v>
      </c>
      <c r="F150" s="43">
        <f>D150/1076</f>
        <v>0.13847583643122677</v>
      </c>
      <c r="G150" s="45">
        <f>1000*E150*$J$2*9.81/1000</f>
        <v>11078.932349917988</v>
      </c>
    </row>
    <row r="151" spans="1:7" ht="14.4" x14ac:dyDescent="0.3">
      <c r="A151" s="46">
        <v>25.068200000000001</v>
      </c>
      <c r="B151" s="47">
        <v>40664</v>
      </c>
      <c r="C151" s="48">
        <f>A151*($H$2/$I$2)</f>
        <v>24.670727173318753</v>
      </c>
      <c r="D151" s="48">
        <f>D150+1</f>
        <v>150</v>
      </c>
      <c r="E151" s="43">
        <v>56.428671405139418</v>
      </c>
      <c r="F151" s="48">
        <f>D151/1076</f>
        <v>0.13940520446096655</v>
      </c>
      <c r="G151" s="49">
        <f>1000*E151*$J$2*9.81/1000</f>
        <v>11071.305329688354</v>
      </c>
    </row>
    <row r="152" spans="1:7" ht="14.4" x14ac:dyDescent="0.3">
      <c r="A152" s="41">
        <v>39.679099999999998</v>
      </c>
      <c r="B152" s="42">
        <v>40634</v>
      </c>
      <c r="C152" s="43">
        <f>A152*($H$2/$I$2)</f>
        <v>39.04996172772006</v>
      </c>
      <c r="D152" s="43">
        <f>D151+1</f>
        <v>151</v>
      </c>
      <c r="E152" s="43">
        <v>56.403575724439584</v>
      </c>
      <c r="F152" s="43">
        <f>D152/1076</f>
        <v>0.14033457249070633</v>
      </c>
      <c r="G152" s="45">
        <f>1000*E152*$J$2*9.81/1000</f>
        <v>11066.381557135048</v>
      </c>
    </row>
    <row r="153" spans="1:7" ht="14.4" x14ac:dyDescent="0.3">
      <c r="A153" s="46">
        <v>56.004899999999999</v>
      </c>
      <c r="B153" s="47">
        <v>40603</v>
      </c>
      <c r="C153" s="48">
        <f>A153*($H$2/$I$2)</f>
        <v>55.116905412793876</v>
      </c>
      <c r="D153" s="48">
        <f>D152+1</f>
        <v>152</v>
      </c>
      <c r="E153" s="48">
        <v>56.072607982504096</v>
      </c>
      <c r="F153" s="48">
        <f>D153/1076</f>
        <v>0.14126394052044611</v>
      </c>
      <c r="G153" s="49">
        <f>1000*E153*$J$2*9.81/1000</f>
        <v>11001.445686167304</v>
      </c>
    </row>
    <row r="154" spans="1:7" ht="14.4" x14ac:dyDescent="0.3">
      <c r="A154" s="41">
        <v>47.403700000000001</v>
      </c>
      <c r="B154" s="42">
        <v>40575</v>
      </c>
      <c r="C154" s="43">
        <f>A154*($H$2/$I$2)</f>
        <v>46.652083105522145</v>
      </c>
      <c r="D154" s="43">
        <f>D153+1</f>
        <v>153</v>
      </c>
      <c r="E154" s="43">
        <v>56.055680699835968</v>
      </c>
      <c r="F154" s="43">
        <f>D154/1076</f>
        <v>0.14219330855018589</v>
      </c>
      <c r="G154" s="45">
        <f>1000*E154*$J$2*9.81/1000</f>
        <v>10998.124553307818</v>
      </c>
    </row>
    <row r="155" spans="1:7" ht="14.4" customHeight="1" x14ac:dyDescent="0.3">
      <c r="A155" s="46">
        <v>136.33260000000001</v>
      </c>
      <c r="B155" s="47">
        <v>40544</v>
      </c>
      <c r="C155" s="48">
        <f>A155*($H$2/$I$2)</f>
        <v>134.17095680699836</v>
      </c>
      <c r="D155" s="48">
        <f>D154+1</f>
        <v>154</v>
      </c>
      <c r="E155" s="43">
        <v>55.925872061235651</v>
      </c>
      <c r="F155" s="48">
        <f>D155/1076</f>
        <v>0.14312267657992564</v>
      </c>
      <c r="G155" s="49">
        <f>1000*E155*$J$2*9.81/1000</f>
        <v>10972.656098414434</v>
      </c>
    </row>
    <row r="156" spans="1:7" ht="14.4" x14ac:dyDescent="0.3">
      <c r="A156" s="41">
        <v>53.146500000000003</v>
      </c>
      <c r="B156" s="42">
        <v>40513</v>
      </c>
      <c r="C156" s="43">
        <f>A156*($H$2/$I$2)</f>
        <v>52.303827227993438</v>
      </c>
      <c r="D156" s="43">
        <f>D155+1</f>
        <v>155</v>
      </c>
      <c r="E156" s="48">
        <v>55.917506834335697</v>
      </c>
      <c r="F156" s="43">
        <f>D156/1076</f>
        <v>0.14405204460966542</v>
      </c>
      <c r="G156" s="45">
        <f>1000*E156*$J$2*9.81/1000</f>
        <v>10971.014840896663</v>
      </c>
    </row>
    <row r="157" spans="1:7" ht="14.4" x14ac:dyDescent="0.3">
      <c r="A157" s="46">
        <v>38.015000000000001</v>
      </c>
      <c r="B157" s="47">
        <v>40483</v>
      </c>
      <c r="C157" s="48">
        <f>A157*($H$2/$I$2)</f>
        <v>37.412247129579008</v>
      </c>
      <c r="D157" s="48">
        <f>D156+1</f>
        <v>156</v>
      </c>
      <c r="E157" s="43">
        <v>55.753843630399118</v>
      </c>
      <c r="F157" s="48">
        <f>D157/1076</f>
        <v>0.1449814126394052</v>
      </c>
      <c r="G157" s="49">
        <f>1000*E157*$J$2*9.81/1000</f>
        <v>10938.904120284305</v>
      </c>
    </row>
    <row r="158" spans="1:7" ht="14.4" x14ac:dyDescent="0.3">
      <c r="A158" s="41">
        <v>20.4818</v>
      </c>
      <c r="B158" s="42">
        <v>40452</v>
      </c>
      <c r="C158" s="43">
        <f>A158*($H$2/$I$2)</f>
        <v>20.157047566976487</v>
      </c>
      <c r="D158" s="43">
        <f>D157+1</f>
        <v>157</v>
      </c>
      <c r="E158" s="43">
        <v>55.604155276107157</v>
      </c>
      <c r="F158" s="43">
        <f>D158/1076</f>
        <v>0.14591078066914498</v>
      </c>
      <c r="G158" s="45">
        <f>1000*E158*$J$2*9.81/1000</f>
        <v>10909.535265172224</v>
      </c>
    </row>
    <row r="159" spans="1:7" ht="14.4" x14ac:dyDescent="0.3">
      <c r="A159" s="46">
        <v>13.420999999999999</v>
      </c>
      <c r="B159" s="47">
        <v>40422</v>
      </c>
      <c r="C159" s="48">
        <f>A159*($H$2/$I$2)</f>
        <v>13.208201202843082</v>
      </c>
      <c r="D159" s="48">
        <f>D158+1</f>
        <v>158</v>
      </c>
      <c r="E159" s="48">
        <v>55.593428102788408</v>
      </c>
      <c r="F159" s="48">
        <f>D159/1076</f>
        <v>0.14684014869888476</v>
      </c>
      <c r="G159" s="49">
        <f>1000*E159*$J$2*9.81/1000</f>
        <v>10907.430593767085</v>
      </c>
    </row>
    <row r="160" spans="1:7" ht="14.4" x14ac:dyDescent="0.3">
      <c r="A160" s="41">
        <v>14.541399999999999</v>
      </c>
      <c r="B160" s="42">
        <v>40391</v>
      </c>
      <c r="C160" s="43">
        <f>A160*($H$2/$I$2)</f>
        <v>14.310836522689993</v>
      </c>
      <c r="D160" s="43">
        <f>D159+1</f>
        <v>159</v>
      </c>
      <c r="E160" s="43">
        <v>55.192881355932201</v>
      </c>
      <c r="F160" s="43">
        <f>D160/1076</f>
        <v>0.14776951672862454</v>
      </c>
      <c r="G160" s="45">
        <f>1000*E160*$J$2*9.81/1000</f>
        <v>10828.843322033899</v>
      </c>
    </row>
    <row r="161" spans="1:7" ht="14.4" x14ac:dyDescent="0.3">
      <c r="A161" s="46">
        <v>18.931999999999999</v>
      </c>
      <c r="B161" s="47">
        <v>40360</v>
      </c>
      <c r="C161" s="48">
        <f>A161*($H$2/$I$2)</f>
        <v>18.631820667031164</v>
      </c>
      <c r="D161" s="48">
        <f>D160+1</f>
        <v>160</v>
      </c>
      <c r="E161" s="48">
        <v>55.116905412793876</v>
      </c>
      <c r="F161" s="48">
        <f>D161/1076</f>
        <v>0.14869888475836432</v>
      </c>
      <c r="G161" s="49">
        <f>1000*E161*$J$2*9.81/1000</f>
        <v>10813.93684199016</v>
      </c>
    </row>
    <row r="162" spans="1:7" ht="14.4" x14ac:dyDescent="0.3">
      <c r="A162" s="41">
        <v>25.57</v>
      </c>
      <c r="B162" s="42">
        <v>40330</v>
      </c>
      <c r="C162" s="43">
        <f>A162*($H$2/$I$2)</f>
        <v>25.164570803717879</v>
      </c>
      <c r="D162" s="43">
        <f>D161+1</f>
        <v>161</v>
      </c>
      <c r="E162" s="43">
        <v>55.048015308911971</v>
      </c>
      <c r="F162" s="43">
        <f>D162/1076</f>
        <v>0.1496282527881041</v>
      </c>
      <c r="G162" s="45">
        <f>1000*E162*$J$2*9.81/1000</f>
        <v>10800.420603608531</v>
      </c>
    </row>
    <row r="163" spans="1:7" ht="14.4" x14ac:dyDescent="0.3">
      <c r="A163" s="46">
        <v>26.650099999999998</v>
      </c>
      <c r="B163" s="47">
        <v>40299</v>
      </c>
      <c r="C163" s="48">
        <f>A163*($H$2/$I$2)</f>
        <v>26.227545106615633</v>
      </c>
      <c r="D163" s="48">
        <f>D162+1</f>
        <v>162</v>
      </c>
      <c r="E163" s="43">
        <v>55.014849644614543</v>
      </c>
      <c r="F163" s="48">
        <f>D163/1076</f>
        <v>0.15055762081784388</v>
      </c>
      <c r="G163" s="49">
        <f>1000*E163*$J$2*9.81/1000</f>
        <v>10793.913500273375</v>
      </c>
    </row>
    <row r="164" spans="1:7" ht="14.4" x14ac:dyDescent="0.3">
      <c r="A164" s="41">
        <v>35.437399999999997</v>
      </c>
      <c r="B164" s="42">
        <v>40269</v>
      </c>
      <c r="C164" s="43">
        <f>A164*($H$2/$I$2)</f>
        <v>34.87551667577911</v>
      </c>
      <c r="D164" s="43">
        <f>D163+1</f>
        <v>163</v>
      </c>
      <c r="E164" s="43">
        <v>54.998020776380528</v>
      </c>
      <c r="F164" s="43">
        <f>D164/1076</f>
        <v>0.15148698884758363</v>
      </c>
      <c r="G164" s="45">
        <f>1000*E164*$J$2*9.81/1000</f>
        <v>10790.61167632586</v>
      </c>
    </row>
    <row r="165" spans="1:7" ht="14.4" x14ac:dyDescent="0.3">
      <c r="A165" s="46">
        <v>51.638199999999998</v>
      </c>
      <c r="B165" s="47">
        <v>40238</v>
      </c>
      <c r="C165" s="48">
        <f>A165*($H$2/$I$2)</f>
        <v>50.819442318206669</v>
      </c>
      <c r="D165" s="48">
        <f>D164+1</f>
        <v>164</v>
      </c>
      <c r="E165" s="43">
        <v>54.637036632039361</v>
      </c>
      <c r="F165" s="48">
        <f>D165/1076</f>
        <v>0.15241635687732341</v>
      </c>
      <c r="G165" s="49">
        <f>1000*E165*$J$2*9.81/1000</f>
        <v>10719.786587206123</v>
      </c>
    </row>
    <row r="166" spans="1:7" ht="14.4" x14ac:dyDescent="0.3">
      <c r="A166" s="41">
        <v>40.549799999999998</v>
      </c>
      <c r="B166" s="42">
        <v>40210</v>
      </c>
      <c r="C166" s="43">
        <f>A166*($H$2/$I$2)</f>
        <v>39.906856205576815</v>
      </c>
      <c r="D166" s="43">
        <f>D165+1</f>
        <v>165</v>
      </c>
      <c r="E166" s="48">
        <v>54.440207763805361</v>
      </c>
      <c r="F166" s="43">
        <f>D166/1076</f>
        <v>0.15334572490706319</v>
      </c>
      <c r="G166" s="45">
        <f>1000*E166*$J$2*9.81/1000</f>
        <v>10681.168763258613</v>
      </c>
    </row>
    <row r="167" spans="1:7" ht="14.4" x14ac:dyDescent="0.3">
      <c r="A167" s="46">
        <v>75.135599999999997</v>
      </c>
      <c r="B167" s="47">
        <v>40179</v>
      </c>
      <c r="C167" s="48">
        <f>A167*($H$2/$I$2)</f>
        <v>73.94427556041552</v>
      </c>
      <c r="D167" s="48">
        <f>D166+1</f>
        <v>166</v>
      </c>
      <c r="E167" s="48">
        <v>54.268572990705302</v>
      </c>
      <c r="F167" s="48">
        <f>D167/1076</f>
        <v>0.15427509293680297</v>
      </c>
      <c r="G167" s="49">
        <f>1000*E167*$J$2*9.81/1000</f>
        <v>10647.494020776381</v>
      </c>
    </row>
    <row r="168" spans="1:7" ht="14.4" x14ac:dyDescent="0.3">
      <c r="A168" s="41">
        <v>80.338899999999995</v>
      </c>
      <c r="B168" s="42">
        <v>40148</v>
      </c>
      <c r="C168" s="43">
        <f>A168*($H$2/$I$2)</f>
        <v>79.065073810825581</v>
      </c>
      <c r="D168" s="43">
        <f>D167+1</f>
        <v>167</v>
      </c>
      <c r="E168" s="43">
        <v>54.261585565882996</v>
      </c>
      <c r="F168" s="43">
        <f>D168/1076</f>
        <v>0.15520446096654275</v>
      </c>
      <c r="G168" s="45">
        <f>1000*E168*$J$2*9.81/1000</f>
        <v>10646.123088026245</v>
      </c>
    </row>
    <row r="169" spans="1:7" ht="14.4" x14ac:dyDescent="0.3">
      <c r="A169" s="46">
        <v>31.094100000000001</v>
      </c>
      <c r="B169" s="47">
        <v>40118</v>
      </c>
      <c r="C169" s="48">
        <f>A169*($H$2/$I$2)</f>
        <v>30.601082558775285</v>
      </c>
      <c r="D169" s="48">
        <f>D168+1</f>
        <v>168</v>
      </c>
      <c r="E169" s="43">
        <v>53.983072717331872</v>
      </c>
      <c r="F169" s="48">
        <f>D169/1076</f>
        <v>0.15613382899628253</v>
      </c>
      <c r="G169" s="49">
        <f>1000*E169*$J$2*9.81/1000</f>
        <v>10591.478867140515</v>
      </c>
    </row>
    <row r="170" spans="1:7" ht="14.4" x14ac:dyDescent="0.3">
      <c r="A170" s="41">
        <v>35.353900000000003</v>
      </c>
      <c r="B170" s="42">
        <v>40087</v>
      </c>
      <c r="C170" s="43">
        <f>A170*($H$2/$I$2)</f>
        <v>34.793340623291421</v>
      </c>
      <c r="D170" s="43">
        <f>D169+1</f>
        <v>169</v>
      </c>
      <c r="E170" s="48">
        <v>53.814390377255329</v>
      </c>
      <c r="F170" s="43">
        <f>D170/1076</f>
        <v>0.15706319702602231</v>
      </c>
      <c r="G170" s="45">
        <f>1000*E170*$J$2*9.81/1000</f>
        <v>10558.383392017497</v>
      </c>
    </row>
    <row r="171" spans="1:7" ht="14.4" x14ac:dyDescent="0.3">
      <c r="A171" s="46">
        <v>27.6876</v>
      </c>
      <c r="B171" s="47">
        <v>40057</v>
      </c>
      <c r="C171" s="48">
        <f>A171*($H$2/$I$2)</f>
        <v>27.248594860579551</v>
      </c>
      <c r="D171" s="48">
        <f>D170+1</f>
        <v>170</v>
      </c>
      <c r="E171" s="48">
        <v>53.760459267359217</v>
      </c>
      <c r="F171" s="48">
        <f>D171/1076</f>
        <v>0.15799256505576209</v>
      </c>
      <c r="G171" s="49">
        <f>1000*E171*$J$2*9.81/1000</f>
        <v>10547.802108255879</v>
      </c>
    </row>
    <row r="172" spans="1:7" ht="14.4" x14ac:dyDescent="0.3">
      <c r="A172" s="41">
        <v>20.2315</v>
      </c>
      <c r="B172" s="42">
        <v>40026</v>
      </c>
      <c r="C172" s="43">
        <f>A172*($H$2/$I$2)</f>
        <v>19.910716238381628</v>
      </c>
      <c r="D172" s="43">
        <f>D171+1</f>
        <v>171</v>
      </c>
      <c r="E172" s="43">
        <v>53.651022416621103</v>
      </c>
      <c r="F172" s="43">
        <f>D172/1076</f>
        <v>0.15892193308550187</v>
      </c>
      <c r="G172" s="45">
        <f>1000*E172*$J$2*9.81/1000</f>
        <v>10526.330598141063</v>
      </c>
    </row>
    <row r="173" spans="1:7" ht="14.4" x14ac:dyDescent="0.3">
      <c r="A173" s="46">
        <v>25.360499999999998</v>
      </c>
      <c r="B173" s="47">
        <v>39995</v>
      </c>
      <c r="C173" s="48">
        <f>A173*($H$2/$I$2)</f>
        <v>24.958392564242754</v>
      </c>
      <c r="D173" s="48">
        <f>D172+1</f>
        <v>172</v>
      </c>
      <c r="E173" s="43">
        <v>53.600831055221427</v>
      </c>
      <c r="F173" s="48">
        <f>D173/1076</f>
        <v>0.15985130111524162</v>
      </c>
      <c r="G173" s="49">
        <f>1000*E173*$J$2*9.81/1000</f>
        <v>10516.483053034446</v>
      </c>
    </row>
    <row r="174" spans="1:7" ht="14.4" x14ac:dyDescent="0.3">
      <c r="A174" s="41">
        <v>28.717600000000001</v>
      </c>
      <c r="B174" s="42">
        <v>39965</v>
      </c>
      <c r="C174" s="43">
        <f>A174*($H$2/$I$2)</f>
        <v>28.26226353198469</v>
      </c>
      <c r="D174" s="43">
        <f>D173+1</f>
        <v>173</v>
      </c>
      <c r="E174" s="43">
        <v>53.392094040459263</v>
      </c>
      <c r="F174" s="43">
        <f>D174/1076</f>
        <v>0.1607806691449814</v>
      </c>
      <c r="G174" s="45">
        <f>1000*E174*$J$2*9.81/1000</f>
        <v>10475.528850738108</v>
      </c>
    </row>
    <row r="175" spans="1:7" ht="14.4" x14ac:dyDescent="0.3">
      <c r="A175" s="46">
        <v>34.745100000000001</v>
      </c>
      <c r="B175" s="47">
        <v>39934</v>
      </c>
      <c r="C175" s="48">
        <f>A175*($H$2/$I$2)</f>
        <v>34.194193548387098</v>
      </c>
      <c r="D175" s="48">
        <f>D174+1</f>
        <v>174</v>
      </c>
      <c r="E175" s="48">
        <v>53.373296883542913</v>
      </c>
      <c r="F175" s="48">
        <f>D175/1076</f>
        <v>0.16171003717472118</v>
      </c>
      <c r="G175" s="49">
        <f>1000*E175*$J$2*9.81/1000</f>
        <v>10471.840848551121</v>
      </c>
    </row>
    <row r="176" spans="1:7" ht="14.4" x14ac:dyDescent="0.3">
      <c r="A176" s="41">
        <v>61.655200000000001</v>
      </c>
      <c r="B176" s="42">
        <v>39904</v>
      </c>
      <c r="C176" s="43">
        <f>A176*($H$2/$I$2)</f>
        <v>60.677616183706945</v>
      </c>
      <c r="D176" s="43">
        <f>D175+1</f>
        <v>175</v>
      </c>
      <c r="E176" s="48">
        <v>53.284330235101145</v>
      </c>
      <c r="F176" s="43">
        <f>D176/1076</f>
        <v>0.16263940520446096</v>
      </c>
      <c r="G176" s="45">
        <f>1000*E176*$J$2*9.81/1000</f>
        <v>10454.385592126844</v>
      </c>
    </row>
    <row r="177" spans="1:7" ht="14.4" x14ac:dyDescent="0.3">
      <c r="A177" s="46">
        <v>65.892300000000006</v>
      </c>
      <c r="B177" s="47">
        <v>39873</v>
      </c>
      <c r="C177" s="48">
        <f>A177*($H$2/$I$2)</f>
        <v>64.847534171678518</v>
      </c>
      <c r="D177" s="48">
        <f>D176+1</f>
        <v>176</v>
      </c>
      <c r="E177" s="48">
        <v>53.163969382176049</v>
      </c>
      <c r="F177" s="48">
        <f>D177/1076</f>
        <v>0.16356877323420074</v>
      </c>
      <c r="G177" s="49">
        <f>1000*E177*$J$2*9.81/1000</f>
        <v>10430.770792782941</v>
      </c>
    </row>
    <row r="178" spans="1:7" ht="14.4" x14ac:dyDescent="0.3">
      <c r="A178" s="41">
        <v>88.808700000000002</v>
      </c>
      <c r="B178" s="42">
        <v>39845</v>
      </c>
      <c r="C178" s="43">
        <f>A178*($H$2/$I$2)</f>
        <v>87.400579551667576</v>
      </c>
      <c r="D178" s="43">
        <f>D177+1</f>
        <v>177</v>
      </c>
      <c r="E178" s="48">
        <v>53.035636960087473</v>
      </c>
      <c r="F178" s="43">
        <f>D178/1076</f>
        <v>0.16449814126394052</v>
      </c>
      <c r="G178" s="45">
        <f>1000*E178*$J$2*9.81/1000</f>
        <v>10405.591971569162</v>
      </c>
    </row>
    <row r="179" spans="1:7" ht="14.4" x14ac:dyDescent="0.3">
      <c r="A179" s="46">
        <v>73.484399999999994</v>
      </c>
      <c r="B179" s="47">
        <v>39814</v>
      </c>
      <c r="C179" s="48">
        <f>A179*($H$2/$I$2)</f>
        <v>72.319256424275551</v>
      </c>
      <c r="D179" s="48">
        <f>D178+1</f>
        <v>178</v>
      </c>
      <c r="E179" s="43">
        <v>52.732028430836522</v>
      </c>
      <c r="F179" s="48">
        <f>D179/1076</f>
        <v>0.1654275092936803</v>
      </c>
      <c r="G179" s="49">
        <f>1000*E179*$J$2*9.81/1000</f>
        <v>10346.023978130126</v>
      </c>
    </row>
    <row r="180" spans="1:7" ht="14.4" x14ac:dyDescent="0.3">
      <c r="A180" s="41">
        <v>55.934899999999999</v>
      </c>
      <c r="B180" s="42">
        <v>39783</v>
      </c>
      <c r="C180" s="43">
        <f>A180*($H$2/$I$2)</f>
        <v>55.048015308911971</v>
      </c>
      <c r="D180" s="43">
        <f>D179+1</f>
        <v>179</v>
      </c>
      <c r="E180" s="48">
        <v>52.71431383269546</v>
      </c>
      <c r="F180" s="43">
        <f>D180/1076</f>
        <v>0.16635687732342008</v>
      </c>
      <c r="G180" s="45">
        <f>1000*E180*$J$2*9.81/1000</f>
        <v>10342.548373974849</v>
      </c>
    </row>
    <row r="181" spans="1:7" ht="14.4" x14ac:dyDescent="0.3">
      <c r="A181" s="46">
        <v>39.171599999999998</v>
      </c>
      <c r="B181" s="47">
        <v>39753</v>
      </c>
      <c r="C181" s="48">
        <f>A181*($H$2/$I$2)</f>
        <v>38.550508474576269</v>
      </c>
      <c r="D181" s="48">
        <f>D180+1</f>
        <v>180</v>
      </c>
      <c r="E181" s="48">
        <v>52.534117003827227</v>
      </c>
      <c r="F181" s="48">
        <f>D181/1076</f>
        <v>0.16728624535315986</v>
      </c>
      <c r="G181" s="49">
        <f>1000*E181*$J$2*9.81/1000</f>
        <v>10307.193756150904</v>
      </c>
    </row>
    <row r="182" spans="1:7" ht="14.4" x14ac:dyDescent="0.3">
      <c r="A182" s="41">
        <v>19.775500000000001</v>
      </c>
      <c r="B182" s="42">
        <v>39722</v>
      </c>
      <c r="C182" s="43">
        <f>A182*($H$2/$I$2)</f>
        <v>19.461946418808093</v>
      </c>
      <c r="D182" s="43">
        <f>D181+1</f>
        <v>181</v>
      </c>
      <c r="E182" s="43">
        <v>52.53323127392018</v>
      </c>
      <c r="F182" s="43">
        <f>D182/1076</f>
        <v>0.16821561338289961</v>
      </c>
      <c r="G182" s="45">
        <f>1000*E182*$J$2*9.81/1000</f>
        <v>10307.01997594314</v>
      </c>
    </row>
    <row r="183" spans="1:7" ht="14.4" x14ac:dyDescent="0.3">
      <c r="A183" s="46">
        <v>17.430499999999999</v>
      </c>
      <c r="B183" s="47">
        <v>39692</v>
      </c>
      <c r="C183" s="48">
        <f>A183*($H$2/$I$2)</f>
        <v>17.154127938764351</v>
      </c>
      <c r="D183" s="48">
        <f>D182+1</f>
        <v>182</v>
      </c>
      <c r="E183" s="43">
        <v>52.344275560415532</v>
      </c>
      <c r="F183" s="48">
        <f>D183/1076</f>
        <v>0.16914498141263939</v>
      </c>
      <c r="G183" s="49">
        <f>1000*E183*$J$2*9.81/1000</f>
        <v>10269.946864953527</v>
      </c>
    </row>
    <row r="184" spans="1:7" ht="14.4" x14ac:dyDescent="0.3">
      <c r="A184" s="41">
        <v>15.927199999999999</v>
      </c>
      <c r="B184" s="42">
        <v>39661</v>
      </c>
      <c r="C184" s="43">
        <f>A184*($H$2/$I$2)</f>
        <v>15.674663750683433</v>
      </c>
      <c r="D184" s="43">
        <f>D183+1</f>
        <v>183</v>
      </c>
      <c r="E184" s="48">
        <v>52.339846910880262</v>
      </c>
      <c r="F184" s="43">
        <f>D184/1076</f>
        <v>0.17007434944237917</v>
      </c>
      <c r="G184" s="45">
        <f>1000*E184*$J$2*9.81/1000</f>
        <v>10269.077963914708</v>
      </c>
    </row>
    <row r="185" spans="1:7" ht="14.4" x14ac:dyDescent="0.3">
      <c r="A185" s="46">
        <v>18.080100000000002</v>
      </c>
      <c r="B185" s="47">
        <v>39630</v>
      </c>
      <c r="C185" s="48">
        <f>A185*($H$2/$I$2)</f>
        <v>17.793428102788411</v>
      </c>
      <c r="D185" s="48">
        <f>D184+1</f>
        <v>184</v>
      </c>
      <c r="E185" s="43">
        <v>52.303827227993438</v>
      </c>
      <c r="F185" s="48">
        <f>D185/1076</f>
        <v>0.17100371747211895</v>
      </c>
      <c r="G185" s="49">
        <f>1000*E185*$J$2*9.81/1000</f>
        <v>10262.010902132313</v>
      </c>
    </row>
    <row r="186" spans="1:7" ht="14.4" x14ac:dyDescent="0.3">
      <c r="A186" s="41">
        <v>21.952400000000001</v>
      </c>
      <c r="B186" s="42">
        <v>39600</v>
      </c>
      <c r="C186" s="43">
        <f>A186*($H$2/$I$2)</f>
        <v>21.604330235101148</v>
      </c>
      <c r="D186" s="43">
        <f>D185+1</f>
        <v>185</v>
      </c>
      <c r="E186" s="48">
        <v>51.633231273920174</v>
      </c>
      <c r="F186" s="43">
        <f>D186/1076</f>
        <v>0.17193308550185873</v>
      </c>
      <c r="G186" s="45">
        <f>1000*E186*$J$2*9.81/1000</f>
        <v>10130.439975943138</v>
      </c>
    </row>
    <row r="187" spans="1:7" ht="14.4" x14ac:dyDescent="0.3">
      <c r="A187" s="46">
        <v>30.924499999999998</v>
      </c>
      <c r="B187" s="47">
        <v>39569</v>
      </c>
      <c r="C187" s="48">
        <f>A187*($H$2/$I$2)</f>
        <v>30.434171678512847</v>
      </c>
      <c r="D187" s="48">
        <f>D186+1</f>
        <v>186</v>
      </c>
      <c r="E187" s="48">
        <v>51.531864406779654</v>
      </c>
      <c r="F187" s="48">
        <f>D187/1076</f>
        <v>0.17286245353159851</v>
      </c>
      <c r="G187" s="49">
        <f>1000*E187*$J$2*9.81/1000</f>
        <v>10110.551796610169</v>
      </c>
    </row>
    <row r="188" spans="1:7" ht="14.4" x14ac:dyDescent="0.3">
      <c r="A188" s="41">
        <v>49.670299999999997</v>
      </c>
      <c r="B188" s="42">
        <v>39539</v>
      </c>
      <c r="C188" s="43">
        <f>A188*($H$2/$I$2)</f>
        <v>48.882744669218148</v>
      </c>
      <c r="D188" s="43">
        <f>D187+1</f>
        <v>187</v>
      </c>
      <c r="E188" s="43">
        <v>51.53107709130672</v>
      </c>
      <c r="F188" s="43">
        <f>D188/1076</f>
        <v>0.17379182156133829</v>
      </c>
      <c r="G188" s="45">
        <f>1000*E188*$J$2*9.81/1000</f>
        <v>10110.397325314378</v>
      </c>
    </row>
    <row r="189" spans="1:7" ht="14.4" x14ac:dyDescent="0.3">
      <c r="A189" s="46">
        <v>64.441900000000004</v>
      </c>
      <c r="B189" s="47">
        <v>39508</v>
      </c>
      <c r="C189" s="48">
        <f>A189*($H$2/$I$2)</f>
        <v>63.420131219245491</v>
      </c>
      <c r="D189" s="48">
        <f>D188+1</f>
        <v>188</v>
      </c>
      <c r="E189" s="43">
        <v>51.44801530891197</v>
      </c>
      <c r="F189" s="48">
        <f>D189/1076</f>
        <v>0.17472118959107807</v>
      </c>
      <c r="G189" s="49">
        <f>1000*E189*$J$2*9.81/1000</f>
        <v>10094.100603608529</v>
      </c>
    </row>
    <row r="190" spans="1:7" ht="14.4" x14ac:dyDescent="0.3">
      <c r="A190" s="41">
        <v>55.135800000000003</v>
      </c>
      <c r="B190" s="42">
        <v>39479</v>
      </c>
      <c r="C190" s="43">
        <f>A190*($H$2/$I$2)</f>
        <v>54.261585565882996</v>
      </c>
      <c r="D190" s="43">
        <f>D189+1</f>
        <v>189</v>
      </c>
      <c r="E190" s="48">
        <v>51.270770913067253</v>
      </c>
      <c r="F190" s="43">
        <f>D190/1076</f>
        <v>0.17565055762081785</v>
      </c>
      <c r="G190" s="45">
        <f>1000*E190*$J$2*9.81/1000</f>
        <v>10059.325253143796</v>
      </c>
    </row>
    <row r="191" spans="1:7" ht="14.4" x14ac:dyDescent="0.3">
      <c r="A191" s="46">
        <v>42.298499999999997</v>
      </c>
      <c r="B191" s="47">
        <v>39448</v>
      </c>
      <c r="C191" s="48">
        <f>A191*($H$2/$I$2)</f>
        <v>41.627829414980859</v>
      </c>
      <c r="D191" s="48">
        <f>D190+1</f>
        <v>190</v>
      </c>
      <c r="E191" s="48">
        <v>51.096675779114264</v>
      </c>
      <c r="F191" s="48">
        <f>D191/1076</f>
        <v>0.17657992565055763</v>
      </c>
      <c r="G191" s="49">
        <f>1000*E191*$J$2*9.81/1000</f>
        <v>10025.167787862221</v>
      </c>
    </row>
    <row r="192" spans="1:7" ht="14.4" x14ac:dyDescent="0.3">
      <c r="A192" s="41">
        <v>27.009699999999999</v>
      </c>
      <c r="B192" s="42">
        <v>39417</v>
      </c>
      <c r="C192" s="43">
        <f>A192*($H$2/$I$2)</f>
        <v>26.581443411700381</v>
      </c>
      <c r="D192" s="43">
        <f>D191+1</f>
        <v>191</v>
      </c>
      <c r="E192" s="48">
        <v>51.031919081465283</v>
      </c>
      <c r="F192" s="43">
        <f>D192/1076</f>
        <v>0.17750929368029739</v>
      </c>
      <c r="G192" s="45">
        <f>1000*E192*$J$2*9.81/1000</f>
        <v>10012.462523783488</v>
      </c>
    </row>
    <row r="193" spans="1:7" ht="14.4" x14ac:dyDescent="0.3">
      <c r="A193" s="46">
        <v>20.3703</v>
      </c>
      <c r="B193" s="47">
        <v>39387</v>
      </c>
      <c r="C193" s="48">
        <f>A193*($H$2/$I$2)</f>
        <v>20.047315472936031</v>
      </c>
      <c r="D193" s="48">
        <f>D192+1</f>
        <v>192</v>
      </c>
      <c r="E193" s="48">
        <v>51.021782394751227</v>
      </c>
      <c r="F193" s="48">
        <f>D193/1076</f>
        <v>0.17843866171003717</v>
      </c>
      <c r="G193" s="49">
        <f>1000*E193*$J$2*9.81/1000</f>
        <v>10010.473705850191</v>
      </c>
    </row>
    <row r="194" spans="1:7" ht="14.4" x14ac:dyDescent="0.3">
      <c r="A194" s="41">
        <v>12.0779</v>
      </c>
      <c r="B194" s="42">
        <v>39356</v>
      </c>
      <c r="C194" s="43">
        <f>A194*($H$2/$I$2)</f>
        <v>11.886396938217604</v>
      </c>
      <c r="D194" s="43">
        <f>D193+1</f>
        <v>193</v>
      </c>
      <c r="E194" s="48">
        <v>50.819442318206669</v>
      </c>
      <c r="F194" s="43">
        <f>D194/1076</f>
        <v>0.17936802973977695</v>
      </c>
      <c r="G194" s="45">
        <f>1000*E194*$J$2*9.81/1000</f>
        <v>9970.7745828321476</v>
      </c>
    </row>
    <row r="195" spans="1:7" ht="14.4" x14ac:dyDescent="0.3">
      <c r="A195" s="46">
        <v>9.7571999999999992</v>
      </c>
      <c r="B195" s="47">
        <v>39326</v>
      </c>
      <c r="C195" s="48">
        <f>A195*($H$2/$I$2)</f>
        <v>9.6024931656642956</v>
      </c>
      <c r="D195" s="48">
        <f>D194+1</f>
        <v>194</v>
      </c>
      <c r="E195" s="43">
        <v>50.637966101694914</v>
      </c>
      <c r="F195" s="48">
        <f>D195/1076</f>
        <v>0.18029739776951673</v>
      </c>
      <c r="G195" s="49">
        <f>1000*E195*$J$2*9.81/1000</f>
        <v>9935.1689491525431</v>
      </c>
    </row>
    <row r="196" spans="1:7" ht="14.4" x14ac:dyDescent="0.3">
      <c r="A196" s="41">
        <v>13.1275</v>
      </c>
      <c r="B196" s="42">
        <v>39295</v>
      </c>
      <c r="C196" s="43">
        <f>A196*($H$2/$I$2)</f>
        <v>12.919354838709676</v>
      </c>
      <c r="D196" s="43">
        <f>D195+1</f>
        <v>195</v>
      </c>
      <c r="E196" s="43">
        <v>50.617495899398577</v>
      </c>
      <c r="F196" s="43">
        <f>D196/1076</f>
        <v>0.18122676579925651</v>
      </c>
      <c r="G196" s="45">
        <f>1000*E196*$J$2*9.81/1000</f>
        <v>9931.1526954620022</v>
      </c>
    </row>
    <row r="197" spans="1:7" ht="14.4" x14ac:dyDescent="0.3">
      <c r="A197" s="46">
        <v>16.077300000000001</v>
      </c>
      <c r="B197" s="47">
        <v>39264</v>
      </c>
      <c r="C197" s="48">
        <f>A197*($H$2/$I$2)</f>
        <v>15.822383816293057</v>
      </c>
      <c r="D197" s="48">
        <f>D196+1</f>
        <v>196</v>
      </c>
      <c r="E197" s="48">
        <v>50.463575724439586</v>
      </c>
      <c r="F197" s="48">
        <f>D197/1076</f>
        <v>0.18215613382899629</v>
      </c>
      <c r="G197" s="49">
        <f>1000*E197*$J$2*9.81/1000</f>
        <v>9900.953557135048</v>
      </c>
    </row>
    <row r="198" spans="1:7" ht="14.4" x14ac:dyDescent="0.3">
      <c r="A198" s="41">
        <v>19.781099999999999</v>
      </c>
      <c r="B198" s="42">
        <v>39234</v>
      </c>
      <c r="C198" s="43">
        <f>A198*($H$2/$I$2)</f>
        <v>19.467457627118641</v>
      </c>
      <c r="D198" s="43">
        <f>D197+1</f>
        <v>197</v>
      </c>
      <c r="E198" s="48">
        <v>50.386714051394208</v>
      </c>
      <c r="F198" s="43">
        <f>D198/1076</f>
        <v>0.18308550185873607</v>
      </c>
      <c r="G198" s="45">
        <f>1000*E198*$J$2*9.81/1000</f>
        <v>9885.8732968835448</v>
      </c>
    </row>
    <row r="199" spans="1:7" ht="14.4" x14ac:dyDescent="0.3">
      <c r="A199" s="46">
        <v>23.184000000000001</v>
      </c>
      <c r="B199" s="47">
        <v>39203</v>
      </c>
      <c r="C199" s="48">
        <f>A199*($H$2/$I$2)</f>
        <v>22.816402405686169</v>
      </c>
      <c r="D199" s="48">
        <f>D198+1</f>
        <v>198</v>
      </c>
      <c r="E199" s="48">
        <v>50.284756697648987</v>
      </c>
      <c r="F199" s="48">
        <f>D199/1076</f>
        <v>0.18401486988847585</v>
      </c>
      <c r="G199" s="49">
        <f>1000*E199*$J$2*9.81/1000</f>
        <v>9865.8692640787322</v>
      </c>
    </row>
    <row r="200" spans="1:7" ht="14.4" x14ac:dyDescent="0.3">
      <c r="A200" s="41">
        <v>29.314900000000002</v>
      </c>
      <c r="B200" s="42">
        <v>39173</v>
      </c>
      <c r="C200" s="43">
        <f>A200*($H$2/$I$2)</f>
        <v>28.850092946965557</v>
      </c>
      <c r="D200" s="43">
        <f>D199+1</f>
        <v>199</v>
      </c>
      <c r="E200" s="43">
        <v>49.679704756697646</v>
      </c>
      <c r="F200" s="43">
        <f>D200/1076</f>
        <v>0.18494423791821563</v>
      </c>
      <c r="G200" s="45">
        <f>1000*E200*$J$2*9.81/1000</f>
        <v>9747.1580732640796</v>
      </c>
    </row>
    <row r="201" spans="1:7" ht="14.4" x14ac:dyDescent="0.3">
      <c r="A201" s="46">
        <v>38.129899999999999</v>
      </c>
      <c r="B201" s="47">
        <v>39142</v>
      </c>
      <c r="C201" s="48">
        <f>A201*($H$2/$I$2)</f>
        <v>37.525325314379444</v>
      </c>
      <c r="D201" s="48">
        <f>D200+1</f>
        <v>200</v>
      </c>
      <c r="E201" s="48">
        <v>49.585522143247672</v>
      </c>
      <c r="F201" s="48">
        <f>D201/1076</f>
        <v>0.18587360594795538</v>
      </c>
      <c r="G201" s="49">
        <f>1000*E201*$J$2*9.81/1000</f>
        <v>9728.6794445051946</v>
      </c>
    </row>
    <row r="202" spans="1:7" ht="14.4" x14ac:dyDescent="0.3">
      <c r="A202" s="41">
        <v>71.4251</v>
      </c>
      <c r="B202" s="42">
        <v>39114</v>
      </c>
      <c r="C202" s="43">
        <f>A202*($H$2/$I$2)</f>
        <v>70.292607982504094</v>
      </c>
      <c r="D202" s="43">
        <f>D201+1</f>
        <v>201</v>
      </c>
      <c r="E202" s="43">
        <v>49.45325314379442</v>
      </c>
      <c r="F202" s="43">
        <f>D202/1076</f>
        <v>0.18680297397769516</v>
      </c>
      <c r="G202" s="45">
        <f>1000*E202*$J$2*9.81/1000</f>
        <v>9702.7282668124662</v>
      </c>
    </row>
    <row r="203" spans="1:7" ht="14.4" x14ac:dyDescent="0.3">
      <c r="A203" s="46">
        <v>120.9607</v>
      </c>
      <c r="B203" s="47">
        <v>39083</v>
      </c>
      <c r="C203" s="48">
        <f>A203*($H$2/$I$2)</f>
        <v>119.04278840896664</v>
      </c>
      <c r="D203" s="48">
        <f>D202+1</f>
        <v>202</v>
      </c>
      <c r="E203" s="43">
        <v>49.430913067249861</v>
      </c>
      <c r="F203" s="48">
        <f>D203/1076</f>
        <v>0.18773234200743494</v>
      </c>
      <c r="G203" s="49">
        <f>1000*E203*$J$2*9.81/1000</f>
        <v>9698.3451437944223</v>
      </c>
    </row>
    <row r="204" spans="1:7" ht="14.4" x14ac:dyDescent="0.3">
      <c r="A204" s="41">
        <v>65.591999999999999</v>
      </c>
      <c r="B204" s="42">
        <v>39052</v>
      </c>
      <c r="C204" s="43">
        <f>A204*($H$2/$I$2)</f>
        <v>64.551995626025146</v>
      </c>
      <c r="D204" s="43">
        <f>D203+1</f>
        <v>203</v>
      </c>
      <c r="E204" s="43">
        <v>49.299234554401309</v>
      </c>
      <c r="F204" s="43">
        <f>D204/1076</f>
        <v>0.18866171003717472</v>
      </c>
      <c r="G204" s="45">
        <f>1000*E204*$J$2*9.81/1000</f>
        <v>9672.5098195735372</v>
      </c>
    </row>
    <row r="205" spans="1:7" ht="14.4" x14ac:dyDescent="0.3">
      <c r="A205" s="46">
        <v>30.913499999999999</v>
      </c>
      <c r="B205" s="47">
        <v>39022</v>
      </c>
      <c r="C205" s="48">
        <f>A205*($H$2/$I$2)</f>
        <v>30.423346090759978</v>
      </c>
      <c r="D205" s="48">
        <f>D204+1</f>
        <v>204</v>
      </c>
      <c r="E205" s="48">
        <v>49.247960634226352</v>
      </c>
      <c r="F205" s="48">
        <f>D205/1076</f>
        <v>0.1895910780669145</v>
      </c>
      <c r="G205" s="49">
        <f>1000*E205*$J$2*9.81/1000</f>
        <v>9662.4498764352102</v>
      </c>
    </row>
    <row r="206" spans="1:7" ht="14.4" x14ac:dyDescent="0.3">
      <c r="A206" s="41">
        <v>16.5412</v>
      </c>
      <c r="B206" s="42">
        <v>38991</v>
      </c>
      <c r="C206" s="43">
        <f>A206*($H$2/$I$2)</f>
        <v>16.278928376161836</v>
      </c>
      <c r="D206" s="43">
        <f>D205+1</f>
        <v>205</v>
      </c>
      <c r="E206" s="43">
        <v>49.194915254237287</v>
      </c>
      <c r="F206" s="43">
        <f>D206/1076</f>
        <v>0.19052044609665428</v>
      </c>
      <c r="G206" s="45">
        <f>1000*E206*$J$2*9.81/1000</f>
        <v>9652.0423728813566</v>
      </c>
    </row>
    <row r="207" spans="1:7" ht="14.4" x14ac:dyDescent="0.3">
      <c r="A207" s="46">
        <v>12.6846</v>
      </c>
      <c r="B207" s="47">
        <v>38961</v>
      </c>
      <c r="C207" s="48">
        <f>A207*($H$2/$I$2)</f>
        <v>12.483477310005467</v>
      </c>
      <c r="D207" s="48">
        <f>D206+1</f>
        <v>206</v>
      </c>
      <c r="E207" s="48">
        <v>49.107523236741386</v>
      </c>
      <c r="F207" s="48">
        <f>D207/1076</f>
        <v>0.19144981412639406</v>
      </c>
      <c r="G207" s="49">
        <f>1000*E207*$J$2*9.81/1000</f>
        <v>9634.8960590486604</v>
      </c>
    </row>
    <row r="208" spans="1:7" ht="14.4" x14ac:dyDescent="0.3">
      <c r="A208" s="41">
        <v>10.7164</v>
      </c>
      <c r="B208" s="42">
        <v>38930</v>
      </c>
      <c r="C208" s="43">
        <f>A208*($H$2/$I$2)</f>
        <v>10.546484417714598</v>
      </c>
      <c r="D208" s="43">
        <f>D207+1</f>
        <v>207</v>
      </c>
      <c r="E208" s="43">
        <v>48.882744669218148</v>
      </c>
      <c r="F208" s="43">
        <f>D208/1076</f>
        <v>0.19237918215613384</v>
      </c>
      <c r="G208" s="45">
        <f>1000*E208*$J$2*9.81/1000</f>
        <v>9590.7945041006005</v>
      </c>
    </row>
    <row r="209" spans="1:7" ht="14.4" x14ac:dyDescent="0.3">
      <c r="A209" s="46">
        <v>12.526300000000001</v>
      </c>
      <c r="B209" s="47">
        <v>38899</v>
      </c>
      <c r="C209" s="48">
        <f>A209*($H$2/$I$2)</f>
        <v>12.327687260798252</v>
      </c>
      <c r="D209" s="48">
        <f>D208+1</f>
        <v>208</v>
      </c>
      <c r="E209" s="44">
        <v>48.855188627665385</v>
      </c>
      <c r="F209" s="48">
        <f>D209/1076</f>
        <v>0.19330855018587362</v>
      </c>
      <c r="G209" s="49">
        <f>1000*E209*$J$2*9.81/1000</f>
        <v>9585.3880087479483</v>
      </c>
    </row>
    <row r="210" spans="1:7" ht="14.4" x14ac:dyDescent="0.3">
      <c r="A210" s="41">
        <v>14.9361</v>
      </c>
      <c r="B210" s="42">
        <v>38869</v>
      </c>
      <c r="C210" s="43">
        <f>A210*($H$2/$I$2)</f>
        <v>14.699278294149808</v>
      </c>
      <c r="D210" s="43">
        <f>D209+1</f>
        <v>209</v>
      </c>
      <c r="E210" s="43">
        <v>48.632279934390375</v>
      </c>
      <c r="F210" s="43">
        <f>D210/1076</f>
        <v>0.19423791821561337</v>
      </c>
      <c r="G210" s="45">
        <f>1000*E210*$J$2*9.81/1000</f>
        <v>9541.6533231273934</v>
      </c>
    </row>
    <row r="211" spans="1:7" ht="14.4" x14ac:dyDescent="0.3">
      <c r="A211" s="46">
        <v>19.181100000000001</v>
      </c>
      <c r="B211" s="47">
        <v>38838</v>
      </c>
      <c r="C211" s="48">
        <f>A211*($H$2/$I$2)</f>
        <v>18.876971022416623</v>
      </c>
      <c r="D211" s="48">
        <f>D210+1</f>
        <v>210</v>
      </c>
      <c r="E211" s="48">
        <v>48.314007654455985</v>
      </c>
      <c r="F211" s="48">
        <f>D211/1076</f>
        <v>0.19516728624535315</v>
      </c>
      <c r="G211" s="49">
        <f>1000*E211*$J$2*9.81/1000</f>
        <v>9479.2083018042649</v>
      </c>
    </row>
    <row r="212" spans="1:7" ht="14.4" x14ac:dyDescent="0.3">
      <c r="A212" s="41">
        <v>24.9359</v>
      </c>
      <c r="B212" s="42">
        <v>38808</v>
      </c>
      <c r="C212" s="43">
        <f>A212*($H$2/$I$2)</f>
        <v>24.540524876981955</v>
      </c>
      <c r="D212" s="43">
        <f>D211+1</f>
        <v>211</v>
      </c>
      <c r="E212" s="48">
        <v>48.105762711864408</v>
      </c>
      <c r="F212" s="43">
        <f>D212/1076</f>
        <v>0.19609665427509293</v>
      </c>
      <c r="G212" s="45">
        <f>1000*E212*$J$2*9.81/1000</f>
        <v>9438.3506440677975</v>
      </c>
    </row>
    <row r="213" spans="1:7" ht="14.4" x14ac:dyDescent="0.3">
      <c r="A213" s="46">
        <v>48.512300000000003</v>
      </c>
      <c r="B213" s="47">
        <v>38777</v>
      </c>
      <c r="C213" s="48">
        <f>A213*($H$2/$I$2)</f>
        <v>47.743105522143246</v>
      </c>
      <c r="D213" s="48">
        <f>D212+1</f>
        <v>212</v>
      </c>
      <c r="E213" s="43">
        <v>48.05370147621651</v>
      </c>
      <c r="F213" s="48">
        <f>D213/1076</f>
        <v>0.19702602230483271</v>
      </c>
      <c r="G213" s="49">
        <f>1000*E213*$J$2*9.81/1000</f>
        <v>9428.1362296336811</v>
      </c>
    </row>
    <row r="214" spans="1:7" ht="14.4" x14ac:dyDescent="0.3">
      <c r="A214" s="41">
        <v>34.701099999999997</v>
      </c>
      <c r="B214" s="42">
        <v>38749</v>
      </c>
      <c r="C214" s="43">
        <f>A214*($H$2/$I$2)</f>
        <v>34.150891197375614</v>
      </c>
      <c r="D214" s="43">
        <f>D213+1</f>
        <v>213</v>
      </c>
      <c r="E214" s="43">
        <v>47.896533624931656</v>
      </c>
      <c r="F214" s="43">
        <f>D214/1076</f>
        <v>0.19795539033457249</v>
      </c>
      <c r="G214" s="45">
        <f>1000*E214*$J$2*9.81/1000</f>
        <v>9397.2998972115911</v>
      </c>
    </row>
    <row r="215" spans="1:7" ht="14.4" x14ac:dyDescent="0.3">
      <c r="A215" s="46">
        <v>35.238799999999998</v>
      </c>
      <c r="B215" s="47">
        <v>38718</v>
      </c>
      <c r="C215" s="48">
        <f>A215*($H$2/$I$2)</f>
        <v>34.680065609622744</v>
      </c>
      <c r="D215" s="48">
        <f>D214+1</f>
        <v>214</v>
      </c>
      <c r="E215" s="43">
        <v>47.762493165664296</v>
      </c>
      <c r="F215" s="48">
        <f>D215/1076</f>
        <v>0.19888475836431227</v>
      </c>
      <c r="G215" s="49">
        <f>1000*E215*$J$2*9.81/1000</f>
        <v>9371.0011591033344</v>
      </c>
    </row>
    <row r="216" spans="1:7" ht="14.4" x14ac:dyDescent="0.3">
      <c r="A216" s="41">
        <v>47.130400000000002</v>
      </c>
      <c r="B216" s="42">
        <v>38687</v>
      </c>
      <c r="C216" s="43">
        <f>A216*($H$2/$I$2)</f>
        <v>46.383116457080369</v>
      </c>
      <c r="D216" s="43">
        <f>D215+1</f>
        <v>215</v>
      </c>
      <c r="E216" s="48">
        <v>47.743105522143246</v>
      </c>
      <c r="F216" s="43">
        <f>D216/1076</f>
        <v>0.19981412639405205</v>
      </c>
      <c r="G216" s="45">
        <f>1000*E216*$J$2*9.81/1000</f>
        <v>9367.1973034445055</v>
      </c>
    </row>
    <row r="217" spans="1:7" ht="14.4" x14ac:dyDescent="0.3">
      <c r="A217" s="46">
        <v>21.4528</v>
      </c>
      <c r="B217" s="47">
        <v>38657</v>
      </c>
      <c r="C217" s="48">
        <f>A217*($H$2/$I$2)</f>
        <v>21.112651722252597</v>
      </c>
      <c r="D217" s="48">
        <f>D216+1</f>
        <v>216</v>
      </c>
      <c r="E217" s="43">
        <v>47.610344450519406</v>
      </c>
      <c r="F217" s="48">
        <f>D217/1076</f>
        <v>0.20074349442379183</v>
      </c>
      <c r="G217" s="49">
        <f>1000*E217*$J$2*9.81/1000</f>
        <v>9341.1495811919085</v>
      </c>
    </row>
    <row r="218" spans="1:7" ht="14.4" x14ac:dyDescent="0.3">
      <c r="A218" s="41">
        <v>13.484299999999999</v>
      </c>
      <c r="B218" s="42">
        <v>38626</v>
      </c>
      <c r="C218" s="43">
        <f>A218*($H$2/$I$2)</f>
        <v>13.270497539639146</v>
      </c>
      <c r="D218" s="43">
        <f>D217+1</f>
        <v>217</v>
      </c>
      <c r="E218" s="48">
        <v>47.421979223619459</v>
      </c>
      <c r="F218" s="43">
        <f>D218/1076</f>
        <v>0.20167286245353161</v>
      </c>
      <c r="G218" s="45">
        <f>1000*E218*$J$2*9.81/1000</f>
        <v>9304.1923236741386</v>
      </c>
    </row>
    <row r="219" spans="1:7" ht="14.4" x14ac:dyDescent="0.3">
      <c r="A219" s="46">
        <v>15.5685</v>
      </c>
      <c r="B219" s="47">
        <v>38596</v>
      </c>
      <c r="C219" s="48">
        <f>A219*($H$2/$I$2)</f>
        <v>15.321651175505741</v>
      </c>
      <c r="D219" s="48">
        <f>D218+1</f>
        <v>218</v>
      </c>
      <c r="E219" s="43">
        <v>47.186867140513939</v>
      </c>
      <c r="F219" s="48">
        <f>D219/1076</f>
        <v>0.20260223048327136</v>
      </c>
      <c r="G219" s="49">
        <f>1000*E219*$J$2*9.81/1000</f>
        <v>9258.0633329688353</v>
      </c>
    </row>
    <row r="220" spans="1:7" ht="14.4" x14ac:dyDescent="0.3">
      <c r="A220" s="41">
        <v>16.020199999999999</v>
      </c>
      <c r="B220" s="42">
        <v>38565</v>
      </c>
      <c r="C220" s="43">
        <f>A220*($H$2/$I$2)</f>
        <v>15.766189174412245</v>
      </c>
      <c r="D220" s="43">
        <f>D219+1</f>
        <v>219</v>
      </c>
      <c r="E220" s="43">
        <v>47.067588846364131</v>
      </c>
      <c r="F220" s="43">
        <f>D220/1076</f>
        <v>0.20353159851301114</v>
      </c>
      <c r="G220" s="45">
        <f>1000*E220*$J$2*9.81/1000</f>
        <v>9234.6609316566428</v>
      </c>
    </row>
    <row r="221" spans="1:7" ht="14.4" customHeight="1" x14ac:dyDescent="0.3">
      <c r="A221" s="46">
        <v>20.571100000000001</v>
      </c>
      <c r="B221" s="47">
        <v>38534</v>
      </c>
      <c r="C221" s="48">
        <f>A221*($H$2/$I$2)</f>
        <v>20.244931656642976</v>
      </c>
      <c r="D221" s="48">
        <f>D220+1</f>
        <v>220</v>
      </c>
      <c r="E221" s="48">
        <v>46.99476216511755</v>
      </c>
      <c r="F221" s="48">
        <f>D221/1076</f>
        <v>0.20446096654275092</v>
      </c>
      <c r="G221" s="49">
        <f>1000*E221*$J$2*9.81/1000</f>
        <v>9220.3723367960647</v>
      </c>
    </row>
    <row r="222" spans="1:7" ht="14.4" x14ac:dyDescent="0.3">
      <c r="A222" s="41">
        <v>24.817900000000002</v>
      </c>
      <c r="B222" s="42">
        <v>38504</v>
      </c>
      <c r="C222" s="43">
        <f>A222*($H$2/$I$2)</f>
        <v>24.424395844723893</v>
      </c>
      <c r="D222" s="43">
        <f>D221+1</f>
        <v>221</v>
      </c>
      <c r="E222" s="43">
        <v>46.652083105522145</v>
      </c>
      <c r="F222" s="43">
        <f>D222/1076</f>
        <v>0.2053903345724907</v>
      </c>
      <c r="G222" s="45">
        <f>1000*E222*$J$2*9.81/1000</f>
        <v>9153.138705303445</v>
      </c>
    </row>
    <row r="223" spans="1:7" ht="14.4" x14ac:dyDescent="0.3">
      <c r="A223" s="46">
        <v>32.094999999999999</v>
      </c>
      <c r="B223" s="47">
        <v>38473</v>
      </c>
      <c r="C223" s="48">
        <f>A223*($H$2/$I$2)</f>
        <v>31.586112629852376</v>
      </c>
      <c r="D223" s="48">
        <f>D222+1</f>
        <v>222</v>
      </c>
      <c r="E223" s="43">
        <v>46.608091853471841</v>
      </c>
      <c r="F223" s="48">
        <f>D223/1076</f>
        <v>0.20631970260223048</v>
      </c>
      <c r="G223" s="49">
        <f>1000*E223*$J$2*9.81/1000</f>
        <v>9144.507621651177</v>
      </c>
    </row>
    <row r="224" spans="1:7" ht="14.4" x14ac:dyDescent="0.3">
      <c r="A224" s="41">
        <v>31.425799999999999</v>
      </c>
      <c r="B224" s="42">
        <v>38443</v>
      </c>
      <c r="C224" s="43">
        <f>A224*($H$2/$I$2)</f>
        <v>30.927523236741386</v>
      </c>
      <c r="D224" s="43">
        <f>D223+1</f>
        <v>223</v>
      </c>
      <c r="E224" s="43">
        <v>46.383116457080369</v>
      </c>
      <c r="F224" s="43">
        <f>D224/1076</f>
        <v>0.20724907063197026</v>
      </c>
      <c r="G224" s="45">
        <f>1000*E224*$J$2*9.81/1000</f>
        <v>9100.3674488791676</v>
      </c>
    </row>
    <row r="225" spans="1:7" ht="14.4" x14ac:dyDescent="0.3">
      <c r="A225" s="46">
        <v>44.333100000000002</v>
      </c>
      <c r="B225" s="47">
        <v>38412</v>
      </c>
      <c r="C225" s="48">
        <f>A225*($H$2/$I$2)</f>
        <v>43.630169491525422</v>
      </c>
      <c r="D225" s="48">
        <f>D224+1</f>
        <v>224</v>
      </c>
      <c r="E225" s="48">
        <v>46.303499179879715</v>
      </c>
      <c r="F225" s="48">
        <f>D225/1076</f>
        <v>0.20817843866171004</v>
      </c>
      <c r="G225" s="49">
        <f>1000*E225*$J$2*9.81/1000</f>
        <v>9084.7465390924008</v>
      </c>
    </row>
    <row r="226" spans="1:7" ht="14.4" x14ac:dyDescent="0.3">
      <c r="A226" s="41">
        <v>64.484499999999997</v>
      </c>
      <c r="B226" s="42">
        <v>38384</v>
      </c>
      <c r="C226" s="43">
        <f>A226*($H$2/$I$2)</f>
        <v>63.462055768179326</v>
      </c>
      <c r="D226" s="43">
        <f>D225+1</f>
        <v>225</v>
      </c>
      <c r="E226" s="48">
        <v>46.231656642974301</v>
      </c>
      <c r="F226" s="43">
        <f>D226/1076</f>
        <v>0.20910780669144982</v>
      </c>
      <c r="G226" s="45">
        <f>1000*E226*$J$2*9.81/1000</f>
        <v>9070.6510333515598</v>
      </c>
    </row>
    <row r="227" spans="1:7" ht="14.4" x14ac:dyDescent="0.3">
      <c r="A227" s="46">
        <v>81.692400000000006</v>
      </c>
      <c r="B227" s="47">
        <v>38353</v>
      </c>
      <c r="C227" s="48">
        <f>A227*($H$2/$I$2)</f>
        <v>80.397113176599234</v>
      </c>
      <c r="D227" s="48">
        <f>D226+1</f>
        <v>226</v>
      </c>
      <c r="E227" s="43">
        <v>45.989458720612355</v>
      </c>
      <c r="F227" s="48">
        <f>D227/1076</f>
        <v>0.2100371747211896</v>
      </c>
      <c r="G227" s="49">
        <f>1000*E227*$J$2*9.81/1000</f>
        <v>9023.1318009841434</v>
      </c>
    </row>
    <row r="228" spans="1:7" ht="14.4" x14ac:dyDescent="0.3">
      <c r="A228" s="41">
        <v>57.337800000000001</v>
      </c>
      <c r="B228" s="42">
        <v>38322</v>
      </c>
      <c r="C228" s="43">
        <f>A228*($H$2/$I$2)</f>
        <v>56.428671405139418</v>
      </c>
      <c r="D228" s="43">
        <f>D227+1</f>
        <v>227</v>
      </c>
      <c r="E228" s="43">
        <v>45.983160196828862</v>
      </c>
      <c r="F228" s="43">
        <f>D228/1076</f>
        <v>0.21096654275092938</v>
      </c>
      <c r="G228" s="45">
        <f>1000*E228*$J$2*9.81/1000</f>
        <v>9021.8960306178215</v>
      </c>
    </row>
    <row r="229" spans="1:7" ht="14.4" x14ac:dyDescent="0.3">
      <c r="A229" s="46">
        <v>21.053799999999999</v>
      </c>
      <c r="B229" s="47">
        <v>38292</v>
      </c>
      <c r="C229" s="48">
        <f>A229*($H$2/$I$2)</f>
        <v>20.71997813012575</v>
      </c>
      <c r="D229" s="48">
        <f>D228+1</f>
        <v>228</v>
      </c>
      <c r="E229" s="48">
        <v>45.825697102241662</v>
      </c>
      <c r="F229" s="48">
        <f>D229/1076</f>
        <v>0.21189591078066913</v>
      </c>
      <c r="G229" s="49">
        <f>1000*E229*$J$2*9.81/1000</f>
        <v>8991.0017714598143</v>
      </c>
    </row>
    <row r="230" spans="1:7" ht="14.4" x14ac:dyDescent="0.3">
      <c r="A230" s="41">
        <v>16.205400000000001</v>
      </c>
      <c r="B230" s="42">
        <v>38261</v>
      </c>
      <c r="C230" s="43">
        <f>A230*($H$2/$I$2)</f>
        <v>15.948452706396939</v>
      </c>
      <c r="D230" s="43">
        <f>D229+1</f>
        <v>229</v>
      </c>
      <c r="E230" s="48">
        <v>45.587534171678513</v>
      </c>
      <c r="F230" s="43">
        <f>D230/1076</f>
        <v>0.21282527881040891</v>
      </c>
      <c r="G230" s="45">
        <f>1000*E230*$J$2*9.81/1000</f>
        <v>8944.2742044833249</v>
      </c>
    </row>
    <row r="231" spans="1:7" ht="14.4" x14ac:dyDescent="0.3">
      <c r="A231" s="46">
        <v>12.228999999999999</v>
      </c>
      <c r="B231" s="47">
        <v>38231</v>
      </c>
      <c r="C231" s="48">
        <f>A231*($H$2/$I$2)</f>
        <v>12.035101148168398</v>
      </c>
      <c r="D231" s="48">
        <f>D230+1</f>
        <v>230</v>
      </c>
      <c r="E231" s="43">
        <v>45.580743575724441</v>
      </c>
      <c r="F231" s="48">
        <f>D231/1076</f>
        <v>0.21375464684014869</v>
      </c>
      <c r="G231" s="49">
        <f>1000*E231*$J$2*9.81/1000</f>
        <v>8942.9418895571343</v>
      </c>
    </row>
    <row r="232" spans="1:7" ht="14.4" x14ac:dyDescent="0.3">
      <c r="A232" s="41">
        <v>13.9185</v>
      </c>
      <c r="B232" s="42">
        <v>38200</v>
      </c>
      <c r="C232" s="43">
        <f>A232*($H$2/$I$2)</f>
        <v>13.697813012575176</v>
      </c>
      <c r="D232" s="43">
        <f>D231+1</f>
        <v>231</v>
      </c>
      <c r="E232" s="48">
        <v>45.479573537452154</v>
      </c>
      <c r="F232" s="43">
        <f>D232/1076</f>
        <v>0.21468401486988847</v>
      </c>
      <c r="G232" s="45">
        <f>1000*E232*$J$2*9.81/1000</f>
        <v>8923.0923280481111</v>
      </c>
    </row>
    <row r="233" spans="1:7" ht="14.4" x14ac:dyDescent="0.3">
      <c r="A233" s="46">
        <v>18.6952</v>
      </c>
      <c r="B233" s="47">
        <v>38169</v>
      </c>
      <c r="C233" s="48">
        <f>A233*($H$2/$I$2)</f>
        <v>18.398775287042099</v>
      </c>
      <c r="D233" s="48">
        <f>D232+1</f>
        <v>232</v>
      </c>
      <c r="E233" s="48">
        <v>45.331459814106069</v>
      </c>
      <c r="F233" s="48">
        <f>D233/1076</f>
        <v>0.21561338289962825</v>
      </c>
      <c r="G233" s="49">
        <f>1000*E233*$J$2*9.81/1000</f>
        <v>8894.0324155276103</v>
      </c>
    </row>
    <row r="234" spans="1:7" ht="14.4" x14ac:dyDescent="0.3">
      <c r="A234" s="41">
        <v>23.767499999999998</v>
      </c>
      <c r="B234" s="42">
        <v>38139</v>
      </c>
      <c r="C234" s="43">
        <f>A234*($H$2/$I$2)</f>
        <v>23.39065062875888</v>
      </c>
      <c r="D234" s="43">
        <f>D233+1</f>
        <v>233</v>
      </c>
      <c r="E234" s="48">
        <v>45.155297977036632</v>
      </c>
      <c r="F234" s="43">
        <f>D234/1076</f>
        <v>0.21654275092936803</v>
      </c>
      <c r="G234" s="45">
        <f>1000*E234*$J$2*9.81/1000</f>
        <v>8859.4694630945869</v>
      </c>
    </row>
    <row r="235" spans="1:7" ht="14.4" x14ac:dyDescent="0.3">
      <c r="A235" s="46">
        <v>27.638999999999999</v>
      </c>
      <c r="B235" s="47">
        <v>38108</v>
      </c>
      <c r="C235" s="48">
        <f>A235*($H$2/$I$2)</f>
        <v>27.200765445598687</v>
      </c>
      <c r="D235" s="48">
        <f>D234+1</f>
        <v>234</v>
      </c>
      <c r="E235" s="43">
        <v>45.073023510114815</v>
      </c>
      <c r="F235" s="48">
        <f>D235/1076</f>
        <v>0.21747211895910781</v>
      </c>
      <c r="G235" s="49">
        <f>1000*E235*$J$2*9.81/1000</f>
        <v>8843.3272126845277</v>
      </c>
    </row>
    <row r="236" spans="1:7" ht="14.4" x14ac:dyDescent="0.3">
      <c r="A236" s="41">
        <v>47.947099999999999</v>
      </c>
      <c r="B236" s="42">
        <v>38078</v>
      </c>
      <c r="C236" s="43">
        <f>A236*($H$2/$I$2)</f>
        <v>47.186867140513939</v>
      </c>
      <c r="D236" s="43">
        <f>D235+1</f>
        <v>235</v>
      </c>
      <c r="E236" s="43">
        <v>44.716763258611259</v>
      </c>
      <c r="F236" s="43">
        <f>D236/1076</f>
        <v>0.21840148698884759</v>
      </c>
      <c r="G236" s="45">
        <f>1000*E236*$J$2*9.81/1000</f>
        <v>8773.4289513395306</v>
      </c>
    </row>
    <row r="237" spans="1:7" ht="14.4" x14ac:dyDescent="0.3">
      <c r="A237" s="46">
        <v>46.564</v>
      </c>
      <c r="B237" s="47">
        <v>38047</v>
      </c>
      <c r="C237" s="48">
        <f>A237*($H$2/$I$2)</f>
        <v>45.825697102241662</v>
      </c>
      <c r="D237" s="48">
        <f>D236+1</f>
        <v>236</v>
      </c>
      <c r="E237" s="43">
        <v>44.677397484964459</v>
      </c>
      <c r="F237" s="48">
        <f>D237/1076</f>
        <v>0.21933085501858737</v>
      </c>
      <c r="G237" s="49">
        <f>1000*E237*$J$2*9.81/1000</f>
        <v>8765.7053865500275</v>
      </c>
    </row>
    <row r="238" spans="1:7" ht="14.4" x14ac:dyDescent="0.3">
      <c r="A238" s="41">
        <v>49.415799999999997</v>
      </c>
      <c r="B238" s="42">
        <v>38018</v>
      </c>
      <c r="C238" s="43">
        <f>A238*($H$2/$I$2)</f>
        <v>48.632279934390375</v>
      </c>
      <c r="D238" s="43">
        <f>D237+1</f>
        <v>237</v>
      </c>
      <c r="E238" s="48">
        <v>44.550934937124111</v>
      </c>
      <c r="F238" s="43">
        <f>D238/1076</f>
        <v>0.22026022304832713</v>
      </c>
      <c r="G238" s="45">
        <f>1000*E238*$J$2*9.81/1000</f>
        <v>8740.8934346637507</v>
      </c>
    </row>
    <row r="239" spans="1:7" ht="14.4" x14ac:dyDescent="0.3">
      <c r="A239" s="46">
        <v>29.252099999999999</v>
      </c>
      <c r="B239" s="47">
        <v>37987</v>
      </c>
      <c r="C239" s="48">
        <f>A239*($H$2/$I$2)</f>
        <v>28.788288682340074</v>
      </c>
      <c r="D239" s="48">
        <f>D238+1</f>
        <v>238</v>
      </c>
      <c r="E239" s="48">
        <v>44.260612356478951</v>
      </c>
      <c r="F239" s="48">
        <f>D239/1076</f>
        <v>0.22118959107806691</v>
      </c>
      <c r="G239" s="49">
        <f>1000*E239*$J$2*9.81/1000</f>
        <v>8683.93214434117</v>
      </c>
    </row>
    <row r="240" spans="1:7" ht="14.4" x14ac:dyDescent="0.3">
      <c r="A240" s="41">
        <v>35.735599999999998</v>
      </c>
      <c r="B240" s="42">
        <v>37956</v>
      </c>
      <c r="C240" s="43">
        <f>A240*($H$2/$I$2)</f>
        <v>35.16898851831602</v>
      </c>
      <c r="D240" s="43">
        <f>D239+1</f>
        <v>239</v>
      </c>
      <c r="E240" s="43">
        <v>44.239059595407326</v>
      </c>
      <c r="F240" s="43">
        <f>D240/1076</f>
        <v>0.22211895910780668</v>
      </c>
      <c r="G240" s="45">
        <f>1000*E240*$J$2*9.81/1000</f>
        <v>8679.703492618919</v>
      </c>
    </row>
    <row r="241" spans="1:7" ht="14.4" x14ac:dyDescent="0.3">
      <c r="A241" s="46">
        <v>13.9459</v>
      </c>
      <c r="B241" s="47">
        <v>37926</v>
      </c>
      <c r="C241" s="48">
        <f>A241*($H$2/$I$2)</f>
        <v>13.724778567523236</v>
      </c>
      <c r="D241" s="48">
        <f>D240+1</f>
        <v>240</v>
      </c>
      <c r="E241" s="48">
        <v>44.038983050847456</v>
      </c>
      <c r="F241" s="48">
        <f>D241/1076</f>
        <v>0.22304832713754646</v>
      </c>
      <c r="G241" s="49">
        <f>1000*E241*$J$2*9.81/1000</f>
        <v>8640.4484745762729</v>
      </c>
    </row>
    <row r="242" spans="1:7" ht="14.4" x14ac:dyDescent="0.3">
      <c r="A242" s="41">
        <v>10.2743</v>
      </c>
      <c r="B242" s="42">
        <v>37895</v>
      </c>
      <c r="C242" s="43">
        <f>A242*($H$2/$I$2)</f>
        <v>10.111394204483323</v>
      </c>
      <c r="D242" s="43">
        <f>D241+1</f>
        <v>241</v>
      </c>
      <c r="E242" s="48">
        <v>43.939486057955165</v>
      </c>
      <c r="F242" s="43">
        <f>D242/1076</f>
        <v>0.22397769516728624</v>
      </c>
      <c r="G242" s="45">
        <f>1000*E242*$J$2*9.81/1000</f>
        <v>8620.927164570805</v>
      </c>
    </row>
    <row r="243" spans="1:7" ht="14.4" x14ac:dyDescent="0.3">
      <c r="A243" s="46">
        <v>9.7643000000000004</v>
      </c>
      <c r="B243" s="47">
        <v>37865</v>
      </c>
      <c r="C243" s="48">
        <f>A243*($H$2/$I$2)</f>
        <v>9.609480590486605</v>
      </c>
      <c r="D243" s="48">
        <f>D242+1</f>
        <v>242</v>
      </c>
      <c r="E243" s="48">
        <v>43.910749043193</v>
      </c>
      <c r="F243" s="48">
        <f>D243/1076</f>
        <v>0.22490706319702602</v>
      </c>
      <c r="G243" s="49">
        <f>1000*E243*$J$2*9.81/1000</f>
        <v>8615.2889622744678</v>
      </c>
    </row>
    <row r="244" spans="1:7" ht="14.4" x14ac:dyDescent="0.3">
      <c r="A244" s="41">
        <v>10.9292</v>
      </c>
      <c r="B244" s="42">
        <v>37834</v>
      </c>
      <c r="C244" s="43">
        <f>A244*($H$2/$I$2)</f>
        <v>10.755910333515581</v>
      </c>
      <c r="D244" s="43">
        <f>D243+1</f>
        <v>243</v>
      </c>
      <c r="E244" s="48">
        <v>43.888310552214321</v>
      </c>
      <c r="F244" s="43">
        <f>D244/1076</f>
        <v>0.2258364312267658</v>
      </c>
      <c r="G244" s="45">
        <f>1000*E244*$J$2*9.81/1000</f>
        <v>8610.8865303444509</v>
      </c>
    </row>
    <row r="245" spans="1:7" ht="14.4" x14ac:dyDescent="0.3">
      <c r="A245" s="46">
        <v>13.4978</v>
      </c>
      <c r="B245" s="47">
        <v>37803</v>
      </c>
      <c r="C245" s="48">
        <f>A245*($H$2/$I$2)</f>
        <v>13.283783488244943</v>
      </c>
      <c r="D245" s="48">
        <f>D244+1</f>
        <v>244</v>
      </c>
      <c r="E245" s="48">
        <v>43.705358119190812</v>
      </c>
      <c r="F245" s="48">
        <f>D245/1076</f>
        <v>0.22676579925650558</v>
      </c>
      <c r="G245" s="49">
        <f>1000*E245*$J$2*9.81/1000</f>
        <v>8574.991262985237</v>
      </c>
    </row>
    <row r="246" spans="1:7" ht="14.4" x14ac:dyDescent="0.3">
      <c r="A246" s="41">
        <v>15.4145</v>
      </c>
      <c r="B246" s="42">
        <v>37773</v>
      </c>
      <c r="C246" s="43">
        <f>A246*($H$2/$I$2)</f>
        <v>15.170092946965555</v>
      </c>
      <c r="D246" s="43">
        <f>D245+1</f>
        <v>245</v>
      </c>
      <c r="E246" s="48">
        <v>43.676227446692181</v>
      </c>
      <c r="F246" s="43">
        <f>D246/1076</f>
        <v>0.22769516728624536</v>
      </c>
      <c r="G246" s="45">
        <f>1000*E246*$J$2*9.81/1000</f>
        <v>8569.2758250410061</v>
      </c>
    </row>
    <row r="247" spans="1:7" ht="14.4" x14ac:dyDescent="0.3">
      <c r="A247" s="46">
        <v>19.945399999999999</v>
      </c>
      <c r="B247" s="47">
        <v>37742</v>
      </c>
      <c r="C247" s="48">
        <f>A247*($H$2/$I$2)</f>
        <v>19.629152542372879</v>
      </c>
      <c r="D247" s="48">
        <f>D246+1</f>
        <v>246</v>
      </c>
      <c r="E247" s="48">
        <v>43.630169491525422</v>
      </c>
      <c r="F247" s="48">
        <f>D247/1076</f>
        <v>0.22862453531598512</v>
      </c>
      <c r="G247" s="49">
        <f>1000*E247*$J$2*9.81/1000</f>
        <v>8560.2392542372891</v>
      </c>
    </row>
    <row r="248" spans="1:7" ht="14.4" x14ac:dyDescent="0.3">
      <c r="A248" s="41">
        <v>24.450199999999999</v>
      </c>
      <c r="B248" s="42">
        <v>37712</v>
      </c>
      <c r="C248" s="43">
        <f>A248*($H$2/$I$2)</f>
        <v>24.062525970475669</v>
      </c>
      <c r="D248" s="43">
        <f>D247+1</f>
        <v>247</v>
      </c>
      <c r="E248" s="48">
        <v>43.459026790595949</v>
      </c>
      <c r="F248" s="43">
        <f>D248/1076</f>
        <v>0.2295539033457249</v>
      </c>
      <c r="G248" s="45">
        <f>1000*E248*$J$2*9.81/1000</f>
        <v>8526.6610563149261</v>
      </c>
    </row>
    <row r="249" spans="1:7" ht="14.4" x14ac:dyDescent="0.3">
      <c r="A249" s="46">
        <v>38.0471</v>
      </c>
      <c r="B249" s="47">
        <v>37681</v>
      </c>
      <c r="C249" s="48">
        <f>A249*($H$2/$I$2)</f>
        <v>37.443838162930561</v>
      </c>
      <c r="D249" s="48">
        <f>D248+1</f>
        <v>248</v>
      </c>
      <c r="E249" s="48">
        <v>43.441213778020774</v>
      </c>
      <c r="F249" s="48">
        <f>D249/1076</f>
        <v>0.23048327137546468</v>
      </c>
      <c r="G249" s="49">
        <f>1000*E249*$J$2*9.81/1000</f>
        <v>8523.1661432476776</v>
      </c>
    </row>
    <row r="250" spans="1:7" ht="14.4" x14ac:dyDescent="0.3">
      <c r="A250" s="41">
        <v>53.187600000000003</v>
      </c>
      <c r="B250" s="42">
        <v>37653</v>
      </c>
      <c r="C250" s="43">
        <f>A250*($H$2/$I$2)</f>
        <v>52.344275560415532</v>
      </c>
      <c r="D250" s="43">
        <f>D249+1</f>
        <v>249</v>
      </c>
      <c r="E250" s="48">
        <v>43.398501913613998</v>
      </c>
      <c r="F250" s="43">
        <f>D250/1076</f>
        <v>0.23141263940520446</v>
      </c>
      <c r="G250" s="45">
        <f>1000*E250*$J$2*9.81/1000</f>
        <v>8514.7860754510675</v>
      </c>
    </row>
    <row r="251" spans="1:7" ht="14.4" x14ac:dyDescent="0.3">
      <c r="A251" s="46">
        <v>73.700599999999994</v>
      </c>
      <c r="B251" s="47">
        <v>37622</v>
      </c>
      <c r="C251" s="48">
        <f>A251*($H$2/$I$2)</f>
        <v>72.532028430836519</v>
      </c>
      <c r="D251" s="48">
        <f>D250+1</f>
        <v>250</v>
      </c>
      <c r="E251" s="48">
        <v>43.288966648441772</v>
      </c>
      <c r="F251" s="48">
        <f>D251/1076</f>
        <v>0.23234200743494424</v>
      </c>
      <c r="G251" s="49">
        <f>1000*E251*$J$2*9.81/1000</f>
        <v>8493.2952564242769</v>
      </c>
    </row>
    <row r="252" spans="1:7" ht="14.4" x14ac:dyDescent="0.3">
      <c r="A252" s="41">
        <v>36.7562</v>
      </c>
      <c r="B252" s="42">
        <v>37591</v>
      </c>
      <c r="C252" s="43">
        <f>A252*($H$2/$I$2)</f>
        <v>36.173406232914161</v>
      </c>
      <c r="D252" s="43">
        <f>D251+1</f>
        <v>251</v>
      </c>
      <c r="E252" s="48">
        <v>43.255112083105516</v>
      </c>
      <c r="F252" s="43">
        <f>D252/1076</f>
        <v>0.23327137546468402</v>
      </c>
      <c r="G252" s="45">
        <f>1000*E252*$J$2*9.81/1000</f>
        <v>8486.6529907053027</v>
      </c>
    </row>
    <row r="253" spans="1:7" ht="14.4" x14ac:dyDescent="0.3">
      <c r="A253" s="46">
        <v>20.290600000000001</v>
      </c>
      <c r="B253" s="47">
        <v>37561</v>
      </c>
      <c r="C253" s="48">
        <f>A253*($H$2/$I$2)</f>
        <v>19.968879168944778</v>
      </c>
      <c r="D253" s="48">
        <f>D252+1</f>
        <v>252</v>
      </c>
      <c r="E253" s="48">
        <v>43.233559322033898</v>
      </c>
      <c r="F253" s="48">
        <f>D253/1076</f>
        <v>0.2342007434944238</v>
      </c>
      <c r="G253" s="49">
        <f>1000*E253*$J$2*9.81/1000</f>
        <v>8482.4243389830517</v>
      </c>
    </row>
    <row r="254" spans="1:7" ht="14.4" x14ac:dyDescent="0.3">
      <c r="A254" s="41">
        <v>8.7193000000000005</v>
      </c>
      <c r="B254" s="42">
        <v>37530</v>
      </c>
      <c r="C254" s="43">
        <f>A254*($H$2/$I$2)</f>
        <v>8.5810497539639154</v>
      </c>
      <c r="D254" s="43">
        <f>D253+1</f>
        <v>253</v>
      </c>
      <c r="E254" s="48">
        <v>43.054838709677419</v>
      </c>
      <c r="F254" s="43">
        <f>D254/1076</f>
        <v>0.23513011152416358</v>
      </c>
      <c r="G254" s="45">
        <f>1000*E254*$J$2*9.81/1000</f>
        <v>8447.3593548387107</v>
      </c>
    </row>
    <row r="255" spans="1:7" ht="14.4" x14ac:dyDescent="0.3">
      <c r="A255" s="46">
        <v>12.064399999999999</v>
      </c>
      <c r="B255" s="47">
        <v>37500</v>
      </c>
      <c r="C255" s="48">
        <f>A255*($H$2/$I$2)</f>
        <v>11.873110989611808</v>
      </c>
      <c r="D255" s="48">
        <f>D254+1</f>
        <v>254</v>
      </c>
      <c r="E255" s="48">
        <v>42.959081465281578</v>
      </c>
      <c r="F255" s="48">
        <f>D255/1076</f>
        <v>0.23605947955390336</v>
      </c>
      <c r="G255" s="49">
        <f>1000*E255*$J$2*9.81/1000</f>
        <v>8428.5717834882453</v>
      </c>
    </row>
    <row r="256" spans="1:7" ht="14.4" x14ac:dyDescent="0.3">
      <c r="A256" s="41">
        <v>10.5688</v>
      </c>
      <c r="B256" s="42">
        <v>37469</v>
      </c>
      <c r="C256" s="43">
        <f>A256*($H$2/$I$2)</f>
        <v>10.4012247129579</v>
      </c>
      <c r="D256" s="43">
        <f>D255+1</f>
        <v>255</v>
      </c>
      <c r="E256" s="48">
        <v>42.903969382176051</v>
      </c>
      <c r="F256" s="43">
        <f>D256/1076</f>
        <v>0.23698884758364314</v>
      </c>
      <c r="G256" s="45">
        <f>1000*E256*$J$2*9.81/1000</f>
        <v>8417.7587927829427</v>
      </c>
    </row>
    <row r="257" spans="1:7" ht="14.4" x14ac:dyDescent="0.3">
      <c r="A257" s="46">
        <v>12.9057</v>
      </c>
      <c r="B257" s="47">
        <v>37438</v>
      </c>
      <c r="C257" s="48">
        <f>A257*($H$2/$I$2)</f>
        <v>12.701071623838162</v>
      </c>
      <c r="D257" s="48">
        <f>D256+1</f>
        <v>256</v>
      </c>
      <c r="E257" s="48">
        <v>42.89176599234554</v>
      </c>
      <c r="F257" s="48">
        <f>D257/1076</f>
        <v>0.23791821561338289</v>
      </c>
      <c r="G257" s="49">
        <f>1000*E257*$J$2*9.81/1000</f>
        <v>8415.3644876981962</v>
      </c>
    </row>
    <row r="258" spans="1:7" ht="14.4" x14ac:dyDescent="0.3">
      <c r="A258" s="41">
        <v>14.8665</v>
      </c>
      <c r="B258" s="42">
        <v>37408</v>
      </c>
      <c r="C258" s="43">
        <f>A258*($H$2/$I$2)</f>
        <v>14.630781848004373</v>
      </c>
      <c r="D258" s="43">
        <f>D257+1</f>
        <v>257</v>
      </c>
      <c r="E258" s="43">
        <v>42.783411700382722</v>
      </c>
      <c r="F258" s="43">
        <f>D258/1076</f>
        <v>0.23884758364312267</v>
      </c>
      <c r="G258" s="45">
        <f>1000*E258*$J$2*9.81/1000</f>
        <v>8394.1053756150905</v>
      </c>
    </row>
    <row r="259" spans="1:7" ht="14.4" x14ac:dyDescent="0.3">
      <c r="A259" s="46">
        <v>19.2349</v>
      </c>
      <c r="B259" s="47">
        <v>37377</v>
      </c>
      <c r="C259" s="48">
        <f>A259*($H$2/$I$2)</f>
        <v>18.929917987971567</v>
      </c>
      <c r="D259" s="48">
        <f>D258+1</f>
        <v>258</v>
      </c>
      <c r="E259" s="43">
        <v>42.767566976489888</v>
      </c>
      <c r="F259" s="48">
        <f>D259/1076</f>
        <v>0.23977695167286245</v>
      </c>
      <c r="G259" s="49">
        <f>1000*E259*$J$2*9.81/1000</f>
        <v>8390.996640787318</v>
      </c>
    </row>
    <row r="260" spans="1:7" ht="14.4" x14ac:dyDescent="0.3">
      <c r="A260" s="41">
        <v>25.152799999999999</v>
      </c>
      <c r="B260" s="42">
        <v>37347</v>
      </c>
      <c r="C260" s="43">
        <f>A260*($H$2/$I$2)</f>
        <v>24.753985784581737</v>
      </c>
      <c r="D260" s="43">
        <f>D259+1</f>
        <v>259</v>
      </c>
      <c r="E260" s="48">
        <v>42.630082012028424</v>
      </c>
      <c r="F260" s="43">
        <f>D260/1076</f>
        <v>0.24070631970260223</v>
      </c>
      <c r="G260" s="45">
        <f>1000*E260*$J$2*9.81/1000</f>
        <v>8364.0220907599778</v>
      </c>
    </row>
    <row r="261" spans="1:7" ht="14.4" x14ac:dyDescent="0.3">
      <c r="A261" s="46">
        <v>40.316800000000001</v>
      </c>
      <c r="B261" s="47">
        <v>37316</v>
      </c>
      <c r="C261" s="48">
        <f>A261*($H$2/$I$2)</f>
        <v>39.677550574084201</v>
      </c>
      <c r="D261" s="48">
        <f>D260+1</f>
        <v>260</v>
      </c>
      <c r="E261" s="43">
        <v>42.595046473482775</v>
      </c>
      <c r="F261" s="48">
        <f>D261/1076</f>
        <v>0.24163568773234201</v>
      </c>
      <c r="G261" s="49">
        <f>1000*E261*$J$2*9.81/1000</f>
        <v>8357.1481180973205</v>
      </c>
    </row>
    <row r="262" spans="1:7" ht="14.4" x14ac:dyDescent="0.3">
      <c r="A262" s="41">
        <v>76.441699999999997</v>
      </c>
      <c r="B262" s="42">
        <v>37288</v>
      </c>
      <c r="C262" s="43">
        <f>A262*($H$2/$I$2)</f>
        <v>75.229666484417706</v>
      </c>
      <c r="D262" s="43">
        <f>D261+1</f>
        <v>261</v>
      </c>
      <c r="E262" s="48">
        <v>42.330016402405683</v>
      </c>
      <c r="F262" s="43">
        <f>D262/1076</f>
        <v>0.24256505576208179</v>
      </c>
      <c r="G262" s="45">
        <f>1000*E262*$J$2*9.81/1000</f>
        <v>8305.1492181519952</v>
      </c>
    </row>
    <row r="263" spans="1:7" ht="14.4" x14ac:dyDescent="0.3">
      <c r="A263" s="46">
        <v>61.399000000000001</v>
      </c>
      <c r="B263" s="47">
        <v>37257</v>
      </c>
      <c r="C263" s="48">
        <f>A263*($H$2/$I$2)</f>
        <v>60.425478403499177</v>
      </c>
      <c r="D263" s="48">
        <f>D262+1</f>
        <v>262</v>
      </c>
      <c r="E263" s="48">
        <v>41.810289775833787</v>
      </c>
      <c r="F263" s="48">
        <f>D263/1076</f>
        <v>0.24349442379182157</v>
      </c>
      <c r="G263" s="49">
        <f>1000*E263*$J$2*9.81/1000</f>
        <v>8203.178854018588</v>
      </c>
    </row>
    <row r="264" spans="1:7" ht="14.4" x14ac:dyDescent="0.3">
      <c r="A264" s="41">
        <v>50.4801</v>
      </c>
      <c r="B264" s="42">
        <v>37226</v>
      </c>
      <c r="C264" s="43">
        <f>A264*($H$2/$I$2)</f>
        <v>49.679704756697646</v>
      </c>
      <c r="D264" s="43">
        <f>D263+1</f>
        <v>263</v>
      </c>
      <c r="E264" s="43">
        <v>41.667195188627666</v>
      </c>
      <c r="F264" s="43">
        <f>D264/1076</f>
        <v>0.24442379182156135</v>
      </c>
      <c r="G264" s="45">
        <f>1000*E264*$J$2*9.81/1000</f>
        <v>8175.1036960087486</v>
      </c>
    </row>
    <row r="265" spans="1:7" ht="14.4" x14ac:dyDescent="0.3">
      <c r="A265" s="46">
        <v>19.6873</v>
      </c>
      <c r="B265" s="47">
        <v>37196</v>
      </c>
      <c r="C265" s="48">
        <f>A265*($H$2/$I$2)</f>
        <v>19.375144887916893</v>
      </c>
      <c r="D265" s="48">
        <f>D264+1</f>
        <v>264</v>
      </c>
      <c r="E265" s="43">
        <v>41.667195188627666</v>
      </c>
      <c r="F265" s="48">
        <f>D265/1076</f>
        <v>0.24535315985130113</v>
      </c>
      <c r="G265" s="49">
        <f>1000*E265*$J$2*9.81/1000</f>
        <v>8175.1036960087486</v>
      </c>
    </row>
    <row r="266" spans="1:7" ht="14.4" x14ac:dyDescent="0.3">
      <c r="A266" s="41">
        <v>13.5061</v>
      </c>
      <c r="B266" s="42">
        <v>37165</v>
      </c>
      <c r="C266" s="43">
        <f>A266*($H$2/$I$2)</f>
        <v>13.291951886276653</v>
      </c>
      <c r="D266" s="43">
        <f>D265+1</f>
        <v>265</v>
      </c>
      <c r="E266" s="48">
        <v>41.627829414980859</v>
      </c>
      <c r="F266" s="43">
        <f>D266/1076</f>
        <v>0.24628252788104088</v>
      </c>
      <c r="G266" s="45">
        <f>1000*E266*$J$2*9.81/1000</f>
        <v>8167.3801312192445</v>
      </c>
    </row>
    <row r="267" spans="1:7" ht="14.4" x14ac:dyDescent="0.3">
      <c r="A267" s="46">
        <v>8.1995000000000005</v>
      </c>
      <c r="B267" s="47">
        <v>37135</v>
      </c>
      <c r="C267" s="48">
        <f>A267*($H$2/$I$2)</f>
        <v>8.0694915254237287</v>
      </c>
      <c r="D267" s="48">
        <f>D266+1</f>
        <v>266</v>
      </c>
      <c r="E267" s="43">
        <v>41.591120831055221</v>
      </c>
      <c r="F267" s="48">
        <f>D267/1076</f>
        <v>0.24721189591078066</v>
      </c>
      <c r="G267" s="49">
        <f>1000*E267*$J$2*9.81/1000</f>
        <v>8160.1779070530347</v>
      </c>
    </row>
    <row r="268" spans="1:7" ht="14.4" x14ac:dyDescent="0.3">
      <c r="A268" s="41">
        <v>6.5518999999999998</v>
      </c>
      <c r="B268" s="42">
        <v>37104</v>
      </c>
      <c r="C268" s="43">
        <f>A268*($H$2/$I$2)</f>
        <v>6.4480153089119732</v>
      </c>
      <c r="D268" s="43">
        <f>D267+1</f>
        <v>267</v>
      </c>
      <c r="E268" s="48">
        <v>41.586593767085837</v>
      </c>
      <c r="F268" s="43">
        <f>D268/1076</f>
        <v>0.24814126394052044</v>
      </c>
      <c r="G268" s="45">
        <f>1000*E268*$J$2*9.81/1000</f>
        <v>8159.2896971022419</v>
      </c>
    </row>
    <row r="269" spans="1:7" ht="14.4" x14ac:dyDescent="0.3">
      <c r="A269" s="46">
        <v>7.4797000000000002</v>
      </c>
      <c r="B269" s="47">
        <v>37073</v>
      </c>
      <c r="C269" s="48">
        <f>A269*($H$2/$I$2)</f>
        <v>7.3611044286495355</v>
      </c>
      <c r="D269" s="48">
        <f>D268+1</f>
        <v>268</v>
      </c>
      <c r="E269" s="43">
        <v>41.586298523783491</v>
      </c>
      <c r="F269" s="48">
        <f>D269/1076</f>
        <v>0.24907063197026022</v>
      </c>
      <c r="G269" s="49">
        <f>1000*E269*$J$2*9.81/1000</f>
        <v>8159.2317703663202</v>
      </c>
    </row>
    <row r="270" spans="1:7" ht="14.4" x14ac:dyDescent="0.3">
      <c r="A270" s="41">
        <v>9.5991999999999997</v>
      </c>
      <c r="B270" s="42">
        <v>37043</v>
      </c>
      <c r="C270" s="43">
        <f>A270*($H$2/$I$2)</f>
        <v>9.44699835975943</v>
      </c>
      <c r="D270" s="43">
        <f>D269+1</f>
        <v>269</v>
      </c>
      <c r="E270" s="48">
        <v>41.490738108255876</v>
      </c>
      <c r="F270" s="43">
        <f>D270/1076</f>
        <v>0.25</v>
      </c>
      <c r="G270" s="45">
        <f>1000*E270*$J$2*9.81/1000</f>
        <v>8140.4828168398035</v>
      </c>
    </row>
    <row r="271" spans="1:7" ht="14.4" x14ac:dyDescent="0.3">
      <c r="A271" s="46">
        <v>12.286300000000001</v>
      </c>
      <c r="B271" s="47">
        <v>37012</v>
      </c>
      <c r="C271" s="48">
        <f>A271*($H$2/$I$2)</f>
        <v>12.091492618917442</v>
      </c>
      <c r="D271" s="48">
        <f>D270+1</f>
        <v>270</v>
      </c>
      <c r="E271" s="48">
        <v>41.417222525970473</v>
      </c>
      <c r="F271" s="48">
        <f>D271/1076</f>
        <v>0.25092936802973975</v>
      </c>
      <c r="G271" s="49">
        <f>1000*E271*$J$2*9.81/1000</f>
        <v>8126.0590595954081</v>
      </c>
    </row>
    <row r="272" spans="1:7" ht="14.4" x14ac:dyDescent="0.3">
      <c r="A272" s="41">
        <v>14.866300000000001</v>
      </c>
      <c r="B272" s="42">
        <v>36982</v>
      </c>
      <c r="C272" s="43">
        <f>A272*($H$2/$I$2)</f>
        <v>14.63058501913614</v>
      </c>
      <c r="D272" s="43">
        <f>D271+1</f>
        <v>271</v>
      </c>
      <c r="E272" s="43">
        <v>41.411120831055221</v>
      </c>
      <c r="F272" s="43">
        <f>D272/1076</f>
        <v>0.25185873605947956</v>
      </c>
      <c r="G272" s="45">
        <f>1000*E272*$J$2*9.81/1000</f>
        <v>8124.8619070530349</v>
      </c>
    </row>
    <row r="273" spans="1:7" ht="14.4" x14ac:dyDescent="0.3">
      <c r="A273" s="46">
        <v>18.5626</v>
      </c>
      <c r="B273" s="47">
        <v>36951</v>
      </c>
      <c r="C273" s="48">
        <f>A273*($H$2/$I$2)</f>
        <v>18.268277747402951</v>
      </c>
      <c r="D273" s="48">
        <f>D272+1</f>
        <v>272</v>
      </c>
      <c r="E273" s="48">
        <v>41.393110989611813</v>
      </c>
      <c r="F273" s="48">
        <f>D273/1076</f>
        <v>0.25278810408921931</v>
      </c>
      <c r="G273" s="49">
        <f>1000*E273*$J$2*9.81/1000</f>
        <v>8121.3283761618386</v>
      </c>
    </row>
    <row r="274" spans="1:7" ht="14.4" x14ac:dyDescent="0.3">
      <c r="A274" s="41">
        <v>23.415900000000001</v>
      </c>
      <c r="B274" s="42">
        <v>36923</v>
      </c>
      <c r="C274" s="43">
        <f>A274*($H$2/$I$2)</f>
        <v>23.0446254784035</v>
      </c>
      <c r="D274" s="43">
        <f>D273+1</f>
        <v>273</v>
      </c>
      <c r="E274" s="48">
        <v>41.319989065062877</v>
      </c>
      <c r="F274" s="43">
        <f>D274/1076</f>
        <v>0.25371747211895912</v>
      </c>
      <c r="G274" s="45">
        <f>1000*E274*$J$2*9.81/1000</f>
        <v>8106.9818545653379</v>
      </c>
    </row>
    <row r="275" spans="1:7" ht="14.4" x14ac:dyDescent="0.3">
      <c r="A275" s="46">
        <v>29.258500000000002</v>
      </c>
      <c r="B275" s="47">
        <v>36892</v>
      </c>
      <c r="C275" s="48">
        <f>A275*($H$2/$I$2)</f>
        <v>28.794587206123566</v>
      </c>
      <c r="D275" s="48">
        <f>D274+1</f>
        <v>274</v>
      </c>
      <c r="E275" s="43">
        <v>41.204548933843633</v>
      </c>
      <c r="F275" s="48">
        <f>D275/1076</f>
        <v>0.25464684014869887</v>
      </c>
      <c r="G275" s="49">
        <f>1000*E275*$J$2*9.81/1000</f>
        <v>8084.33250082012</v>
      </c>
    </row>
    <row r="276" spans="1:7" ht="14.4" x14ac:dyDescent="0.3">
      <c r="A276" s="41">
        <v>34.624899999999997</v>
      </c>
      <c r="B276" s="42">
        <v>36861</v>
      </c>
      <c r="C276" s="43">
        <f>A276*($H$2/$I$2)</f>
        <v>34.075899398578457</v>
      </c>
      <c r="D276" s="43">
        <f>D275+1</f>
        <v>275</v>
      </c>
      <c r="E276" s="43">
        <v>41.098851831601969</v>
      </c>
      <c r="F276" s="43">
        <f>D276/1076</f>
        <v>0.25557620817843868</v>
      </c>
      <c r="G276" s="45">
        <f>1000*E276*$J$2*9.81/1000</f>
        <v>8063.5947293603067</v>
      </c>
    </row>
    <row r="277" spans="1:7" ht="14.4" x14ac:dyDescent="0.3">
      <c r="A277" s="46">
        <v>24.407399999999999</v>
      </c>
      <c r="B277" s="47">
        <v>36831</v>
      </c>
      <c r="C277" s="48">
        <f>A277*($H$2/$I$2)</f>
        <v>24.020404592673589</v>
      </c>
      <c r="D277" s="48">
        <f>D276+1</f>
        <v>276</v>
      </c>
      <c r="E277" s="43">
        <v>40.866495352651725</v>
      </c>
      <c r="F277" s="48">
        <f>D277/1076</f>
        <v>0.25650557620817843</v>
      </c>
      <c r="G277" s="49">
        <f>1000*E277*$J$2*9.81/1000</f>
        <v>8018.0063881902697</v>
      </c>
    </row>
    <row r="278" spans="1:7" ht="14.4" x14ac:dyDescent="0.3">
      <c r="A278" s="41">
        <v>13.6104</v>
      </c>
      <c r="B278" s="42">
        <v>36800</v>
      </c>
      <c r="C278" s="43">
        <f>A278*($H$2/$I$2)</f>
        <v>13.394598141060689</v>
      </c>
      <c r="D278" s="43">
        <f>D277+1</f>
        <v>277</v>
      </c>
      <c r="E278" s="43">
        <v>40.751153635866594</v>
      </c>
      <c r="F278" s="43">
        <f>D278/1076</f>
        <v>0.25743494423791824</v>
      </c>
      <c r="G278" s="45">
        <f>1000*E278*$J$2*9.81/1000</f>
        <v>7995.3763433570257</v>
      </c>
    </row>
    <row r="279" spans="1:7" ht="14.4" x14ac:dyDescent="0.3">
      <c r="A279" s="46">
        <v>22.874099999999999</v>
      </c>
      <c r="B279" s="47">
        <v>36770</v>
      </c>
      <c r="C279" s="48">
        <f>A279*($H$2/$I$2)</f>
        <v>22.51141607435757</v>
      </c>
      <c r="D279" s="48">
        <f>D278+1</f>
        <v>278</v>
      </c>
      <c r="E279" s="43">
        <v>40.690235101148161</v>
      </c>
      <c r="F279" s="48">
        <f>D279/1076</f>
        <v>0.25836431226765799</v>
      </c>
      <c r="G279" s="49">
        <f>1000*E279*$J$2*9.81/1000</f>
        <v>7983.4241268452697</v>
      </c>
    </row>
    <row r="280" spans="1:7" ht="14.4" x14ac:dyDescent="0.3">
      <c r="A280" s="41">
        <v>14.053000000000001</v>
      </c>
      <c r="B280" s="42">
        <v>36739</v>
      </c>
      <c r="C280" s="43">
        <f>A280*($H$2/$I$2)</f>
        <v>13.830180426462547</v>
      </c>
      <c r="D280" s="43">
        <f>D279+1</f>
        <v>279</v>
      </c>
      <c r="E280" s="48">
        <v>40.637386550027337</v>
      </c>
      <c r="F280" s="43">
        <f>D280/1076</f>
        <v>0.25929368029739774</v>
      </c>
      <c r="G280" s="45">
        <f>1000*E280*$J$2*9.81/1000</f>
        <v>7973.0552411153649</v>
      </c>
    </row>
    <row r="281" spans="1:7" ht="14.4" x14ac:dyDescent="0.3">
      <c r="A281" s="46">
        <v>16.434100000000001</v>
      </c>
      <c r="B281" s="47">
        <v>36708</v>
      </c>
      <c r="C281" s="48">
        <f>A281*($H$2/$I$2)</f>
        <v>16.173526517222527</v>
      </c>
      <c r="D281" s="48">
        <f>D280+1</f>
        <v>280</v>
      </c>
      <c r="E281" s="48">
        <v>40.599300164024058</v>
      </c>
      <c r="F281" s="48">
        <f>D281/1076</f>
        <v>0.26022304832713755</v>
      </c>
      <c r="G281" s="49">
        <f>1000*E281*$J$2*9.81/1000</f>
        <v>7965.5826921815205</v>
      </c>
    </row>
    <row r="282" spans="1:7" ht="14.4" x14ac:dyDescent="0.3">
      <c r="A282" s="41">
        <v>17.957899999999999</v>
      </c>
      <c r="B282" s="42">
        <v>36678</v>
      </c>
      <c r="C282" s="43">
        <f>A282*($H$2/$I$2)</f>
        <v>17.673165664297429</v>
      </c>
      <c r="D282" s="43">
        <f>D281+1</f>
        <v>281</v>
      </c>
      <c r="E282" s="43">
        <v>40.479332968835429</v>
      </c>
      <c r="F282" s="43">
        <f>D282/1076</f>
        <v>0.2611524163568773</v>
      </c>
      <c r="G282" s="45">
        <f>1000*E282*$J$2*9.81/1000</f>
        <v>7942.0451284855108</v>
      </c>
    </row>
    <row r="283" spans="1:7" ht="14.4" x14ac:dyDescent="0.3">
      <c r="A283" s="46">
        <v>21.615200000000002</v>
      </c>
      <c r="B283" s="47">
        <v>36647</v>
      </c>
      <c r="C283" s="48">
        <f>A283*($H$2/$I$2)</f>
        <v>21.272476763258613</v>
      </c>
      <c r="D283" s="48">
        <f>D282+1</f>
        <v>282</v>
      </c>
      <c r="E283" s="43">
        <v>40.459650082012026</v>
      </c>
      <c r="F283" s="48">
        <f>D283/1076</f>
        <v>0.26208178438661711</v>
      </c>
      <c r="G283" s="49">
        <f>1000*E283*$J$2*9.81/1000</f>
        <v>7938.1833460907601</v>
      </c>
    </row>
    <row r="284" spans="1:7" ht="14.4" x14ac:dyDescent="0.3">
      <c r="A284" s="41">
        <v>30.302399999999999</v>
      </c>
      <c r="B284" s="42">
        <v>36617</v>
      </c>
      <c r="C284" s="43">
        <f>A284*($H$2/$I$2)</f>
        <v>29.821935483870966</v>
      </c>
      <c r="D284" s="43">
        <f>D283+1</f>
        <v>283</v>
      </c>
      <c r="E284" s="43">
        <v>40.459354838709672</v>
      </c>
      <c r="F284" s="43">
        <f>D284/1076</f>
        <v>0.26301115241635686</v>
      </c>
      <c r="G284" s="45">
        <f>1000*E284*$J$2*9.81/1000</f>
        <v>7938.1254193548384</v>
      </c>
    </row>
    <row r="285" spans="1:7" ht="14.4" x14ac:dyDescent="0.3">
      <c r="A285" s="46">
        <v>47.049500000000002</v>
      </c>
      <c r="B285" s="47">
        <v>36586</v>
      </c>
      <c r="C285" s="48">
        <f>A285*($H$2/$I$2)</f>
        <v>46.303499179879715</v>
      </c>
      <c r="D285" s="48">
        <f>D284+1</f>
        <v>284</v>
      </c>
      <c r="E285" s="43">
        <v>40.179070530344447</v>
      </c>
      <c r="F285" s="48">
        <f>D285/1076</f>
        <v>0.26394052044609667</v>
      </c>
      <c r="G285" s="49">
        <f>1000*E285*$J$2*9.81/1000</f>
        <v>7883.1336380535813</v>
      </c>
    </row>
    <row r="286" spans="1:7" ht="14.4" x14ac:dyDescent="0.3">
      <c r="A286" s="41">
        <v>70.025999999999996</v>
      </c>
      <c r="B286" s="42">
        <v>36557</v>
      </c>
      <c r="C286" s="43">
        <f>A286*($H$2/$I$2)</f>
        <v>68.915691634773097</v>
      </c>
      <c r="D286" s="43">
        <f>D285+1</f>
        <v>285</v>
      </c>
      <c r="E286" s="43">
        <v>40.156533624931654</v>
      </c>
      <c r="F286" s="43">
        <f>D286/1076</f>
        <v>0.26486988847583642</v>
      </c>
      <c r="G286" s="45">
        <f>1000*E286*$J$2*9.81/1000</f>
        <v>7878.7118972115904</v>
      </c>
    </row>
    <row r="287" spans="1:7" ht="14.4" x14ac:dyDescent="0.3">
      <c r="A287" s="46">
        <v>84.348600000000005</v>
      </c>
      <c r="B287" s="47">
        <v>36526</v>
      </c>
      <c r="C287" s="48">
        <f>A287*($H$2/$I$2)</f>
        <v>83.011197375615097</v>
      </c>
      <c r="D287" s="48">
        <f>D286+1</f>
        <v>286</v>
      </c>
      <c r="E287" s="48">
        <v>40.153285948605792</v>
      </c>
      <c r="F287" s="48">
        <f>D287/1076</f>
        <v>0.26579925650557623</v>
      </c>
      <c r="G287" s="49">
        <f>1000*E287*$J$2*9.81/1000</f>
        <v>7878.0747031164574</v>
      </c>
    </row>
    <row r="288" spans="1:7" ht="14.4" x14ac:dyDescent="0.3">
      <c r="A288" s="41">
        <v>31.4499</v>
      </c>
      <c r="B288" s="42">
        <v>36495</v>
      </c>
      <c r="C288" s="43">
        <f>A288*($H$2/$I$2)</f>
        <v>30.951241115363587</v>
      </c>
      <c r="D288" s="43">
        <f>D287+1</f>
        <v>287</v>
      </c>
      <c r="E288" s="43">
        <v>40.103685073810823</v>
      </c>
      <c r="F288" s="43">
        <f>D288/1076</f>
        <v>0.26672862453531598</v>
      </c>
      <c r="G288" s="45">
        <f>1000*E288*$J$2*9.81/1000</f>
        <v>7868.3430114816847</v>
      </c>
    </row>
    <row r="289" spans="1:7" ht="14.4" x14ac:dyDescent="0.3">
      <c r="A289" s="46">
        <v>12.047700000000001</v>
      </c>
      <c r="B289" s="47">
        <v>36465</v>
      </c>
      <c r="C289" s="48">
        <f>A289*($H$2/$I$2)</f>
        <v>11.856675779114271</v>
      </c>
      <c r="D289" s="48">
        <f>D288+1</f>
        <v>288</v>
      </c>
      <c r="E289" s="43">
        <v>39.906856205576815</v>
      </c>
      <c r="F289" s="48">
        <f>D289/1076</f>
        <v>0.26765799256505574</v>
      </c>
      <c r="G289" s="49">
        <f>1000*E289*$J$2*9.81/1000</f>
        <v>7829.7251875341699</v>
      </c>
    </row>
    <row r="290" spans="1:7" ht="14.4" x14ac:dyDescent="0.3">
      <c r="A290" s="41">
        <v>9.6974</v>
      </c>
      <c r="B290" s="42">
        <v>36434</v>
      </c>
      <c r="C290" s="43">
        <f>A290*($H$2/$I$2)</f>
        <v>9.543641334062329</v>
      </c>
      <c r="D290" s="43">
        <f>D289+1</f>
        <v>289</v>
      </c>
      <c r="E290" s="48">
        <v>39.885205030071077</v>
      </c>
      <c r="F290" s="43">
        <f>D290/1076</f>
        <v>0.26858736059479554</v>
      </c>
      <c r="G290" s="45">
        <f>1000*E290*$J$2*9.81/1000</f>
        <v>7825.4772268999459</v>
      </c>
    </row>
    <row r="291" spans="1:7" ht="14.4" x14ac:dyDescent="0.3">
      <c r="A291" s="46">
        <v>10.591799999999999</v>
      </c>
      <c r="B291" s="47">
        <v>36404</v>
      </c>
      <c r="C291" s="48">
        <f>A291*($H$2/$I$2)</f>
        <v>10.423860032804811</v>
      </c>
      <c r="D291" s="48">
        <f>D290+1</f>
        <v>290</v>
      </c>
      <c r="E291" s="43">
        <v>39.678141060688901</v>
      </c>
      <c r="F291" s="48">
        <f>D291/1076</f>
        <v>0.2695167286245353</v>
      </c>
      <c r="G291" s="49">
        <f>1000*E291*$J$2*9.81/1000</f>
        <v>7784.8512761071643</v>
      </c>
    </row>
    <row r="292" spans="1:7" ht="14.4" x14ac:dyDescent="0.3">
      <c r="A292" s="41">
        <v>12.3087</v>
      </c>
      <c r="B292" s="42">
        <v>36373</v>
      </c>
      <c r="C292" s="43">
        <f>A292*($H$2/$I$2)</f>
        <v>12.113537452159649</v>
      </c>
      <c r="D292" s="43">
        <f>D291+1</f>
        <v>291</v>
      </c>
      <c r="E292" s="48">
        <v>39.677550574084201</v>
      </c>
      <c r="F292" s="43">
        <f>D292/1076</f>
        <v>0.2704460966542751</v>
      </c>
      <c r="G292" s="45">
        <f>1000*E292*$J$2*9.81/1000</f>
        <v>7784.73542263532</v>
      </c>
    </row>
    <row r="293" spans="1:7" ht="14.4" x14ac:dyDescent="0.3">
      <c r="A293" s="46">
        <v>15.559200000000001</v>
      </c>
      <c r="B293" s="47">
        <v>36342</v>
      </c>
      <c r="C293" s="48">
        <f>A293*($H$2/$I$2)</f>
        <v>15.31249863313286</v>
      </c>
      <c r="D293" s="48">
        <f>D292+1</f>
        <v>292</v>
      </c>
      <c r="E293" s="43">
        <v>39.657769272826684</v>
      </c>
      <c r="F293" s="48">
        <f>D293/1076</f>
        <v>0.27137546468401486</v>
      </c>
      <c r="G293" s="49">
        <f>1000*E293*$J$2*9.81/1000</f>
        <v>7780.8543313285954</v>
      </c>
    </row>
    <row r="294" spans="1:7" ht="14.4" x14ac:dyDescent="0.3">
      <c r="A294" s="41">
        <v>18.4864</v>
      </c>
      <c r="B294" s="42">
        <v>36312</v>
      </c>
      <c r="C294" s="43">
        <f>A294*($H$2/$I$2)</f>
        <v>18.193285948605794</v>
      </c>
      <c r="D294" s="43">
        <f>D293+1</f>
        <v>293</v>
      </c>
      <c r="E294" s="43">
        <v>39.593701476216509</v>
      </c>
      <c r="F294" s="43">
        <f>D294/1076</f>
        <v>0.27230483271375466</v>
      </c>
      <c r="G294" s="45">
        <f>1000*E294*$J$2*9.81/1000</f>
        <v>7768.2842296336803</v>
      </c>
    </row>
    <row r="295" spans="1:7" ht="14.4" x14ac:dyDescent="0.3">
      <c r="A295" s="46">
        <v>20.464500000000001</v>
      </c>
      <c r="B295" s="47">
        <v>36281</v>
      </c>
      <c r="C295" s="48">
        <f>A295*($H$2/$I$2)</f>
        <v>20.14002186987425</v>
      </c>
      <c r="D295" s="48">
        <f>D294+1</f>
        <v>294</v>
      </c>
      <c r="E295" s="43">
        <v>39.560338983050841</v>
      </c>
      <c r="F295" s="48">
        <f>D295/1076</f>
        <v>0.27323420074349442</v>
      </c>
      <c r="G295" s="49">
        <f>1000*E295*$J$2*9.81/1000</f>
        <v>7761.7385084745756</v>
      </c>
    </row>
    <row r="296" spans="1:7" ht="14.4" x14ac:dyDescent="0.3">
      <c r="A296" s="41">
        <v>28.8765</v>
      </c>
      <c r="B296" s="42">
        <v>36251</v>
      </c>
      <c r="C296" s="43">
        <f>A296*($H$2/$I$2)</f>
        <v>28.41864406779661</v>
      </c>
      <c r="D296" s="43">
        <f>D295+1</f>
        <v>295</v>
      </c>
      <c r="E296" s="48">
        <v>39.527665390924</v>
      </c>
      <c r="F296" s="43">
        <f>D296/1076</f>
        <v>0.27416356877323422</v>
      </c>
      <c r="G296" s="45">
        <f>1000*E296*$J$2*9.81/1000</f>
        <v>7755.3279496992891</v>
      </c>
    </row>
    <row r="297" spans="1:7" ht="14.4" x14ac:dyDescent="0.3">
      <c r="A297" s="46">
        <v>54.142800000000001</v>
      </c>
      <c r="B297" s="47">
        <v>36220</v>
      </c>
      <c r="C297" s="48">
        <f>A297*($H$2/$I$2)</f>
        <v>53.284330235101145</v>
      </c>
      <c r="D297" s="48">
        <f>D296+1</f>
        <v>296</v>
      </c>
      <c r="E297" s="43">
        <v>39.416555494805905</v>
      </c>
      <c r="F297" s="48">
        <f>D297/1076</f>
        <v>0.27509293680297398</v>
      </c>
      <c r="G297" s="49">
        <f>1000*E297*$J$2*9.81/1000</f>
        <v>7733.5281880809198</v>
      </c>
    </row>
    <row r="298" spans="1:7" ht="14.4" x14ac:dyDescent="0.3">
      <c r="A298" s="41">
        <v>48.531999999999996</v>
      </c>
      <c r="B298" s="42">
        <v>36192</v>
      </c>
      <c r="C298" s="43">
        <f>A298*($H$2/$I$2)</f>
        <v>47.762493165664296</v>
      </c>
      <c r="D298" s="43">
        <f>D297+1</f>
        <v>297</v>
      </c>
      <c r="E298" s="48">
        <v>39.401202843083652</v>
      </c>
      <c r="F298" s="43">
        <f>D298/1076</f>
        <v>0.27602230483271373</v>
      </c>
      <c r="G298" s="45">
        <f>1000*E298*$J$2*9.81/1000</f>
        <v>7730.5159978130123</v>
      </c>
    </row>
    <row r="299" spans="1:7" ht="14.4" x14ac:dyDescent="0.3">
      <c r="A299" s="46">
        <v>60.264000000000003</v>
      </c>
      <c r="B299" s="47">
        <v>36161</v>
      </c>
      <c r="C299" s="48">
        <f>A299*($H$2/$I$2)</f>
        <v>59.308474576271188</v>
      </c>
      <c r="D299" s="48">
        <f>D298+1</f>
        <v>298</v>
      </c>
      <c r="E299" s="43">
        <v>39.360951339529798</v>
      </c>
      <c r="F299" s="48">
        <f>D299/1076</f>
        <v>0.27695167286245354</v>
      </c>
      <c r="G299" s="49">
        <f>1000*E299*$J$2*9.81/1000</f>
        <v>7722.6186528157468</v>
      </c>
    </row>
    <row r="300" spans="1:7" ht="14.4" x14ac:dyDescent="0.3">
      <c r="A300" s="41">
        <v>29.093900000000001</v>
      </c>
      <c r="B300" s="42">
        <v>36130</v>
      </c>
      <c r="C300" s="43">
        <f>A300*($H$2/$I$2)</f>
        <v>28.632597047566978</v>
      </c>
      <c r="D300" s="43">
        <f>D299+1</f>
        <v>299</v>
      </c>
      <c r="E300" s="43">
        <v>39.233996719518863</v>
      </c>
      <c r="F300" s="43">
        <f>D300/1076</f>
        <v>0.27788104089219329</v>
      </c>
      <c r="G300" s="45">
        <f>1000*E300*$J$2*9.81/1000</f>
        <v>7697.7101563696015</v>
      </c>
    </row>
    <row r="301" spans="1:7" ht="14.4" x14ac:dyDescent="0.3">
      <c r="A301" s="46">
        <v>21.2012</v>
      </c>
      <c r="B301" s="47">
        <v>36100</v>
      </c>
      <c r="C301" s="48">
        <f>A301*($H$2/$I$2)</f>
        <v>20.865041006014216</v>
      </c>
      <c r="D301" s="48">
        <f>D300+1</f>
        <v>300</v>
      </c>
      <c r="E301" s="48">
        <v>39.185872061235649</v>
      </c>
      <c r="F301" s="48">
        <f>D301/1076</f>
        <v>0.27881040892193309</v>
      </c>
      <c r="G301" s="49">
        <f>1000*E301*$J$2*9.81/1000</f>
        <v>7688.2680984144354</v>
      </c>
    </row>
    <row r="302" spans="1:7" ht="14.4" x14ac:dyDescent="0.3">
      <c r="A302" s="41">
        <v>19.603000000000002</v>
      </c>
      <c r="B302" s="42">
        <v>36069</v>
      </c>
      <c r="C302" s="43">
        <f>A302*($H$2/$I$2)</f>
        <v>19.292181519956262</v>
      </c>
      <c r="D302" s="43">
        <f>D301+1</f>
        <v>301</v>
      </c>
      <c r="E302" s="43">
        <v>39.10822307271733</v>
      </c>
      <c r="F302" s="43">
        <f>D302/1076</f>
        <v>0.27973977695167285</v>
      </c>
      <c r="G302" s="45">
        <f>1000*E302*$J$2*9.81/1000</f>
        <v>7673.0333668671401</v>
      </c>
    </row>
    <row r="303" spans="1:7" ht="14.4" x14ac:dyDescent="0.3">
      <c r="A303" s="46">
        <v>11.673299999999999</v>
      </c>
      <c r="B303" s="47">
        <v>36039</v>
      </c>
      <c r="C303" s="48">
        <f>A303*($H$2/$I$2)</f>
        <v>11.488212137780208</v>
      </c>
      <c r="D303" s="48">
        <f>D302+1</f>
        <v>302</v>
      </c>
      <c r="E303" s="43">
        <v>39.04996172772006</v>
      </c>
      <c r="F303" s="48">
        <f>D303/1076</f>
        <v>0.28066914498141265</v>
      </c>
      <c r="G303" s="49">
        <f>1000*E303*$J$2*9.81/1000</f>
        <v>7661.6024909786756</v>
      </c>
    </row>
    <row r="304" spans="1:7" ht="14.4" x14ac:dyDescent="0.3">
      <c r="A304" s="41">
        <v>15.167999999999999</v>
      </c>
      <c r="B304" s="42">
        <v>36008</v>
      </c>
      <c r="C304" s="43">
        <f>A304*($H$2/$I$2)</f>
        <v>14.927501366867139</v>
      </c>
      <c r="D304" s="43">
        <f>D303+1</f>
        <v>303</v>
      </c>
      <c r="E304" s="48">
        <v>38.985303444505192</v>
      </c>
      <c r="F304" s="43">
        <f>D304/1076</f>
        <v>0.28159851301115241</v>
      </c>
      <c r="G304" s="45">
        <f>1000*E304*$J$2*9.81/1000</f>
        <v>7648.9165358119189</v>
      </c>
    </row>
    <row r="305" spans="1:7" ht="14.4" x14ac:dyDescent="0.3">
      <c r="A305" s="46">
        <v>16.446400000000001</v>
      </c>
      <c r="B305" s="47">
        <v>35977</v>
      </c>
      <c r="C305" s="48">
        <f>A305*($H$2/$I$2)</f>
        <v>16.185631492618917</v>
      </c>
      <c r="D305" s="48">
        <f>D304+1</f>
        <v>304</v>
      </c>
      <c r="E305" s="43">
        <v>38.972804811372335</v>
      </c>
      <c r="F305" s="48">
        <f>D305/1076</f>
        <v>0.28252788104089221</v>
      </c>
      <c r="G305" s="49">
        <f>1000*E305*$J$2*9.81/1000</f>
        <v>7646.4643039912526</v>
      </c>
    </row>
    <row r="306" spans="1:7" ht="14.4" x14ac:dyDescent="0.3">
      <c r="A306" s="41">
        <v>21.641400000000001</v>
      </c>
      <c r="B306" s="42">
        <v>35947</v>
      </c>
      <c r="C306" s="43">
        <f>A306*($H$2/$I$2)</f>
        <v>21.298261344997265</v>
      </c>
      <c r="D306" s="43">
        <f>D305+1</f>
        <v>305</v>
      </c>
      <c r="E306" s="43">
        <v>38.932651722252594</v>
      </c>
      <c r="F306" s="43">
        <f>D306/1076</f>
        <v>0.28345724907063197</v>
      </c>
      <c r="G306" s="45">
        <f>1000*E306*$J$2*9.81/1000</f>
        <v>7638.5862679059601</v>
      </c>
    </row>
    <row r="307" spans="1:7" ht="14.4" x14ac:dyDescent="0.3">
      <c r="A307" s="46">
        <v>25.974399999999999</v>
      </c>
      <c r="B307" s="47">
        <v>35916</v>
      </c>
      <c r="C307" s="48">
        <f>A307*($H$2/$I$2)</f>
        <v>25.562558775287041</v>
      </c>
      <c r="D307" s="48">
        <f>D306+1</f>
        <v>306</v>
      </c>
      <c r="E307" s="43">
        <v>38.817802077638049</v>
      </c>
      <c r="F307" s="48">
        <f>D307/1076</f>
        <v>0.28438661710037177</v>
      </c>
      <c r="G307" s="49">
        <f>1000*E307*$J$2*9.81/1000</f>
        <v>7616.0527676325855</v>
      </c>
    </row>
    <row r="308" spans="1:7" ht="14.4" x14ac:dyDescent="0.3">
      <c r="A308" s="41">
        <v>34.384500000000003</v>
      </c>
      <c r="B308" s="42">
        <v>35886</v>
      </c>
      <c r="C308" s="43">
        <f>A308*($H$2/$I$2)</f>
        <v>33.839311098961183</v>
      </c>
      <c r="D308" s="43">
        <f>D307+1</f>
        <v>307</v>
      </c>
      <c r="E308" s="48">
        <v>38.550508474576269</v>
      </c>
      <c r="F308" s="43">
        <f>D308/1076</f>
        <v>0.28531598513011153</v>
      </c>
      <c r="G308" s="45">
        <f>1000*E308*$J$2*9.81/1000</f>
        <v>7563.6097627118634</v>
      </c>
    </row>
    <row r="309" spans="1:7" ht="14.4" x14ac:dyDescent="0.3">
      <c r="A309" s="46">
        <v>42.06</v>
      </c>
      <c r="B309" s="47">
        <v>35855</v>
      </c>
      <c r="C309" s="48">
        <f>A309*($H$2/$I$2)</f>
        <v>41.393110989611813</v>
      </c>
      <c r="D309" s="48">
        <f>D308+1</f>
        <v>308</v>
      </c>
      <c r="E309" s="43">
        <v>38.544702022963371</v>
      </c>
      <c r="F309" s="48">
        <f>D309/1076</f>
        <v>0.28624535315985128</v>
      </c>
      <c r="G309" s="49">
        <f>1000*E309*$J$2*9.81/1000</f>
        <v>7562.4705369054145</v>
      </c>
    </row>
    <row r="310" spans="1:7" ht="14.4" x14ac:dyDescent="0.3">
      <c r="A310" s="41">
        <v>48.8279</v>
      </c>
      <c r="B310" s="42">
        <v>35827</v>
      </c>
      <c r="C310" s="43">
        <f>A310*($H$2/$I$2)</f>
        <v>48.05370147621651</v>
      </c>
      <c r="D310" s="43">
        <f>D309+1</f>
        <v>309</v>
      </c>
      <c r="E310" s="48">
        <v>38.383696008747947</v>
      </c>
      <c r="F310" s="43">
        <f>D310/1076</f>
        <v>0.28717472118959109</v>
      </c>
      <c r="G310" s="45">
        <f>1000*E310*$J$2*9.81/1000</f>
        <v>7530.8811569163472</v>
      </c>
    </row>
    <row r="311" spans="1:7" ht="14.4" x14ac:dyDescent="0.3">
      <c r="A311" s="46">
        <v>44.159199999999998</v>
      </c>
      <c r="B311" s="47">
        <v>35796</v>
      </c>
      <c r="C311" s="48">
        <f>A311*($H$2/$I$2)</f>
        <v>43.459026790595949</v>
      </c>
      <c r="D311" s="48">
        <f>D310+1</f>
        <v>310</v>
      </c>
      <c r="E311" s="43">
        <v>38.054007654455987</v>
      </c>
      <c r="F311" s="48">
        <f>D311/1076</f>
        <v>0.28810408921933084</v>
      </c>
      <c r="G311" s="49">
        <f>1000*E311*$J$2*9.81/1000</f>
        <v>7466.1963018042652</v>
      </c>
    </row>
    <row r="312" spans="1:7" ht="14.4" x14ac:dyDescent="0.3">
      <c r="A312" s="41">
        <v>43.472700000000003</v>
      </c>
      <c r="B312" s="42">
        <v>35765</v>
      </c>
      <c r="C312" s="43">
        <f>A312*($H$2/$I$2)</f>
        <v>42.783411700382722</v>
      </c>
      <c r="D312" s="43">
        <f>D311+1</f>
        <v>311</v>
      </c>
      <c r="E312" s="43">
        <v>37.750202296336795</v>
      </c>
      <c r="F312" s="43">
        <f>D312/1076</f>
        <v>0.28903345724907065</v>
      </c>
      <c r="G312" s="45">
        <f>1000*E312*$J$2*9.81/1000</f>
        <v>7406.5896905412792</v>
      </c>
    </row>
    <row r="313" spans="1:7" ht="14.4" x14ac:dyDescent="0.3">
      <c r="A313" s="46">
        <v>32.262300000000003</v>
      </c>
      <c r="B313" s="47">
        <v>35735</v>
      </c>
      <c r="C313" s="48">
        <f>A313*($H$2/$I$2)</f>
        <v>31.750759978130127</v>
      </c>
      <c r="D313" s="48">
        <f>D312+1</f>
        <v>312</v>
      </c>
      <c r="E313" s="48">
        <v>37.707490431930012</v>
      </c>
      <c r="F313" s="48">
        <f>D313/1076</f>
        <v>0.2899628252788104</v>
      </c>
      <c r="G313" s="49">
        <f>1000*E313*$J$2*9.81/1000</f>
        <v>7398.2096227446682</v>
      </c>
    </row>
    <row r="314" spans="1:7" ht="14.4" x14ac:dyDescent="0.3">
      <c r="A314" s="41">
        <v>20.502199999999998</v>
      </c>
      <c r="B314" s="42">
        <v>35704</v>
      </c>
      <c r="C314" s="43">
        <f>A314*($H$2/$I$2)</f>
        <v>20.177124111536358</v>
      </c>
      <c r="D314" s="43">
        <f>D313+1</f>
        <v>313</v>
      </c>
      <c r="E314" s="48">
        <v>37.637419354838705</v>
      </c>
      <c r="F314" s="43">
        <f>D314/1076</f>
        <v>0.29089219330855021</v>
      </c>
      <c r="G314" s="45">
        <f>1000*E314*$J$2*9.81/1000</f>
        <v>7384.4616774193546</v>
      </c>
    </row>
    <row r="315" spans="1:7" ht="14.4" x14ac:dyDescent="0.3">
      <c r="A315" s="46">
        <v>18.2652</v>
      </c>
      <c r="B315" s="47">
        <v>35674</v>
      </c>
      <c r="C315" s="48">
        <f>A315*($H$2/$I$2)</f>
        <v>17.975593220338983</v>
      </c>
      <c r="D315" s="48">
        <f>D314+1</f>
        <v>314</v>
      </c>
      <c r="E315" s="48">
        <v>37.635943138326951</v>
      </c>
      <c r="F315" s="48">
        <f>D315/1076</f>
        <v>0.29182156133828996</v>
      </c>
      <c r="G315" s="49">
        <f>1000*E315*$J$2*9.81/1000</f>
        <v>7384.172043739748</v>
      </c>
    </row>
    <row r="316" spans="1:7" ht="14.4" x14ac:dyDescent="0.3">
      <c r="A316" s="41">
        <v>18.9739</v>
      </c>
      <c r="B316" s="42">
        <v>35643</v>
      </c>
      <c r="C316" s="43">
        <f>A316*($H$2/$I$2)</f>
        <v>18.673056314926189</v>
      </c>
      <c r="D316" s="43">
        <f>D315+1</f>
        <v>315</v>
      </c>
      <c r="E316" s="43">
        <v>37.620295243302351</v>
      </c>
      <c r="F316" s="43">
        <f>D316/1076</f>
        <v>0.29275092936802977</v>
      </c>
      <c r="G316" s="45">
        <f>1000*E316*$J$2*9.81/1000</f>
        <v>7381.1019267359225</v>
      </c>
    </row>
    <row r="317" spans="1:7" ht="14.4" x14ac:dyDescent="0.3">
      <c r="A317" s="46">
        <v>23.497900000000001</v>
      </c>
      <c r="B317" s="47">
        <v>35612</v>
      </c>
      <c r="C317" s="48">
        <f>A317*($H$2/$I$2)</f>
        <v>23.125325314379442</v>
      </c>
      <c r="D317" s="48">
        <f>D316+1</f>
        <v>316</v>
      </c>
      <c r="E317" s="48">
        <v>37.587916894477857</v>
      </c>
      <c r="F317" s="48">
        <f>D317/1076</f>
        <v>0.29368029739776952</v>
      </c>
      <c r="G317" s="49">
        <f>1000*E317*$J$2*9.81/1000</f>
        <v>7374.7492946965558</v>
      </c>
    </row>
    <row r="318" spans="1:7" ht="14.4" x14ac:dyDescent="0.3">
      <c r="A318" s="41">
        <v>32.019799999999996</v>
      </c>
      <c r="B318" s="42">
        <v>35582</v>
      </c>
      <c r="C318" s="43">
        <f>A318*($H$2/$I$2)</f>
        <v>31.512104975396387</v>
      </c>
      <c r="D318" s="43">
        <f>D317+1</f>
        <v>317</v>
      </c>
      <c r="E318" s="48">
        <v>37.525325314379444</v>
      </c>
      <c r="F318" s="43">
        <f>D318/1076</f>
        <v>0.29460966542750927</v>
      </c>
      <c r="G318" s="45">
        <f>1000*E318*$J$2*9.81/1000</f>
        <v>7362.4688266812473</v>
      </c>
    </row>
    <row r="319" spans="1:7" ht="14.4" x14ac:dyDescent="0.3">
      <c r="A319" s="46">
        <v>31.846699999999998</v>
      </c>
      <c r="B319" s="47">
        <v>35551</v>
      </c>
      <c r="C319" s="48">
        <f>A319*($H$2/$I$2)</f>
        <v>31.341749589939855</v>
      </c>
      <c r="D319" s="48">
        <f>D318+1</f>
        <v>318</v>
      </c>
      <c r="E319" s="43">
        <v>37.461355932203389</v>
      </c>
      <c r="F319" s="48">
        <f>D319/1076</f>
        <v>0.29553903345724908</v>
      </c>
      <c r="G319" s="49">
        <f>1000*E319*$J$2*9.81/1000</f>
        <v>7349.9180338983051</v>
      </c>
    </row>
    <row r="320" spans="1:7" ht="14.4" x14ac:dyDescent="0.3">
      <c r="A320" s="41">
        <v>40.317399999999999</v>
      </c>
      <c r="B320" s="42">
        <v>35521</v>
      </c>
      <c r="C320" s="43">
        <f>A320*($H$2/$I$2)</f>
        <v>39.678141060688901</v>
      </c>
      <c r="D320" s="43">
        <f>D319+1</f>
        <v>319</v>
      </c>
      <c r="E320" s="48">
        <v>37.443838162930561</v>
      </c>
      <c r="F320" s="43">
        <f>D320/1076</f>
        <v>0.29646840148698883</v>
      </c>
      <c r="G320" s="45">
        <f>1000*E320*$J$2*9.81/1000</f>
        <v>7346.4810475669765</v>
      </c>
    </row>
    <row r="321" spans="1:7" ht="14.4" x14ac:dyDescent="0.3">
      <c r="A321" s="46">
        <v>59.6066</v>
      </c>
      <c r="B321" s="47">
        <v>35490</v>
      </c>
      <c r="C321" s="48">
        <f>A321*($H$2/$I$2)</f>
        <v>58.661498086386004</v>
      </c>
      <c r="D321" s="48">
        <f>D320+1</f>
        <v>320</v>
      </c>
      <c r="E321" s="48">
        <v>37.412247129579008</v>
      </c>
      <c r="F321" s="48">
        <f>D321/1076</f>
        <v>0.29739776951672864</v>
      </c>
      <c r="G321" s="49">
        <f>1000*E321*$J$2*9.81/1000</f>
        <v>7340.2828868234028</v>
      </c>
    </row>
    <row r="322" spans="1:7" ht="14.4" x14ac:dyDescent="0.3">
      <c r="A322" s="41">
        <v>68.201899999999995</v>
      </c>
      <c r="B322" s="42">
        <v>35462</v>
      </c>
      <c r="C322" s="43">
        <f>A322*($H$2/$I$2)</f>
        <v>67.120513942044823</v>
      </c>
      <c r="D322" s="43">
        <f>D321+1</f>
        <v>321</v>
      </c>
      <c r="E322" s="48">
        <v>37.299070530344451</v>
      </c>
      <c r="F322" s="43">
        <f>D322/1076</f>
        <v>0.29832713754646839</v>
      </c>
      <c r="G322" s="45">
        <f>1000*E322*$J$2*9.81/1000</f>
        <v>7318.0776380535808</v>
      </c>
    </row>
    <row r="323" spans="1:7" ht="14.4" x14ac:dyDescent="0.3">
      <c r="A323" s="46">
        <v>115.21469999999999</v>
      </c>
      <c r="B323" s="47">
        <v>35431</v>
      </c>
      <c r="C323" s="48">
        <f>A323*($H$2/$I$2)</f>
        <v>113.38789502460359</v>
      </c>
      <c r="D323" s="48">
        <f>D322+1</f>
        <v>322</v>
      </c>
      <c r="E323" s="48">
        <v>37.252422088572992</v>
      </c>
      <c r="F323" s="48">
        <f>D323/1076</f>
        <v>0.2992565055762082</v>
      </c>
      <c r="G323" s="49">
        <f>1000*E323*$J$2*9.81/1000</f>
        <v>7308.9252137780204</v>
      </c>
    </row>
    <row r="324" spans="1:7" ht="14.4" x14ac:dyDescent="0.3">
      <c r="A324" s="41">
        <v>61.923400000000001</v>
      </c>
      <c r="B324" s="42">
        <v>35400</v>
      </c>
      <c r="C324" s="43">
        <f>A324*($H$2/$I$2)</f>
        <v>60.94156369600875</v>
      </c>
      <c r="D324" s="43">
        <f>D323+1</f>
        <v>323</v>
      </c>
      <c r="E324" s="43">
        <v>37.221716785128478</v>
      </c>
      <c r="F324" s="43">
        <f>D324/1076</f>
        <v>0.30018587360594795</v>
      </c>
      <c r="G324" s="45">
        <f>1000*E324*$J$2*9.81/1000</f>
        <v>7302.9008332422072</v>
      </c>
    </row>
    <row r="325" spans="1:7" ht="14.4" x14ac:dyDescent="0.3">
      <c r="A325" s="46">
        <v>64.8523</v>
      </c>
      <c r="B325" s="47">
        <v>35370</v>
      </c>
      <c r="C325" s="48">
        <f>A325*($H$2/$I$2)</f>
        <v>63.824024056861667</v>
      </c>
      <c r="D325" s="48">
        <f>D324+1</f>
        <v>324</v>
      </c>
      <c r="E325" s="48">
        <v>37.047818480043738</v>
      </c>
      <c r="F325" s="48">
        <f>D325/1076</f>
        <v>0.30111524163568776</v>
      </c>
      <c r="G325" s="49">
        <f>1000*E325*$J$2*9.81/1000</f>
        <v>7268.7819857845807</v>
      </c>
    </row>
    <row r="326" spans="1:7" ht="14.4" x14ac:dyDescent="0.3">
      <c r="A326" s="41">
        <v>27.4605</v>
      </c>
      <c r="B326" s="42">
        <v>35339</v>
      </c>
      <c r="C326" s="43">
        <f>A326*($H$2/$I$2)</f>
        <v>27.025095680699835</v>
      </c>
      <c r="D326" s="43">
        <f>D325+1</f>
        <v>325</v>
      </c>
      <c r="E326" s="43">
        <v>36.853253143794426</v>
      </c>
      <c r="F326" s="43">
        <f>D326/1076</f>
        <v>0.30204460966542751</v>
      </c>
      <c r="G326" s="45">
        <f>1000*E326*$J$2*9.81/1000</f>
        <v>7230.6082668124673</v>
      </c>
    </row>
    <row r="327" spans="1:7" ht="14.4" x14ac:dyDescent="0.3">
      <c r="A327" s="46">
        <v>28.166599999999999</v>
      </c>
      <c r="B327" s="47">
        <v>35309</v>
      </c>
      <c r="C327" s="48">
        <f>A327*($H$2/$I$2)</f>
        <v>27.72</v>
      </c>
      <c r="D327" s="48">
        <f>D326+1</f>
        <v>326</v>
      </c>
      <c r="E327" s="43">
        <v>36.751787862219786</v>
      </c>
      <c r="F327" s="48">
        <f>D327/1076</f>
        <v>0.30297397769516726</v>
      </c>
      <c r="G327" s="49">
        <f>1000*E327*$J$2*9.81/1000</f>
        <v>7210.7007785675214</v>
      </c>
    </row>
    <row r="328" spans="1:7" ht="14.4" x14ac:dyDescent="0.3">
      <c r="A328" s="41">
        <v>14.533799999999999</v>
      </c>
      <c r="B328" s="42">
        <v>35278</v>
      </c>
      <c r="C328" s="43">
        <f>A328*($H$2/$I$2)</f>
        <v>14.303357025697101</v>
      </c>
      <c r="D328" s="43">
        <f>D327+1</f>
        <v>327</v>
      </c>
      <c r="E328" s="43">
        <v>36.735549480590485</v>
      </c>
      <c r="F328" s="43">
        <f>D328/1076</f>
        <v>0.30390334572490707</v>
      </c>
      <c r="G328" s="45">
        <f>1000*E328*$J$2*9.81/1000</f>
        <v>7207.5148080918525</v>
      </c>
    </row>
    <row r="329" spans="1:7" ht="14.4" x14ac:dyDescent="0.3">
      <c r="A329" s="46">
        <v>16.454000000000001</v>
      </c>
      <c r="B329" s="47">
        <v>35247</v>
      </c>
      <c r="C329" s="48">
        <f>A329*($H$2/$I$2)</f>
        <v>16.19311098961181</v>
      </c>
      <c r="D329" s="48">
        <f>D328+1</f>
        <v>328</v>
      </c>
      <c r="E329" s="43">
        <v>36.557813012575174</v>
      </c>
      <c r="F329" s="48">
        <f>D329/1076</f>
        <v>0.30483271375464682</v>
      </c>
      <c r="G329" s="49">
        <f>1000*E329*$J$2*9.81/1000</f>
        <v>7172.6429130672504</v>
      </c>
    </row>
    <row r="330" spans="1:7" ht="14.4" x14ac:dyDescent="0.3">
      <c r="A330" s="41">
        <v>18.7758</v>
      </c>
      <c r="B330" s="42">
        <v>35217</v>
      </c>
      <c r="C330" s="43">
        <f>A330*($H$2/$I$2)</f>
        <v>18.478097320940403</v>
      </c>
      <c r="D330" s="43">
        <f>D329+1</f>
        <v>329</v>
      </c>
      <c r="E330" s="43">
        <v>36.392378348824494</v>
      </c>
      <c r="F330" s="43">
        <f>D330/1076</f>
        <v>0.30576208178438663</v>
      </c>
      <c r="G330" s="45">
        <f>1000*E330*$J$2*9.81/1000</f>
        <v>7140.184632039367</v>
      </c>
    </row>
    <row r="331" spans="1:7" ht="14.4" x14ac:dyDescent="0.3">
      <c r="A331" s="46">
        <v>23.609500000000001</v>
      </c>
      <c r="B331" s="47">
        <v>35186</v>
      </c>
      <c r="C331" s="48">
        <f>A331*($H$2/$I$2)</f>
        <v>23.235155822854018</v>
      </c>
      <c r="D331" s="48">
        <f>D330+1</f>
        <v>330</v>
      </c>
      <c r="E331" s="43">
        <v>36.370235101148168</v>
      </c>
      <c r="F331" s="48">
        <f>D331/1076</f>
        <v>0.30669144981412638</v>
      </c>
      <c r="G331" s="49">
        <f>1000*E331*$J$2*9.81/1000</f>
        <v>7135.8401268452708</v>
      </c>
    </row>
    <row r="332" spans="1:7" ht="14.4" x14ac:dyDescent="0.3">
      <c r="A332" s="41">
        <v>31.159800000000001</v>
      </c>
      <c r="B332" s="42">
        <v>35156</v>
      </c>
      <c r="C332" s="43">
        <f>A332*($H$2/$I$2)</f>
        <v>30.665740841990157</v>
      </c>
      <c r="D332" s="43">
        <f>D331+1</f>
        <v>331</v>
      </c>
      <c r="E332" s="43">
        <v>36.251645708037181</v>
      </c>
      <c r="F332" s="43">
        <f>D332/1076</f>
        <v>0.30762081784386619</v>
      </c>
      <c r="G332" s="45">
        <f>1000*E332*$J$2*9.81/1000</f>
        <v>7112.5728879168964</v>
      </c>
    </row>
    <row r="333" spans="1:7" ht="14.4" x14ac:dyDescent="0.3">
      <c r="A333" s="46">
        <v>53.563600000000001</v>
      </c>
      <c r="B333" s="47">
        <v>35125</v>
      </c>
      <c r="C333" s="48">
        <f>A333*($H$2/$I$2)</f>
        <v>52.71431383269546</v>
      </c>
      <c r="D333" s="48">
        <f>D332+1</f>
        <v>332</v>
      </c>
      <c r="E333" s="43">
        <v>36.173406232914161</v>
      </c>
      <c r="F333" s="48">
        <f>D333/1076</f>
        <v>0.30855018587360594</v>
      </c>
      <c r="G333" s="49">
        <f>1000*E333*$J$2*9.81/1000</f>
        <v>7097.2223028977587</v>
      </c>
    </row>
    <row r="334" spans="1:7" ht="14.4" x14ac:dyDescent="0.3">
      <c r="A334" s="41">
        <v>55.517299999999999</v>
      </c>
      <c r="B334" s="42">
        <v>35096</v>
      </c>
      <c r="C334" s="43">
        <f>A334*($H$2/$I$2)</f>
        <v>54.637036632039361</v>
      </c>
      <c r="D334" s="43">
        <f>D333+1</f>
        <v>333</v>
      </c>
      <c r="E334" s="43">
        <v>36.142602515035534</v>
      </c>
      <c r="F334" s="43">
        <f>D334/1076</f>
        <v>0.30947955390334575</v>
      </c>
      <c r="G334" s="45">
        <f>1000*E334*$J$2*9.81/1000</f>
        <v>7091.1786134499725</v>
      </c>
    </row>
    <row r="335" spans="1:7" ht="14.4" x14ac:dyDescent="0.3">
      <c r="A335" s="46">
        <v>53.890099999999997</v>
      </c>
      <c r="B335" s="47">
        <v>35065</v>
      </c>
      <c r="C335" s="48">
        <f>A335*($H$2/$I$2)</f>
        <v>53.035636960087473</v>
      </c>
      <c r="D335" s="48">
        <f>D334+1</f>
        <v>334</v>
      </c>
      <c r="E335" s="43">
        <v>36.083652268999451</v>
      </c>
      <c r="F335" s="48">
        <f>D335/1076</f>
        <v>0.3104089219330855</v>
      </c>
      <c r="G335" s="49">
        <f>1000*E335*$J$2*9.81/1000</f>
        <v>7079.6125751776926</v>
      </c>
    </row>
    <row r="336" spans="1:7" ht="14.4" x14ac:dyDescent="0.3">
      <c r="A336" s="41">
        <v>29.831199999999999</v>
      </c>
      <c r="B336" s="42">
        <v>35034</v>
      </c>
      <c r="C336" s="43">
        <f>A336*($H$2/$I$2)</f>
        <v>29.358206670311645</v>
      </c>
      <c r="D336" s="43">
        <f>D335+1</f>
        <v>335</v>
      </c>
      <c r="E336" s="48">
        <v>36.025292509568068</v>
      </c>
      <c r="F336" s="43">
        <f>D336/1076</f>
        <v>0.31133828996282525</v>
      </c>
      <c r="G336" s="45">
        <f>1000*E336*$J$2*9.81/1000</f>
        <v>7068.1623903772552</v>
      </c>
    </row>
    <row r="337" spans="1:7" ht="14.4" x14ac:dyDescent="0.3">
      <c r="A337" s="46">
        <v>22.315000000000001</v>
      </c>
      <c r="B337" s="47">
        <v>35004</v>
      </c>
      <c r="C337" s="48">
        <f>A337*($H$2/$I$2)</f>
        <v>21.961180973209405</v>
      </c>
      <c r="D337" s="48">
        <f>D336+1</f>
        <v>336</v>
      </c>
      <c r="E337" s="43">
        <v>36.011809732094036</v>
      </c>
      <c r="F337" s="48">
        <f>D337/1076</f>
        <v>0.31226765799256506</v>
      </c>
      <c r="G337" s="49">
        <f>1000*E337*$J$2*9.81/1000</f>
        <v>7065.5170694368499</v>
      </c>
    </row>
    <row r="338" spans="1:7" ht="14.4" x14ac:dyDescent="0.3">
      <c r="A338" s="41">
        <v>18.090299999999999</v>
      </c>
      <c r="B338" s="42">
        <v>34973</v>
      </c>
      <c r="C338" s="43">
        <f>A338*($H$2/$I$2)</f>
        <v>17.803466375068343</v>
      </c>
      <c r="D338" s="43">
        <f>D337+1</f>
        <v>337</v>
      </c>
      <c r="E338" s="43">
        <v>35.856610169491525</v>
      </c>
      <c r="F338" s="43">
        <f>D338/1076</f>
        <v>0.31319702602230481</v>
      </c>
      <c r="G338" s="45">
        <f>1000*E338*$J$2*9.81/1000</f>
        <v>7035.0669152542378</v>
      </c>
    </row>
    <row r="339" spans="1:7" ht="14.4" x14ac:dyDescent="0.3">
      <c r="A339" s="46">
        <v>12.105399999999999</v>
      </c>
      <c r="B339" s="47">
        <v>34943</v>
      </c>
      <c r="C339" s="48">
        <f>A339*($H$2/$I$2)</f>
        <v>11.913460907599781</v>
      </c>
      <c r="D339" s="48">
        <f>D338+1</f>
        <v>338</v>
      </c>
      <c r="E339" s="48">
        <v>35.803367960634226</v>
      </c>
      <c r="F339" s="48">
        <f>D339/1076</f>
        <v>0.31412639405204462</v>
      </c>
      <c r="G339" s="49">
        <f>1000*E339*$J$2*9.81/1000</f>
        <v>7024.6207938764355</v>
      </c>
    </row>
    <row r="340" spans="1:7" ht="14.4" x14ac:dyDescent="0.3">
      <c r="A340" s="41">
        <v>12.3513</v>
      </c>
      <c r="B340" s="42">
        <v>34912</v>
      </c>
      <c r="C340" s="43">
        <f>A340*($H$2/$I$2)</f>
        <v>12.155462001093493</v>
      </c>
      <c r="D340" s="43">
        <f>D339+1</f>
        <v>339</v>
      </c>
      <c r="E340" s="43">
        <v>35.69019136139967</v>
      </c>
      <c r="F340" s="43">
        <f>D340/1076</f>
        <v>0.31505576208178437</v>
      </c>
      <c r="G340" s="45">
        <f>1000*E340*$J$2*9.81/1000</f>
        <v>7002.4155451066163</v>
      </c>
    </row>
    <row r="341" spans="1:7" ht="14.4" x14ac:dyDescent="0.3">
      <c r="A341" s="46">
        <v>15.996600000000001</v>
      </c>
      <c r="B341" s="47">
        <v>34881</v>
      </c>
      <c r="C341" s="48">
        <f>A341*($H$2/$I$2)</f>
        <v>15.742963367960634</v>
      </c>
      <c r="D341" s="48">
        <f>D340+1</f>
        <v>340</v>
      </c>
      <c r="E341" s="43">
        <v>35.657124111536355</v>
      </c>
      <c r="F341" s="48">
        <f>D341/1076</f>
        <v>0.31598513011152418</v>
      </c>
      <c r="G341" s="49">
        <f>1000*E341*$J$2*9.81/1000</f>
        <v>6995.9277506834333</v>
      </c>
    </row>
    <row r="342" spans="1:7" ht="14.4" x14ac:dyDescent="0.3">
      <c r="A342" s="41">
        <v>18.822500000000002</v>
      </c>
      <c r="B342" s="42">
        <v>34851</v>
      </c>
      <c r="C342" s="43">
        <f>A342*($H$2/$I$2)</f>
        <v>18.524056861673046</v>
      </c>
      <c r="D342" s="43">
        <f>D341+1</f>
        <v>341</v>
      </c>
      <c r="E342" s="43">
        <v>35.575243302351012</v>
      </c>
      <c r="F342" s="43">
        <f>D342/1076</f>
        <v>0.31691449814126393</v>
      </c>
      <c r="G342" s="45">
        <f>1000*E342*$J$2*9.81/1000</f>
        <v>6979.8627359212687</v>
      </c>
    </row>
    <row r="343" spans="1:7" ht="14.4" x14ac:dyDescent="0.3">
      <c r="A343" s="46">
        <v>24.751899999999999</v>
      </c>
      <c r="B343" s="47">
        <v>34820</v>
      </c>
      <c r="C343" s="48">
        <f>A343*($H$2/$I$2)</f>
        <v>24.359442318206668</v>
      </c>
      <c r="D343" s="48">
        <f>D342+1</f>
        <v>342</v>
      </c>
      <c r="E343" s="48">
        <v>35.442580645161286</v>
      </c>
      <c r="F343" s="48">
        <f>D343/1076</f>
        <v>0.31784386617100374</v>
      </c>
      <c r="G343" s="49">
        <f>1000*E343*$J$2*9.81/1000</f>
        <v>6953.8343225806448</v>
      </c>
    </row>
    <row r="344" spans="1:7" ht="14.4" x14ac:dyDescent="0.3">
      <c r="A344" s="41">
        <v>30.3111</v>
      </c>
      <c r="B344" s="42">
        <v>34790</v>
      </c>
      <c r="C344" s="43">
        <f>A344*($H$2/$I$2)</f>
        <v>29.830497539639147</v>
      </c>
      <c r="D344" s="43">
        <f>D343+1</f>
        <v>343</v>
      </c>
      <c r="E344" s="43">
        <v>35.430278840896662</v>
      </c>
      <c r="F344" s="43">
        <f>D344/1076</f>
        <v>0.31877323420074349</v>
      </c>
      <c r="G344" s="45">
        <f>1000*E344*$J$2*9.81/1000</f>
        <v>6951.4207085839262</v>
      </c>
    </row>
    <row r="345" spans="1:7" ht="14.4" x14ac:dyDescent="0.3">
      <c r="A345" s="46">
        <v>39.002099999999999</v>
      </c>
      <c r="B345" s="47">
        <v>34759</v>
      </c>
      <c r="C345" s="48">
        <f>A345*($H$2/$I$2)</f>
        <v>38.383696008747947</v>
      </c>
      <c r="D345" s="48">
        <f>D344+1</f>
        <v>344</v>
      </c>
      <c r="E345" s="43">
        <v>35.383138326954622</v>
      </c>
      <c r="F345" s="48">
        <f>D345/1076</f>
        <v>0.31970260223048325</v>
      </c>
      <c r="G345" s="49">
        <f>1000*E345*$J$2*9.81/1000</f>
        <v>6942.1717397484963</v>
      </c>
    </row>
    <row r="346" spans="1:7" ht="14.4" x14ac:dyDescent="0.3">
      <c r="A346" s="41">
        <v>89.938900000000004</v>
      </c>
      <c r="B346" s="42">
        <v>34731</v>
      </c>
      <c r="C346" s="43">
        <f>A346*($H$2/$I$2)</f>
        <v>88.512859486057962</v>
      </c>
      <c r="D346" s="43">
        <f>D345+1</f>
        <v>345</v>
      </c>
      <c r="E346" s="43">
        <v>35.309917987971566</v>
      </c>
      <c r="F346" s="43">
        <f>D346/1076</f>
        <v>0.32063197026022305</v>
      </c>
      <c r="G346" s="45">
        <f>1000*E346*$J$2*9.81/1000</f>
        <v>6927.8059092400217</v>
      </c>
    </row>
    <row r="347" spans="1:7" ht="14.4" x14ac:dyDescent="0.3">
      <c r="A347" s="46">
        <v>40.036000000000001</v>
      </c>
      <c r="B347" s="47">
        <v>34700</v>
      </c>
      <c r="C347" s="48">
        <f>A347*($H$2/$I$2)</f>
        <v>39.401202843083652</v>
      </c>
      <c r="D347" s="48">
        <f>D346+1</f>
        <v>346</v>
      </c>
      <c r="E347" s="48">
        <v>35.211011481683983</v>
      </c>
      <c r="F347" s="48">
        <f>D347/1076</f>
        <v>0.32156133828996281</v>
      </c>
      <c r="G347" s="49">
        <f>1000*E347*$J$2*9.81/1000</f>
        <v>6908.400452706398</v>
      </c>
    </row>
    <row r="348" spans="1:7" ht="14.4" x14ac:dyDescent="0.3">
      <c r="A348" s="41">
        <v>45.437199999999997</v>
      </c>
      <c r="B348" s="42">
        <v>34669</v>
      </c>
      <c r="C348" s="43">
        <f>A348*($H$2/$I$2)</f>
        <v>44.716763258611259</v>
      </c>
      <c r="D348" s="43">
        <f>D347+1</f>
        <v>347</v>
      </c>
      <c r="E348" s="43">
        <v>35.16898851831602</v>
      </c>
      <c r="F348" s="43">
        <f>D348/1076</f>
        <v>0.32249070631970261</v>
      </c>
      <c r="G348" s="45">
        <f>1000*E348*$J$2*9.81/1000</f>
        <v>6900.1555472936034</v>
      </c>
    </row>
    <row r="349" spans="1:7" ht="14.4" x14ac:dyDescent="0.3">
      <c r="A349" s="46">
        <v>17.601600000000001</v>
      </c>
      <c r="B349" s="47">
        <v>34639</v>
      </c>
      <c r="C349" s="48">
        <f>A349*($H$2/$I$2)</f>
        <v>17.322515035538547</v>
      </c>
      <c r="D349" s="48">
        <f>D348+1</f>
        <v>348</v>
      </c>
      <c r="E349" s="48">
        <v>35.023630399125203</v>
      </c>
      <c r="F349" s="48">
        <f>D349/1076</f>
        <v>0.32342007434944237</v>
      </c>
      <c r="G349" s="49">
        <f>1000*E349*$J$2*9.81/1000</f>
        <v>6871.6362843083662</v>
      </c>
    </row>
    <row r="350" spans="1:7" ht="14.4" x14ac:dyDescent="0.3">
      <c r="A350" s="41">
        <v>14.0944</v>
      </c>
      <c r="B350" s="42">
        <v>34608</v>
      </c>
      <c r="C350" s="43">
        <f>A350*($H$2/$I$2)</f>
        <v>13.870924002186987</v>
      </c>
      <c r="D350" s="43">
        <f>D349+1</f>
        <v>349</v>
      </c>
      <c r="E350" s="43">
        <v>34.990563149261888</v>
      </c>
      <c r="F350" s="43">
        <f>D350/1076</f>
        <v>0.32434944237918217</v>
      </c>
      <c r="G350" s="45">
        <f>1000*E350*$J$2*9.81/1000</f>
        <v>6865.1484898851813</v>
      </c>
    </row>
    <row r="351" spans="1:7" ht="14.4" x14ac:dyDescent="0.3">
      <c r="A351" s="46">
        <v>13.8835</v>
      </c>
      <c r="B351" s="47">
        <v>34578</v>
      </c>
      <c r="C351" s="48">
        <f>A351*($H$2/$I$2)</f>
        <v>13.663367960634226</v>
      </c>
      <c r="D351" s="48">
        <f>D350+1</f>
        <v>350</v>
      </c>
      <c r="E351" s="48">
        <v>34.933089119737559</v>
      </c>
      <c r="F351" s="48">
        <f>D351/1076</f>
        <v>0.32527881040892193</v>
      </c>
      <c r="G351" s="49">
        <f>1000*E351*$J$2*9.81/1000</f>
        <v>6853.8720852925098</v>
      </c>
    </row>
    <row r="352" spans="1:7" ht="14.4" x14ac:dyDescent="0.3">
      <c r="A352" s="41">
        <v>17.125299999999999</v>
      </c>
      <c r="B352" s="42">
        <v>34547</v>
      </c>
      <c r="C352" s="43">
        <f>A352*($H$2/$I$2)</f>
        <v>16.853767085839255</v>
      </c>
      <c r="D352" s="43">
        <f>D351+1</f>
        <v>351</v>
      </c>
      <c r="E352" s="43">
        <v>34.892247129579005</v>
      </c>
      <c r="F352" s="43">
        <f>D352/1076</f>
        <v>0.32620817843866173</v>
      </c>
      <c r="G352" s="45">
        <f>1000*E352*$J$2*9.81/1000</f>
        <v>6845.858886823401</v>
      </c>
    </row>
    <row r="353" spans="1:7" ht="14.4" x14ac:dyDescent="0.3">
      <c r="A353" s="46">
        <v>21.851400000000002</v>
      </c>
      <c r="B353" s="47">
        <v>34516</v>
      </c>
      <c r="C353" s="48">
        <f>A353*($H$2/$I$2)</f>
        <v>21.504931656642974</v>
      </c>
      <c r="D353" s="48">
        <f>D352+1</f>
        <v>352</v>
      </c>
      <c r="E353" s="43">
        <v>34.87551667577911</v>
      </c>
      <c r="F353" s="48">
        <f>D353/1076</f>
        <v>0.32713754646840149</v>
      </c>
      <c r="G353" s="49">
        <f>1000*E353*$J$2*9.81/1000</f>
        <v>6842.5763717878608</v>
      </c>
    </row>
    <row r="354" spans="1:7" ht="14.4" x14ac:dyDescent="0.3">
      <c r="A354" s="41">
        <v>27.130600000000001</v>
      </c>
      <c r="B354" s="42">
        <v>34486</v>
      </c>
      <c r="C354" s="43">
        <f>A354*($H$2/$I$2)</f>
        <v>26.700426462547842</v>
      </c>
      <c r="D354" s="43">
        <f>D353+1</f>
        <v>353</v>
      </c>
      <c r="E354" s="43">
        <v>34.793340623291421</v>
      </c>
      <c r="F354" s="43">
        <f>D354/1076</f>
        <v>0.32806691449814124</v>
      </c>
      <c r="G354" s="45">
        <f>1000*E354*$J$2*9.81/1000</f>
        <v>6826.4534302897773</v>
      </c>
    </row>
    <row r="355" spans="1:7" ht="14.4" x14ac:dyDescent="0.3">
      <c r="A355" s="46">
        <v>42.256599999999999</v>
      </c>
      <c r="B355" s="47">
        <v>34455</v>
      </c>
      <c r="C355" s="48">
        <f>A355*($H$2/$I$2)</f>
        <v>41.586593767085837</v>
      </c>
      <c r="D355" s="48">
        <f>D354+1</f>
        <v>354</v>
      </c>
      <c r="E355" s="48">
        <v>34.680065609622744</v>
      </c>
      <c r="F355" s="48">
        <f>D355/1076</f>
        <v>0.32899628252788105</v>
      </c>
      <c r="G355" s="49">
        <f>1000*E355*$J$2*9.81/1000</f>
        <v>6804.2288726079832</v>
      </c>
    </row>
    <row r="356" spans="1:7" ht="14.4" x14ac:dyDescent="0.3">
      <c r="A356" s="41">
        <v>34.356200000000001</v>
      </c>
      <c r="B356" s="42">
        <v>34425</v>
      </c>
      <c r="C356" s="43">
        <f>A356*($H$2/$I$2)</f>
        <v>33.811459814106065</v>
      </c>
      <c r="D356" s="43">
        <f>D355+1</f>
        <v>355</v>
      </c>
      <c r="E356" s="48">
        <v>34.282963367960633</v>
      </c>
      <c r="F356" s="43">
        <f>D356/1076</f>
        <v>0.3299256505576208</v>
      </c>
      <c r="G356" s="45">
        <f>1000*E356*$J$2*9.81/1000</f>
        <v>6726.3174127938773</v>
      </c>
    </row>
    <row r="357" spans="1:7" ht="14.4" x14ac:dyDescent="0.3">
      <c r="A357" s="46">
        <v>61.274700000000003</v>
      </c>
      <c r="B357" s="47">
        <v>34394</v>
      </c>
      <c r="C357" s="48">
        <f>A357*($H$2/$I$2)</f>
        <v>60.303149261891747</v>
      </c>
      <c r="D357" s="48">
        <f>D356+1</f>
        <v>356</v>
      </c>
      <c r="E357" s="48">
        <v>34.238775287042095</v>
      </c>
      <c r="F357" s="48">
        <f>D357/1076</f>
        <v>0.33085501858736061</v>
      </c>
      <c r="G357" s="49">
        <f>1000*E357*$J$2*9.81/1000</f>
        <v>6717.6477113176597</v>
      </c>
    </row>
    <row r="358" spans="1:7" ht="14.4" x14ac:dyDescent="0.3">
      <c r="A358" s="41">
        <v>41.131500000000003</v>
      </c>
      <c r="B358" s="42">
        <v>34366</v>
      </c>
      <c r="C358" s="43">
        <f>A358*($H$2/$I$2)</f>
        <v>40.479332968835429</v>
      </c>
      <c r="D358" s="43">
        <f>D357+1</f>
        <v>357</v>
      </c>
      <c r="E358" s="48">
        <v>34.194193548387098</v>
      </c>
      <c r="F358" s="43">
        <f>D358/1076</f>
        <v>0.33178438661710036</v>
      </c>
      <c r="G358" s="45">
        <f>1000*E358*$J$2*9.81/1000</f>
        <v>6708.9007741935484</v>
      </c>
    </row>
    <row r="359" spans="1:7" ht="14.4" x14ac:dyDescent="0.3">
      <c r="A359" s="46">
        <v>70.908600000000007</v>
      </c>
      <c r="B359" s="47">
        <v>34335</v>
      </c>
      <c r="C359" s="48">
        <f>A359*($H$2/$I$2)</f>
        <v>69.784297430289783</v>
      </c>
      <c r="D359" s="48">
        <f>D358+1</f>
        <v>358</v>
      </c>
      <c r="E359" s="43">
        <v>34.150891197375614</v>
      </c>
      <c r="F359" s="48">
        <f>D359/1076</f>
        <v>0.33271375464684017</v>
      </c>
      <c r="G359" s="49">
        <f>1000*E359*$J$2*9.81/1000</f>
        <v>6700.4048529250949</v>
      </c>
    </row>
    <row r="360" spans="1:7" ht="14.4" x14ac:dyDescent="0.3">
      <c r="A360" s="41">
        <v>28.574300000000001</v>
      </c>
      <c r="B360" s="42">
        <v>34304</v>
      </c>
      <c r="C360" s="43">
        <f>A360*($H$2/$I$2)</f>
        <v>28.121235647895023</v>
      </c>
      <c r="D360" s="43">
        <f>D359+1</f>
        <v>359</v>
      </c>
      <c r="E360" s="48">
        <v>34.11792236194642</v>
      </c>
      <c r="F360" s="43">
        <f>D360/1076</f>
        <v>0.33364312267657992</v>
      </c>
      <c r="G360" s="45">
        <f>1000*E360*$J$2*9.81/1000</f>
        <v>6693.9363674138876</v>
      </c>
    </row>
    <row r="361" spans="1:7" ht="14.4" x14ac:dyDescent="0.3">
      <c r="A361" s="46">
        <v>18.517199999999999</v>
      </c>
      <c r="B361" s="47">
        <v>34274</v>
      </c>
      <c r="C361" s="48">
        <f>A361*($H$2/$I$2)</f>
        <v>18.22359759431383</v>
      </c>
      <c r="D361" s="48">
        <f>D360+1</f>
        <v>360</v>
      </c>
      <c r="E361" s="43">
        <v>34.075899398578457</v>
      </c>
      <c r="F361" s="48">
        <f>D361/1076</f>
        <v>0.33457249070631973</v>
      </c>
      <c r="G361" s="49">
        <f>1000*E361*$J$2*9.81/1000</f>
        <v>6685.691462001093</v>
      </c>
    </row>
    <row r="362" spans="1:7" ht="14.4" x14ac:dyDescent="0.3">
      <c r="A362" s="41">
        <v>18.786300000000001</v>
      </c>
      <c r="B362" s="42">
        <v>34243</v>
      </c>
      <c r="C362" s="43">
        <f>A362*($H$2/$I$2)</f>
        <v>18.488430836522689</v>
      </c>
      <c r="D362" s="43">
        <f>D361+1</f>
        <v>361</v>
      </c>
      <c r="E362" s="48">
        <v>34.059464188080916</v>
      </c>
      <c r="F362" s="43">
        <f>D362/1076</f>
        <v>0.33550185873605948</v>
      </c>
      <c r="G362" s="45">
        <f>1000*E362*$J$2*9.81/1000</f>
        <v>6682.4668737014754</v>
      </c>
    </row>
    <row r="363" spans="1:7" ht="14.4" x14ac:dyDescent="0.3">
      <c r="A363" s="46">
        <v>16.255600000000001</v>
      </c>
      <c r="B363" s="47">
        <v>34213</v>
      </c>
      <c r="C363" s="48">
        <f>A363*($H$2/$I$2)</f>
        <v>15.997856752323674</v>
      </c>
      <c r="D363" s="48">
        <f>D362+1</f>
        <v>362</v>
      </c>
      <c r="E363" s="43">
        <v>34.04873701476216</v>
      </c>
      <c r="F363" s="48">
        <f>D363/1076</f>
        <v>0.33643122676579923</v>
      </c>
      <c r="G363" s="49">
        <f>1000*E363*$J$2*9.81/1000</f>
        <v>6680.3622022963364</v>
      </c>
    </row>
    <row r="364" spans="1:7" ht="14.4" x14ac:dyDescent="0.3">
      <c r="A364" s="41">
        <v>16.645399999999999</v>
      </c>
      <c r="B364" s="42">
        <v>34182</v>
      </c>
      <c r="C364" s="43">
        <f>A364*($H$2/$I$2)</f>
        <v>16.381476216511754</v>
      </c>
      <c r="D364" s="43">
        <f>D363+1</f>
        <v>363</v>
      </c>
      <c r="E364" s="48">
        <v>33.997955166757784</v>
      </c>
      <c r="F364" s="43">
        <f>D364/1076</f>
        <v>0.33736059479553904</v>
      </c>
      <c r="G364" s="45">
        <f>1000*E364*$J$2*9.81/1000</f>
        <v>6670.3988037178769</v>
      </c>
    </row>
    <row r="365" spans="1:7" ht="14.4" x14ac:dyDescent="0.3">
      <c r="A365" s="46">
        <v>19.7333</v>
      </c>
      <c r="B365" s="47">
        <v>34151</v>
      </c>
      <c r="C365" s="48">
        <f>A365*($H$2/$I$2)</f>
        <v>19.420415527610714</v>
      </c>
      <c r="D365" s="48">
        <f>D364+1</f>
        <v>364</v>
      </c>
      <c r="E365" s="48">
        <v>33.854565336249316</v>
      </c>
      <c r="F365" s="48">
        <f>D365/1076</f>
        <v>0.33828996282527879</v>
      </c>
      <c r="G365" s="49">
        <f>1000*E365*$J$2*9.81/1000</f>
        <v>6642.2657189721158</v>
      </c>
    </row>
    <row r="366" spans="1:7" ht="14.4" x14ac:dyDescent="0.3">
      <c r="A366" s="41">
        <v>27.025500000000001</v>
      </c>
      <c r="B366" s="42">
        <v>34121</v>
      </c>
      <c r="C366" s="43">
        <f>A366*($H$2/$I$2)</f>
        <v>26.596992892290871</v>
      </c>
      <c r="D366" s="43">
        <f>D365+1</f>
        <v>365</v>
      </c>
      <c r="E366" s="43">
        <v>33.839311098961183</v>
      </c>
      <c r="F366" s="43">
        <f>D366/1076</f>
        <v>0.3392193308550186</v>
      </c>
      <c r="G366" s="45">
        <f>1000*E366*$J$2*9.81/1000</f>
        <v>6639.2728376161849</v>
      </c>
    </row>
    <row r="367" spans="1:7" ht="14.4" x14ac:dyDescent="0.3">
      <c r="A367" s="46">
        <v>26.732900000000001</v>
      </c>
      <c r="B367" s="47">
        <v>34090</v>
      </c>
      <c r="C367" s="48">
        <f>A367*($H$2/$I$2)</f>
        <v>26.309032258064516</v>
      </c>
      <c r="D367" s="48">
        <f>D366+1</f>
        <v>366</v>
      </c>
      <c r="E367" s="43">
        <v>33.811459814106065</v>
      </c>
      <c r="F367" s="48">
        <f>D367/1076</f>
        <v>0.34014869888475835</v>
      </c>
      <c r="G367" s="49">
        <f>1000*E367*$J$2*9.81/1000</f>
        <v>6633.8084155276101</v>
      </c>
    </row>
    <row r="368" spans="1:7" ht="14.4" x14ac:dyDescent="0.3">
      <c r="A368" s="41">
        <v>36.835700000000003</v>
      </c>
      <c r="B368" s="42">
        <v>34060</v>
      </c>
      <c r="C368" s="43">
        <f>A368*($H$2/$I$2)</f>
        <v>36.251645708037181</v>
      </c>
      <c r="D368" s="43">
        <f>D367+1</f>
        <v>367</v>
      </c>
      <c r="E368" s="43">
        <v>33.707927829414977</v>
      </c>
      <c r="F368" s="43">
        <f>D368/1076</f>
        <v>0.34107806691449816</v>
      </c>
      <c r="G368" s="45">
        <f>1000*E368*$J$2*9.81/1000</f>
        <v>6613.4954401312189</v>
      </c>
    </row>
    <row r="369" spans="1:7" ht="14.4" x14ac:dyDescent="0.3">
      <c r="A369" s="46">
        <v>52.4651</v>
      </c>
      <c r="B369" s="47">
        <v>34029</v>
      </c>
      <c r="C369" s="48">
        <f>A369*($H$2/$I$2)</f>
        <v>51.633231273920174</v>
      </c>
      <c r="D369" s="48">
        <f>D368+1</f>
        <v>368</v>
      </c>
      <c r="E369" s="48">
        <v>33.661869874248225</v>
      </c>
      <c r="F369" s="48">
        <f>D369/1076</f>
        <v>0.34200743494423791</v>
      </c>
      <c r="G369" s="49">
        <f>1000*E369*$J$2*9.81/1000</f>
        <v>6604.4588693275018</v>
      </c>
    </row>
    <row r="370" spans="1:7" ht="14.4" x14ac:dyDescent="0.3">
      <c r="A370" s="41">
        <v>70.181600000000003</v>
      </c>
      <c r="B370" s="42">
        <v>34001</v>
      </c>
      <c r="C370" s="43">
        <f>A370*($H$2/$I$2)</f>
        <v>69.068824494259161</v>
      </c>
      <c r="D370" s="43">
        <f>D369+1</f>
        <v>369</v>
      </c>
      <c r="E370" s="48">
        <v>33.653209404045924</v>
      </c>
      <c r="F370" s="43">
        <f>D370/1076</f>
        <v>0.34293680297397772</v>
      </c>
      <c r="G370" s="45">
        <f>1000*E370*$J$2*9.81/1000</f>
        <v>6602.7596850738109</v>
      </c>
    </row>
    <row r="371" spans="1:7" ht="14.4" x14ac:dyDescent="0.3">
      <c r="A371" s="46">
        <v>51.198500000000003</v>
      </c>
      <c r="B371" s="47">
        <v>33970</v>
      </c>
      <c r="C371" s="48">
        <f>A371*($H$2/$I$2)</f>
        <v>50.386714051394208</v>
      </c>
      <c r="D371" s="48">
        <f>D370+1</f>
        <v>370</v>
      </c>
      <c r="E371" s="43">
        <v>33.64759978130126</v>
      </c>
      <c r="F371" s="48">
        <f>D371/1076</f>
        <v>0.34386617100371747</v>
      </c>
      <c r="G371" s="49">
        <f>1000*E371*$J$2*9.81/1000</f>
        <v>6601.6590770913062</v>
      </c>
    </row>
    <row r="372" spans="1:7" ht="14.4" x14ac:dyDescent="0.3">
      <c r="A372" s="41">
        <v>37.821399999999997</v>
      </c>
      <c r="B372" s="42">
        <v>33939</v>
      </c>
      <c r="C372" s="43">
        <f>A372*($H$2/$I$2)</f>
        <v>37.221716785128478</v>
      </c>
      <c r="D372" s="43">
        <f>D371+1</f>
        <v>371</v>
      </c>
      <c r="E372" s="48">
        <v>33.610891197375615</v>
      </c>
      <c r="F372" s="43">
        <f>D372/1076</f>
        <v>0.34479553903345728</v>
      </c>
      <c r="G372" s="45">
        <f>1000*E372*$J$2*9.81/1000</f>
        <v>6594.4568529250955</v>
      </c>
    </row>
    <row r="373" spans="1:7" ht="14.4" x14ac:dyDescent="0.3">
      <c r="A373" s="46">
        <v>46.212299999999999</v>
      </c>
      <c r="B373" s="47">
        <v>33909</v>
      </c>
      <c r="C373" s="48">
        <f>A373*($H$2/$I$2)</f>
        <v>45.479573537452154</v>
      </c>
      <c r="D373" s="48">
        <f>D372+1</f>
        <v>372</v>
      </c>
      <c r="E373" s="43">
        <v>33.578119190814654</v>
      </c>
      <c r="F373" s="48">
        <f>D373/1076</f>
        <v>0.34572490706319703</v>
      </c>
      <c r="G373" s="49">
        <f>1000*E373*$J$2*9.81/1000</f>
        <v>6588.0269852378369</v>
      </c>
    </row>
    <row r="374" spans="1:7" ht="14.4" x14ac:dyDescent="0.3">
      <c r="A374" s="41">
        <v>32.835299999999997</v>
      </c>
      <c r="B374" s="42">
        <v>33878</v>
      </c>
      <c r="C374" s="43">
        <f>A374*($H$2/$I$2)</f>
        <v>32.314674685620552</v>
      </c>
      <c r="D374" s="43">
        <f>D373+1</f>
        <v>373</v>
      </c>
      <c r="E374" s="48">
        <v>33.480590486604704</v>
      </c>
      <c r="F374" s="43">
        <f>D374/1076</f>
        <v>0.34665427509293678</v>
      </c>
      <c r="G374" s="45">
        <f>1000*E374*$J$2*9.81/1000</f>
        <v>6568.8918534718441</v>
      </c>
    </row>
    <row r="375" spans="1:7" ht="14.4" x14ac:dyDescent="0.3">
      <c r="A375" s="46">
        <v>29.3416</v>
      </c>
      <c r="B375" s="47">
        <v>33848</v>
      </c>
      <c r="C375" s="48">
        <f>A375*($H$2/$I$2)</f>
        <v>28.876369600874792</v>
      </c>
      <c r="D375" s="48">
        <f>D374+1</f>
        <v>374</v>
      </c>
      <c r="E375" s="43">
        <v>33.440437397484963</v>
      </c>
      <c r="F375" s="48">
        <f>D375/1076</f>
        <v>0.34758364312267659</v>
      </c>
      <c r="G375" s="49">
        <f>1000*E375*$J$2*9.81/1000</f>
        <v>6561.0138173865498</v>
      </c>
    </row>
    <row r="376" spans="1:7" ht="14.4" x14ac:dyDescent="0.3">
      <c r="A376" s="41">
        <v>16.7532</v>
      </c>
      <c r="B376" s="42">
        <v>33817</v>
      </c>
      <c r="C376" s="43">
        <f>A376*($H$2/$I$2)</f>
        <v>16.487566976489884</v>
      </c>
      <c r="D376" s="43">
        <f>D375+1</f>
        <v>375</v>
      </c>
      <c r="E376" s="48">
        <v>33.285926735921272</v>
      </c>
      <c r="F376" s="43">
        <f>D376/1076</f>
        <v>0.34851301115241634</v>
      </c>
      <c r="G376" s="45">
        <f>1000*E376*$J$2*9.81/1000</f>
        <v>6530.6988255877541</v>
      </c>
    </row>
    <row r="377" spans="1:7" ht="14.4" x14ac:dyDescent="0.3">
      <c r="A377" s="46">
        <v>18.9602</v>
      </c>
      <c r="B377" s="47">
        <v>33786</v>
      </c>
      <c r="C377" s="48">
        <f>A377*($H$2/$I$2)</f>
        <v>18.659573537452161</v>
      </c>
      <c r="D377" s="48">
        <f>D376+1</f>
        <v>376</v>
      </c>
      <c r="E377" s="43">
        <v>33.252662657189724</v>
      </c>
      <c r="F377" s="48">
        <f>D377/1076</f>
        <v>0.34944237918215615</v>
      </c>
      <c r="G377" s="49">
        <f>1000*E377*$J$2*9.81/1000</f>
        <v>6524.1724133406233</v>
      </c>
    </row>
    <row r="378" spans="1:7" ht="14.4" x14ac:dyDescent="0.3">
      <c r="A378" s="41">
        <v>22.373999999999999</v>
      </c>
      <c r="B378" s="42">
        <v>33756</v>
      </c>
      <c r="C378" s="43">
        <f>A378*($H$2/$I$2)</f>
        <v>22.019245489338434</v>
      </c>
      <c r="D378" s="43">
        <f>D377+1</f>
        <v>377</v>
      </c>
      <c r="E378" s="43">
        <v>33.199322033898305</v>
      </c>
      <c r="F378" s="43">
        <f>D378/1076</f>
        <v>0.3503717472118959</v>
      </c>
      <c r="G378" s="45">
        <f>1000*E378*$J$2*9.81/1000</f>
        <v>6513.706983050849</v>
      </c>
    </row>
    <row r="379" spans="1:7" ht="14.4" x14ac:dyDescent="0.3">
      <c r="A379" s="46">
        <v>34.545699999999997</v>
      </c>
      <c r="B379" s="47">
        <v>33725</v>
      </c>
      <c r="C379" s="48">
        <f>A379*($H$2/$I$2)</f>
        <v>33.997955166757784</v>
      </c>
      <c r="D379" s="48">
        <f>D378+1</f>
        <v>378</v>
      </c>
      <c r="E379" s="48">
        <v>33.083488244942593</v>
      </c>
      <c r="F379" s="48">
        <f>D379/1076</f>
        <v>0.35130111524163571</v>
      </c>
      <c r="G379" s="49">
        <f>1000*E379*$J$2*9.81/1000</f>
        <v>6490.9803936577373</v>
      </c>
    </row>
    <row r="380" spans="1:7" ht="14.4" x14ac:dyDescent="0.3">
      <c r="A380" s="41">
        <v>33.270699999999998</v>
      </c>
      <c r="B380" s="42">
        <v>33695</v>
      </c>
      <c r="C380" s="43">
        <f>A380*($H$2/$I$2)</f>
        <v>32.74317113176599</v>
      </c>
      <c r="D380" s="43">
        <f>D379+1</f>
        <v>379</v>
      </c>
      <c r="E380" s="48">
        <v>33.055636960087476</v>
      </c>
      <c r="F380" s="43">
        <f>D380/1076</f>
        <v>0.35223048327137546</v>
      </c>
      <c r="G380" s="45">
        <f>1000*E380*$J$2*9.81/1000</f>
        <v>6485.5159715691625</v>
      </c>
    </row>
    <row r="381" spans="1:7" ht="14.4" x14ac:dyDescent="0.3">
      <c r="A381" s="46">
        <v>58.869300000000003</v>
      </c>
      <c r="B381" s="47">
        <v>33664</v>
      </c>
      <c r="C381" s="48">
        <f>A381*($H$2/$I$2)</f>
        <v>57.935888463641334</v>
      </c>
      <c r="D381" s="48">
        <f>D380+1</f>
        <v>380</v>
      </c>
      <c r="E381" s="43">
        <v>32.938523783488243</v>
      </c>
      <c r="F381" s="48">
        <f>D381/1076</f>
        <v>0.35315985130111527</v>
      </c>
      <c r="G381" s="49">
        <f>1000*E381*$J$2*9.81/1000</f>
        <v>6462.5383663203938</v>
      </c>
    </row>
    <row r="382" spans="1:7" ht="14.4" x14ac:dyDescent="0.3">
      <c r="A382" s="41">
        <v>82.991600000000005</v>
      </c>
      <c r="B382" s="42">
        <v>33635</v>
      </c>
      <c r="C382" s="43">
        <f>A382*($H$2/$I$2)</f>
        <v>81.675713504647348</v>
      </c>
      <c r="D382" s="43">
        <f>D381+1</f>
        <v>381</v>
      </c>
      <c r="E382" s="48">
        <v>32.84129032258064</v>
      </c>
      <c r="F382" s="43">
        <f>D382/1076</f>
        <v>0.35408921933085502</v>
      </c>
      <c r="G382" s="45">
        <f>1000*E382*$J$2*9.81/1000</f>
        <v>6443.4611612903218</v>
      </c>
    </row>
    <row r="383" spans="1:7" ht="14.4" x14ac:dyDescent="0.3">
      <c r="A383" s="46">
        <v>139.3597</v>
      </c>
      <c r="B383" s="47">
        <v>33604</v>
      </c>
      <c r="C383" s="48">
        <f>A383*($H$2/$I$2)</f>
        <v>137.15006014215419</v>
      </c>
      <c r="D383" s="48">
        <f>D382+1</f>
        <v>382</v>
      </c>
      <c r="E383" s="43">
        <v>32.74317113176599</v>
      </c>
      <c r="F383" s="48">
        <f>D383/1076</f>
        <v>0.35501858736059477</v>
      </c>
      <c r="G383" s="49">
        <f>1000*E383*$J$2*9.81/1000</f>
        <v>6424.2101760524874</v>
      </c>
    </row>
    <row r="384" spans="1:7" ht="14.4" x14ac:dyDescent="0.3">
      <c r="A384" s="41">
        <v>32.716000000000001</v>
      </c>
      <c r="B384" s="42">
        <v>33573</v>
      </c>
      <c r="C384" s="43">
        <f>A384*($H$2/$I$2)</f>
        <v>32.197266265718973</v>
      </c>
      <c r="D384" s="43">
        <f>D383+1</f>
        <v>383</v>
      </c>
      <c r="E384" s="48">
        <v>32.706068890103879</v>
      </c>
      <c r="F384" s="43">
        <f>D384/1076</f>
        <v>0.35594795539033458</v>
      </c>
      <c r="G384" s="45">
        <f>1000*E384*$J$2*9.81/1000</f>
        <v>6416.9307162383811</v>
      </c>
    </row>
    <row r="385" spans="1:7" ht="14.4" x14ac:dyDescent="0.3">
      <c r="A385" s="46">
        <v>26.084700000000002</v>
      </c>
      <c r="B385" s="47">
        <v>33543</v>
      </c>
      <c r="C385" s="48">
        <f>A385*($H$2/$I$2)</f>
        <v>25.671109896118097</v>
      </c>
      <c r="D385" s="48">
        <f>D384+1</f>
        <v>384</v>
      </c>
      <c r="E385" s="44">
        <v>32.599486057955161</v>
      </c>
      <c r="F385" s="48">
        <f>D385/1076</f>
        <v>0.35687732342007433</v>
      </c>
      <c r="G385" s="49">
        <f>1000*E385*$J$2*9.81/1000</f>
        <v>6396.0191645708028</v>
      </c>
    </row>
    <row r="386" spans="1:7" ht="14.4" x14ac:dyDescent="0.3">
      <c r="A386" s="41">
        <v>29.506499999999999</v>
      </c>
      <c r="B386" s="42">
        <v>33512</v>
      </c>
      <c r="C386" s="43">
        <f>A386*($H$2/$I$2)</f>
        <v>29.038655002733734</v>
      </c>
      <c r="D386" s="43">
        <f>D385+1</f>
        <v>385</v>
      </c>
      <c r="E386" s="43">
        <v>32.48365226899945</v>
      </c>
      <c r="F386" s="43">
        <f>D386/1076</f>
        <v>0.35780669144981414</v>
      </c>
      <c r="G386" s="45">
        <f>1000*E386*$J$2*9.81/1000</f>
        <v>6373.292575177692</v>
      </c>
    </row>
    <row r="387" spans="1:7" ht="14.4" x14ac:dyDescent="0.3">
      <c r="A387" s="46">
        <v>16.7257</v>
      </c>
      <c r="B387" s="47">
        <v>33482</v>
      </c>
      <c r="C387" s="48">
        <f>A387*($H$2/$I$2)</f>
        <v>16.460503007107707</v>
      </c>
      <c r="D387" s="48">
        <f>D386+1</f>
        <v>386</v>
      </c>
      <c r="E387" s="48">
        <v>32.359256424275557</v>
      </c>
      <c r="F387" s="48">
        <f>D387/1076</f>
        <v>0.35873605947955389</v>
      </c>
      <c r="G387" s="49">
        <f>1000*E387*$J$2*9.81/1000</f>
        <v>6348.8861104428643</v>
      </c>
    </row>
    <row r="388" spans="1:7" ht="14.4" x14ac:dyDescent="0.3">
      <c r="A388" s="41">
        <v>18.8918</v>
      </c>
      <c r="B388" s="42">
        <v>33451</v>
      </c>
      <c r="C388" s="43">
        <f>A388*($H$2/$I$2)</f>
        <v>18.592258064516127</v>
      </c>
      <c r="D388" s="43">
        <f>D387+1</f>
        <v>387</v>
      </c>
      <c r="E388" s="43">
        <v>32.314674685620552</v>
      </c>
      <c r="F388" s="43">
        <f>D388/1076</f>
        <v>0.3596654275092937</v>
      </c>
      <c r="G388" s="45">
        <f>1000*E388*$J$2*9.81/1000</f>
        <v>6340.139173318752</v>
      </c>
    </row>
    <row r="389" spans="1:7" ht="14.4" x14ac:dyDescent="0.3">
      <c r="A389" s="46">
        <v>25.024999999999999</v>
      </c>
      <c r="B389" s="47">
        <v>33420</v>
      </c>
      <c r="C389" s="48">
        <f>A389*($H$2/$I$2)</f>
        <v>24.628212137780206</v>
      </c>
      <c r="D389" s="48">
        <f>D388+1</f>
        <v>388</v>
      </c>
      <c r="E389" s="43">
        <v>32.287217058501916</v>
      </c>
      <c r="F389" s="48">
        <f>D389/1076</f>
        <v>0.36059479553903345</v>
      </c>
      <c r="G389" s="49">
        <f>1000*E389*$J$2*9.81/1000</f>
        <v>6334.7519868780764</v>
      </c>
    </row>
    <row r="390" spans="1:7" ht="14.4" x14ac:dyDescent="0.3">
      <c r="A390" s="41">
        <v>27.570599999999999</v>
      </c>
      <c r="B390" s="42">
        <v>33390</v>
      </c>
      <c r="C390" s="43">
        <f>A390*($H$2/$I$2)</f>
        <v>27.133449972662657</v>
      </c>
      <c r="D390" s="43">
        <f>D389+1</f>
        <v>389</v>
      </c>
      <c r="E390" s="43">
        <v>32.197266265718973</v>
      </c>
      <c r="F390" s="43">
        <f>D390/1076</f>
        <v>0.36152416356877326</v>
      </c>
      <c r="G390" s="45">
        <f>1000*E390*$J$2*9.81/1000</f>
        <v>6317.1036413340626</v>
      </c>
    </row>
    <row r="391" spans="1:7" ht="14.4" x14ac:dyDescent="0.3">
      <c r="A391" s="46">
        <v>36.013599999999997</v>
      </c>
      <c r="B391" s="47">
        <v>33359</v>
      </c>
      <c r="C391" s="48">
        <f>A391*($H$2/$I$2)</f>
        <v>35.442580645161286</v>
      </c>
      <c r="D391" s="48">
        <f>D390+1</f>
        <v>390</v>
      </c>
      <c r="E391" s="48">
        <v>31.975735374521598</v>
      </c>
      <c r="F391" s="48">
        <f>D391/1076</f>
        <v>0.36245353159851301</v>
      </c>
      <c r="G391" s="49">
        <f>1000*E391*$J$2*9.81/1000</f>
        <v>6273.6392804811385</v>
      </c>
    </row>
    <row r="392" spans="1:7" ht="14.4" x14ac:dyDescent="0.3">
      <c r="A392" s="41">
        <v>60.851599999999998</v>
      </c>
      <c r="B392" s="42">
        <v>33329</v>
      </c>
      <c r="C392" s="43">
        <f>A392*($H$2/$I$2)</f>
        <v>59.886757791142699</v>
      </c>
      <c r="D392" s="43">
        <f>D391+1</f>
        <v>391</v>
      </c>
      <c r="E392" s="48">
        <v>31.883422635319846</v>
      </c>
      <c r="F392" s="43">
        <f>D392/1076</f>
        <v>0.36338289962825276</v>
      </c>
      <c r="G392" s="45">
        <f>1000*E392*$J$2*9.81/1000</f>
        <v>6255.5275210497539</v>
      </c>
    </row>
    <row r="393" spans="1:7" ht="14.4" x14ac:dyDescent="0.3">
      <c r="A393" s="46">
        <v>54.020499999999998</v>
      </c>
      <c r="B393" s="47">
        <v>33298</v>
      </c>
      <c r="C393" s="48">
        <f>A393*($H$2/$I$2)</f>
        <v>53.163969382176049</v>
      </c>
      <c r="D393" s="48">
        <f>D392+1</f>
        <v>392</v>
      </c>
      <c r="E393" s="43">
        <v>31.802624384909784</v>
      </c>
      <c r="F393" s="48">
        <f>D393/1076</f>
        <v>0.36431226765799257</v>
      </c>
      <c r="G393" s="49">
        <f>1000*E393*$J$2*9.81/1000</f>
        <v>6239.6749043193004</v>
      </c>
    </row>
    <row r="394" spans="1:7" ht="14.4" x14ac:dyDescent="0.3">
      <c r="A394" s="41">
        <v>67.798299999999998</v>
      </c>
      <c r="B394" s="42">
        <v>33270</v>
      </c>
      <c r="C394" s="43">
        <f>A394*($H$2/$I$2)</f>
        <v>66.723313285948606</v>
      </c>
      <c r="D394" s="43">
        <f>D393+1</f>
        <v>393</v>
      </c>
      <c r="E394" s="48">
        <v>31.750759978130127</v>
      </c>
      <c r="F394" s="43">
        <f>D394/1076</f>
        <v>0.36524163568773232</v>
      </c>
      <c r="G394" s="45">
        <f>1000*E394*$J$2*9.81/1000</f>
        <v>6229.4991077091299</v>
      </c>
    </row>
    <row r="395" spans="1:7" ht="14.4" x14ac:dyDescent="0.3">
      <c r="A395" s="46">
        <v>81.368300000000005</v>
      </c>
      <c r="B395" s="47">
        <v>33239</v>
      </c>
      <c r="C395" s="48">
        <f>A395*($H$2/$I$2)</f>
        <v>80.07815199562603</v>
      </c>
      <c r="D395" s="48">
        <f>D394+1</f>
        <v>394</v>
      </c>
      <c r="E395" s="48">
        <v>31.586112629852376</v>
      </c>
      <c r="F395" s="48">
        <f>D395/1076</f>
        <v>0.36617100371747213</v>
      </c>
      <c r="G395" s="49">
        <f>1000*E395*$J$2*9.81/1000</f>
        <v>6197.1952979770367</v>
      </c>
    </row>
    <row r="396" spans="1:7" ht="14.4" x14ac:dyDescent="0.3">
      <c r="A396" s="41">
        <v>31.887899999999998</v>
      </c>
      <c r="B396" s="42">
        <v>33208</v>
      </c>
      <c r="C396" s="43">
        <f>A396*($H$2/$I$2)</f>
        <v>31.38229633679606</v>
      </c>
      <c r="D396" s="43">
        <f>D395+1</f>
        <v>395</v>
      </c>
      <c r="E396" s="43">
        <v>31.512104975396387</v>
      </c>
      <c r="F396" s="43">
        <f>D396/1076</f>
        <v>0.36710037174721188</v>
      </c>
      <c r="G396" s="45">
        <f>1000*E396*$J$2*9.81/1000</f>
        <v>6182.674996172771</v>
      </c>
    </row>
    <row r="397" spans="1:7" ht="14.4" x14ac:dyDescent="0.3">
      <c r="A397" s="46">
        <v>21.8033</v>
      </c>
      <c r="B397" s="47">
        <v>33178</v>
      </c>
      <c r="C397" s="48">
        <f>A397*($H$2/$I$2)</f>
        <v>21.457594313832693</v>
      </c>
      <c r="D397" s="48">
        <f>D396+1</f>
        <v>396</v>
      </c>
      <c r="E397" s="43">
        <v>31.38229633679606</v>
      </c>
      <c r="F397" s="48">
        <f>D397/1076</f>
        <v>0.36802973977695169</v>
      </c>
      <c r="G397" s="49">
        <f>1000*E397*$J$2*9.81/1000</f>
        <v>6157.2065412793863</v>
      </c>
    </row>
    <row r="398" spans="1:7" ht="14.4" x14ac:dyDescent="0.3">
      <c r="A398" s="41">
        <v>15.307700000000001</v>
      </c>
      <c r="B398" s="42">
        <v>33147</v>
      </c>
      <c r="C398" s="43">
        <f>A398*($H$2/$I$2)</f>
        <v>15.064986331328594</v>
      </c>
      <c r="D398" s="43">
        <f>D397+1</f>
        <v>397</v>
      </c>
      <c r="E398" s="48">
        <v>31.341749589939855</v>
      </c>
      <c r="F398" s="43">
        <f>D398/1076</f>
        <v>0.36895910780669144</v>
      </c>
      <c r="G398" s="45">
        <f>1000*E398*$J$2*9.81/1000</f>
        <v>6149.2512695462001</v>
      </c>
    </row>
    <row r="399" spans="1:7" ht="14.4" x14ac:dyDescent="0.3">
      <c r="A399" s="46">
        <v>15.931800000000001</v>
      </c>
      <c r="B399" s="47">
        <v>33117</v>
      </c>
      <c r="C399" s="48">
        <f>A399*($H$2/$I$2)</f>
        <v>15.679190814652816</v>
      </c>
      <c r="D399" s="48">
        <f>D398+1</f>
        <v>398</v>
      </c>
      <c r="E399" s="43">
        <v>31.238611262985238</v>
      </c>
      <c r="F399" s="48">
        <f>D399/1076</f>
        <v>0.36988847583643125</v>
      </c>
      <c r="G399" s="49">
        <f>1000*E399*$J$2*9.81/1000</f>
        <v>6129.0155297977044</v>
      </c>
    </row>
    <row r="400" spans="1:7" ht="14.4" x14ac:dyDescent="0.3">
      <c r="A400" s="41">
        <v>15.058999999999999</v>
      </c>
      <c r="B400" s="42">
        <v>33086</v>
      </c>
      <c r="C400" s="43">
        <f>A400*($H$2/$I$2)</f>
        <v>14.820229633679606</v>
      </c>
      <c r="D400" s="43">
        <f>D399+1</f>
        <v>399</v>
      </c>
      <c r="E400" s="48">
        <v>31.219420448332421</v>
      </c>
      <c r="F400" s="43">
        <f>D400/1076</f>
        <v>0.370817843866171</v>
      </c>
      <c r="G400" s="45">
        <f>1000*E400*$J$2*9.81/1000</f>
        <v>6125.2502919628214</v>
      </c>
    </row>
    <row r="401" spans="1:7" ht="14.4" x14ac:dyDescent="0.3">
      <c r="A401" s="46">
        <v>16.5426</v>
      </c>
      <c r="B401" s="47">
        <v>33055</v>
      </c>
      <c r="C401" s="48">
        <f>A401*($H$2/$I$2)</f>
        <v>16.280306178239474</v>
      </c>
      <c r="D401" s="48">
        <f>D400+1</f>
        <v>400</v>
      </c>
      <c r="E401" s="43">
        <v>31.04542372881356</v>
      </c>
      <c r="F401" s="48">
        <f>D401/1076</f>
        <v>0.37174721189591076</v>
      </c>
      <c r="G401" s="49">
        <f>1000*E401*$J$2*9.81/1000</f>
        <v>6091.112135593221</v>
      </c>
    </row>
    <row r="402" spans="1:7" ht="14.4" x14ac:dyDescent="0.3">
      <c r="A402" s="41">
        <v>17</v>
      </c>
      <c r="B402" s="42">
        <v>33025</v>
      </c>
      <c r="C402" s="43">
        <f>A402*($H$2/$I$2)</f>
        <v>16.73045379989065</v>
      </c>
      <c r="D402" s="43">
        <f>D401+1</f>
        <v>401</v>
      </c>
      <c r="E402" s="43">
        <v>30.971022416621103</v>
      </c>
      <c r="F402" s="43">
        <f>D402/1076</f>
        <v>0.37267657992565056</v>
      </c>
      <c r="G402" s="45">
        <f>1000*E402*$J$2*9.81/1000</f>
        <v>6076.5145981410615</v>
      </c>
    </row>
    <row r="403" spans="1:7" ht="14.4" x14ac:dyDescent="0.3">
      <c r="A403" s="46">
        <v>24.7883</v>
      </c>
      <c r="B403" s="47">
        <v>32994</v>
      </c>
      <c r="C403" s="48">
        <f>A403*($H$2/$I$2)</f>
        <v>24.395265172225258</v>
      </c>
      <c r="D403" s="48">
        <f>D402+1</f>
        <v>402</v>
      </c>
      <c r="E403" s="43">
        <v>30.951241115363587</v>
      </c>
      <c r="F403" s="48">
        <f>D403/1076</f>
        <v>0.37360594795539032</v>
      </c>
      <c r="G403" s="49">
        <f>1000*E403*$J$2*9.81/1000</f>
        <v>6072.6335068343369</v>
      </c>
    </row>
    <row r="404" spans="1:7" ht="14.4" x14ac:dyDescent="0.3">
      <c r="A404" s="41">
        <v>31.47</v>
      </c>
      <c r="B404" s="42">
        <v>32964</v>
      </c>
      <c r="C404" s="43">
        <f>A404*($H$2/$I$2)</f>
        <v>30.971022416621103</v>
      </c>
      <c r="D404" s="43">
        <f>D403+1</f>
        <v>403</v>
      </c>
      <c r="E404" s="43">
        <v>30.927523236741386</v>
      </c>
      <c r="F404" s="43">
        <f>D404/1076</f>
        <v>0.37453531598513012</v>
      </c>
      <c r="G404" s="45">
        <f>1000*E404*$J$2*9.81/1000</f>
        <v>6067.9800590486593</v>
      </c>
    </row>
    <row r="405" spans="1:7" ht="14.4" x14ac:dyDescent="0.3">
      <c r="A405" s="46">
        <v>44.379899999999999</v>
      </c>
      <c r="B405" s="47">
        <v>32933</v>
      </c>
      <c r="C405" s="48">
        <f>A405*($H$2/$I$2)</f>
        <v>43.676227446692181</v>
      </c>
      <c r="D405" s="48">
        <f>D404+1</f>
        <v>404</v>
      </c>
      <c r="E405" s="43">
        <v>30.847905959540732</v>
      </c>
      <c r="F405" s="48">
        <f>D405/1076</f>
        <v>0.37546468401486988</v>
      </c>
      <c r="G405" s="49">
        <f>1000*E405*$J$2*9.81/1000</f>
        <v>6052.3591492618916</v>
      </c>
    </row>
    <row r="406" spans="1:7" ht="14.4" x14ac:dyDescent="0.3">
      <c r="A406" s="41">
        <v>31.1188</v>
      </c>
      <c r="B406" s="42">
        <v>32905</v>
      </c>
      <c r="C406" s="43">
        <f>A406*($H$2/$I$2)</f>
        <v>30.625390924002186</v>
      </c>
      <c r="D406" s="43">
        <f>D405+1</f>
        <v>405</v>
      </c>
      <c r="E406" s="43">
        <v>30.795254237288134</v>
      </c>
      <c r="F406" s="43">
        <f>D406/1076</f>
        <v>0.37639405204460968</v>
      </c>
      <c r="G406" s="45">
        <f>1000*E406*$J$2*9.81/1000</f>
        <v>6042.0288813559318</v>
      </c>
    </row>
    <row r="407" spans="1:7" ht="14.4" x14ac:dyDescent="0.3">
      <c r="A407" s="46">
        <v>51.843800000000002</v>
      </c>
      <c r="B407" s="47">
        <v>32874</v>
      </c>
      <c r="C407" s="48">
        <f>A407*($H$2/$I$2)</f>
        <v>51.021782394751227</v>
      </c>
      <c r="D407" s="48">
        <f>D406+1</f>
        <v>406</v>
      </c>
      <c r="E407" s="43">
        <v>30.700579551667577</v>
      </c>
      <c r="F407" s="48">
        <f>D407/1076</f>
        <v>0.37732342007434944</v>
      </c>
      <c r="G407" s="49">
        <f>1000*E407*$J$2*9.81/1000</f>
        <v>6023.4537080371783</v>
      </c>
    </row>
    <row r="408" spans="1:7" ht="14.4" x14ac:dyDescent="0.3">
      <c r="A408" s="41">
        <v>52.3613</v>
      </c>
      <c r="B408" s="42">
        <v>32843</v>
      </c>
      <c r="C408" s="43">
        <f>A408*($H$2/$I$2)</f>
        <v>51.53107709130672</v>
      </c>
      <c r="D408" s="43">
        <f>D407+1</f>
        <v>407</v>
      </c>
      <c r="E408" s="43">
        <v>30.665740841990157</v>
      </c>
      <c r="F408" s="43">
        <f>D408/1076</f>
        <v>0.37825278810408924</v>
      </c>
      <c r="G408" s="45">
        <f>1000*E408*$J$2*9.81/1000</f>
        <v>6016.6183531984689</v>
      </c>
    </row>
    <row r="409" spans="1:7" ht="14.4" x14ac:dyDescent="0.3">
      <c r="A409" s="46">
        <v>24.522400000000001</v>
      </c>
      <c r="B409" s="47">
        <v>32813</v>
      </c>
      <c r="C409" s="48">
        <f>A409*($H$2/$I$2)</f>
        <v>24.133581191908146</v>
      </c>
      <c r="D409" s="48">
        <f>D408+1</f>
        <v>408</v>
      </c>
      <c r="E409" s="43">
        <v>30.625390924002186</v>
      </c>
      <c r="F409" s="48">
        <f>D409/1076</f>
        <v>0.379182156133829</v>
      </c>
      <c r="G409" s="49">
        <f>1000*E409*$J$2*9.81/1000</f>
        <v>6008.7016992892286</v>
      </c>
    </row>
    <row r="410" spans="1:7" ht="14.4" x14ac:dyDescent="0.3">
      <c r="A410" s="41">
        <v>17.227599999999999</v>
      </c>
      <c r="B410" s="42">
        <v>32782</v>
      </c>
      <c r="C410" s="43">
        <f>A410*($H$2/$I$2)</f>
        <v>16.954445051940951</v>
      </c>
      <c r="D410" s="43">
        <f>D409+1</f>
        <v>409</v>
      </c>
      <c r="E410" s="48">
        <v>30.601082558775285</v>
      </c>
      <c r="F410" s="43">
        <f>D410/1076</f>
        <v>0.38011152416356875</v>
      </c>
      <c r="G410" s="45">
        <f>1000*E410*$J$2*9.81/1000</f>
        <v>6003.9323980317113</v>
      </c>
    </row>
    <row r="411" spans="1:7" ht="14.4" x14ac:dyDescent="0.3">
      <c r="A411" s="46">
        <v>19.344100000000001</v>
      </c>
      <c r="B411" s="47">
        <v>32752</v>
      </c>
      <c r="C411" s="48">
        <f>A411*($H$2/$I$2)</f>
        <v>19.037386550027339</v>
      </c>
      <c r="D411" s="48">
        <f>D410+1</f>
        <v>410</v>
      </c>
      <c r="E411" s="43">
        <v>30.579628212137777</v>
      </c>
      <c r="F411" s="48">
        <f>D411/1076</f>
        <v>0.38104089219330856</v>
      </c>
      <c r="G411" s="49">
        <f>1000*E411*$J$2*9.81/1000</f>
        <v>5999.7230552214323</v>
      </c>
    </row>
    <row r="412" spans="1:7" ht="14.4" x14ac:dyDescent="0.3">
      <c r="A412" s="41">
        <v>19.654800000000002</v>
      </c>
      <c r="B412" s="42">
        <v>32721</v>
      </c>
      <c r="C412" s="43">
        <f>A412*($H$2/$I$2)</f>
        <v>19.343160196828869</v>
      </c>
      <c r="D412" s="43">
        <f>D411+1</f>
        <v>411</v>
      </c>
      <c r="E412" s="48">
        <v>30.444800437397486</v>
      </c>
      <c r="F412" s="43">
        <f>D412/1076</f>
        <v>0.38197026022304831</v>
      </c>
      <c r="G412" s="45">
        <f>1000*E412*$J$2*9.81/1000</f>
        <v>5973.2698458173872</v>
      </c>
    </row>
    <row r="413" spans="1:7" ht="14.4" x14ac:dyDescent="0.3">
      <c r="A413" s="46">
        <v>21.3445</v>
      </c>
      <c r="B413" s="47">
        <v>32690</v>
      </c>
      <c r="C413" s="48">
        <f>A413*($H$2/$I$2)</f>
        <v>21.006068890103879</v>
      </c>
      <c r="D413" s="48">
        <f>D412+1</f>
        <v>412</v>
      </c>
      <c r="E413" s="48">
        <v>30.434171678512847</v>
      </c>
      <c r="F413" s="48">
        <f>D413/1076</f>
        <v>0.38289962825278812</v>
      </c>
      <c r="G413" s="49">
        <f>1000*E413*$J$2*9.81/1000</f>
        <v>5971.1844833242203</v>
      </c>
    </row>
    <row r="414" spans="1:7" ht="14.4" x14ac:dyDescent="0.3">
      <c r="A414" s="41">
        <v>24.6755</v>
      </c>
      <c r="B414" s="42">
        <v>32660</v>
      </c>
      <c r="C414" s="43">
        <f>A414*($H$2/$I$2)</f>
        <v>24.284253690541277</v>
      </c>
      <c r="D414" s="43">
        <f>D413+1</f>
        <v>413</v>
      </c>
      <c r="E414" s="48">
        <v>30.423346090759978</v>
      </c>
      <c r="F414" s="43">
        <f>D414/1076</f>
        <v>0.38382899628252787</v>
      </c>
      <c r="G414" s="45">
        <f>1000*E414*$J$2*9.81/1000</f>
        <v>5969.0605030071074</v>
      </c>
    </row>
    <row r="415" spans="1:7" ht="14.4" x14ac:dyDescent="0.3">
      <c r="A415" s="46">
        <v>27.527200000000001</v>
      </c>
      <c r="B415" s="47">
        <v>32629</v>
      </c>
      <c r="C415" s="48">
        <f>A415*($H$2/$I$2)</f>
        <v>27.090738108255877</v>
      </c>
      <c r="D415" s="48">
        <f>D414+1</f>
        <v>414</v>
      </c>
      <c r="E415" s="43">
        <v>30.26096227446692</v>
      </c>
      <c r="F415" s="48">
        <f>D415/1076</f>
        <v>0.38475836431226768</v>
      </c>
      <c r="G415" s="49">
        <f>1000*E415*$J$2*9.81/1000</f>
        <v>5937.2007982504101</v>
      </c>
    </row>
    <row r="416" spans="1:7" ht="14.4" x14ac:dyDescent="0.3">
      <c r="A416" s="41">
        <v>39.995100000000001</v>
      </c>
      <c r="B416" s="42">
        <v>32599</v>
      </c>
      <c r="C416" s="43">
        <f>A416*($H$2/$I$2)</f>
        <v>39.360951339529798</v>
      </c>
      <c r="D416" s="43">
        <f>D415+1</f>
        <v>415</v>
      </c>
      <c r="E416" s="43">
        <v>30.220513942044832</v>
      </c>
      <c r="F416" s="43">
        <f>D416/1076</f>
        <v>0.38568773234200743</v>
      </c>
      <c r="G416" s="45">
        <f>1000*E416*$J$2*9.81/1000</f>
        <v>5929.264835429196</v>
      </c>
    </row>
    <row r="417" spans="1:7" ht="14.4" x14ac:dyDescent="0.3">
      <c r="A417" s="46">
        <v>75.267600000000002</v>
      </c>
      <c r="B417" s="47">
        <v>32568</v>
      </c>
      <c r="C417" s="48">
        <f>A417*($H$2/$I$2)</f>
        <v>74.074182613449977</v>
      </c>
      <c r="D417" s="48">
        <f>D416+1</f>
        <v>416</v>
      </c>
      <c r="E417" s="43">
        <v>30.217364680153089</v>
      </c>
      <c r="F417" s="48">
        <f>D417/1076</f>
        <v>0.38661710037174724</v>
      </c>
      <c r="G417" s="49">
        <f>1000*E417*$J$2*9.81/1000</f>
        <v>5928.6469502460368</v>
      </c>
    </row>
    <row r="418" spans="1:7" ht="14.4" x14ac:dyDescent="0.3">
      <c r="A418" s="41">
        <v>71.296999999999997</v>
      </c>
      <c r="B418" s="42">
        <v>32540</v>
      </c>
      <c r="C418" s="43">
        <f>A418*($H$2/$I$2)</f>
        <v>70.166539092400214</v>
      </c>
      <c r="D418" s="43">
        <f>D417+1</f>
        <v>417</v>
      </c>
      <c r="E418" s="43">
        <v>30.128102788408963</v>
      </c>
      <c r="F418" s="43">
        <f>D418/1076</f>
        <v>0.38754646840148699</v>
      </c>
      <c r="G418" s="45">
        <f>1000*E418*$J$2*9.81/1000</f>
        <v>5911.1337670858393</v>
      </c>
    </row>
    <row r="419" spans="1:7" ht="14.4" x14ac:dyDescent="0.3">
      <c r="A419" s="46">
        <v>82.677300000000002</v>
      </c>
      <c r="B419" s="47">
        <v>32509</v>
      </c>
      <c r="C419" s="48">
        <f>A419*($H$2/$I$2)</f>
        <v>81.366396938217605</v>
      </c>
      <c r="D419" s="48">
        <f>D418+1</f>
        <v>418</v>
      </c>
      <c r="E419" s="48">
        <v>29.993570256971022</v>
      </c>
      <c r="F419" s="48">
        <f>D419/1076</f>
        <v>0.38847583643122674</v>
      </c>
      <c r="G419" s="49">
        <f>1000*E419*$J$2*9.81/1000</f>
        <v>5884.7384844177141</v>
      </c>
    </row>
    <row r="420" spans="1:7" ht="14.4" x14ac:dyDescent="0.3">
      <c r="A420" s="41">
        <v>45.799199999999999</v>
      </c>
      <c r="B420" s="42">
        <v>32478</v>
      </c>
      <c r="C420" s="43">
        <f>A420*($H$2/$I$2)</f>
        <v>45.073023510114815</v>
      </c>
      <c r="D420" s="43">
        <f>D419+1</f>
        <v>419</v>
      </c>
      <c r="E420" s="48">
        <v>29.84575177692728</v>
      </c>
      <c r="F420" s="43">
        <f>D420/1076</f>
        <v>0.38940520446096655</v>
      </c>
      <c r="G420" s="45">
        <f>1000*E420*$J$2*9.81/1000</f>
        <v>5855.7364986331322</v>
      </c>
    </row>
    <row r="421" spans="1:7" ht="14.4" x14ac:dyDescent="0.3">
      <c r="A421" s="46">
        <v>27.401499999999999</v>
      </c>
      <c r="B421" s="47">
        <v>32448</v>
      </c>
      <c r="C421" s="48">
        <f>A421*($H$2/$I$2)</f>
        <v>26.967031164570802</v>
      </c>
      <c r="D421" s="48">
        <f>D420+1</f>
        <v>420</v>
      </c>
      <c r="E421" s="43">
        <v>29.830497539639147</v>
      </c>
      <c r="F421" s="48">
        <f>D421/1076</f>
        <v>0.3903345724907063</v>
      </c>
      <c r="G421" s="49">
        <f>1000*E421*$J$2*9.81/1000</f>
        <v>5852.7436172772013</v>
      </c>
    </row>
    <row r="422" spans="1:7" ht="14.4" x14ac:dyDescent="0.3">
      <c r="A422" s="41">
        <v>23.639500000000002</v>
      </c>
      <c r="B422" s="42">
        <v>32417</v>
      </c>
      <c r="C422" s="43">
        <f>A422*($H$2/$I$2)</f>
        <v>23.26468015308912</v>
      </c>
      <c r="D422" s="43">
        <f>D421+1</f>
        <v>421</v>
      </c>
      <c r="E422" s="43">
        <v>29.821935483870966</v>
      </c>
      <c r="F422" s="43">
        <f>D422/1076</f>
        <v>0.39126394052044611</v>
      </c>
      <c r="G422" s="45">
        <f>1000*E422*$J$2*9.81/1000</f>
        <v>5851.0637419354834</v>
      </c>
    </row>
    <row r="423" spans="1:7" ht="14.4" x14ac:dyDescent="0.3">
      <c r="A423" s="46">
        <v>15.6958</v>
      </c>
      <c r="B423" s="47">
        <v>32387</v>
      </c>
      <c r="C423" s="48">
        <f>A423*($H$2/$I$2)</f>
        <v>15.446932750136686</v>
      </c>
      <c r="D423" s="48">
        <f>D422+1</f>
        <v>422</v>
      </c>
      <c r="E423" s="48">
        <v>29.714762165117548</v>
      </c>
      <c r="F423" s="48">
        <f>D423/1076</f>
        <v>0.39219330855018586</v>
      </c>
      <c r="G423" s="49">
        <f>1000*E423*$J$2*9.81/1000</f>
        <v>5830.0363367960626</v>
      </c>
    </row>
    <row r="424" spans="1:7" ht="14.4" x14ac:dyDescent="0.3">
      <c r="A424" s="41">
        <v>17.424199999999999</v>
      </c>
      <c r="B424" s="42">
        <v>32356</v>
      </c>
      <c r="C424" s="43">
        <f>A424*($H$2/$I$2)</f>
        <v>17.147927829414979</v>
      </c>
      <c r="D424" s="43">
        <f>D423+1</f>
        <v>423</v>
      </c>
      <c r="E424" s="43">
        <v>29.703444505194092</v>
      </c>
      <c r="F424" s="43">
        <f>D424/1076</f>
        <v>0.39312267657992567</v>
      </c>
      <c r="G424" s="45">
        <f>1000*E424*$J$2*9.81/1000</f>
        <v>5827.8158119190812</v>
      </c>
    </row>
    <row r="425" spans="1:7" ht="14.4" x14ac:dyDescent="0.3">
      <c r="A425" s="46">
        <v>21.012</v>
      </c>
      <c r="B425" s="47">
        <v>32325</v>
      </c>
      <c r="C425" s="48">
        <f>A425*($H$2/$I$2)</f>
        <v>20.678840896664845</v>
      </c>
      <c r="D425" s="48">
        <f>D424+1</f>
        <v>424</v>
      </c>
      <c r="E425" s="48">
        <v>29.691930016402406</v>
      </c>
      <c r="F425" s="48">
        <f>D425/1076</f>
        <v>0.39405204460966542</v>
      </c>
      <c r="G425" s="49">
        <f>1000*E425*$J$2*9.81/1000</f>
        <v>5825.5566692181519</v>
      </c>
    </row>
    <row r="426" spans="1:7" ht="14.4" x14ac:dyDescent="0.3">
      <c r="A426" s="41">
        <v>27.410599999999999</v>
      </c>
      <c r="B426" s="42">
        <v>32295</v>
      </c>
      <c r="C426" s="43">
        <f>A426*($H$2/$I$2)</f>
        <v>26.975986878075449</v>
      </c>
      <c r="D426" s="43">
        <f>D425+1</f>
        <v>425</v>
      </c>
      <c r="E426" s="48">
        <v>29.641640240568616</v>
      </c>
      <c r="F426" s="43">
        <f>D426/1076</f>
        <v>0.39498141263940523</v>
      </c>
      <c r="G426" s="45">
        <f>1000*E426*$J$2*9.81/1000</f>
        <v>5815.689815199562</v>
      </c>
    </row>
    <row r="427" spans="1:7" ht="14.4" x14ac:dyDescent="0.3">
      <c r="A427" s="46">
        <v>30.326599999999999</v>
      </c>
      <c r="B427" s="47">
        <v>32264</v>
      </c>
      <c r="C427" s="48">
        <f>A427*($H$2/$I$2)</f>
        <v>29.84575177692728</v>
      </c>
      <c r="D427" s="48">
        <f>D426+1</f>
        <v>426</v>
      </c>
      <c r="E427" s="48">
        <v>29.499234554401312</v>
      </c>
      <c r="F427" s="48">
        <f>D427/1076</f>
        <v>0.39591078066914498</v>
      </c>
      <c r="G427" s="49">
        <f>1000*E427*$J$2*9.81/1000</f>
        <v>5787.7498195735379</v>
      </c>
    </row>
    <row r="428" spans="1:7" ht="14.4" x14ac:dyDescent="0.3">
      <c r="A428" s="41">
        <v>35.878799999999998</v>
      </c>
      <c r="B428" s="42">
        <v>32234</v>
      </c>
      <c r="C428" s="43">
        <f>A428*($H$2/$I$2)</f>
        <v>35.309917987971566</v>
      </c>
      <c r="D428" s="43">
        <f>D427+1</f>
        <v>427</v>
      </c>
      <c r="E428" s="48">
        <v>29.381038819026788</v>
      </c>
      <c r="F428" s="43">
        <f>D428/1076</f>
        <v>0.39684014869888473</v>
      </c>
      <c r="G428" s="45">
        <f>1000*E428*$J$2*9.81/1000</f>
        <v>5764.5598162930564</v>
      </c>
    </row>
    <row r="429" spans="1:7" ht="14.4" x14ac:dyDescent="0.3">
      <c r="A429" s="46">
        <v>56.975999999999999</v>
      </c>
      <c r="B429" s="47">
        <v>32203</v>
      </c>
      <c r="C429" s="48">
        <f>A429*($H$2/$I$2)</f>
        <v>56.072607982504096</v>
      </c>
      <c r="D429" s="48">
        <f>D428+1</f>
        <v>428</v>
      </c>
      <c r="E429" s="48">
        <v>29.373952979770365</v>
      </c>
      <c r="F429" s="48">
        <f>D429/1076</f>
        <v>0.39776951672862454</v>
      </c>
      <c r="G429" s="49">
        <f>1000*E429*$J$2*9.81/1000</f>
        <v>5763.169574630946</v>
      </c>
    </row>
    <row r="430" spans="1:7" ht="14.4" x14ac:dyDescent="0.3">
      <c r="A430" s="41">
        <v>83.949700000000007</v>
      </c>
      <c r="B430" s="42">
        <v>32174</v>
      </c>
      <c r="C430" s="43">
        <f>A430*($H$2/$I$2)</f>
        <v>82.618622197922363</v>
      </c>
      <c r="D430" s="43">
        <f>D429+1</f>
        <v>429</v>
      </c>
      <c r="E430" s="48">
        <v>29.37119737561509</v>
      </c>
      <c r="F430" s="43">
        <f>D430/1076</f>
        <v>0.39869888475836429</v>
      </c>
      <c r="G430" s="45">
        <f>1000*E430*$J$2*9.81/1000</f>
        <v>5762.6289250956816</v>
      </c>
    </row>
    <row r="431" spans="1:7" ht="14.4" x14ac:dyDescent="0.3">
      <c r="A431" s="46">
        <v>78.071399999999997</v>
      </c>
      <c r="B431" s="47">
        <v>32143</v>
      </c>
      <c r="C431" s="48">
        <f>A431*($H$2/$I$2)</f>
        <v>76.833526517222523</v>
      </c>
      <c r="D431" s="48">
        <f>D430+1</f>
        <v>430</v>
      </c>
      <c r="E431" s="43">
        <v>29.358206670311645</v>
      </c>
      <c r="F431" s="48">
        <f>D431/1076</f>
        <v>0.3996282527881041</v>
      </c>
      <c r="G431" s="49">
        <f>1000*E431*$J$2*9.81/1000</f>
        <v>5760.0801487151448</v>
      </c>
    </row>
    <row r="432" spans="1:7" ht="14.4" x14ac:dyDescent="0.3">
      <c r="A432" s="41">
        <v>81.903599999999997</v>
      </c>
      <c r="B432" s="42">
        <v>32112</v>
      </c>
      <c r="C432" s="43">
        <f>A432*($H$2/$I$2)</f>
        <v>80.604964461454344</v>
      </c>
      <c r="D432" s="43">
        <f>D431+1</f>
        <v>431</v>
      </c>
      <c r="E432" s="43">
        <v>29.259693821760525</v>
      </c>
      <c r="F432" s="43">
        <f>D432/1076</f>
        <v>0.40055762081784385</v>
      </c>
      <c r="G432" s="45">
        <f>1000*E432*$J$2*9.81/1000</f>
        <v>5740.7519278294149</v>
      </c>
    </row>
    <row r="433" spans="1:7" ht="14.4" x14ac:dyDescent="0.3">
      <c r="A433" s="46">
        <v>25.812899999999999</v>
      </c>
      <c r="B433" s="47">
        <v>32082</v>
      </c>
      <c r="C433" s="48">
        <f>A433*($H$2/$I$2)</f>
        <v>25.403619464188079</v>
      </c>
      <c r="D433" s="48">
        <f>D432+1</f>
        <v>432</v>
      </c>
      <c r="E433" s="44">
        <v>29.236074357572445</v>
      </c>
      <c r="F433" s="48">
        <f>D433/1076</f>
        <v>0.40148698884758366</v>
      </c>
      <c r="G433" s="49">
        <f>1000*E433*$J$2*9.81/1000</f>
        <v>5736.1177889557139</v>
      </c>
    </row>
    <row r="434" spans="1:7" ht="14.4" x14ac:dyDescent="0.3">
      <c r="A434" s="41">
        <v>19.524999999999999</v>
      </c>
      <c r="B434" s="42">
        <v>32051</v>
      </c>
      <c r="C434" s="43">
        <f>A434*($H$2/$I$2)</f>
        <v>19.215418261344997</v>
      </c>
      <c r="D434" s="43">
        <f>D433+1</f>
        <v>433</v>
      </c>
      <c r="E434" s="43">
        <v>29.157539639147075</v>
      </c>
      <c r="F434" s="43">
        <f>D434/1076</f>
        <v>0.40241635687732341</v>
      </c>
      <c r="G434" s="45">
        <f>1000*E434*$J$2*9.81/1000</f>
        <v>5720.7092772006563</v>
      </c>
    </row>
    <row r="435" spans="1:7" ht="14.4" x14ac:dyDescent="0.3">
      <c r="A435" s="46">
        <v>25.398599999999998</v>
      </c>
      <c r="B435" s="47">
        <v>32021</v>
      </c>
      <c r="C435" s="48">
        <f>A435*($H$2/$I$2)</f>
        <v>24.995888463641332</v>
      </c>
      <c r="D435" s="48">
        <f>D434+1</f>
        <v>434</v>
      </c>
      <c r="E435" s="48">
        <v>29.048496446145435</v>
      </c>
      <c r="F435" s="48">
        <f>D435/1076</f>
        <v>0.40334572490706322</v>
      </c>
      <c r="G435" s="49">
        <f>1000*E435*$J$2*9.81/1000</f>
        <v>5699.3150027337351</v>
      </c>
    </row>
    <row r="436" spans="1:7" ht="14.4" x14ac:dyDescent="0.3">
      <c r="A436" s="41">
        <v>19.889800000000001</v>
      </c>
      <c r="B436" s="42">
        <v>31990</v>
      </c>
      <c r="C436" s="43">
        <f>A436*($H$2/$I$2)</f>
        <v>19.574434117003829</v>
      </c>
      <c r="D436" s="43">
        <f>D435+1</f>
        <v>435</v>
      </c>
      <c r="E436" s="43">
        <v>29.038655002733734</v>
      </c>
      <c r="F436" s="43">
        <f>D436/1076</f>
        <v>0.40427509293680297</v>
      </c>
      <c r="G436" s="45">
        <f>1000*E436*$J$2*9.81/1000</f>
        <v>5697.3841115363584</v>
      </c>
    </row>
    <row r="437" spans="1:7" ht="14.4" x14ac:dyDescent="0.3">
      <c r="A437" s="46">
        <v>24.302700000000002</v>
      </c>
      <c r="B437" s="47">
        <v>31959</v>
      </c>
      <c r="C437" s="48">
        <f>A437*($H$2/$I$2)</f>
        <v>23.917364680153089</v>
      </c>
      <c r="D437" s="48">
        <f>D436+1</f>
        <v>436</v>
      </c>
      <c r="E437" s="48">
        <v>29.005095680699835</v>
      </c>
      <c r="F437" s="48">
        <f>D437/1076</f>
        <v>0.40520446096654272</v>
      </c>
      <c r="G437" s="49">
        <f>1000*E437*$J$2*9.81/1000</f>
        <v>5690.7997725533078</v>
      </c>
    </row>
    <row r="438" spans="1:7" ht="14.4" x14ac:dyDescent="0.3">
      <c r="A438" s="41">
        <v>25.73</v>
      </c>
      <c r="B438" s="42">
        <v>31929</v>
      </c>
      <c r="C438" s="43">
        <f>A438*($H$2/$I$2)</f>
        <v>25.322033898305083</v>
      </c>
      <c r="D438" s="43">
        <f>D437+1</f>
        <v>437</v>
      </c>
      <c r="E438" s="43">
        <v>28.990530344450519</v>
      </c>
      <c r="F438" s="43">
        <f>D438/1076</f>
        <v>0.40613382899628253</v>
      </c>
      <c r="G438" s="45">
        <f>1000*E438*$J$2*9.81/1000</f>
        <v>5687.9420535811923</v>
      </c>
    </row>
    <row r="439" spans="1:7" ht="14.4" x14ac:dyDescent="0.3">
      <c r="A439" s="46">
        <v>29.407900000000001</v>
      </c>
      <c r="B439" s="47">
        <v>31898</v>
      </c>
      <c r="C439" s="48">
        <f>A439*($H$2/$I$2)</f>
        <v>28.941618370694368</v>
      </c>
      <c r="D439" s="48">
        <f>D438+1</f>
        <v>438</v>
      </c>
      <c r="E439" s="48">
        <v>28.961006014215418</v>
      </c>
      <c r="F439" s="48">
        <f>D439/1076</f>
        <v>0.40706319702602228</v>
      </c>
      <c r="G439" s="49">
        <f>1000*E439*$J$2*9.81/1000</f>
        <v>5682.149379989065</v>
      </c>
    </row>
    <row r="440" spans="1:7" ht="14.4" x14ac:dyDescent="0.3">
      <c r="A440" s="41">
        <v>56.082099999999997</v>
      </c>
      <c r="B440" s="42">
        <v>31868</v>
      </c>
      <c r="C440" s="43">
        <f>A440*($H$2/$I$2)</f>
        <v>55.192881355932201</v>
      </c>
      <c r="D440" s="43">
        <f>D439+1</f>
        <v>439</v>
      </c>
      <c r="E440" s="48">
        <v>28.941618370694368</v>
      </c>
      <c r="F440" s="43">
        <f>D440/1076</f>
        <v>0.40799256505576209</v>
      </c>
      <c r="G440" s="45">
        <f>1000*E440*$J$2*9.81/1000</f>
        <v>5678.3455243302342</v>
      </c>
    </row>
    <row r="441" spans="1:7" ht="14.4" x14ac:dyDescent="0.3">
      <c r="A441" s="46">
        <v>64.605900000000005</v>
      </c>
      <c r="B441" s="47">
        <v>31837</v>
      </c>
      <c r="C441" s="48">
        <f>A441*($H$2/$I$2)</f>
        <v>63.581530891197382</v>
      </c>
      <c r="D441" s="48">
        <f>D440+1</f>
        <v>440</v>
      </c>
      <c r="E441" s="43">
        <v>28.88532531437944</v>
      </c>
      <c r="F441" s="48">
        <f>D441/1076</f>
        <v>0.40892193308550184</v>
      </c>
      <c r="G441" s="49">
        <f>1000*E441*$J$2*9.81/1000</f>
        <v>5667.3008266812458</v>
      </c>
    </row>
    <row r="442" spans="1:7" ht="14.4" x14ac:dyDescent="0.3">
      <c r="A442" s="41">
        <v>58.645000000000003</v>
      </c>
      <c r="B442" s="42">
        <v>31809</v>
      </c>
      <c r="C442" s="43">
        <f>A442*($H$2/$I$2)</f>
        <v>57.715144887916892</v>
      </c>
      <c r="D442" s="43">
        <f>D441+1</f>
        <v>441</v>
      </c>
      <c r="E442" s="48">
        <v>28.876369600874792</v>
      </c>
      <c r="F442" s="43">
        <f>D442/1076</f>
        <v>0.40985130111524165</v>
      </c>
      <c r="G442" s="45">
        <f>1000*E442*$J$2*9.81/1000</f>
        <v>5665.5437156916341</v>
      </c>
    </row>
    <row r="443" spans="1:7" ht="14.4" x14ac:dyDescent="0.3">
      <c r="A443" s="46">
        <v>73.202500000000001</v>
      </c>
      <c r="B443" s="47">
        <v>31778</v>
      </c>
      <c r="C443" s="48">
        <f>A443*($H$2/$I$2)</f>
        <v>72.041826134499729</v>
      </c>
      <c r="D443" s="48">
        <f>D442+1</f>
        <v>442</v>
      </c>
      <c r="E443" s="43">
        <v>28.853143794423183</v>
      </c>
      <c r="F443" s="48">
        <f>D443/1076</f>
        <v>0.4107806691449814</v>
      </c>
      <c r="G443" s="49">
        <f>1000*E443*$J$2*9.81/1000</f>
        <v>5660.9868124658287</v>
      </c>
    </row>
    <row r="444" spans="1:7" ht="14.4" x14ac:dyDescent="0.3">
      <c r="A444" s="41">
        <v>85.008499999999998</v>
      </c>
      <c r="B444" s="42">
        <v>31747</v>
      </c>
      <c r="C444" s="43">
        <f>A444*($H$2/$I$2)</f>
        <v>83.660634226353196</v>
      </c>
      <c r="D444" s="43">
        <f>D443+1</f>
        <v>443</v>
      </c>
      <c r="E444" s="43">
        <v>28.850092946965557</v>
      </c>
      <c r="F444" s="43">
        <f>D444/1076</f>
        <v>0.41171003717472121</v>
      </c>
      <c r="G444" s="45">
        <f>1000*E444*$J$2*9.81/1000</f>
        <v>5660.3882361946426</v>
      </c>
    </row>
    <row r="445" spans="1:7" ht="14.4" x14ac:dyDescent="0.3">
      <c r="A445" s="46">
        <v>15.3423</v>
      </c>
      <c r="B445" s="47">
        <v>31717</v>
      </c>
      <c r="C445" s="48">
        <f>A445*($H$2/$I$2)</f>
        <v>15.099037725533078</v>
      </c>
      <c r="D445" s="48">
        <f>D444+1</f>
        <v>444</v>
      </c>
      <c r="E445" s="48">
        <v>28.794587206123566</v>
      </c>
      <c r="F445" s="48">
        <f>D445/1076</f>
        <v>0.41263940520446096</v>
      </c>
      <c r="G445" s="49">
        <f>1000*E445*$J$2*9.81/1000</f>
        <v>5649.4980098414444</v>
      </c>
    </row>
    <row r="446" spans="1:7" ht="14.4" x14ac:dyDescent="0.3">
      <c r="A446" s="41">
        <v>14.672800000000001</v>
      </c>
      <c r="B446" s="42">
        <v>31686</v>
      </c>
      <c r="C446" s="43">
        <f>A446*($H$2/$I$2)</f>
        <v>14.440153089119738</v>
      </c>
      <c r="D446" s="43">
        <f>D445+1</f>
        <v>445</v>
      </c>
      <c r="E446" s="48">
        <v>28.788288682340074</v>
      </c>
      <c r="F446" s="43">
        <f>D446/1076</f>
        <v>0.41356877323420077</v>
      </c>
      <c r="G446" s="45">
        <f>1000*E446*$J$2*9.81/1000</f>
        <v>5648.2622394751224</v>
      </c>
    </row>
    <row r="447" spans="1:7" ht="14.4" x14ac:dyDescent="0.3">
      <c r="A447" s="46">
        <v>17.196300000000001</v>
      </c>
      <c r="B447" s="47">
        <v>31656</v>
      </c>
      <c r="C447" s="48">
        <f>A447*($H$2/$I$2)</f>
        <v>16.923641334062328</v>
      </c>
      <c r="D447" s="48">
        <f>D446+1</f>
        <v>446</v>
      </c>
      <c r="E447" s="48">
        <v>28.775494805904867</v>
      </c>
      <c r="F447" s="48">
        <f>D447/1076</f>
        <v>0.41449814126394052</v>
      </c>
      <c r="G447" s="49">
        <f>1000*E447*$J$2*9.81/1000</f>
        <v>5645.7520809185353</v>
      </c>
    </row>
    <row r="448" spans="1:7" ht="14.4" x14ac:dyDescent="0.3">
      <c r="A448" s="41">
        <v>22.613800000000001</v>
      </c>
      <c r="B448" s="42">
        <v>31625</v>
      </c>
      <c r="C448" s="43">
        <f>A448*($H$2/$I$2)</f>
        <v>22.255243302351012</v>
      </c>
      <c r="D448" s="43">
        <f>D447+1</f>
        <v>447</v>
      </c>
      <c r="E448" s="48">
        <v>28.721858939311097</v>
      </c>
      <c r="F448" s="43">
        <f>D448/1076</f>
        <v>0.41542750929368027</v>
      </c>
      <c r="G448" s="45">
        <f>1000*E448*$J$2*9.81/1000</f>
        <v>5635.2287238928366</v>
      </c>
    </row>
    <row r="449" spans="1:7" ht="14.4" x14ac:dyDescent="0.3">
      <c r="A449" s="46">
        <v>22.658100000000001</v>
      </c>
      <c r="B449" s="47">
        <v>31594</v>
      </c>
      <c r="C449" s="48">
        <f>A449*($H$2/$I$2)</f>
        <v>22.298840896664846</v>
      </c>
      <c r="D449" s="48">
        <f>D448+1</f>
        <v>448</v>
      </c>
      <c r="E449" s="43">
        <v>28.686429743028974</v>
      </c>
      <c r="F449" s="48">
        <f>D449/1076</f>
        <v>0.41635687732342008</v>
      </c>
      <c r="G449" s="49">
        <f>1000*E449*$J$2*9.81/1000</f>
        <v>5628.2775155822847</v>
      </c>
    </row>
    <row r="450" spans="1:7" ht="14.4" x14ac:dyDescent="0.3">
      <c r="A450" s="41">
        <v>24.4101</v>
      </c>
      <c r="B450" s="42">
        <v>31564</v>
      </c>
      <c r="C450" s="43">
        <f>A450*($H$2/$I$2)</f>
        <v>24.023061782394752</v>
      </c>
      <c r="D450" s="43">
        <f>D449+1</f>
        <v>449</v>
      </c>
      <c r="E450" s="43">
        <v>28.632597047566978</v>
      </c>
      <c r="F450" s="43">
        <f>D450/1076</f>
        <v>0.41728624535315983</v>
      </c>
      <c r="G450" s="45">
        <f>1000*E450*$J$2*9.81/1000</f>
        <v>5617.7155407326418</v>
      </c>
    </row>
    <row r="451" spans="1:7" ht="14.4" x14ac:dyDescent="0.3">
      <c r="A451" s="46">
        <v>34.2042</v>
      </c>
      <c r="B451" s="47">
        <v>31533</v>
      </c>
      <c r="C451" s="48">
        <f>A451*($H$2/$I$2)</f>
        <v>33.661869874248225</v>
      </c>
      <c r="D451" s="48">
        <f>D450+1</f>
        <v>450</v>
      </c>
      <c r="E451" s="48">
        <v>28.5088901038819</v>
      </c>
      <c r="F451" s="48">
        <f>D451/1076</f>
        <v>0.41821561338289964</v>
      </c>
      <c r="G451" s="49">
        <f>1000*E451*$J$2*9.81/1000</f>
        <v>5593.4442383816286</v>
      </c>
    </row>
    <row r="452" spans="1:7" ht="14.4" x14ac:dyDescent="0.3">
      <c r="A452" s="41">
        <v>36.956200000000003</v>
      </c>
      <c r="B452" s="42">
        <v>31503</v>
      </c>
      <c r="C452" s="43">
        <f>A452*($H$2/$I$2)</f>
        <v>36.370235101148168</v>
      </c>
      <c r="D452" s="43">
        <f>D451+1</f>
        <v>451</v>
      </c>
      <c r="E452" s="43">
        <v>28.41864406779661</v>
      </c>
      <c r="F452" s="43">
        <f>D452/1076</f>
        <v>0.41914498141263939</v>
      </c>
      <c r="G452" s="45">
        <f>1000*E452*$J$2*9.81/1000</f>
        <v>5575.7379661016948</v>
      </c>
    </row>
    <row r="453" spans="1:7" ht="14.4" x14ac:dyDescent="0.3">
      <c r="A453" s="46">
        <v>67.053200000000004</v>
      </c>
      <c r="B453" s="47">
        <v>31472</v>
      </c>
      <c r="C453" s="48">
        <f>A453*($H$2/$I$2)</f>
        <v>65.990027337342809</v>
      </c>
      <c r="D453" s="48">
        <f>D452+1</f>
        <v>452</v>
      </c>
      <c r="E453" s="43">
        <v>28.388922908693274</v>
      </c>
      <c r="F453" s="48">
        <f>D453/1076</f>
        <v>0.4200743494423792</v>
      </c>
      <c r="G453" s="49">
        <f>1000*E453*$J$2*9.81/1000</f>
        <v>5569.9066746856206</v>
      </c>
    </row>
    <row r="454" spans="1:7" ht="14.4" x14ac:dyDescent="0.3">
      <c r="A454" s="41">
        <v>81.883899999999997</v>
      </c>
      <c r="B454" s="42">
        <v>31444</v>
      </c>
      <c r="C454" s="43">
        <f>A454*($H$2/$I$2)</f>
        <v>80.585576817933287</v>
      </c>
      <c r="D454" s="43">
        <f>D453+1</f>
        <v>453</v>
      </c>
      <c r="E454" s="43">
        <v>28.340010934937126</v>
      </c>
      <c r="F454" s="43">
        <f>D454/1076</f>
        <v>0.42100371747211895</v>
      </c>
      <c r="G454" s="45">
        <f>1000*E454*$J$2*9.81/1000</f>
        <v>5560.3101454346643</v>
      </c>
    </row>
    <row r="455" spans="1:7" ht="14.4" x14ac:dyDescent="0.3">
      <c r="A455" s="46">
        <v>74.480500000000006</v>
      </c>
      <c r="B455" s="47">
        <v>31413</v>
      </c>
      <c r="C455" s="48">
        <f>A455*($H$2/$I$2)</f>
        <v>73.299562602515039</v>
      </c>
      <c r="D455" s="48">
        <f>D454+1</f>
        <v>454</v>
      </c>
      <c r="E455" s="43">
        <v>28.26226353198469</v>
      </c>
      <c r="F455" s="48">
        <f>D455/1076</f>
        <v>0.42193308550185876</v>
      </c>
      <c r="G455" s="49">
        <f>1000*E455*$J$2*9.81/1000</f>
        <v>5545.0561049753969</v>
      </c>
    </row>
    <row r="456" spans="1:7" ht="14.4" x14ac:dyDescent="0.3">
      <c r="A456" s="41">
        <v>60.509300000000003</v>
      </c>
      <c r="B456" s="42">
        <v>31382</v>
      </c>
      <c r="C456" s="43">
        <f>A456*($H$2/$I$2)</f>
        <v>59.5498851831602</v>
      </c>
      <c r="D456" s="43">
        <f>D455+1</f>
        <v>455</v>
      </c>
      <c r="E456" s="43">
        <v>28.121235647895023</v>
      </c>
      <c r="F456" s="43">
        <f>D456/1076</f>
        <v>0.42286245353159851</v>
      </c>
      <c r="G456" s="45">
        <f>1000*E456*$J$2*9.81/1000</f>
        <v>5517.3864341170047</v>
      </c>
    </row>
    <row r="457" spans="1:7" ht="14.4" x14ac:dyDescent="0.3">
      <c r="A457" s="46">
        <v>29.847200000000001</v>
      </c>
      <c r="B457" s="47">
        <v>31352</v>
      </c>
      <c r="C457" s="48">
        <f>A457*($H$2/$I$2)</f>
        <v>29.373952979770365</v>
      </c>
      <c r="D457" s="48">
        <f>D456+1</f>
        <v>456</v>
      </c>
      <c r="E457" s="43">
        <v>27.87401858939311</v>
      </c>
      <c r="F457" s="48">
        <f>D457/1076</f>
        <v>0.42379182156133827</v>
      </c>
      <c r="G457" s="49">
        <f>1000*E457*$J$2*9.81/1000</f>
        <v>5468.8824472389279</v>
      </c>
    </row>
    <row r="458" spans="1:7" ht="14.4" x14ac:dyDescent="0.3">
      <c r="A458" s="41">
        <v>16.616099999999999</v>
      </c>
      <c r="B458" s="42">
        <v>31321</v>
      </c>
      <c r="C458" s="43">
        <f>A458*($H$2/$I$2)</f>
        <v>16.352640787315472</v>
      </c>
      <c r="D458" s="43">
        <f>D457+1</f>
        <v>457</v>
      </c>
      <c r="E458" s="48">
        <v>27.72</v>
      </c>
      <c r="F458" s="43">
        <f>D458/1076</f>
        <v>0.42472118959107807</v>
      </c>
      <c r="G458" s="45">
        <f>1000*E458*$J$2*9.81/1000</f>
        <v>5438.6639999999998</v>
      </c>
    </row>
    <row r="459" spans="1:7" ht="14.4" x14ac:dyDescent="0.3">
      <c r="A459" s="46">
        <v>16.440000000000001</v>
      </c>
      <c r="B459" s="47">
        <v>31291</v>
      </c>
      <c r="C459" s="48">
        <f>A459*($H$2/$I$2)</f>
        <v>16.179332968835428</v>
      </c>
      <c r="D459" s="48">
        <f>D458+1</f>
        <v>458</v>
      </c>
      <c r="E459" s="48">
        <v>27.680338983050849</v>
      </c>
      <c r="F459" s="48">
        <f>D459/1076</f>
        <v>0.42565055762081783</v>
      </c>
      <c r="G459" s="49">
        <f>1000*E459*$J$2*9.81/1000</f>
        <v>5430.8825084745777</v>
      </c>
    </row>
    <row r="460" spans="1:7" ht="14.4" x14ac:dyDescent="0.3">
      <c r="A460" s="41">
        <v>16.291</v>
      </c>
      <c r="B460" s="42">
        <v>31260</v>
      </c>
      <c r="C460" s="43">
        <f>A460*($H$2/$I$2)</f>
        <v>16.032695462001094</v>
      </c>
      <c r="D460" s="43">
        <f>D459+1</f>
        <v>459</v>
      </c>
      <c r="E460" s="43">
        <v>27.648157463094584</v>
      </c>
      <c r="F460" s="43">
        <f>D460/1076</f>
        <v>0.42657992565055763</v>
      </c>
      <c r="G460" s="45">
        <f>1000*E460*$J$2*9.81/1000</f>
        <v>5424.568494259157</v>
      </c>
    </row>
    <row r="461" spans="1:7" ht="14.4" x14ac:dyDescent="0.3">
      <c r="A461" s="46">
        <v>19.302199999999999</v>
      </c>
      <c r="B461" s="47">
        <v>31229</v>
      </c>
      <c r="C461" s="48">
        <f>A461*($H$2/$I$2)</f>
        <v>18.99615090213231</v>
      </c>
      <c r="D461" s="48">
        <f>D460+1</f>
        <v>460</v>
      </c>
      <c r="E461" s="48">
        <v>27.594423182066702</v>
      </c>
      <c r="F461" s="48">
        <f>D461/1076</f>
        <v>0.42750929368029739</v>
      </c>
      <c r="G461" s="49">
        <f>1000*E461*$J$2*9.81/1000</f>
        <v>5414.0258283214871</v>
      </c>
    </row>
    <row r="462" spans="1:7" ht="14.4" x14ac:dyDescent="0.3">
      <c r="A462" s="41">
        <v>23.7362</v>
      </c>
      <c r="B462" s="42">
        <v>31199</v>
      </c>
      <c r="C462" s="43">
        <f>A462*($H$2/$I$2)</f>
        <v>23.359846910880261</v>
      </c>
      <c r="D462" s="43">
        <f>D461+1</f>
        <v>461</v>
      </c>
      <c r="E462" s="43">
        <v>27.496992892290869</v>
      </c>
      <c r="F462" s="43">
        <f>D462/1076</f>
        <v>0.42843866171003719</v>
      </c>
      <c r="G462" s="45">
        <f>1000*E462*$J$2*9.81/1000</f>
        <v>5394.9100054674691</v>
      </c>
    </row>
    <row r="463" spans="1:7" ht="14.4" x14ac:dyDescent="0.3">
      <c r="A463" s="46">
        <v>28.039000000000001</v>
      </c>
      <c r="B463" s="47">
        <v>31168</v>
      </c>
      <c r="C463" s="48">
        <f>A463*($H$2/$I$2)</f>
        <v>27.594423182066702</v>
      </c>
      <c r="D463" s="48">
        <f>D462+1</f>
        <v>462</v>
      </c>
      <c r="E463" s="48">
        <v>27.441585565882995</v>
      </c>
      <c r="F463" s="48">
        <f>D463/1076</f>
        <v>0.42936802973977695</v>
      </c>
      <c r="G463" s="49">
        <f>1000*E463*$J$2*9.81/1000</f>
        <v>5384.0390880262439</v>
      </c>
    </row>
    <row r="464" spans="1:7" ht="14.4" x14ac:dyDescent="0.3">
      <c r="A464" s="41">
        <v>41.111199999999997</v>
      </c>
      <c r="B464" s="42">
        <v>31138</v>
      </c>
      <c r="C464" s="43">
        <f>A464*($H$2/$I$2)</f>
        <v>40.459354838709672</v>
      </c>
      <c r="D464" s="43">
        <f>D463+1</f>
        <v>463</v>
      </c>
      <c r="E464" s="43">
        <v>27.43489338436304</v>
      </c>
      <c r="F464" s="43">
        <f>D464/1076</f>
        <v>0.43029739776951675</v>
      </c>
      <c r="G464" s="45">
        <f>1000*E464*$J$2*9.81/1000</f>
        <v>5382.7260820120291</v>
      </c>
    </row>
    <row r="465" spans="1:7" ht="14.4" x14ac:dyDescent="0.3">
      <c r="A465" s="46">
        <v>74.996799999999993</v>
      </c>
      <c r="B465" s="47">
        <v>31107</v>
      </c>
      <c r="C465" s="48">
        <f>A465*($H$2/$I$2)</f>
        <v>73.807676325861124</v>
      </c>
      <c r="D465" s="48">
        <f>D464+1</f>
        <v>464</v>
      </c>
      <c r="E465" s="48">
        <v>27.34966648441771</v>
      </c>
      <c r="F465" s="48">
        <f>D465/1076</f>
        <v>0.43122676579925651</v>
      </c>
      <c r="G465" s="49">
        <f>1000*E465*$J$2*9.81/1000</f>
        <v>5366.0045642427549</v>
      </c>
    </row>
    <row r="466" spans="1:7" ht="14.4" x14ac:dyDescent="0.3">
      <c r="A466" s="41">
        <v>67.912099999999995</v>
      </c>
      <c r="B466" s="42">
        <v>31079</v>
      </c>
      <c r="C466" s="43">
        <f>A466*($H$2/$I$2)</f>
        <v>66.835308911973755</v>
      </c>
      <c r="D466" s="43">
        <f>D465+1</f>
        <v>465</v>
      </c>
      <c r="E466" s="48">
        <v>27.296817933296882</v>
      </c>
      <c r="F466" s="43">
        <f>D466/1076</f>
        <v>0.43215613382899626</v>
      </c>
      <c r="G466" s="45">
        <f>1000*E466*$J$2*9.81/1000</f>
        <v>5355.6356785128492</v>
      </c>
    </row>
    <row r="467" spans="1:7" ht="14.4" x14ac:dyDescent="0.3">
      <c r="A467" s="46">
        <v>99.622600000000006</v>
      </c>
      <c r="B467" s="47">
        <v>31048</v>
      </c>
      <c r="C467" s="48">
        <f>A467*($H$2/$I$2)</f>
        <v>98.043018042646253</v>
      </c>
      <c r="D467" s="48">
        <f>D466+1</f>
        <v>466</v>
      </c>
      <c r="E467" s="48">
        <v>27.248594860579551</v>
      </c>
      <c r="F467" s="48">
        <f>D467/1076</f>
        <v>0.43308550185873607</v>
      </c>
      <c r="G467" s="49">
        <f>1000*E467*$J$2*9.81/1000</f>
        <v>5346.1743116457083</v>
      </c>
    </row>
    <row r="468" spans="1:7" ht="14.4" x14ac:dyDescent="0.3">
      <c r="A468" s="41">
        <v>39.738300000000002</v>
      </c>
      <c r="B468" s="42">
        <v>31017</v>
      </c>
      <c r="C468" s="43">
        <f>A468*($H$2/$I$2)</f>
        <v>39.10822307271733</v>
      </c>
      <c r="D468" s="43">
        <f>D467+1</f>
        <v>467</v>
      </c>
      <c r="E468" s="48">
        <v>27.200765445598687</v>
      </c>
      <c r="F468" s="43">
        <f>D468/1076</f>
        <v>0.43401486988847582</v>
      </c>
      <c r="G468" s="45">
        <f>1000*E468*$J$2*9.81/1000</f>
        <v>5336.7901804264629</v>
      </c>
    </row>
    <row r="469" spans="1:7" ht="14.4" x14ac:dyDescent="0.3">
      <c r="A469" s="46">
        <v>22.0578</v>
      </c>
      <c r="B469" s="47">
        <v>30987</v>
      </c>
      <c r="C469" s="48">
        <f>A469*($H$2/$I$2)</f>
        <v>21.70805904866047</v>
      </c>
      <c r="D469" s="48">
        <f>D468+1</f>
        <v>468</v>
      </c>
      <c r="E469" s="48">
        <v>27.167206123564789</v>
      </c>
      <c r="F469" s="48">
        <f>D469/1076</f>
        <v>0.43494423791821563</v>
      </c>
      <c r="G469" s="49">
        <f>1000*E469*$J$2*9.81/1000</f>
        <v>5330.2058414434123</v>
      </c>
    </row>
    <row r="470" spans="1:7" ht="14.4" x14ac:dyDescent="0.3">
      <c r="A470" s="41">
        <v>15.369199999999999</v>
      </c>
      <c r="B470" s="42">
        <v>30956</v>
      </c>
      <c r="C470" s="43">
        <f>A470*($H$2/$I$2)</f>
        <v>15.125511208310551</v>
      </c>
      <c r="D470" s="43">
        <f>D469+1</f>
        <v>469</v>
      </c>
      <c r="E470" s="43">
        <v>27.133449972662657</v>
      </c>
      <c r="F470" s="43">
        <f>D470/1076</f>
        <v>0.43587360594795538</v>
      </c>
      <c r="G470" s="45">
        <f>1000*E470*$J$2*9.81/1000</f>
        <v>5323.5828846364129</v>
      </c>
    </row>
    <row r="471" spans="1:7" ht="14.4" x14ac:dyDescent="0.3">
      <c r="A471" s="46">
        <v>17.8872</v>
      </c>
      <c r="B471" s="47">
        <v>30926</v>
      </c>
      <c r="C471" s="48">
        <f>A471*($H$2/$I$2)</f>
        <v>17.60358665937671</v>
      </c>
      <c r="D471" s="48">
        <f>D470+1</f>
        <v>470</v>
      </c>
      <c r="E471" s="48">
        <v>27.090738108255877</v>
      </c>
      <c r="F471" s="48">
        <f>D471/1076</f>
        <v>0.43680297397769519</v>
      </c>
      <c r="G471" s="49">
        <f>1000*E471*$J$2*9.81/1000</f>
        <v>5315.2028168398028</v>
      </c>
    </row>
    <row r="472" spans="1:7" ht="14.4" x14ac:dyDescent="0.3">
      <c r="A472" s="41">
        <v>15.8934</v>
      </c>
      <c r="B472" s="42">
        <v>30895</v>
      </c>
      <c r="C472" s="43">
        <f>A472*($H$2/$I$2)</f>
        <v>15.641399671951886</v>
      </c>
      <c r="D472" s="43">
        <f>D471+1</f>
        <v>471</v>
      </c>
      <c r="E472" s="43">
        <v>27.070858392564244</v>
      </c>
      <c r="F472" s="43">
        <f>D472/1076</f>
        <v>0.43773234200743494</v>
      </c>
      <c r="G472" s="45">
        <f>1000*E472*$J$2*9.81/1000</f>
        <v>5311.3024166211044</v>
      </c>
    </row>
    <row r="473" spans="1:7" ht="14.4" x14ac:dyDescent="0.3">
      <c r="A473" s="46">
        <v>16.844799999999999</v>
      </c>
      <c r="B473" s="47">
        <v>30864</v>
      </c>
      <c r="C473" s="48">
        <f>A473*($H$2/$I$2)</f>
        <v>16.577714598141061</v>
      </c>
      <c r="D473" s="48">
        <f>D472+1</f>
        <v>472</v>
      </c>
      <c r="E473" s="48">
        <v>27.063280481137234</v>
      </c>
      <c r="F473" s="48">
        <f>D473/1076</f>
        <v>0.43866171003717475</v>
      </c>
      <c r="G473" s="49">
        <f>1000*E473*$J$2*9.81/1000</f>
        <v>5309.8156303991245</v>
      </c>
    </row>
    <row r="474" spans="1:7" ht="14.4" x14ac:dyDescent="0.3">
      <c r="A474" s="41">
        <v>19.964400000000001</v>
      </c>
      <c r="B474" s="42">
        <v>30834</v>
      </c>
      <c r="C474" s="43">
        <f>A474*($H$2/$I$2)</f>
        <v>19.647851284855111</v>
      </c>
      <c r="D474" s="43">
        <f>D473+1</f>
        <v>473</v>
      </c>
      <c r="E474" s="43">
        <v>27.053242208857299</v>
      </c>
      <c r="F474" s="43">
        <f>D474/1076</f>
        <v>0.4395910780669145</v>
      </c>
      <c r="G474" s="45">
        <f>1000*E474*$J$2*9.81/1000</f>
        <v>5307.8461213778028</v>
      </c>
    </row>
    <row r="475" spans="1:7" ht="14.4" x14ac:dyDescent="0.3">
      <c r="A475" s="46">
        <v>26.777100000000001</v>
      </c>
      <c r="B475" s="47">
        <v>30803</v>
      </c>
      <c r="C475" s="48">
        <f>A475*($H$2/$I$2)</f>
        <v>26.352531437944233</v>
      </c>
      <c r="D475" s="48">
        <f>D474+1</f>
        <v>474</v>
      </c>
      <c r="E475" s="43">
        <v>27.039365773646804</v>
      </c>
      <c r="F475" s="48">
        <f>D475/1076</f>
        <v>0.44052044609665425</v>
      </c>
      <c r="G475" s="49">
        <f>1000*E475*$J$2*9.81/1000</f>
        <v>5305.1235647895037</v>
      </c>
    </row>
    <row r="476" spans="1:7" ht="14.4" x14ac:dyDescent="0.3">
      <c r="A476" s="41">
        <v>28.846299999999999</v>
      </c>
      <c r="B476" s="42">
        <v>30773</v>
      </c>
      <c r="C476" s="43">
        <f>A476*($H$2/$I$2)</f>
        <v>28.388922908693274</v>
      </c>
      <c r="D476" s="43">
        <f>D475+1</f>
        <v>475</v>
      </c>
      <c r="E476" s="43">
        <v>27.025095680699835</v>
      </c>
      <c r="F476" s="43">
        <f>D476/1076</f>
        <v>0.44144981412639406</v>
      </c>
      <c r="G476" s="45">
        <f>1000*E476*$J$2*9.81/1000</f>
        <v>5302.3237725533081</v>
      </c>
    </row>
    <row r="477" spans="1:7" ht="14.4" x14ac:dyDescent="0.3">
      <c r="A477" s="46">
        <v>35.778300000000002</v>
      </c>
      <c r="B477" s="47">
        <v>30742</v>
      </c>
      <c r="C477" s="48">
        <f>A477*($H$2/$I$2)</f>
        <v>35.211011481683983</v>
      </c>
      <c r="D477" s="48">
        <f>D476+1</f>
        <v>476</v>
      </c>
      <c r="E477" s="43">
        <v>26.975986878075449</v>
      </c>
      <c r="F477" s="48">
        <f>D477/1076</f>
        <v>0.44237918215613381</v>
      </c>
      <c r="G477" s="49">
        <f>1000*E477*$J$2*9.81/1000</f>
        <v>5292.688625478404</v>
      </c>
    </row>
    <row r="478" spans="1:7" ht="14.4" x14ac:dyDescent="0.3">
      <c r="A478" s="41">
        <v>41.111499999999999</v>
      </c>
      <c r="B478" s="42">
        <v>30713</v>
      </c>
      <c r="C478" s="43">
        <f>A478*($H$2/$I$2)</f>
        <v>40.459650082012026</v>
      </c>
      <c r="D478" s="43">
        <f>D477+1</f>
        <v>477</v>
      </c>
      <c r="E478" s="48">
        <v>26.967031164570802</v>
      </c>
      <c r="F478" s="43">
        <f>D478/1076</f>
        <v>0.44330855018587362</v>
      </c>
      <c r="G478" s="45">
        <f>1000*E478*$J$2*9.81/1000</f>
        <v>5290.9315144887923</v>
      </c>
    </row>
    <row r="479" spans="1:7" ht="14.4" x14ac:dyDescent="0.3">
      <c r="A479" s="46">
        <v>67.34</v>
      </c>
      <c r="B479" s="47">
        <v>30682</v>
      </c>
      <c r="C479" s="48">
        <f>A479*($H$2/$I$2)</f>
        <v>66.272279934390383</v>
      </c>
      <c r="D479" s="48">
        <f>D478+1</f>
        <v>478</v>
      </c>
      <c r="E479" s="43">
        <v>26.951481683980315</v>
      </c>
      <c r="F479" s="48">
        <f>D479/1076</f>
        <v>0.44423791821561337</v>
      </c>
      <c r="G479" s="49">
        <f>1000*E479*$J$2*9.81/1000</f>
        <v>5287.880706396938</v>
      </c>
    </row>
    <row r="480" spans="1:7" ht="14.4" x14ac:dyDescent="0.3">
      <c r="A480" s="41">
        <v>114.16249999999999</v>
      </c>
      <c r="B480" s="42">
        <v>30651</v>
      </c>
      <c r="C480" s="43">
        <f>A480*($H$2/$I$2)</f>
        <v>112.35237834882449</v>
      </c>
      <c r="D480" s="43">
        <f>D479+1</f>
        <v>479</v>
      </c>
      <c r="E480" s="48">
        <v>26.924614543466372</v>
      </c>
      <c r="F480" s="43">
        <f>D480/1076</f>
        <v>0.44516728624535318</v>
      </c>
      <c r="G480" s="45">
        <f>1000*E480*$J$2*9.81/1000</f>
        <v>5282.609373428103</v>
      </c>
    </row>
    <row r="481" spans="1:7" ht="14.4" x14ac:dyDescent="0.3">
      <c r="A481" s="46">
        <v>82.325400000000002</v>
      </c>
      <c r="B481" s="47">
        <v>30621</v>
      </c>
      <c r="C481" s="48">
        <f>A481*($H$2/$I$2)</f>
        <v>81.020076544559871</v>
      </c>
      <c r="D481" s="48">
        <f>D480+1</f>
        <v>480</v>
      </c>
      <c r="E481" s="43">
        <v>26.899518862766538</v>
      </c>
      <c r="F481" s="48">
        <f>D481/1076</f>
        <v>0.44609665427509293</v>
      </c>
      <c r="G481" s="49">
        <f>1000*E481*$J$2*9.81/1000</f>
        <v>5277.6856008747955</v>
      </c>
    </row>
    <row r="482" spans="1:7" ht="14.4" x14ac:dyDescent="0.3">
      <c r="A482" s="41">
        <v>64.923699999999997</v>
      </c>
      <c r="B482" s="42">
        <v>30590</v>
      </c>
      <c r="C482" s="43">
        <f>A482*($H$2/$I$2)</f>
        <v>63.894291962821207</v>
      </c>
      <c r="D482" s="43">
        <f>D481+1</f>
        <v>481</v>
      </c>
      <c r="E482" s="48">
        <v>26.792739201749587</v>
      </c>
      <c r="F482" s="43">
        <f>D482/1076</f>
        <v>0.44702602230483274</v>
      </c>
      <c r="G482" s="45">
        <f>1000*E482*$J$2*9.81/1000</f>
        <v>5256.7354313832693</v>
      </c>
    </row>
    <row r="483" spans="1:7" ht="14.4" x14ac:dyDescent="0.3">
      <c r="A483" s="46">
        <v>81.218400000000003</v>
      </c>
      <c r="B483" s="47">
        <v>30560</v>
      </c>
      <c r="C483" s="48">
        <f>A483*($H$2/$I$2)</f>
        <v>79.930628758884637</v>
      </c>
      <c r="D483" s="48">
        <f>D482+1</f>
        <v>482</v>
      </c>
      <c r="E483" s="43">
        <v>26.773154729360304</v>
      </c>
      <c r="F483" s="48">
        <f>D483/1076</f>
        <v>0.44795539033457249</v>
      </c>
      <c r="G483" s="49">
        <f>1000*E483*$J$2*9.81/1000</f>
        <v>5252.8929579004916</v>
      </c>
    </row>
    <row r="484" spans="1:7" ht="14.4" x14ac:dyDescent="0.3">
      <c r="A484" s="41">
        <v>31.741900000000001</v>
      </c>
      <c r="B484" s="42">
        <v>30529</v>
      </c>
      <c r="C484" s="43">
        <f>A484*($H$2/$I$2)</f>
        <v>31.238611262985238</v>
      </c>
      <c r="D484" s="43">
        <f>D483+1</f>
        <v>483</v>
      </c>
      <c r="E484" s="48">
        <v>26.771875341716783</v>
      </c>
      <c r="F484" s="43">
        <f>D484/1076</f>
        <v>0.44888475836431224</v>
      </c>
      <c r="G484" s="45">
        <f>1000*E484*$J$2*9.81/1000</f>
        <v>5252.6419420448328</v>
      </c>
    </row>
    <row r="485" spans="1:7" ht="14.4" x14ac:dyDescent="0.3">
      <c r="A485" s="46">
        <v>43.316899999999997</v>
      </c>
      <c r="B485" s="47">
        <v>30498</v>
      </c>
      <c r="C485" s="48">
        <f>A485*($H$2/$I$2)</f>
        <v>42.630082012028424</v>
      </c>
      <c r="D485" s="48">
        <f>D484+1</f>
        <v>484</v>
      </c>
      <c r="E485" s="48">
        <v>26.752487698195733</v>
      </c>
      <c r="F485" s="48">
        <f>D485/1076</f>
        <v>0.44981412639405205</v>
      </c>
      <c r="G485" s="49">
        <f>1000*E485*$J$2*9.81/1000</f>
        <v>5248.8380863860029</v>
      </c>
    </row>
    <row r="486" spans="1:7" ht="14.4" x14ac:dyDescent="0.3">
      <c r="A486" s="41">
        <v>87.475800000000007</v>
      </c>
      <c r="B486" s="42">
        <v>30468</v>
      </c>
      <c r="C486" s="43">
        <f>A486*($H$2/$I$2)</f>
        <v>86.088813559322034</v>
      </c>
      <c r="D486" s="43">
        <f>D485+1</f>
        <v>485</v>
      </c>
      <c r="E486" s="48">
        <v>26.722569710224164</v>
      </c>
      <c r="F486" s="43">
        <f>D486/1076</f>
        <v>0.4507434944237918</v>
      </c>
      <c r="G486" s="45">
        <f>1000*E486*$J$2*9.81/1000</f>
        <v>5242.9681771459809</v>
      </c>
    </row>
    <row r="487" spans="1:7" ht="14.4" x14ac:dyDescent="0.3">
      <c r="A487" s="46">
        <v>50.384399999999999</v>
      </c>
      <c r="B487" s="47">
        <v>30437</v>
      </c>
      <c r="C487" s="48">
        <f>A487*($H$2/$I$2)</f>
        <v>49.585522143247672</v>
      </c>
      <c r="D487" s="48">
        <f>D486+1</f>
        <v>486</v>
      </c>
      <c r="E487" s="43">
        <v>26.700426462547842</v>
      </c>
      <c r="F487" s="48">
        <f>D487/1076</f>
        <v>0.45167286245353161</v>
      </c>
      <c r="G487" s="49">
        <f>1000*E487*$J$2*9.81/1000</f>
        <v>5238.6236719518874</v>
      </c>
    </row>
    <row r="488" spans="1:7" ht="14.4" x14ac:dyDescent="0.3">
      <c r="A488" s="41">
        <v>77.587800000000001</v>
      </c>
      <c r="B488" s="42">
        <v>30407</v>
      </c>
      <c r="C488" s="43">
        <f>A488*($H$2/$I$2)</f>
        <v>76.357594313832692</v>
      </c>
      <c r="D488" s="43">
        <f>D487+1</f>
        <v>487</v>
      </c>
      <c r="E488" s="43">
        <v>26.596992892290871</v>
      </c>
      <c r="F488" s="43">
        <f>D488/1076</f>
        <v>0.45260223048327136</v>
      </c>
      <c r="G488" s="45">
        <f>1000*E488*$J$2*9.81/1000</f>
        <v>5218.3300054674683</v>
      </c>
    </row>
    <row r="489" spans="1:7" ht="14.4" x14ac:dyDescent="0.3">
      <c r="A489" s="46">
        <v>108.7567</v>
      </c>
      <c r="B489" s="47">
        <v>30376</v>
      </c>
      <c r="C489" s="48">
        <f>A489*($H$2/$I$2)</f>
        <v>107.0322908693275</v>
      </c>
      <c r="D489" s="48">
        <f>D488+1</f>
        <v>488</v>
      </c>
      <c r="E489" s="43">
        <v>26.581443411700381</v>
      </c>
      <c r="F489" s="48">
        <f>D489/1076</f>
        <v>0.45353159851301117</v>
      </c>
      <c r="G489" s="49">
        <f>1000*E489*$J$2*9.81/1000</f>
        <v>5215.2791973756148</v>
      </c>
    </row>
    <row r="490" spans="1:7" ht="14.4" x14ac:dyDescent="0.3">
      <c r="A490" s="41">
        <v>105.97539999999999</v>
      </c>
      <c r="B490" s="42">
        <v>30348</v>
      </c>
      <c r="C490" s="43">
        <f>A490*($H$2/$I$2)</f>
        <v>104.29509021323126</v>
      </c>
      <c r="D490" s="43">
        <f>D489+1</f>
        <v>489</v>
      </c>
      <c r="E490" s="48">
        <v>26.515112083105521</v>
      </c>
      <c r="F490" s="43">
        <f>D490/1076</f>
        <v>0.45446096654275092</v>
      </c>
      <c r="G490" s="45">
        <f>1000*E490*$J$2*9.81/1000</f>
        <v>5202.2649907053037</v>
      </c>
    </row>
    <row r="491" spans="1:7" ht="14.4" x14ac:dyDescent="0.3">
      <c r="A491" s="46">
        <v>134.04990000000001</v>
      </c>
      <c r="B491" s="47">
        <v>30317</v>
      </c>
      <c r="C491" s="48">
        <f>A491*($H$2/$I$2)</f>
        <v>131.9244505194095</v>
      </c>
      <c r="D491" s="48">
        <f>D490+1</f>
        <v>490</v>
      </c>
      <c r="E491" s="43">
        <v>26.470136686714049</v>
      </c>
      <c r="F491" s="48">
        <f>D491/1076</f>
        <v>0.45539033457249073</v>
      </c>
      <c r="G491" s="49">
        <f>1000*E491*$J$2*9.81/1000</f>
        <v>5193.4408179332968</v>
      </c>
    </row>
    <row r="492" spans="1:7" ht="14.4" x14ac:dyDescent="0.3">
      <c r="A492" s="41">
        <v>79.781800000000004</v>
      </c>
      <c r="B492" s="42">
        <v>30286</v>
      </c>
      <c r="C492" s="43">
        <f>A492*($H$2/$I$2)</f>
        <v>78.516806998359755</v>
      </c>
      <c r="D492" s="43">
        <f>D491+1</f>
        <v>491</v>
      </c>
      <c r="E492" s="48">
        <v>26.390519409513395</v>
      </c>
      <c r="F492" s="43">
        <f>D492/1076</f>
        <v>0.45631970260223048</v>
      </c>
      <c r="G492" s="45">
        <f>1000*E492*$J$2*9.81/1000</f>
        <v>5177.8199081465282</v>
      </c>
    </row>
    <row r="493" spans="1:7" ht="14.4" x14ac:dyDescent="0.3">
      <c r="A493" s="46">
        <v>29.4724</v>
      </c>
      <c r="B493" s="47">
        <v>30256</v>
      </c>
      <c r="C493" s="48">
        <f>A493*($H$2/$I$2)</f>
        <v>29.005095680699835</v>
      </c>
      <c r="D493" s="48">
        <f>D492+1</f>
        <v>492</v>
      </c>
      <c r="E493" s="48">
        <v>26.377823947512301</v>
      </c>
      <c r="F493" s="48">
        <f>D493/1076</f>
        <v>0.45724907063197023</v>
      </c>
      <c r="G493" s="49">
        <f>1000*E493*$J$2*9.81/1000</f>
        <v>5175.3290585019131</v>
      </c>
    </row>
    <row r="494" spans="1:7" ht="14.4" x14ac:dyDescent="0.3">
      <c r="A494" s="41">
        <v>27.507000000000001</v>
      </c>
      <c r="B494" s="42">
        <v>30225</v>
      </c>
      <c r="C494" s="43">
        <f>A494*($H$2/$I$2)</f>
        <v>27.070858392564244</v>
      </c>
      <c r="D494" s="43">
        <f>D493+1</f>
        <v>493</v>
      </c>
      <c r="E494" s="48">
        <v>26.352531437944233</v>
      </c>
      <c r="F494" s="43">
        <f>D494/1076</f>
        <v>0.45817843866171004</v>
      </c>
      <c r="G494" s="45">
        <f>1000*E494*$J$2*9.81/1000</f>
        <v>5170.3666681246577</v>
      </c>
    </row>
    <row r="495" spans="1:7" ht="14.4" x14ac:dyDescent="0.3">
      <c r="A495" s="46">
        <v>16.653600000000001</v>
      </c>
      <c r="B495" s="47">
        <v>30195</v>
      </c>
      <c r="C495" s="48">
        <f>A495*($H$2/$I$2)</f>
        <v>16.389546200109351</v>
      </c>
      <c r="D495" s="48">
        <f>D494+1</f>
        <v>494</v>
      </c>
      <c r="E495" s="48">
        <v>26.309032258064516</v>
      </c>
      <c r="F495" s="48">
        <f>D495/1076</f>
        <v>0.45910780669144979</v>
      </c>
      <c r="G495" s="49">
        <f>1000*E495*$J$2*9.81/1000</f>
        <v>5161.8321290322583</v>
      </c>
    </row>
    <row r="496" spans="1:7" ht="14.4" x14ac:dyDescent="0.3">
      <c r="A496" s="41">
        <v>20.3704</v>
      </c>
      <c r="B496" s="42">
        <v>30164</v>
      </c>
      <c r="C496" s="43">
        <f>A496*($H$2/$I$2)</f>
        <v>20.047413887370148</v>
      </c>
      <c r="D496" s="43">
        <f>D495+1</f>
        <v>495</v>
      </c>
      <c r="E496" s="44">
        <v>26.277638053581192</v>
      </c>
      <c r="F496" s="43">
        <f>D496/1076</f>
        <v>0.4600371747211896</v>
      </c>
      <c r="G496" s="45">
        <f>1000*E496*$J$2*9.81/1000</f>
        <v>5155.6725861126297</v>
      </c>
    </row>
    <row r="497" spans="1:7" ht="14.4" x14ac:dyDescent="0.3">
      <c r="A497" s="46">
        <v>24.221800000000002</v>
      </c>
      <c r="B497" s="47">
        <v>30133</v>
      </c>
      <c r="C497" s="48">
        <f>A497*($H$2/$I$2)</f>
        <v>23.837747402952434</v>
      </c>
      <c r="D497" s="48">
        <f>D496+1</f>
        <v>496</v>
      </c>
      <c r="E497" s="48">
        <v>26.227545106615633</v>
      </c>
      <c r="F497" s="48">
        <f>D497/1076</f>
        <v>0.46096654275092935</v>
      </c>
      <c r="G497" s="49">
        <f>1000*E497*$J$2*9.81/1000</f>
        <v>5145.8443499179875</v>
      </c>
    </row>
    <row r="498" spans="1:7" ht="14.4" x14ac:dyDescent="0.3">
      <c r="A498" s="41">
        <v>29.627300000000002</v>
      </c>
      <c r="B498" s="42">
        <v>30103</v>
      </c>
      <c r="C498" s="43">
        <f>A498*($H$2/$I$2)</f>
        <v>29.157539639147075</v>
      </c>
      <c r="D498" s="43">
        <f>D497+1</f>
        <v>497</v>
      </c>
      <c r="E498" s="50">
        <v>26.223116457080373</v>
      </c>
      <c r="F498" s="43">
        <f>D498/1076</f>
        <v>0.46189591078066916</v>
      </c>
      <c r="G498" s="45">
        <f>1000*E498*$J$2*9.81/1000</f>
        <v>5144.9754488791705</v>
      </c>
    </row>
    <row r="499" spans="1:7" ht="14.4" x14ac:dyDescent="0.3">
      <c r="A499" s="46">
        <v>35.495899999999999</v>
      </c>
      <c r="B499" s="47">
        <v>30072</v>
      </c>
      <c r="C499" s="48">
        <f>A499*($H$2/$I$2)</f>
        <v>34.933089119737559</v>
      </c>
      <c r="D499" s="48">
        <f>D498+1</f>
        <v>498</v>
      </c>
      <c r="E499" s="43">
        <v>26.018414434117002</v>
      </c>
      <c r="F499" s="48">
        <f>D499/1076</f>
        <v>0.46282527881040891</v>
      </c>
      <c r="G499" s="49">
        <f>1000*E499*$J$2*9.81/1000</f>
        <v>5104.8129119737559</v>
      </c>
    </row>
    <row r="500" spans="1:7" ht="14.4" x14ac:dyDescent="0.3">
      <c r="A500" s="41">
        <v>57.377299999999998</v>
      </c>
      <c r="B500" s="42">
        <v>30042</v>
      </c>
      <c r="C500" s="43">
        <f>A500*($H$2/$I$2)</f>
        <v>56.467545106615631</v>
      </c>
      <c r="D500" s="43">
        <f>D499+1</f>
        <v>499</v>
      </c>
      <c r="E500" s="43">
        <v>25.9686167304538</v>
      </c>
      <c r="F500" s="43">
        <f>D500/1076</f>
        <v>0.46375464684014872</v>
      </c>
      <c r="G500" s="45">
        <f>1000*E500*$J$2*9.81/1000</f>
        <v>5095.0426025150355</v>
      </c>
    </row>
    <row r="501" spans="1:7" ht="14.4" x14ac:dyDescent="0.3">
      <c r="A501" s="46">
        <v>99.601100000000002</v>
      </c>
      <c r="B501" s="47">
        <v>30011</v>
      </c>
      <c r="C501" s="48">
        <f>A501*($H$2/$I$2)</f>
        <v>98.021858939311102</v>
      </c>
      <c r="D501" s="48">
        <f>D500+1</f>
        <v>500</v>
      </c>
      <c r="E501" s="48">
        <v>25.935943138326955</v>
      </c>
      <c r="F501" s="48">
        <f>D501/1076</f>
        <v>0.46468401486988847</v>
      </c>
      <c r="G501" s="49">
        <f>1000*E501*$J$2*9.81/1000</f>
        <v>5088.632043739749</v>
      </c>
    </row>
    <row r="502" spans="1:7" ht="14.4" x14ac:dyDescent="0.3">
      <c r="A502" s="41">
        <v>60.388399999999997</v>
      </c>
      <c r="B502" s="42">
        <v>29983</v>
      </c>
      <c r="C502" s="43">
        <f>A502*($H$2/$I$2)</f>
        <v>59.430902132312731</v>
      </c>
      <c r="D502" s="43">
        <f>D501+1</f>
        <v>501</v>
      </c>
      <c r="E502" s="48">
        <v>25.891459814106067</v>
      </c>
      <c r="F502" s="43">
        <f>D502/1076</f>
        <v>0.46561338289962823</v>
      </c>
      <c r="G502" s="45">
        <f>1000*E502*$J$2*9.81/1000</f>
        <v>5079.9044155276115</v>
      </c>
    </row>
    <row r="503" spans="1:7" ht="14.4" x14ac:dyDescent="0.3">
      <c r="A503" s="46">
        <v>80.709100000000007</v>
      </c>
      <c r="B503" s="47">
        <v>29952</v>
      </c>
      <c r="C503" s="48">
        <f>A503*($H$2/$I$2)</f>
        <v>79.429404045926745</v>
      </c>
      <c r="D503" s="48">
        <f>D502+1</f>
        <v>502</v>
      </c>
      <c r="E503" s="43">
        <v>25.807709130672499</v>
      </c>
      <c r="F503" s="48">
        <f>D503/1076</f>
        <v>0.46654275092936803</v>
      </c>
      <c r="G503" s="49">
        <f>1000*E503*$J$2*9.81/1000</f>
        <v>5063.4725314379448</v>
      </c>
    </row>
    <row r="504" spans="1:7" ht="14.4" x14ac:dyDescent="0.3">
      <c r="A504" s="41">
        <v>79.559399999999997</v>
      </c>
      <c r="B504" s="42">
        <v>29921</v>
      </c>
      <c r="C504" s="43">
        <f>A504*($H$2/$I$2)</f>
        <v>78.297933296883542</v>
      </c>
      <c r="D504" s="43">
        <f>D503+1</f>
        <v>503</v>
      </c>
      <c r="E504" s="48">
        <v>25.671109896118097</v>
      </c>
      <c r="F504" s="43">
        <f>D504/1076</f>
        <v>0.46747211895910779</v>
      </c>
      <c r="G504" s="45">
        <f>1000*E504*$J$2*9.81/1000</f>
        <v>5036.6717616183714</v>
      </c>
    </row>
    <row r="505" spans="1:7" ht="14.4" x14ac:dyDescent="0.3">
      <c r="A505" s="46">
        <v>51.276600000000002</v>
      </c>
      <c r="B505" s="47">
        <v>29891</v>
      </c>
      <c r="C505" s="48">
        <f>A505*($H$2/$I$2)</f>
        <v>50.463575724439586</v>
      </c>
      <c r="D505" s="48">
        <f>D504+1</f>
        <v>504</v>
      </c>
      <c r="E505" s="43">
        <v>25.580765445598686</v>
      </c>
      <c r="F505" s="48">
        <f>D505/1076</f>
        <v>0.46840148698884759</v>
      </c>
      <c r="G505" s="49">
        <f>1000*E505*$J$2*9.81/1000</f>
        <v>5018.9461804264629</v>
      </c>
    </row>
    <row r="506" spans="1:7" ht="14.4" x14ac:dyDescent="0.3">
      <c r="A506" s="41">
        <v>25.5886</v>
      </c>
      <c r="B506" s="42">
        <v>29860</v>
      </c>
      <c r="C506" s="43">
        <f>A506*($H$2/$I$2)</f>
        <v>25.182875888463641</v>
      </c>
      <c r="D506" s="43">
        <f>D505+1</f>
        <v>505</v>
      </c>
      <c r="E506" s="48">
        <v>25.570924002186988</v>
      </c>
      <c r="F506" s="43">
        <f>D506/1076</f>
        <v>0.46933085501858735</v>
      </c>
      <c r="G506" s="45">
        <f>1000*E506*$J$2*9.81/1000</f>
        <v>5017.0152892290871</v>
      </c>
    </row>
    <row r="507" spans="1:7" ht="14.4" x14ac:dyDescent="0.3">
      <c r="A507" s="46">
        <v>16.1188</v>
      </c>
      <c r="B507" s="47">
        <v>29830</v>
      </c>
      <c r="C507" s="48">
        <f>A507*($H$2/$I$2)</f>
        <v>15.863225806451613</v>
      </c>
      <c r="D507" s="48">
        <f>D506+1</f>
        <v>506</v>
      </c>
      <c r="E507" s="48">
        <v>25.562558775287041</v>
      </c>
      <c r="F507" s="48">
        <f>D507/1076</f>
        <v>0.47026022304832715</v>
      </c>
      <c r="G507" s="49">
        <f>1000*E507*$J$2*9.81/1000</f>
        <v>5015.3740317113179</v>
      </c>
    </row>
    <row r="508" spans="1:7" ht="14.4" x14ac:dyDescent="0.3">
      <c r="A508" s="41">
        <v>18.328499999999998</v>
      </c>
      <c r="B508" s="42">
        <v>29799</v>
      </c>
      <c r="C508" s="43">
        <f>A508*($H$2/$I$2)</f>
        <v>18.037889557135045</v>
      </c>
      <c r="D508" s="43">
        <f>D507+1</f>
        <v>507</v>
      </c>
      <c r="E508" s="43">
        <v>25.541202843083653</v>
      </c>
      <c r="F508" s="43">
        <f>D508/1076</f>
        <v>0.47118959107806691</v>
      </c>
      <c r="G508" s="45">
        <f>1000*E508*$J$2*9.81/1000</f>
        <v>5011.1839978130138</v>
      </c>
    </row>
    <row r="509" spans="1:7" ht="14.4" x14ac:dyDescent="0.3">
      <c r="A509" s="46">
        <v>19.9038</v>
      </c>
      <c r="B509" s="47">
        <v>29768</v>
      </c>
      <c r="C509" s="48">
        <f>A509*($H$2/$I$2)</f>
        <v>19.588212137780207</v>
      </c>
      <c r="D509" s="48">
        <f>D508+1</f>
        <v>508</v>
      </c>
      <c r="E509" s="50">
        <v>25.430585019136139</v>
      </c>
      <c r="F509" s="48">
        <f>D509/1076</f>
        <v>0.47211895910780671</v>
      </c>
      <c r="G509" s="49">
        <f>1000*E509*$J$2*9.81/1000</f>
        <v>4989.4807807545103</v>
      </c>
    </row>
    <row r="510" spans="1:7" ht="14.4" x14ac:dyDescent="0.3">
      <c r="A510" s="41">
        <v>24.9434</v>
      </c>
      <c r="B510" s="42">
        <v>29738</v>
      </c>
      <c r="C510" s="43">
        <f>A510*($H$2/$I$2)</f>
        <v>24.547905959540731</v>
      </c>
      <c r="D510" s="43">
        <f>D509+1</f>
        <v>509</v>
      </c>
      <c r="E510" s="48">
        <v>25.403619464188079</v>
      </c>
      <c r="F510" s="43">
        <f>D510/1076</f>
        <v>0.47304832713754646</v>
      </c>
      <c r="G510" s="45">
        <f>1000*E510*$J$2*9.81/1000</f>
        <v>4984.1901388737015</v>
      </c>
    </row>
    <row r="511" spans="1:7" ht="14.4" x14ac:dyDescent="0.3">
      <c r="A511" s="46">
        <v>27.736599999999999</v>
      </c>
      <c r="B511" s="47">
        <v>29707</v>
      </c>
      <c r="C511" s="48">
        <f>A511*($H$2/$I$2)</f>
        <v>27.296817933296882</v>
      </c>
      <c r="D511" s="48">
        <f>D510+1</f>
        <v>510</v>
      </c>
      <c r="E511" s="48">
        <v>25.401848004373974</v>
      </c>
      <c r="F511" s="48">
        <f>D511/1076</f>
        <v>0.47397769516728627</v>
      </c>
      <c r="G511" s="49">
        <f>1000*E511*$J$2*9.81/1000</f>
        <v>4983.8425784581732</v>
      </c>
    </row>
    <row r="512" spans="1:7" ht="14.4" x14ac:dyDescent="0.3">
      <c r="A512" s="41">
        <v>37.343899999999998</v>
      </c>
      <c r="B512" s="42">
        <v>29677</v>
      </c>
      <c r="C512" s="43">
        <f>A512*($H$2/$I$2)</f>
        <v>36.751787862219786</v>
      </c>
      <c r="D512" s="43">
        <f>D511+1</f>
        <v>511</v>
      </c>
      <c r="E512" s="43">
        <v>25.395746309458719</v>
      </c>
      <c r="F512" s="43">
        <f>D512/1076</f>
        <v>0.47490706319702602</v>
      </c>
      <c r="G512" s="45">
        <f>1000*E512*$J$2*9.81/1000</f>
        <v>4982.6454259158008</v>
      </c>
    </row>
    <row r="513" spans="1:7" ht="14.4" x14ac:dyDescent="0.3">
      <c r="A513" s="46">
        <v>55.142899999999997</v>
      </c>
      <c r="B513" s="47">
        <v>29646</v>
      </c>
      <c r="C513" s="48">
        <f>A513*($H$2/$I$2)</f>
        <v>54.268572990705302</v>
      </c>
      <c r="D513" s="48">
        <f>D512+1</f>
        <v>512</v>
      </c>
      <c r="E513" s="43">
        <v>25.322033898305083</v>
      </c>
      <c r="F513" s="48">
        <f>D513/1076</f>
        <v>0.47583643122676578</v>
      </c>
      <c r="G513" s="49">
        <f>1000*E513*$J$2*9.81/1000</f>
        <v>4968.1830508474577</v>
      </c>
    </row>
    <row r="514" spans="1:7" ht="14.4" x14ac:dyDescent="0.3">
      <c r="A514" s="41">
        <v>54.5154</v>
      </c>
      <c r="B514" s="42">
        <v>29618</v>
      </c>
      <c r="C514" s="43">
        <f>A514*($H$2/$I$2)</f>
        <v>53.651022416621103</v>
      </c>
      <c r="D514" s="43">
        <f>D513+1</f>
        <v>513</v>
      </c>
      <c r="E514" s="48">
        <v>25.242022963367962</v>
      </c>
      <c r="F514" s="43">
        <f>D514/1076</f>
        <v>0.47676579925650558</v>
      </c>
      <c r="G514" s="45">
        <f>1000*E514*$J$2*9.81/1000</f>
        <v>4952.4849054127944</v>
      </c>
    </row>
    <row r="515" spans="1:7" ht="14.4" x14ac:dyDescent="0.3">
      <c r="A515" s="46">
        <v>125.7026</v>
      </c>
      <c r="B515" s="47">
        <v>29587</v>
      </c>
      <c r="C515" s="48">
        <f>A515*($H$2/$I$2)</f>
        <v>123.70950246036085</v>
      </c>
      <c r="D515" s="48">
        <f>D514+1</f>
        <v>514</v>
      </c>
      <c r="E515" s="43">
        <v>25.182875888463641</v>
      </c>
      <c r="F515" s="48">
        <f>D515/1076</f>
        <v>0.47769516728624534</v>
      </c>
      <c r="G515" s="49">
        <f>1000*E515*$J$2*9.81/1000</f>
        <v>4940.8802493165667</v>
      </c>
    </row>
    <row r="516" spans="1:7" ht="14.4" x14ac:dyDescent="0.3">
      <c r="A516" s="41">
        <v>95.47</v>
      </c>
      <c r="B516" s="42">
        <v>29556</v>
      </c>
      <c r="C516" s="43">
        <f>A516*($H$2/$I$2)</f>
        <v>93.956260251503551</v>
      </c>
      <c r="D516" s="43">
        <f>D515+1</f>
        <v>515</v>
      </c>
      <c r="E516" s="48">
        <v>25.17697102241662</v>
      </c>
      <c r="F516" s="43">
        <f>D516/1076</f>
        <v>0.47862453531598514</v>
      </c>
      <c r="G516" s="45">
        <f>1000*E516*$J$2*9.81/1000</f>
        <v>4939.7217145981404</v>
      </c>
    </row>
    <row r="517" spans="1:7" ht="14.4" x14ac:dyDescent="0.3">
      <c r="A517" s="46">
        <v>43.930100000000003</v>
      </c>
      <c r="B517" s="47">
        <v>29526</v>
      </c>
      <c r="C517" s="48">
        <f>A517*($H$2/$I$2)</f>
        <v>43.233559322033898</v>
      </c>
      <c r="D517" s="48">
        <f>D516+1</f>
        <v>516</v>
      </c>
      <c r="E517" s="43">
        <v>25.164570803717879</v>
      </c>
      <c r="F517" s="48">
        <f>D517/1076</f>
        <v>0.4795539033457249</v>
      </c>
      <c r="G517" s="49">
        <f>1000*E517*$J$2*9.81/1000</f>
        <v>4937.2887916894479</v>
      </c>
    </row>
    <row r="518" spans="1:7" ht="14.4" x14ac:dyDescent="0.3">
      <c r="A518" s="41">
        <v>15.786099999999999</v>
      </c>
      <c r="B518" s="42">
        <v>29495</v>
      </c>
      <c r="C518" s="43">
        <f>A518*($H$2/$I$2)</f>
        <v>15.535800984144339</v>
      </c>
      <c r="D518" s="43">
        <f>D517+1</f>
        <v>517</v>
      </c>
      <c r="E518" s="48">
        <v>25.134455986878073</v>
      </c>
      <c r="F518" s="43">
        <f>D518/1076</f>
        <v>0.4804832713754647</v>
      </c>
      <c r="G518" s="45">
        <f>1000*E518*$J$2*9.81/1000</f>
        <v>4931.380264625479</v>
      </c>
    </row>
    <row r="519" spans="1:7" ht="14.4" x14ac:dyDescent="0.3">
      <c r="A519" s="46">
        <v>15.9573</v>
      </c>
      <c r="B519" s="47">
        <v>29465</v>
      </c>
      <c r="C519" s="48">
        <f>A519*($H$2/$I$2)</f>
        <v>15.704286495352651</v>
      </c>
      <c r="D519" s="48">
        <f>D518+1</f>
        <v>518</v>
      </c>
      <c r="E519" s="48">
        <v>25.105423728813555</v>
      </c>
      <c r="F519" s="48">
        <f>D519/1076</f>
        <v>0.48141263940520446</v>
      </c>
      <c r="G519" s="49">
        <f>1000*E519*$J$2*9.81/1000</f>
        <v>4925.6841355932193</v>
      </c>
    </row>
    <row r="520" spans="1:7" ht="14.4" x14ac:dyDescent="0.3">
      <c r="A520" s="41">
        <v>18.637799999999999</v>
      </c>
      <c r="B520" s="42">
        <v>29434</v>
      </c>
      <c r="C520" s="43">
        <f>A520*($H$2/$I$2)</f>
        <v>18.342285401858938</v>
      </c>
      <c r="D520" s="43">
        <f>D519+1</f>
        <v>519</v>
      </c>
      <c r="E520" s="43">
        <v>25.07580098414434</v>
      </c>
      <c r="F520" s="43">
        <f>D520/1076</f>
        <v>0.48234200743494426</v>
      </c>
      <c r="G520" s="45">
        <f>1000*E520*$J$2*9.81/1000</f>
        <v>4919.8721530891198</v>
      </c>
    </row>
    <row r="521" spans="1:7" ht="14.4" x14ac:dyDescent="0.3">
      <c r="A521" s="46">
        <v>22.056999999999999</v>
      </c>
      <c r="B521" s="47">
        <v>29403</v>
      </c>
      <c r="C521" s="48">
        <f>A521*($H$2/$I$2)</f>
        <v>21.707271733187532</v>
      </c>
      <c r="D521" s="48">
        <f>D520+1</f>
        <v>520</v>
      </c>
      <c r="E521" s="48">
        <v>24.995888463641332</v>
      </c>
      <c r="F521" s="48">
        <f>D521/1076</f>
        <v>0.48327137546468402</v>
      </c>
      <c r="G521" s="49">
        <f>1000*E521*$J$2*9.81/1000</f>
        <v>4904.1933165664295</v>
      </c>
    </row>
    <row r="522" spans="1:7" ht="14.4" x14ac:dyDescent="0.3">
      <c r="A522" s="41">
        <v>26.896599999999999</v>
      </c>
      <c r="B522" s="42">
        <v>29373</v>
      </c>
      <c r="C522" s="43">
        <f>A522*($H$2/$I$2)</f>
        <v>26.470136686714049</v>
      </c>
      <c r="D522" s="43">
        <f>D521+1</f>
        <v>521</v>
      </c>
      <c r="E522" s="48">
        <v>24.958392564242754</v>
      </c>
      <c r="F522" s="43">
        <f>D522/1076</f>
        <v>0.48420074349442377</v>
      </c>
      <c r="G522" s="45">
        <f>1000*E522*$J$2*9.81/1000</f>
        <v>4896.8366211044286</v>
      </c>
    </row>
    <row r="523" spans="1:7" ht="14.4" x14ac:dyDescent="0.3">
      <c r="A523" s="46">
        <v>29.8444</v>
      </c>
      <c r="B523" s="47">
        <v>29342</v>
      </c>
      <c r="C523" s="48">
        <f>A523*($H$2/$I$2)</f>
        <v>29.37119737561509</v>
      </c>
      <c r="D523" s="48">
        <f>D522+1</f>
        <v>522</v>
      </c>
      <c r="E523" s="48">
        <v>24.954455986878074</v>
      </c>
      <c r="F523" s="48">
        <f>D523/1076</f>
        <v>0.48513011152416358</v>
      </c>
      <c r="G523" s="49">
        <f>1000*E523*$J$2*9.81/1000</f>
        <v>4896.0642646254782</v>
      </c>
    </row>
    <row r="524" spans="1:7" ht="14.4" x14ac:dyDescent="0.3">
      <c r="A524" s="41">
        <v>57.3123</v>
      </c>
      <c r="B524" s="42">
        <v>29312</v>
      </c>
      <c r="C524" s="43">
        <f>A524*($H$2/$I$2)</f>
        <v>56.403575724439584</v>
      </c>
      <c r="D524" s="43">
        <f>D523+1</f>
        <v>523</v>
      </c>
      <c r="E524" s="48">
        <v>24.948551120831056</v>
      </c>
      <c r="F524" s="43">
        <f>D524/1076</f>
        <v>0.48605947955390333</v>
      </c>
      <c r="G524" s="45">
        <f>1000*E524*$J$2*9.81/1000</f>
        <v>4894.9057299070537</v>
      </c>
    </row>
    <row r="525" spans="1:7" ht="14.4" x14ac:dyDescent="0.3">
      <c r="A525" s="46">
        <v>43.7485</v>
      </c>
      <c r="B525" s="47">
        <v>29281</v>
      </c>
      <c r="C525" s="48">
        <f>A525*($H$2/$I$2)</f>
        <v>43.054838709677419</v>
      </c>
      <c r="D525" s="48">
        <f>D524+1</f>
        <v>524</v>
      </c>
      <c r="E525" s="48">
        <v>24.892356478950244</v>
      </c>
      <c r="F525" s="48">
        <f>D525/1076</f>
        <v>0.48698884758364314</v>
      </c>
      <c r="G525" s="49">
        <f>1000*E525*$J$2*9.81/1000</f>
        <v>4883.8803411700383</v>
      </c>
    </row>
    <row r="526" spans="1:7" ht="14.4" x14ac:dyDescent="0.3">
      <c r="A526" s="41">
        <v>73.0488</v>
      </c>
      <c r="B526" s="42">
        <v>29252</v>
      </c>
      <c r="C526" s="43">
        <f>A526*($H$2/$I$2)</f>
        <v>71.890563149261894</v>
      </c>
      <c r="D526" s="43">
        <f>D525+1</f>
        <v>525</v>
      </c>
      <c r="E526" s="43">
        <v>24.859486057955166</v>
      </c>
      <c r="F526" s="43">
        <f>D526/1076</f>
        <v>0.48791821561338289</v>
      </c>
      <c r="G526" s="45">
        <f>1000*E526*$J$2*9.81/1000</f>
        <v>4877.431164570804</v>
      </c>
    </row>
    <row r="527" spans="1:7" ht="14.4" x14ac:dyDescent="0.3">
      <c r="A527" s="46">
        <v>102.55159999999999</v>
      </c>
      <c r="B527" s="47">
        <v>29221</v>
      </c>
      <c r="C527" s="48">
        <f>A527*($H$2/$I$2)</f>
        <v>100.92557681793329</v>
      </c>
      <c r="D527" s="48">
        <f>D526+1</f>
        <v>526</v>
      </c>
      <c r="E527" s="48">
        <v>24.826812465828322</v>
      </c>
      <c r="F527" s="48">
        <f>D527/1076</f>
        <v>0.4888475836431227</v>
      </c>
      <c r="G527" s="49">
        <f>1000*E527*$J$2*9.81/1000</f>
        <v>4871.0206057955174</v>
      </c>
    </row>
    <row r="528" spans="1:7" ht="14.4" x14ac:dyDescent="0.3">
      <c r="A528" s="41">
        <v>68.104500000000002</v>
      </c>
      <c r="B528" s="42">
        <v>29190</v>
      </c>
      <c r="C528" s="43">
        <f>A528*($H$2/$I$2)</f>
        <v>67.024658283214876</v>
      </c>
      <c r="D528" s="43">
        <f>D527+1</f>
        <v>527</v>
      </c>
      <c r="E528" s="43">
        <v>24.82484417714598</v>
      </c>
      <c r="F528" s="43">
        <f>D528/1076</f>
        <v>0.48977695167286245</v>
      </c>
      <c r="G528" s="45">
        <f>1000*E528*$J$2*9.81/1000</f>
        <v>4870.6344275560414</v>
      </c>
    </row>
    <row r="529" spans="1:7" ht="14.4" x14ac:dyDescent="0.3">
      <c r="A529" s="46">
        <v>27.183499999999999</v>
      </c>
      <c r="B529" s="47">
        <v>29160</v>
      </c>
      <c r="C529" s="48">
        <f>A529*($H$2/$I$2)</f>
        <v>26.752487698195733</v>
      </c>
      <c r="D529" s="48">
        <f>D528+1</f>
        <v>528</v>
      </c>
      <c r="E529" s="48">
        <v>24.764417714598139</v>
      </c>
      <c r="F529" s="48">
        <f>D529/1076</f>
        <v>0.49070631970260226</v>
      </c>
      <c r="G529" s="49">
        <f>1000*E529*$J$2*9.81/1000</f>
        <v>4858.7787556041549</v>
      </c>
    </row>
    <row r="530" spans="1:7" ht="14.4" x14ac:dyDescent="0.3">
      <c r="A530" s="41">
        <v>20.636600000000001</v>
      </c>
      <c r="B530" s="42">
        <v>29129</v>
      </c>
      <c r="C530" s="43">
        <f>A530*($H$2/$I$2)</f>
        <v>20.309393110989614</v>
      </c>
      <c r="D530" s="43">
        <f>D529+1</f>
        <v>529</v>
      </c>
      <c r="E530" s="43">
        <v>24.753985784581737</v>
      </c>
      <c r="F530" s="43">
        <f>D530/1076</f>
        <v>0.49163568773234201</v>
      </c>
      <c r="G530" s="45">
        <f>1000*E530*$J$2*9.81/1000</f>
        <v>4856.7320109349366</v>
      </c>
    </row>
    <row r="531" spans="1:7" ht="14.4" x14ac:dyDescent="0.3">
      <c r="A531" s="46">
        <v>23.96</v>
      </c>
      <c r="B531" s="47">
        <v>29099</v>
      </c>
      <c r="C531" s="48">
        <f>A531*($H$2/$I$2)</f>
        <v>23.580098414434119</v>
      </c>
      <c r="D531" s="48">
        <f>D530+1</f>
        <v>530</v>
      </c>
      <c r="E531" s="43">
        <v>24.680667031164568</v>
      </c>
      <c r="F531" s="48">
        <f>D531/1076</f>
        <v>0.49256505576208176</v>
      </c>
      <c r="G531" s="49">
        <f>1000*E531*$J$2*9.81/1000</f>
        <v>4842.3468715144891</v>
      </c>
    </row>
    <row r="532" spans="1:7" ht="14.4" x14ac:dyDescent="0.3">
      <c r="A532" s="41">
        <v>18.5092</v>
      </c>
      <c r="B532" s="42">
        <v>29068</v>
      </c>
      <c r="C532" s="43">
        <f>A532*($H$2/$I$2)</f>
        <v>18.21572443958447</v>
      </c>
      <c r="D532" s="43">
        <f>D531+1</f>
        <v>531</v>
      </c>
      <c r="E532" s="48">
        <v>24.670727173318753</v>
      </c>
      <c r="F532" s="43">
        <f>D532/1076</f>
        <v>0.49349442379182157</v>
      </c>
      <c r="G532" s="45">
        <f>1000*E532*$J$2*9.81/1000</f>
        <v>4840.3966714051394</v>
      </c>
    </row>
    <row r="533" spans="1:7" ht="14.4" x14ac:dyDescent="0.3">
      <c r="A533" s="46">
        <v>20.562200000000001</v>
      </c>
      <c r="B533" s="47">
        <v>29037</v>
      </c>
      <c r="C533" s="48">
        <f>A533*($H$2/$I$2)</f>
        <v>20.236172772006562</v>
      </c>
      <c r="D533" s="48">
        <f>D532+1</f>
        <v>532</v>
      </c>
      <c r="E533" s="48">
        <v>24.628212137780206</v>
      </c>
      <c r="F533" s="48">
        <f>D533/1076</f>
        <v>0.49442379182156132</v>
      </c>
      <c r="G533" s="49">
        <f>1000*E533*$J$2*9.81/1000</f>
        <v>4832.0552214324771</v>
      </c>
    </row>
    <row r="534" spans="1:7" ht="14.4" x14ac:dyDescent="0.3">
      <c r="A534" s="41">
        <v>21.032900000000001</v>
      </c>
      <c r="B534" s="42">
        <v>29007</v>
      </c>
      <c r="C534" s="43">
        <f>A534*($H$2/$I$2)</f>
        <v>20.699409513395299</v>
      </c>
      <c r="D534" s="43">
        <f>D533+1</f>
        <v>533</v>
      </c>
      <c r="E534" s="43">
        <v>24.563455440131218</v>
      </c>
      <c r="F534" s="43">
        <f>D534/1076</f>
        <v>0.49535315985130113</v>
      </c>
      <c r="G534" s="45">
        <f>1000*E534*$J$2*9.81/1000</f>
        <v>4819.3499573537447</v>
      </c>
    </row>
    <row r="535" spans="1:7" ht="14.4" x14ac:dyDescent="0.3">
      <c r="A535" s="46">
        <v>26.8157</v>
      </c>
      <c r="B535" s="47">
        <v>28976</v>
      </c>
      <c r="C535" s="48">
        <f>A535*($H$2/$I$2)</f>
        <v>26.390519409513395</v>
      </c>
      <c r="D535" s="48">
        <f>D534+1</f>
        <v>534</v>
      </c>
      <c r="E535" s="43">
        <v>24.547905959540731</v>
      </c>
      <c r="F535" s="48">
        <f>D535/1076</f>
        <v>0.49628252788104088</v>
      </c>
      <c r="G535" s="49">
        <f>1000*E535*$J$2*9.81/1000</f>
        <v>4816.2991492618921</v>
      </c>
    </row>
    <row r="536" spans="1:7" ht="14.4" x14ac:dyDescent="0.3">
      <c r="A536" s="41">
        <v>32.807400000000001</v>
      </c>
      <c r="B536" s="42">
        <v>28946</v>
      </c>
      <c r="C536" s="43">
        <f>A536*($H$2/$I$2)</f>
        <v>32.287217058501916</v>
      </c>
      <c r="D536" s="43">
        <f>D535+1</f>
        <v>535</v>
      </c>
      <c r="E536" s="43">
        <v>24.540524876981955</v>
      </c>
      <c r="F536" s="43">
        <f>D536/1076</f>
        <v>0.49721189591078069</v>
      </c>
      <c r="G536" s="45">
        <f>1000*E536*$J$2*9.81/1000</f>
        <v>4814.8509808638601</v>
      </c>
    </row>
    <row r="537" spans="1:7" ht="14.4" x14ac:dyDescent="0.3">
      <c r="A537" s="46">
        <v>53.183100000000003</v>
      </c>
      <c r="B537" s="47">
        <v>28915</v>
      </c>
      <c r="C537" s="48">
        <f>A537*($H$2/$I$2)</f>
        <v>52.339846910880262</v>
      </c>
      <c r="D537" s="48">
        <f>D536+1</f>
        <v>536</v>
      </c>
      <c r="E537" s="43">
        <v>24.480492072170584</v>
      </c>
      <c r="F537" s="48">
        <f>D537/1076</f>
        <v>0.49814126394052044</v>
      </c>
      <c r="G537" s="49">
        <f>1000*E537*$J$2*9.81/1000</f>
        <v>4803.0725445598691</v>
      </c>
    </row>
    <row r="538" spans="1:7" ht="14.4" x14ac:dyDescent="0.3">
      <c r="A538" s="41">
        <v>84.436800000000005</v>
      </c>
      <c r="B538" s="42">
        <v>28887</v>
      </c>
      <c r="C538" s="43">
        <f>A538*($H$2/$I$2)</f>
        <v>83.097998906506291</v>
      </c>
      <c r="D538" s="43">
        <f>D537+1</f>
        <v>537</v>
      </c>
      <c r="E538" s="48">
        <v>24.477933296883542</v>
      </c>
      <c r="F538" s="43">
        <f>D538/1076</f>
        <v>0.49907063197026025</v>
      </c>
      <c r="G538" s="45">
        <f>1000*E538*$J$2*9.81/1000</f>
        <v>4802.5705128485506</v>
      </c>
    </row>
    <row r="539" spans="1:7" ht="14.4" x14ac:dyDescent="0.3">
      <c r="A539" s="46">
        <v>40.164499999999997</v>
      </c>
      <c r="B539" s="47">
        <v>28856</v>
      </c>
      <c r="C539" s="48">
        <f>A539*($H$2/$I$2)</f>
        <v>39.527665390924</v>
      </c>
      <c r="D539" s="48">
        <f>D538+1</f>
        <v>538</v>
      </c>
      <c r="E539" s="43">
        <v>24.440634226353197</v>
      </c>
      <c r="F539" s="48">
        <f>D539/1076</f>
        <v>0.5</v>
      </c>
      <c r="G539" s="49">
        <f>1000*E539*$J$2*9.81/1000</f>
        <v>4795.2524352104974</v>
      </c>
    </row>
    <row r="540" spans="1:7" ht="14.4" x14ac:dyDescent="0.3">
      <c r="A540" s="41">
        <v>34.597299999999997</v>
      </c>
      <c r="B540" s="42">
        <v>28825</v>
      </c>
      <c r="C540" s="43">
        <f>A540*($H$2/$I$2)</f>
        <v>34.04873701476216</v>
      </c>
      <c r="D540" s="43">
        <f>D539+1</f>
        <v>539</v>
      </c>
      <c r="E540" s="43">
        <v>24.424395844723893</v>
      </c>
      <c r="F540" s="43">
        <f>D540/1076</f>
        <v>0.50092936802973975</v>
      </c>
      <c r="G540" s="45">
        <f>1000*E540*$J$2*9.81/1000</f>
        <v>4792.0664647348285</v>
      </c>
    </row>
    <row r="541" spans="1:7" ht="14.4" x14ac:dyDescent="0.3">
      <c r="A541" s="46">
        <v>41.253399999999999</v>
      </c>
      <c r="B541" s="47">
        <v>28795</v>
      </c>
      <c r="C541" s="48">
        <f>A541*($H$2/$I$2)</f>
        <v>40.599300164024058</v>
      </c>
      <c r="D541" s="48">
        <f>D540+1</f>
        <v>540</v>
      </c>
      <c r="E541" s="48">
        <v>24.395265172225258</v>
      </c>
      <c r="F541" s="48">
        <f>D541/1076</f>
        <v>0.5018587360594795</v>
      </c>
      <c r="G541" s="49">
        <f>1000*E541*$J$2*9.81/1000</f>
        <v>4786.3510267905967</v>
      </c>
    </row>
    <row r="542" spans="1:7" ht="14.4" x14ac:dyDescent="0.3">
      <c r="A542" s="41">
        <v>26.387</v>
      </c>
      <c r="B542" s="42">
        <v>28764</v>
      </c>
      <c r="C542" s="43">
        <f>A542*($H$2/$I$2)</f>
        <v>25.9686167304538</v>
      </c>
      <c r="D542" s="43">
        <f>D541+1</f>
        <v>541</v>
      </c>
      <c r="E542" s="48">
        <v>24.359442318206668</v>
      </c>
      <c r="F542" s="43">
        <f>D542/1076</f>
        <v>0.50278810408921937</v>
      </c>
      <c r="G542" s="45">
        <f>1000*E542*$J$2*9.81/1000</f>
        <v>4779.3225828321483</v>
      </c>
    </row>
    <row r="543" spans="1:7" ht="14.4" x14ac:dyDescent="0.3">
      <c r="A543" s="46">
        <v>12.3489</v>
      </c>
      <c r="B543" s="47">
        <v>28734</v>
      </c>
      <c r="C543" s="48">
        <f>A543*($H$2/$I$2)</f>
        <v>12.153100054674686</v>
      </c>
      <c r="D543" s="48">
        <f>D542+1</f>
        <v>542</v>
      </c>
      <c r="E543" s="43">
        <v>24.284253690541277</v>
      </c>
      <c r="F543" s="48">
        <f>D543/1076</f>
        <v>0.50371747211895912</v>
      </c>
      <c r="G543" s="49">
        <f>1000*E543*$J$2*9.81/1000</f>
        <v>4764.5705740841986</v>
      </c>
    </row>
    <row r="544" spans="1:7" ht="14.4" x14ac:dyDescent="0.3">
      <c r="A544" s="41">
        <v>13.574999999999999</v>
      </c>
      <c r="B544" s="42">
        <v>28703</v>
      </c>
      <c r="C544" s="43">
        <f>A544*($H$2/$I$2)</f>
        <v>13.359759431383269</v>
      </c>
      <c r="D544" s="43">
        <f>D543+1</f>
        <v>543</v>
      </c>
      <c r="E544" s="48">
        <v>24.270180426462549</v>
      </c>
      <c r="F544" s="43">
        <f>D544/1076</f>
        <v>0.50464684014869887</v>
      </c>
      <c r="G544" s="45">
        <f>1000*E544*$J$2*9.81/1000</f>
        <v>4761.8093996719526</v>
      </c>
    </row>
    <row r="545" spans="1:7" ht="14.4" x14ac:dyDescent="0.3">
      <c r="A545" s="46">
        <v>16.7255</v>
      </c>
      <c r="B545" s="47">
        <v>28672</v>
      </c>
      <c r="C545" s="48">
        <f>A545*($H$2/$I$2)</f>
        <v>16.460306178239474</v>
      </c>
      <c r="D545" s="48">
        <f>D544+1</f>
        <v>544</v>
      </c>
      <c r="E545" s="48">
        <v>24.156216511755058</v>
      </c>
      <c r="F545" s="48">
        <f>D545/1076</f>
        <v>0.50557620817843862</v>
      </c>
      <c r="G545" s="49">
        <f>1000*E545*$J$2*9.81/1000</f>
        <v>4739.4496796063431</v>
      </c>
    </row>
    <row r="546" spans="1:7" ht="14.4" x14ac:dyDescent="0.3">
      <c r="A546" s="41">
        <v>19.5931</v>
      </c>
      <c r="B546" s="42">
        <v>28642</v>
      </c>
      <c r="C546" s="43">
        <f>A546*($H$2/$I$2)</f>
        <v>19.282438490978677</v>
      </c>
      <c r="D546" s="43">
        <f>D545+1</f>
        <v>545</v>
      </c>
      <c r="E546" s="48">
        <v>24.135155822854017</v>
      </c>
      <c r="F546" s="43">
        <f>D546/1076</f>
        <v>0.50650557620817849</v>
      </c>
      <c r="G546" s="45">
        <f>1000*E546*$J$2*9.81/1000</f>
        <v>4735.3175724439579</v>
      </c>
    </row>
    <row r="547" spans="1:7" ht="14.4" x14ac:dyDescent="0.3">
      <c r="A547" s="46">
        <v>20.5792</v>
      </c>
      <c r="B547" s="47">
        <v>28611</v>
      </c>
      <c r="C547" s="48">
        <f>A547*($H$2/$I$2)</f>
        <v>20.252903225806453</v>
      </c>
      <c r="D547" s="48">
        <f>D546+1</f>
        <v>546</v>
      </c>
      <c r="E547" s="48">
        <v>24.133581191908146</v>
      </c>
      <c r="F547" s="48">
        <f>D547/1076</f>
        <v>0.50743494423791824</v>
      </c>
      <c r="G547" s="49">
        <f>1000*E547*$J$2*9.81/1000</f>
        <v>4735.0086298523784</v>
      </c>
    </row>
    <row r="548" spans="1:7" ht="14.4" x14ac:dyDescent="0.3">
      <c r="A548" s="41">
        <v>25.224799999999998</v>
      </c>
      <c r="B548" s="42">
        <v>28581</v>
      </c>
      <c r="C548" s="43">
        <f>A548*($H$2/$I$2)</f>
        <v>24.82484417714598</v>
      </c>
      <c r="D548" s="43">
        <f>D547+1</f>
        <v>547</v>
      </c>
      <c r="E548" s="48">
        <v>24.067643521049753</v>
      </c>
      <c r="F548" s="43">
        <f>D548/1076</f>
        <v>0.50836431226765799</v>
      </c>
      <c r="G548" s="45">
        <f>1000*E548*$J$2*9.81/1000</f>
        <v>4722.071658829962</v>
      </c>
    </row>
    <row r="549" spans="1:7" ht="14.4" x14ac:dyDescent="0.3">
      <c r="A549" s="46">
        <v>44.7485</v>
      </c>
      <c r="B549" s="47">
        <v>28550</v>
      </c>
      <c r="C549" s="48">
        <f>A549*($H$2/$I$2)</f>
        <v>44.038983050847456</v>
      </c>
      <c r="D549" s="48">
        <f>D548+1</f>
        <v>548</v>
      </c>
      <c r="E549" s="43">
        <v>24.062525970475669</v>
      </c>
      <c r="F549" s="48">
        <f>D549/1076</f>
        <v>0.50929368029739774</v>
      </c>
      <c r="G549" s="49">
        <f>1000*E549*$J$2*9.81/1000</f>
        <v>4721.0675954073258</v>
      </c>
    </row>
    <row r="550" spans="1:7" ht="14.4" x14ac:dyDescent="0.3">
      <c r="A550" s="41">
        <v>42.261200000000002</v>
      </c>
      <c r="B550" s="42">
        <v>28522</v>
      </c>
      <c r="C550" s="43">
        <f>A550*($H$2/$I$2)</f>
        <v>41.591120831055221</v>
      </c>
      <c r="D550" s="43">
        <f>D549+1</f>
        <v>549</v>
      </c>
      <c r="E550" s="43">
        <v>24.023061782394752</v>
      </c>
      <c r="F550" s="43">
        <f>D550/1076</f>
        <v>0.5102230483271375</v>
      </c>
      <c r="G550" s="45">
        <f>1000*E550*$J$2*9.81/1000</f>
        <v>4713.3247217058506</v>
      </c>
    </row>
    <row r="551" spans="1:7" ht="14.4" x14ac:dyDescent="0.3">
      <c r="A551" s="46">
        <v>92.824299999999994</v>
      </c>
      <c r="B551" s="47">
        <v>28491</v>
      </c>
      <c r="C551" s="48">
        <f>A551*($H$2/$I$2)</f>
        <v>91.352509568069976</v>
      </c>
      <c r="D551" s="48">
        <f>D550+1</f>
        <v>550</v>
      </c>
      <c r="E551" s="48">
        <v>24.020404592673589</v>
      </c>
      <c r="F551" s="48">
        <f>D551/1076</f>
        <v>0.51115241635687736</v>
      </c>
      <c r="G551" s="49">
        <f>1000*E551*$J$2*9.81/1000</f>
        <v>4712.8033810825582</v>
      </c>
    </row>
    <row r="552" spans="1:7" ht="14.4" x14ac:dyDescent="0.3">
      <c r="A552" s="41">
        <v>39.866100000000003</v>
      </c>
      <c r="B552" s="42">
        <v>28460</v>
      </c>
      <c r="C552" s="43">
        <f>A552*($H$2/$I$2)</f>
        <v>39.233996719518863</v>
      </c>
      <c r="D552" s="43">
        <f>D551+1</f>
        <v>551</v>
      </c>
      <c r="E552" s="48">
        <v>23.92326954620011</v>
      </c>
      <c r="F552" s="43">
        <f>D552/1076</f>
        <v>0.51208178438661711</v>
      </c>
      <c r="G552" s="45">
        <f>1000*E552*$J$2*9.81/1000</f>
        <v>4693.7454849644619</v>
      </c>
    </row>
    <row r="553" spans="1:7" ht="14.4" x14ac:dyDescent="0.3">
      <c r="A553" s="46">
        <v>27.153099999999998</v>
      </c>
      <c r="B553" s="47">
        <v>28430</v>
      </c>
      <c r="C553" s="48">
        <f>A553*($H$2/$I$2)</f>
        <v>26.722569710224164</v>
      </c>
      <c r="D553" s="48">
        <f>D552+1</f>
        <v>552</v>
      </c>
      <c r="E553" s="48">
        <v>23.917364680153089</v>
      </c>
      <c r="F553" s="48">
        <f>D553/1076</f>
        <v>0.51301115241635686</v>
      </c>
      <c r="G553" s="49">
        <f>1000*E553*$J$2*9.81/1000</f>
        <v>4692.5869502460364</v>
      </c>
    </row>
    <row r="554" spans="1:7" ht="14.4" x14ac:dyDescent="0.3">
      <c r="A554" s="41">
        <v>14.570399999999999</v>
      </c>
      <c r="B554" s="42">
        <v>28399</v>
      </c>
      <c r="C554" s="43">
        <f>A554*($H$2/$I$2)</f>
        <v>14.339376708583924</v>
      </c>
      <c r="D554" s="43">
        <f>D553+1</f>
        <v>553</v>
      </c>
      <c r="E554" s="43">
        <v>23.916380535811918</v>
      </c>
      <c r="F554" s="43">
        <f>D554/1076</f>
        <v>0.51394052044609662</v>
      </c>
      <c r="G554" s="45">
        <f>1000*E554*$J$2*9.81/1000</f>
        <v>4692.3938611262984</v>
      </c>
    </row>
    <row r="555" spans="1:7" ht="14.4" x14ac:dyDescent="0.3">
      <c r="A555" s="46">
        <v>18.113099999999999</v>
      </c>
      <c r="B555" s="47">
        <v>28369</v>
      </c>
      <c r="C555" s="48">
        <f>A555*($H$2/$I$2)</f>
        <v>17.825904866047019</v>
      </c>
      <c r="D555" s="48">
        <f>D554+1</f>
        <v>554</v>
      </c>
      <c r="E555" s="43">
        <v>23.898961180973206</v>
      </c>
      <c r="F555" s="48">
        <f>D555/1076</f>
        <v>0.51486988847583648</v>
      </c>
      <c r="G555" s="49">
        <f>1000*E555*$J$2*9.81/1000</f>
        <v>4688.9761837069427</v>
      </c>
    </row>
    <row r="556" spans="1:7" ht="14.4" x14ac:dyDescent="0.3">
      <c r="A556" s="41">
        <v>13.548400000000001</v>
      </c>
      <c r="B556" s="42">
        <v>28338</v>
      </c>
      <c r="C556" s="43">
        <f>A556*($H$2/$I$2)</f>
        <v>13.333581191908147</v>
      </c>
      <c r="D556" s="43">
        <f>D555+1</f>
        <v>555</v>
      </c>
      <c r="E556" s="48">
        <v>23.837747402952434</v>
      </c>
      <c r="F556" s="43">
        <f>D556/1076</f>
        <v>0.51579925650557623</v>
      </c>
      <c r="G556" s="45">
        <f>1000*E556*$J$2*9.81/1000</f>
        <v>4676.9660404592678</v>
      </c>
    </row>
    <row r="557" spans="1:7" ht="14.4" x14ac:dyDescent="0.3">
      <c r="A557" s="46">
        <v>15.5883</v>
      </c>
      <c r="B557" s="47">
        <v>28307</v>
      </c>
      <c r="C557" s="48">
        <f>A557*($H$2/$I$2)</f>
        <v>15.341137233460907</v>
      </c>
      <c r="D557" s="48">
        <f>D556+1</f>
        <v>556</v>
      </c>
      <c r="E557" s="48">
        <v>23.71531984691088</v>
      </c>
      <c r="F557" s="48">
        <f>D557/1076</f>
        <v>0.51672862453531598</v>
      </c>
      <c r="G557" s="49">
        <f>1000*E557*$J$2*9.81/1000</f>
        <v>4652.9457539639143</v>
      </c>
    </row>
    <row r="558" spans="1:7" ht="14.4" x14ac:dyDescent="0.3">
      <c r="A558" s="41">
        <v>18.9482</v>
      </c>
      <c r="B558" s="42">
        <v>28277</v>
      </c>
      <c r="C558" s="43">
        <f>A558*($H$2/$I$2)</f>
        <v>18.647763805358117</v>
      </c>
      <c r="D558" s="43">
        <f>D557+1</f>
        <v>557</v>
      </c>
      <c r="E558" s="48">
        <v>23.580098414434119</v>
      </c>
      <c r="F558" s="43">
        <f>D558/1076</f>
        <v>0.51765799256505574</v>
      </c>
      <c r="G558" s="45">
        <f>1000*E558*$J$2*9.81/1000</f>
        <v>4626.4153089119745</v>
      </c>
    </row>
    <row r="559" spans="1:7" ht="14.4" x14ac:dyDescent="0.3">
      <c r="A559" s="46">
        <v>23.373100000000001</v>
      </c>
      <c r="B559" s="47">
        <v>28246</v>
      </c>
      <c r="C559" s="48">
        <f>A559*($H$2/$I$2)</f>
        <v>23.002504100601421</v>
      </c>
      <c r="D559" s="48">
        <f>D558+1</f>
        <v>558</v>
      </c>
      <c r="E559" s="48">
        <v>23.554313832695463</v>
      </c>
      <c r="F559" s="48">
        <f>D559/1076</f>
        <v>0.51858736059479549</v>
      </c>
      <c r="G559" s="49">
        <f>1000*E559*$J$2*9.81/1000</f>
        <v>4621.3563739748506</v>
      </c>
    </row>
    <row r="560" spans="1:7" ht="14.4" x14ac:dyDescent="0.3">
      <c r="A560" s="41">
        <v>36.591999999999999</v>
      </c>
      <c r="B560" s="42">
        <v>28216</v>
      </c>
      <c r="C560" s="43">
        <f>A560*($H$2/$I$2)</f>
        <v>36.011809732094036</v>
      </c>
      <c r="D560" s="43">
        <f>D559+1</f>
        <v>559</v>
      </c>
      <c r="E560" s="43">
        <v>23.531088026243847</v>
      </c>
      <c r="F560" s="43">
        <f>D560/1076</f>
        <v>0.51951672862453535</v>
      </c>
      <c r="G560" s="45">
        <f>1000*E560*$J$2*9.81/1000</f>
        <v>4616.7994707490425</v>
      </c>
    </row>
    <row r="561" spans="1:7" ht="14.4" x14ac:dyDescent="0.3">
      <c r="A561" s="46">
        <v>44.595399999999998</v>
      </c>
      <c r="B561" s="47">
        <v>28185</v>
      </c>
      <c r="C561" s="48">
        <f>A561*($H$2/$I$2)</f>
        <v>43.888310552214321</v>
      </c>
      <c r="D561" s="48">
        <f>D560+1</f>
        <v>560</v>
      </c>
      <c r="E561" s="43">
        <v>23.456489885183156</v>
      </c>
      <c r="F561" s="48">
        <f>D561/1076</f>
        <v>0.5204460966542751</v>
      </c>
      <c r="G561" s="49">
        <f>1000*E561*$J$2*9.81/1000</f>
        <v>4602.1633154729352</v>
      </c>
    </row>
    <row r="562" spans="1:7" ht="14.4" x14ac:dyDescent="0.3">
      <c r="A562" s="41">
        <v>56.958799999999997</v>
      </c>
      <c r="B562" s="42">
        <v>28157</v>
      </c>
      <c r="C562" s="43">
        <f>A562*($H$2/$I$2)</f>
        <v>56.055680699835968</v>
      </c>
      <c r="D562" s="43">
        <f>D561+1</f>
        <v>561</v>
      </c>
      <c r="E562" s="43">
        <v>23.39065062875888</v>
      </c>
      <c r="F562" s="43">
        <f>D562/1076</f>
        <v>0.52137546468401486</v>
      </c>
      <c r="G562" s="45">
        <f>1000*E562*$J$2*9.81/1000</f>
        <v>4589.2456533624927</v>
      </c>
    </row>
    <row r="563" spans="1:7" ht="14.4" x14ac:dyDescent="0.3">
      <c r="A563" s="46">
        <v>67.495699999999999</v>
      </c>
      <c r="B563" s="47">
        <v>28126</v>
      </c>
      <c r="C563" s="48">
        <f>A563*($H$2/$I$2)</f>
        <v>66.425511208310553</v>
      </c>
      <c r="D563" s="48">
        <f>D562+1</f>
        <v>562</v>
      </c>
      <c r="E563" s="43">
        <v>23.359846910880261</v>
      </c>
      <c r="F563" s="48">
        <f>D563/1076</f>
        <v>0.52230483271375461</v>
      </c>
      <c r="G563" s="49">
        <f>1000*E563*$J$2*9.81/1000</f>
        <v>4583.2019639147074</v>
      </c>
    </row>
    <row r="564" spans="1:7" ht="14.4" x14ac:dyDescent="0.3">
      <c r="A564" s="41">
        <v>73.159700000000001</v>
      </c>
      <c r="B564" s="42">
        <v>28095</v>
      </c>
      <c r="C564" s="43">
        <f>A564*($H$2/$I$2)</f>
        <v>71.999704756697653</v>
      </c>
      <c r="D564" s="43">
        <f>D563+1</f>
        <v>563</v>
      </c>
      <c r="E564" s="48">
        <v>23.339573537452157</v>
      </c>
      <c r="F564" s="43">
        <f>D564/1076</f>
        <v>0.52323420074349447</v>
      </c>
      <c r="G564" s="45">
        <f>1000*E564*$J$2*9.81/1000</f>
        <v>4579.2243280481134</v>
      </c>
    </row>
    <row r="565" spans="1:7" ht="14.4" x14ac:dyDescent="0.3">
      <c r="A565" s="46">
        <v>44.647399999999998</v>
      </c>
      <c r="B565" s="47">
        <v>28065</v>
      </c>
      <c r="C565" s="48">
        <f>A565*($H$2/$I$2)</f>
        <v>43.939486057955165</v>
      </c>
      <c r="D565" s="48">
        <f>D564+1</f>
        <v>564</v>
      </c>
      <c r="E565" s="43">
        <v>23.333176599234552</v>
      </c>
      <c r="F565" s="48">
        <f>D565/1076</f>
        <v>0.52416356877323422</v>
      </c>
      <c r="G565" s="49">
        <f>1000*E565*$J$2*9.81/1000</f>
        <v>4577.9692487698185</v>
      </c>
    </row>
    <row r="566" spans="1:7" ht="14.4" x14ac:dyDescent="0.3">
      <c r="A566" s="41">
        <v>24.959199999999999</v>
      </c>
      <c r="B566" s="42">
        <v>28034</v>
      </c>
      <c r="C566" s="43">
        <f>A566*($H$2/$I$2)</f>
        <v>24.563455440131218</v>
      </c>
      <c r="D566" s="43">
        <f>D565+1</f>
        <v>565</v>
      </c>
      <c r="E566" s="43">
        <v>23.319989065062874</v>
      </c>
      <c r="F566" s="43">
        <f>D566/1076</f>
        <v>0.52509293680297398</v>
      </c>
      <c r="G566" s="45">
        <f>1000*E566*$J$2*9.81/1000</f>
        <v>4575.3818545653357</v>
      </c>
    </row>
    <row r="567" spans="1:7" ht="14.4" x14ac:dyDescent="0.3">
      <c r="A567" s="46">
        <v>29.854399999999998</v>
      </c>
      <c r="B567" s="47">
        <v>28004</v>
      </c>
      <c r="C567" s="48">
        <f>A567*($H$2/$I$2)</f>
        <v>29.381038819026788</v>
      </c>
      <c r="D567" s="48">
        <f>D566+1</f>
        <v>566</v>
      </c>
      <c r="E567" s="48">
        <v>23.289480590486605</v>
      </c>
      <c r="F567" s="48">
        <f>D567/1076</f>
        <v>0.52602230483271373</v>
      </c>
      <c r="G567" s="49">
        <f>1000*E567*$J$2*9.81/1000</f>
        <v>4569.3960918534722</v>
      </c>
    </row>
    <row r="568" spans="1:7" ht="14.4" x14ac:dyDescent="0.3">
      <c r="A568" s="41">
        <v>22.419899999999998</v>
      </c>
      <c r="B568" s="42">
        <v>27973</v>
      </c>
      <c r="C568" s="43">
        <f>A568*($H$2/$I$2)</f>
        <v>22.064417714598139</v>
      </c>
      <c r="D568" s="43">
        <f>D567+1</f>
        <v>567</v>
      </c>
      <c r="E568" s="48">
        <v>23.27609622744669</v>
      </c>
      <c r="F568" s="43">
        <f>D568/1076</f>
        <v>0.52695167286245348</v>
      </c>
      <c r="G568" s="45">
        <f>1000*E568*$J$2*9.81/1000</f>
        <v>4566.7700798250407</v>
      </c>
    </row>
    <row r="569" spans="1:7" ht="14.4" x14ac:dyDescent="0.3">
      <c r="A569" s="46">
        <v>21.626799999999999</v>
      </c>
      <c r="B569" s="47">
        <v>27942</v>
      </c>
      <c r="C569" s="48">
        <f>A569*($H$2/$I$2)</f>
        <v>21.283892837616182</v>
      </c>
      <c r="D569" s="48">
        <f>D568+1</f>
        <v>568</v>
      </c>
      <c r="E569" s="43">
        <v>23.26468015308912</v>
      </c>
      <c r="F569" s="48">
        <f>D569/1076</f>
        <v>0.52788104089219334</v>
      </c>
      <c r="G569" s="49">
        <f>1000*E569*$J$2*9.81/1000</f>
        <v>4564.5302460360863</v>
      </c>
    </row>
    <row r="570" spans="1:7" ht="14.4" x14ac:dyDescent="0.3">
      <c r="A570" s="41">
        <v>22.345500000000001</v>
      </c>
      <c r="B570" s="42">
        <v>27912</v>
      </c>
      <c r="C570" s="43">
        <f>A570*($H$2/$I$2)</f>
        <v>21.991197375615091</v>
      </c>
      <c r="D570" s="43">
        <f>D569+1</f>
        <v>569</v>
      </c>
      <c r="E570" s="48">
        <v>23.235155822854018</v>
      </c>
      <c r="F570" s="43">
        <f>D570/1076</f>
        <v>0.52881040892193309</v>
      </c>
      <c r="G570" s="45">
        <f>1000*E570*$J$2*9.81/1000</f>
        <v>4558.7375724439589</v>
      </c>
    </row>
    <row r="571" spans="1:7" ht="14.4" x14ac:dyDescent="0.3">
      <c r="A571" s="46">
        <v>24.545400000000001</v>
      </c>
      <c r="B571" s="47">
        <v>27881</v>
      </c>
      <c r="C571" s="48">
        <f>A571*($H$2/$I$2)</f>
        <v>24.156216511755058</v>
      </c>
      <c r="D571" s="48">
        <f>D570+1</f>
        <v>570</v>
      </c>
      <c r="E571" s="43">
        <v>23.195691634773102</v>
      </c>
      <c r="F571" s="48">
        <f>D571/1076</f>
        <v>0.52973977695167285</v>
      </c>
      <c r="G571" s="49">
        <f>1000*E571*$J$2*9.81/1000</f>
        <v>4550.9946987424828</v>
      </c>
    </row>
    <row r="572" spans="1:7" ht="14.4" x14ac:dyDescent="0.3">
      <c r="A572" s="41">
        <v>29.731100000000001</v>
      </c>
      <c r="B572" s="42">
        <v>27851</v>
      </c>
      <c r="C572" s="43">
        <f>A572*($H$2/$I$2)</f>
        <v>29.259693821760525</v>
      </c>
      <c r="D572" s="43">
        <f>D571+1</f>
        <v>571</v>
      </c>
      <c r="E572" s="48">
        <v>23.125325314379442</v>
      </c>
      <c r="F572" s="43">
        <f>D572/1076</f>
        <v>0.5306691449814126</v>
      </c>
      <c r="G572" s="45">
        <f>1000*E572*$J$2*9.81/1000</f>
        <v>4537.1888266812466</v>
      </c>
    </row>
    <row r="573" spans="1:7" ht="14.4" x14ac:dyDescent="0.3">
      <c r="A573" s="46">
        <v>44.618200000000002</v>
      </c>
      <c r="B573" s="47">
        <v>27820</v>
      </c>
      <c r="C573" s="48">
        <f>A573*($H$2/$I$2)</f>
        <v>43.910749043193</v>
      </c>
      <c r="D573" s="48">
        <f>D572+1</f>
        <v>572</v>
      </c>
      <c r="E573" s="43">
        <v>23.096489885183157</v>
      </c>
      <c r="F573" s="48">
        <f>D573/1076</f>
        <v>0.53159851301115246</v>
      </c>
      <c r="G573" s="49">
        <f>1000*E573*$J$2*9.81/1000</f>
        <v>4531.5313154729356</v>
      </c>
    </row>
    <row r="574" spans="1:7" ht="14.4" x14ac:dyDescent="0.3">
      <c r="A574" s="41">
        <v>33.788400000000003</v>
      </c>
      <c r="B574" s="42">
        <v>27791</v>
      </c>
      <c r="C574" s="43">
        <f>A574*($H$2/$I$2)</f>
        <v>33.252662657189724</v>
      </c>
      <c r="D574" s="43">
        <f>D573+1</f>
        <v>573</v>
      </c>
      <c r="E574" s="43">
        <v>23.0446254784035</v>
      </c>
      <c r="F574" s="43">
        <f>D574/1076</f>
        <v>0.53252788104089221</v>
      </c>
      <c r="G574" s="45">
        <f>1000*E574*$J$2*9.81/1000</f>
        <v>4521.355518862767</v>
      </c>
    </row>
    <row r="575" spans="1:7" ht="14.4" x14ac:dyDescent="0.3">
      <c r="A575" s="46">
        <v>32.490900000000003</v>
      </c>
      <c r="B575" s="47">
        <v>27760</v>
      </c>
      <c r="C575" s="48">
        <f>A575*($H$2/$I$2)</f>
        <v>31.975735374521598</v>
      </c>
      <c r="D575" s="48">
        <f>D574+1</f>
        <v>574</v>
      </c>
      <c r="E575" s="48">
        <v>23.002504100601421</v>
      </c>
      <c r="F575" s="48">
        <f>D575/1076</f>
        <v>0.53345724907063197</v>
      </c>
      <c r="G575" s="49">
        <f>1000*E575*$J$2*9.81/1000</f>
        <v>4513.0913045379993</v>
      </c>
    </row>
    <row r="576" spans="1:7" ht="14.4" x14ac:dyDescent="0.3">
      <c r="A576" s="41">
        <v>40.8035</v>
      </c>
      <c r="B576" s="42">
        <v>27729</v>
      </c>
      <c r="C576" s="43">
        <f>A576*($H$2/$I$2)</f>
        <v>40.156533624931654</v>
      </c>
      <c r="D576" s="43">
        <f>D575+1</f>
        <v>575</v>
      </c>
      <c r="E576" s="48">
        <v>22.9821323127392</v>
      </c>
      <c r="F576" s="43">
        <f>D576/1076</f>
        <v>0.53438661710037172</v>
      </c>
      <c r="G576" s="45">
        <f>1000*E576*$J$2*9.81/1000</f>
        <v>4509.0943597594314</v>
      </c>
    </row>
    <row r="577" spans="1:7" ht="14.4" x14ac:dyDescent="0.3">
      <c r="A577" s="46">
        <v>41.292099999999998</v>
      </c>
      <c r="B577" s="47">
        <v>27699</v>
      </c>
      <c r="C577" s="48">
        <f>A577*($H$2/$I$2)</f>
        <v>40.637386550027337</v>
      </c>
      <c r="D577" s="48">
        <f>D576+1</f>
        <v>576</v>
      </c>
      <c r="E577" s="43">
        <v>22.920328048113724</v>
      </c>
      <c r="F577" s="48">
        <f>D577/1076</f>
        <v>0.53531598513011147</v>
      </c>
      <c r="G577" s="49">
        <f>1000*E577*$J$2*9.81/1000</f>
        <v>4496.9683630399122</v>
      </c>
    </row>
    <row r="578" spans="1:7" ht="14.4" x14ac:dyDescent="0.3">
      <c r="A578" s="41">
        <v>16.648900000000001</v>
      </c>
      <c r="B578" s="42">
        <v>27668</v>
      </c>
      <c r="C578" s="43">
        <f>A578*($H$2/$I$2)</f>
        <v>16.38492072170585</v>
      </c>
      <c r="D578" s="43">
        <f>D577+1</f>
        <v>577</v>
      </c>
      <c r="E578" s="48">
        <v>22.886571897211589</v>
      </c>
      <c r="F578" s="43">
        <f>D578/1076</f>
        <v>0.53624535315985133</v>
      </c>
      <c r="G578" s="45">
        <f>1000*E578*$J$2*9.81/1000</f>
        <v>4490.3454062329138</v>
      </c>
    </row>
    <row r="579" spans="1:7" ht="14.4" x14ac:dyDescent="0.3">
      <c r="A579" s="46">
        <v>10.4444</v>
      </c>
      <c r="B579" s="47">
        <v>27638</v>
      </c>
      <c r="C579" s="48">
        <f>A579*($H$2/$I$2)</f>
        <v>10.278797156916347</v>
      </c>
      <c r="D579" s="48">
        <f>D578+1</f>
        <v>578</v>
      </c>
      <c r="E579" s="48">
        <v>22.816402405686169</v>
      </c>
      <c r="F579" s="48">
        <f>D579/1076</f>
        <v>0.53717472118959109</v>
      </c>
      <c r="G579" s="49">
        <f>1000*E579*$J$2*9.81/1000</f>
        <v>4476.5781519956272</v>
      </c>
    </row>
    <row r="580" spans="1:7" ht="14.4" x14ac:dyDescent="0.3">
      <c r="A580" s="41">
        <v>11.4518</v>
      </c>
      <c r="B580" s="42">
        <v>27607</v>
      </c>
      <c r="C580" s="43">
        <f>A580*($H$2/$I$2)</f>
        <v>11.270224166211044</v>
      </c>
      <c r="D580" s="43">
        <f>D579+1</f>
        <v>579</v>
      </c>
      <c r="E580" s="48">
        <v>22.771427009294698</v>
      </c>
      <c r="F580" s="43">
        <f>D580/1076</f>
        <v>0.53810408921933084</v>
      </c>
      <c r="G580" s="45">
        <f>1000*E580*$J$2*9.81/1000</f>
        <v>4467.7539792236203</v>
      </c>
    </row>
    <row r="581" spans="1:7" ht="14.4" x14ac:dyDescent="0.3">
      <c r="A581" s="46">
        <v>14.353999999999999</v>
      </c>
      <c r="B581" s="47">
        <v>27576</v>
      </c>
      <c r="C581" s="48">
        <f>A581*($H$2/$I$2)</f>
        <v>14.126407873154728</v>
      </c>
      <c r="D581" s="48">
        <f>D580+1</f>
        <v>580</v>
      </c>
      <c r="E581" s="48">
        <v>22.51141607435757</v>
      </c>
      <c r="F581" s="48">
        <f>D581/1076</f>
        <v>0.53903345724907059</v>
      </c>
      <c r="G581" s="49">
        <f>1000*E581*$J$2*9.81/1000</f>
        <v>4416.7398337889554</v>
      </c>
    </row>
    <row r="582" spans="1:7" ht="14.4" x14ac:dyDescent="0.3">
      <c r="A582" s="41">
        <v>14.7591</v>
      </c>
      <c r="B582" s="42">
        <v>27546</v>
      </c>
      <c r="C582" s="43">
        <f>A582*($H$2/$I$2)</f>
        <v>14.525084745762712</v>
      </c>
      <c r="D582" s="43">
        <f>D581+1</f>
        <v>581</v>
      </c>
      <c r="E582" s="43">
        <v>22.502558775287042</v>
      </c>
      <c r="F582" s="43">
        <f>D582/1076</f>
        <v>0.53996282527881045</v>
      </c>
      <c r="G582" s="45">
        <f>1000*E582*$J$2*9.81/1000</f>
        <v>4415.0020317113176</v>
      </c>
    </row>
    <row r="583" spans="1:7" ht="14.4" x14ac:dyDescent="0.3">
      <c r="A583" s="46">
        <v>18.615100000000002</v>
      </c>
      <c r="B583" s="47">
        <v>27515</v>
      </c>
      <c r="C583" s="48">
        <f>A583*($H$2/$I$2)</f>
        <v>18.319945325314382</v>
      </c>
      <c r="D583" s="48">
        <f>D582+1</f>
        <v>582</v>
      </c>
      <c r="E583" s="43">
        <v>22.450792782941498</v>
      </c>
      <c r="F583" s="48">
        <f>D583/1076</f>
        <v>0.54089219330855021</v>
      </c>
      <c r="G583" s="49">
        <f>1000*E583*$J$2*9.81/1000</f>
        <v>4404.845544013122</v>
      </c>
    </row>
    <row r="584" spans="1:7" ht="14.4" x14ac:dyDescent="0.3">
      <c r="A584" s="41">
        <v>24.283999999999999</v>
      </c>
      <c r="B584" s="42">
        <v>27485</v>
      </c>
      <c r="C584" s="43">
        <f>A584*($H$2/$I$2)</f>
        <v>23.898961180973206</v>
      </c>
      <c r="D584" s="43">
        <f>D583+1</f>
        <v>583</v>
      </c>
      <c r="E584" s="43">
        <v>22.400699835975942</v>
      </c>
      <c r="F584" s="43">
        <f>D584/1076</f>
        <v>0.54182156133828996</v>
      </c>
      <c r="G584" s="45">
        <f>1000*E584*$J$2*9.81/1000</f>
        <v>4395.0173078184798</v>
      </c>
    </row>
    <row r="585" spans="1:7" ht="14.4" x14ac:dyDescent="0.3">
      <c r="A585" s="46">
        <v>46.976500000000001</v>
      </c>
      <c r="B585" s="47">
        <v>27454</v>
      </c>
      <c r="C585" s="48">
        <f>A585*($H$2/$I$2)</f>
        <v>46.231656642974301</v>
      </c>
      <c r="D585" s="48">
        <f>D584+1</f>
        <v>584</v>
      </c>
      <c r="E585" s="48">
        <v>22.397353745215963</v>
      </c>
      <c r="F585" s="48">
        <f>D585/1076</f>
        <v>0.54275092936802971</v>
      </c>
      <c r="G585" s="49">
        <f>1000*E585*$J$2*9.81/1000</f>
        <v>4394.3608048113729</v>
      </c>
    </row>
    <row r="586" spans="1:7" ht="14.4" x14ac:dyDescent="0.3">
      <c r="A586" s="41">
        <v>54.464399999999998</v>
      </c>
      <c r="B586" s="42">
        <v>27426</v>
      </c>
      <c r="C586" s="43">
        <f>A586*($H$2/$I$2)</f>
        <v>53.600831055221427</v>
      </c>
      <c r="D586" s="43">
        <f>D585+1</f>
        <v>585</v>
      </c>
      <c r="E586" s="48">
        <v>22.298840896664846</v>
      </c>
      <c r="F586" s="43">
        <f>D586/1076</f>
        <v>0.54368029739776946</v>
      </c>
      <c r="G586" s="45">
        <f>1000*E586*$J$2*9.81/1000</f>
        <v>4375.0325839256429</v>
      </c>
    </row>
    <row r="587" spans="1:7" ht="14.4" x14ac:dyDescent="0.3">
      <c r="A587" s="46">
        <v>51.854100000000003</v>
      </c>
      <c r="B587" s="47">
        <v>27395</v>
      </c>
      <c r="C587" s="48">
        <f>A587*($H$2/$I$2)</f>
        <v>51.031919081465283</v>
      </c>
      <c r="D587" s="48">
        <f>D586+1</f>
        <v>586</v>
      </c>
      <c r="E587" s="48">
        <v>22.272761071623837</v>
      </c>
      <c r="F587" s="48">
        <f>D587/1076</f>
        <v>0.54460966542750933</v>
      </c>
      <c r="G587" s="49">
        <f>1000*E587*$J$2*9.81/1000</f>
        <v>4369.9157222525973</v>
      </c>
    </row>
    <row r="588" spans="1:7" ht="14.4" x14ac:dyDescent="0.3">
      <c r="A588" s="41">
        <v>41.761000000000003</v>
      </c>
      <c r="B588" s="42">
        <v>27364</v>
      </c>
      <c r="C588" s="43">
        <f>A588*($H$2/$I$2)</f>
        <v>41.098851831601969</v>
      </c>
      <c r="D588" s="43">
        <f>D587+1</f>
        <v>587</v>
      </c>
      <c r="E588" s="43">
        <v>22.255243302351012</v>
      </c>
      <c r="F588" s="43">
        <f>D588/1076</f>
        <v>0.54553903345724908</v>
      </c>
      <c r="G588" s="45">
        <f>1000*E588*$J$2*9.81/1000</f>
        <v>4366.4787359212696</v>
      </c>
    </row>
    <row r="589" spans="1:7" ht="14.4" x14ac:dyDescent="0.3">
      <c r="A589" s="46">
        <v>15.200900000000001</v>
      </c>
      <c r="B589" s="47">
        <v>27334</v>
      </c>
      <c r="C589" s="48">
        <f>A589*($H$2/$I$2)</f>
        <v>14.959879715691635</v>
      </c>
      <c r="D589" s="48">
        <f>D588+1</f>
        <v>588</v>
      </c>
      <c r="E589" s="43">
        <v>22.192454893384362</v>
      </c>
      <c r="F589" s="48">
        <f>D589/1076</f>
        <v>0.54646840148698883</v>
      </c>
      <c r="G589" s="49">
        <f>1000*E589*$J$2*9.81/1000</f>
        <v>4354.1596500820115</v>
      </c>
    </row>
    <row r="590" spans="1:7" ht="14.4" x14ac:dyDescent="0.3">
      <c r="A590" s="41">
        <v>14.9846</v>
      </c>
      <c r="B590" s="42">
        <v>27303</v>
      </c>
      <c r="C590" s="43">
        <f>A590*($H$2/$I$2)</f>
        <v>14.747009294696555</v>
      </c>
      <c r="D590" s="43">
        <f>D589+1</f>
        <v>589</v>
      </c>
      <c r="E590" s="43">
        <v>22.173756150902129</v>
      </c>
      <c r="F590" s="43">
        <f>D590/1076</f>
        <v>0.54739776951672858</v>
      </c>
      <c r="G590" s="45">
        <f>1000*E590*$J$2*9.81/1000</f>
        <v>4350.4909568069979</v>
      </c>
    </row>
    <row r="591" spans="1:7" ht="14.4" x14ac:dyDescent="0.3">
      <c r="A591" s="46">
        <v>9.6879000000000008</v>
      </c>
      <c r="B591" s="47">
        <v>27273</v>
      </c>
      <c r="C591" s="48">
        <f>A591*($H$2/$I$2)</f>
        <v>9.5342919628212144</v>
      </c>
      <c r="D591" s="48">
        <f>D590+1</f>
        <v>590</v>
      </c>
      <c r="E591" s="48">
        <v>22.143444505194093</v>
      </c>
      <c r="F591" s="48">
        <f>D591/1076</f>
        <v>0.54832713754646845</v>
      </c>
      <c r="G591" s="49">
        <f>1000*E591*$J$2*9.81/1000</f>
        <v>4344.5438119190812</v>
      </c>
    </row>
    <row r="592" spans="1:7" ht="14.4" x14ac:dyDescent="0.3">
      <c r="A592" s="41">
        <v>11.521000000000001</v>
      </c>
      <c r="B592" s="42">
        <v>27242</v>
      </c>
      <c r="C592" s="43">
        <f>A592*($H$2/$I$2)</f>
        <v>11.338326954620012</v>
      </c>
      <c r="D592" s="43">
        <f>D591+1</f>
        <v>591</v>
      </c>
      <c r="E592" s="43">
        <v>22.113034445051941</v>
      </c>
      <c r="F592" s="43">
        <f>D592/1076</f>
        <v>0.5492565055762082</v>
      </c>
      <c r="G592" s="45">
        <f>1000*E592*$J$2*9.81/1000</f>
        <v>4338.5773581191916</v>
      </c>
    </row>
    <row r="593" spans="1:7" ht="14.4" x14ac:dyDescent="0.3">
      <c r="A593" s="46">
        <v>15.665800000000001</v>
      </c>
      <c r="B593" s="47">
        <v>27211</v>
      </c>
      <c r="C593" s="48">
        <f>A593*($H$2/$I$2)</f>
        <v>15.417408419901586</v>
      </c>
      <c r="D593" s="48">
        <f>D592+1</f>
        <v>592</v>
      </c>
      <c r="E593" s="43">
        <v>22.064417714598139</v>
      </c>
      <c r="F593" s="48">
        <f>D593/1076</f>
        <v>0.55018587360594795</v>
      </c>
      <c r="G593" s="49">
        <f>1000*E593*$J$2*9.81/1000</f>
        <v>4329.0387556041551</v>
      </c>
    </row>
    <row r="594" spans="1:7" ht="14.4" x14ac:dyDescent="0.3">
      <c r="A594" s="41">
        <v>21.359500000000001</v>
      </c>
      <c r="B594" s="42">
        <v>27181</v>
      </c>
      <c r="C594" s="43">
        <f>A594*($H$2/$I$2)</f>
        <v>21.020831055221432</v>
      </c>
      <c r="D594" s="43">
        <f>D593+1</f>
        <v>593</v>
      </c>
      <c r="E594" s="48">
        <v>22.023674138873698</v>
      </c>
      <c r="F594" s="43">
        <f>D594/1076</f>
        <v>0.5511152416356877</v>
      </c>
      <c r="G594" s="45">
        <f>1000*E594*$J$2*9.81/1000</f>
        <v>4321.0448660470202</v>
      </c>
    </row>
    <row r="595" spans="1:7" ht="14.4" x14ac:dyDescent="0.3">
      <c r="A595" s="46">
        <v>23.255299999999998</v>
      </c>
      <c r="B595" s="47">
        <v>27150</v>
      </c>
      <c r="C595" s="48">
        <f>A595*($H$2/$I$2)</f>
        <v>22.886571897211589</v>
      </c>
      <c r="D595" s="48">
        <f>D594+1</f>
        <v>594</v>
      </c>
      <c r="E595" s="43">
        <v>22.019245489338434</v>
      </c>
      <c r="F595" s="48">
        <f>D595/1076</f>
        <v>0.55204460966542745</v>
      </c>
      <c r="G595" s="49">
        <f>1000*E595*$J$2*9.81/1000</f>
        <v>4320.1759650082013</v>
      </c>
    </row>
    <row r="596" spans="1:7" ht="14.4" x14ac:dyDescent="0.3">
      <c r="A596" s="41">
        <v>39.443199999999997</v>
      </c>
      <c r="B596" s="42">
        <v>27120</v>
      </c>
      <c r="C596" s="43">
        <f>A596*($H$2/$I$2)</f>
        <v>38.817802077638049</v>
      </c>
      <c r="D596" s="43">
        <f>D595+1</f>
        <v>595</v>
      </c>
      <c r="E596" s="43">
        <v>21.991197375615091</v>
      </c>
      <c r="F596" s="43">
        <f>D596/1076</f>
        <v>0.55297397769516732</v>
      </c>
      <c r="G596" s="45">
        <f>1000*E596*$J$2*9.81/1000</f>
        <v>4314.6729250956814</v>
      </c>
    </row>
    <row r="597" spans="1:7" ht="14.4" x14ac:dyDescent="0.3">
      <c r="A597" s="46">
        <v>63.499000000000002</v>
      </c>
      <c r="B597" s="47">
        <v>27089</v>
      </c>
      <c r="C597" s="48">
        <f>A597*($H$2/$I$2)</f>
        <v>62.492181519956262</v>
      </c>
      <c r="D597" s="48">
        <f>D596+1</f>
        <v>596</v>
      </c>
      <c r="E597" s="48">
        <v>21.961180973209405</v>
      </c>
      <c r="F597" s="48">
        <f>D597/1076</f>
        <v>0.55390334572490707</v>
      </c>
      <c r="G597" s="49">
        <f>1000*E597*$J$2*9.81/1000</f>
        <v>4308.7837069436855</v>
      </c>
    </row>
    <row r="598" spans="1:7" ht="14.4" x14ac:dyDescent="0.3">
      <c r="A598" s="41">
        <v>36.978700000000003</v>
      </c>
      <c r="B598" s="42">
        <v>27061</v>
      </c>
      <c r="C598" s="43">
        <f>A598*($H$2/$I$2)</f>
        <v>36.392378348824494</v>
      </c>
      <c r="D598" s="43">
        <f>D597+1</f>
        <v>597</v>
      </c>
      <c r="E598" s="48">
        <v>21.935494805904867</v>
      </c>
      <c r="F598" s="43">
        <f>D598/1076</f>
        <v>0.55483271375464682</v>
      </c>
      <c r="G598" s="45">
        <f>1000*E598*$J$2*9.81/1000</f>
        <v>4303.7440809185346</v>
      </c>
    </row>
    <row r="599" spans="1:7" ht="14.4" x14ac:dyDescent="0.3">
      <c r="A599" s="46">
        <v>51.919899999999998</v>
      </c>
      <c r="B599" s="47">
        <v>27030</v>
      </c>
      <c r="C599" s="48">
        <f>A599*($H$2/$I$2)</f>
        <v>51.096675779114264</v>
      </c>
      <c r="D599" s="48">
        <f>D598+1</f>
        <v>598</v>
      </c>
      <c r="E599" s="48">
        <v>21.921323127392018</v>
      </c>
      <c r="F599" s="48">
        <f>D599/1076</f>
        <v>0.55576208178438657</v>
      </c>
      <c r="G599" s="49">
        <f>1000*E599*$J$2*9.81/1000</f>
        <v>4300.9635975943129</v>
      </c>
    </row>
    <row r="600" spans="1:7" ht="14.4" x14ac:dyDescent="0.3">
      <c r="A600" s="41">
        <v>48.377400000000002</v>
      </c>
      <c r="B600" s="42">
        <v>26999</v>
      </c>
      <c r="C600" s="43">
        <f>A600*($H$2/$I$2)</f>
        <v>47.610344450519406</v>
      </c>
      <c r="D600" s="43">
        <f>D599+1</f>
        <v>599</v>
      </c>
      <c r="E600" s="43">
        <v>21.830585019136141</v>
      </c>
      <c r="F600" s="43">
        <f>D600/1076</f>
        <v>0.55669144981412644</v>
      </c>
      <c r="G600" s="45">
        <f>1000*E600*$J$2*9.81/1000</f>
        <v>4283.1607807545115</v>
      </c>
    </row>
    <row r="601" spans="1:7" ht="14.4" x14ac:dyDescent="0.3">
      <c r="A601" s="46">
        <v>26.3538</v>
      </c>
      <c r="B601" s="47">
        <v>26969</v>
      </c>
      <c r="C601" s="48">
        <f>A601*($H$2/$I$2)</f>
        <v>25.935943138326955</v>
      </c>
      <c r="D601" s="48">
        <f>D600+1</f>
        <v>600</v>
      </c>
      <c r="E601" s="43">
        <v>21.817594313832696</v>
      </c>
      <c r="F601" s="48">
        <f>D601/1076</f>
        <v>0.55762081784386619</v>
      </c>
      <c r="G601" s="49">
        <f>1000*E601*$J$2*9.81/1000</f>
        <v>4280.6120043739747</v>
      </c>
    </row>
    <row r="602" spans="1:7" ht="14.4" x14ac:dyDescent="0.3">
      <c r="A602" s="41">
        <v>17.931699999999999</v>
      </c>
      <c r="B602" s="42">
        <v>26938</v>
      </c>
      <c r="C602" s="43">
        <f>A602*($H$2/$I$2)</f>
        <v>17.647381082558773</v>
      </c>
      <c r="D602" s="43">
        <f>D601+1</f>
        <v>601</v>
      </c>
      <c r="E602" s="48">
        <v>21.797616183706943</v>
      </c>
      <c r="F602" s="43">
        <f>D602/1076</f>
        <v>0.55855018587360594</v>
      </c>
      <c r="G602" s="45">
        <f>1000*E602*$J$2*9.81/1000</f>
        <v>4276.6922952433024</v>
      </c>
    </row>
    <row r="603" spans="1:7" ht="14.4" x14ac:dyDescent="0.3">
      <c r="A603" s="46">
        <v>8.1026000000000007</v>
      </c>
      <c r="B603" s="47">
        <v>26908</v>
      </c>
      <c r="C603" s="48">
        <f>A603*($H$2/$I$2)</f>
        <v>7.9741279387643527</v>
      </c>
      <c r="D603" s="48">
        <f>D602+1</f>
        <v>602</v>
      </c>
      <c r="E603" s="48">
        <v>21.796632039365772</v>
      </c>
      <c r="F603" s="48">
        <f>D603/1076</f>
        <v>0.55947955390334569</v>
      </c>
      <c r="G603" s="49">
        <f>1000*E603*$J$2*9.81/1000</f>
        <v>4276.4992061235644</v>
      </c>
    </row>
    <row r="604" spans="1:7" ht="14.4" x14ac:dyDescent="0.3">
      <c r="A604" s="41">
        <v>9.9314</v>
      </c>
      <c r="B604" s="42">
        <v>26877</v>
      </c>
      <c r="C604" s="43">
        <f>A604*($H$2/$I$2)</f>
        <v>9.7739311098961181</v>
      </c>
      <c r="D604" s="43">
        <f>D603+1</f>
        <v>603</v>
      </c>
      <c r="E604" s="43">
        <v>21.7950574084199</v>
      </c>
      <c r="F604" s="43">
        <f>D604/1076</f>
        <v>0.56040892193308545</v>
      </c>
      <c r="G604" s="45">
        <f>1000*E604*$J$2*9.81/1000</f>
        <v>4276.1902635319848</v>
      </c>
    </row>
    <row r="605" spans="1:7" ht="14.4" x14ac:dyDescent="0.3">
      <c r="A605" s="46">
        <v>13.6508</v>
      </c>
      <c r="B605" s="47">
        <v>26846</v>
      </c>
      <c r="C605" s="48">
        <f>A605*($H$2/$I$2)</f>
        <v>13.434357572443957</v>
      </c>
      <c r="D605" s="48">
        <f>D604+1</f>
        <v>604</v>
      </c>
      <c r="E605" s="48">
        <v>21.764942591580098</v>
      </c>
      <c r="F605" s="48">
        <f>D605/1076</f>
        <v>0.56133828996282531</v>
      </c>
      <c r="G605" s="49">
        <f>1000*E605*$J$2*9.81/1000</f>
        <v>4270.281736468015</v>
      </c>
    </row>
    <row r="606" spans="1:7" ht="14.4" x14ac:dyDescent="0.3">
      <c r="A606" s="41">
        <v>14.209199999999999</v>
      </c>
      <c r="B606" s="42">
        <v>26816</v>
      </c>
      <c r="C606" s="43">
        <f>A606*($H$2/$I$2)</f>
        <v>13.983903772553306</v>
      </c>
      <c r="D606" s="43">
        <f>D605+1</f>
        <v>605</v>
      </c>
      <c r="E606" s="48">
        <v>21.70805904866047</v>
      </c>
      <c r="F606" s="43">
        <f>D606/1076</f>
        <v>0.56226765799256506</v>
      </c>
      <c r="G606" s="45">
        <f>1000*E606*$J$2*9.81/1000</f>
        <v>4259.1211853471841</v>
      </c>
    </row>
    <row r="607" spans="1:7" ht="14.4" x14ac:dyDescent="0.3">
      <c r="A607" s="46">
        <v>19.337599999999998</v>
      </c>
      <c r="B607" s="47">
        <v>26785</v>
      </c>
      <c r="C607" s="48">
        <f>A607*($H$2/$I$2)</f>
        <v>19.03098961180973</v>
      </c>
      <c r="D607" s="48">
        <f>D606+1</f>
        <v>606</v>
      </c>
      <c r="E607" s="48">
        <v>21.707271733187532</v>
      </c>
      <c r="F607" s="48">
        <f>D607/1076</f>
        <v>0.56319702602230481</v>
      </c>
      <c r="G607" s="49">
        <f>1000*E607*$J$2*9.81/1000</f>
        <v>4258.9667140513939</v>
      </c>
    </row>
    <row r="608" spans="1:7" ht="14.4" x14ac:dyDescent="0.3">
      <c r="A608" s="41">
        <v>31.344899999999999</v>
      </c>
      <c r="B608" s="42">
        <v>26755</v>
      </c>
      <c r="C608" s="43">
        <f>A608*($H$2/$I$2)</f>
        <v>30.847905959540732</v>
      </c>
      <c r="D608" s="43">
        <f>D607+1</f>
        <v>607</v>
      </c>
      <c r="E608" s="43">
        <v>21.604330235101148</v>
      </c>
      <c r="F608" s="43">
        <f>D608/1076</f>
        <v>0.56412639405204457</v>
      </c>
      <c r="G608" s="45">
        <f>1000*E608*$J$2*9.81/1000</f>
        <v>4238.7695921268451</v>
      </c>
    </row>
    <row r="609" spans="1:7" ht="14.4" x14ac:dyDescent="0.3">
      <c r="A609" s="46">
        <v>27.3584</v>
      </c>
      <c r="B609" s="47">
        <v>26724</v>
      </c>
      <c r="C609" s="48">
        <f>A609*($H$2/$I$2)</f>
        <v>26.924614543466372</v>
      </c>
      <c r="D609" s="48">
        <f>D608+1</f>
        <v>608</v>
      </c>
      <c r="E609" s="43">
        <v>21.591930016402408</v>
      </c>
      <c r="F609" s="48">
        <f>D609/1076</f>
        <v>0.56505576208178443</v>
      </c>
      <c r="G609" s="49">
        <f>1000*E609*$J$2*9.81/1000</f>
        <v>4236.3366692181517</v>
      </c>
    </row>
    <row r="610" spans="1:7" ht="14.4" x14ac:dyDescent="0.3">
      <c r="A610" s="41">
        <v>51.453800000000001</v>
      </c>
      <c r="B610" s="42">
        <v>26696</v>
      </c>
      <c r="C610" s="43">
        <f>A610*($H$2/$I$2)</f>
        <v>50.637966101694914</v>
      </c>
      <c r="D610" s="43">
        <f>D609+1</f>
        <v>609</v>
      </c>
      <c r="E610" s="43">
        <v>21.575593220338984</v>
      </c>
      <c r="F610" s="43">
        <f>D610/1076</f>
        <v>0.56598513011152418</v>
      </c>
      <c r="G610" s="45">
        <f>1000*E610*$J$2*9.81/1000</f>
        <v>4233.1313898305089</v>
      </c>
    </row>
    <row r="611" spans="1:7" ht="14.4" x14ac:dyDescent="0.3">
      <c r="A611" s="46">
        <v>58.674500000000002</v>
      </c>
      <c r="B611" s="47">
        <v>26665</v>
      </c>
      <c r="C611" s="48">
        <f>A611*($H$2/$I$2)</f>
        <v>57.744177145981411</v>
      </c>
      <c r="D611" s="48">
        <f>D610+1</f>
        <v>610</v>
      </c>
      <c r="E611" s="48">
        <v>21.56260251503554</v>
      </c>
      <c r="F611" s="48">
        <f>D611/1076</f>
        <v>0.56691449814126393</v>
      </c>
      <c r="G611" s="49">
        <f>1000*E611*$J$2*9.81/1000</f>
        <v>4230.582613449973</v>
      </c>
    </row>
    <row r="612" spans="1:7" ht="14.4" x14ac:dyDescent="0.3">
      <c r="A612" s="41">
        <v>54.252299999999998</v>
      </c>
      <c r="B612" s="42">
        <v>26634</v>
      </c>
      <c r="C612" s="43">
        <f>A612*($H$2/$I$2)</f>
        <v>53.392094040459263</v>
      </c>
      <c r="D612" s="43">
        <f>D611+1</f>
        <v>611</v>
      </c>
      <c r="E612" s="48">
        <v>21.561913613996719</v>
      </c>
      <c r="F612" s="43">
        <f>D612/1076</f>
        <v>0.56784386617100369</v>
      </c>
      <c r="G612" s="45">
        <f>1000*E612*$J$2*9.81/1000</f>
        <v>4230.4474510661566</v>
      </c>
    </row>
    <row r="613" spans="1:7" ht="14.4" x14ac:dyDescent="0.3">
      <c r="A613" s="46">
        <v>57.877499999999998</v>
      </c>
      <c r="B613" s="47">
        <v>26604</v>
      </c>
      <c r="C613" s="48">
        <f>A613*($H$2/$I$2)</f>
        <v>56.959814106068883</v>
      </c>
      <c r="D613" s="48">
        <f>D612+1</f>
        <v>612</v>
      </c>
      <c r="E613" s="48">
        <v>21.504931656642974</v>
      </c>
      <c r="F613" s="48">
        <f>D613/1076</f>
        <v>0.56877323420074355</v>
      </c>
      <c r="G613" s="49">
        <f>1000*E613*$J$2*9.81/1000</f>
        <v>4219.2675910333519</v>
      </c>
    </row>
    <row r="614" spans="1:7" ht="14.4" x14ac:dyDescent="0.3">
      <c r="A614" s="41">
        <v>24.8749</v>
      </c>
      <c r="B614" s="42">
        <v>26573</v>
      </c>
      <c r="C614" s="43">
        <f>A614*($H$2/$I$2)</f>
        <v>24.480492072170584</v>
      </c>
      <c r="D614" s="43">
        <f>D613+1</f>
        <v>613</v>
      </c>
      <c r="E614" s="48">
        <v>21.457594313832693</v>
      </c>
      <c r="F614" s="43">
        <f>D614/1076</f>
        <v>0.5697026022304833</v>
      </c>
      <c r="G614" s="45">
        <f>1000*E614*$J$2*9.81/1000</f>
        <v>4209.9800043739751</v>
      </c>
    </row>
    <row r="615" spans="1:7" ht="14.4" x14ac:dyDescent="0.3">
      <c r="A615" s="46">
        <v>9.1182999999999996</v>
      </c>
      <c r="B615" s="47">
        <v>26543</v>
      </c>
      <c r="C615" s="48">
        <f>A615*($H$2/$I$2)</f>
        <v>8.9737233460907593</v>
      </c>
      <c r="D615" s="48">
        <f>D614+1</f>
        <v>614</v>
      </c>
      <c r="E615" s="48">
        <v>21.440765445598689</v>
      </c>
      <c r="F615" s="48">
        <f>D615/1076</f>
        <v>0.57063197026022305</v>
      </c>
      <c r="G615" s="49">
        <f>1000*E615*$J$2*9.81/1000</f>
        <v>4206.6781804264638</v>
      </c>
    </row>
    <row r="616" spans="1:7" ht="14.4" x14ac:dyDescent="0.3">
      <c r="A616" s="41">
        <v>12.0421</v>
      </c>
      <c r="B616" s="42">
        <v>26512</v>
      </c>
      <c r="C616" s="43">
        <f>A616*($H$2/$I$2)</f>
        <v>11.851164570803718</v>
      </c>
      <c r="D616" s="43">
        <f>D615+1</f>
        <v>615</v>
      </c>
      <c r="E616" s="43">
        <v>21.416653909240022</v>
      </c>
      <c r="F616" s="43">
        <f>D616/1076</f>
        <v>0.57156133828996281</v>
      </c>
      <c r="G616" s="45">
        <f>1000*E616*$J$2*9.81/1000</f>
        <v>4201.9474969928924</v>
      </c>
    </row>
    <row r="617" spans="1:7" ht="14.4" x14ac:dyDescent="0.3">
      <c r="A617" s="46">
        <v>17.680099999999999</v>
      </c>
      <c r="B617" s="47">
        <v>26481</v>
      </c>
      <c r="C617" s="48">
        <f>A617*($H$2/$I$2)</f>
        <v>17.399770366320393</v>
      </c>
      <c r="D617" s="48">
        <f>D616+1</f>
        <v>616</v>
      </c>
      <c r="E617" s="43">
        <v>21.322274466921815</v>
      </c>
      <c r="F617" s="48">
        <f>D617/1076</f>
        <v>0.57249070631970256</v>
      </c>
      <c r="G617" s="49">
        <f>1000*E617*$J$2*9.81/1000</f>
        <v>4183.4302504100597</v>
      </c>
    </row>
    <row r="618" spans="1:7" ht="14.4" x14ac:dyDescent="0.3">
      <c r="A618" s="41">
        <v>12.9795</v>
      </c>
      <c r="B618" s="42">
        <v>26451</v>
      </c>
      <c r="C618" s="43">
        <f>A618*($H$2/$I$2)</f>
        <v>12.773701476216511</v>
      </c>
      <c r="D618" s="43">
        <f>D617+1</f>
        <v>617</v>
      </c>
      <c r="E618" s="43">
        <v>21.298261344997265</v>
      </c>
      <c r="F618" s="43">
        <f>D618/1076</f>
        <v>0.57342007434944242</v>
      </c>
      <c r="G618" s="45">
        <f>1000*E618*$J$2*9.81/1000</f>
        <v>4178.718875888464</v>
      </c>
    </row>
    <row r="619" spans="1:7" ht="14.4" x14ac:dyDescent="0.3">
      <c r="A619" s="46">
        <v>17.794799999999999</v>
      </c>
      <c r="B619" s="47">
        <v>26420</v>
      </c>
      <c r="C619" s="48">
        <f>A619*($H$2/$I$2)</f>
        <v>17.512651722252595</v>
      </c>
      <c r="D619" s="48">
        <f>D618+1</f>
        <v>618</v>
      </c>
      <c r="E619" s="48">
        <v>21.283892837616182</v>
      </c>
      <c r="F619" s="48">
        <f>D619/1076</f>
        <v>0.57434944237918217</v>
      </c>
      <c r="G619" s="49">
        <f>1000*E619*$J$2*9.81/1000</f>
        <v>4175.8997747402955</v>
      </c>
    </row>
    <row r="620" spans="1:7" ht="14.4" x14ac:dyDescent="0.3">
      <c r="A620" s="41">
        <v>27.876899999999999</v>
      </c>
      <c r="B620" s="42">
        <v>26390</v>
      </c>
      <c r="C620" s="43">
        <f>A620*($H$2/$I$2)</f>
        <v>27.43489338436304</v>
      </c>
      <c r="D620" s="43">
        <f>D619+1</f>
        <v>619</v>
      </c>
      <c r="E620" s="43">
        <v>21.275429196282122</v>
      </c>
      <c r="F620" s="43">
        <f>D620/1076</f>
        <v>0.57527881040892193</v>
      </c>
      <c r="G620" s="45">
        <f>1000*E620*$J$2*9.81/1000</f>
        <v>4174.2392083105524</v>
      </c>
    </row>
    <row r="621" spans="1:7" ht="14.4" x14ac:dyDescent="0.3">
      <c r="A621" s="46">
        <v>56.818399999999997</v>
      </c>
      <c r="B621" s="47">
        <v>26359</v>
      </c>
      <c r="C621" s="48">
        <f>A621*($H$2/$I$2)</f>
        <v>55.917506834335697</v>
      </c>
      <c r="D621" s="48">
        <f>D620+1</f>
        <v>620</v>
      </c>
      <c r="E621" s="48">
        <v>21.272476763258613</v>
      </c>
      <c r="F621" s="48">
        <f>D621/1076</f>
        <v>0.57620817843866168</v>
      </c>
      <c r="G621" s="49">
        <f>1000*E621*$J$2*9.81/1000</f>
        <v>4173.6599409513401</v>
      </c>
    </row>
    <row r="622" spans="1:7" ht="14.4" x14ac:dyDescent="0.3">
      <c r="A622" s="41">
        <v>57.792000000000002</v>
      </c>
      <c r="B622" s="42">
        <v>26330</v>
      </c>
      <c r="C622" s="43">
        <f>A622*($H$2/$I$2)</f>
        <v>56.875669764898852</v>
      </c>
      <c r="D622" s="43">
        <f>D621+1</f>
        <v>621</v>
      </c>
      <c r="E622" s="48">
        <v>21.236850738108256</v>
      </c>
      <c r="F622" s="43">
        <f>D622/1076</f>
        <v>0.57713754646840154</v>
      </c>
      <c r="G622" s="45">
        <f>1000*E622*$J$2*9.81/1000</f>
        <v>4166.6701148168404</v>
      </c>
    </row>
    <row r="623" spans="1:7" ht="14.4" x14ac:dyDescent="0.3">
      <c r="A623" s="46">
        <v>32.880600000000001</v>
      </c>
      <c r="B623" s="47">
        <v>26299</v>
      </c>
      <c r="C623" s="48">
        <f>A623*($H$2/$I$2)</f>
        <v>32.359256424275557</v>
      </c>
      <c r="D623" s="48">
        <f>D622+1</f>
        <v>622</v>
      </c>
      <c r="E623" s="43">
        <v>21.188332422088571</v>
      </c>
      <c r="F623" s="48">
        <f>D623/1076</f>
        <v>0.57806691449814129</v>
      </c>
      <c r="G623" s="49">
        <f>1000*E623*$J$2*9.81/1000</f>
        <v>4157.1508212137778</v>
      </c>
    </row>
    <row r="624" spans="1:7" ht="14.4" x14ac:dyDescent="0.3">
      <c r="A624" s="41">
        <v>49.987499999999997</v>
      </c>
      <c r="B624" s="42">
        <v>26268</v>
      </c>
      <c r="C624" s="43">
        <f>A624*($H$2/$I$2)</f>
        <v>49.194915254237287</v>
      </c>
      <c r="D624" s="43">
        <f>D623+1</f>
        <v>623</v>
      </c>
      <c r="E624" s="48">
        <v>21.184199015855658</v>
      </c>
      <c r="F624" s="43">
        <f>D624/1076</f>
        <v>0.57899628252788105</v>
      </c>
      <c r="G624" s="45">
        <f>1000*E624*$J$2*9.81/1000</f>
        <v>4156.3398469108806</v>
      </c>
    </row>
    <row r="625" spans="1:7" ht="14.4" x14ac:dyDescent="0.3">
      <c r="A625" s="46">
        <v>17.717099999999999</v>
      </c>
      <c r="B625" s="47">
        <v>26238</v>
      </c>
      <c r="C625" s="48">
        <f>A625*($H$2/$I$2)</f>
        <v>17.436183706943684</v>
      </c>
      <c r="D625" s="48">
        <f>D624+1</f>
        <v>624</v>
      </c>
      <c r="E625" s="43">
        <v>21.146703116457079</v>
      </c>
      <c r="F625" s="48">
        <f>D625/1076</f>
        <v>0.5799256505576208</v>
      </c>
      <c r="G625" s="49">
        <f>1000*E625*$J$2*9.81/1000</f>
        <v>4148.9831514488797</v>
      </c>
    </row>
    <row r="626" spans="1:7" ht="14.4" x14ac:dyDescent="0.3">
      <c r="A626" s="41">
        <v>15.6053</v>
      </c>
      <c r="B626" s="42">
        <v>26207</v>
      </c>
      <c r="C626" s="43">
        <f>A626*($H$2/$I$2)</f>
        <v>15.357867687260798</v>
      </c>
      <c r="D626" s="43">
        <f>D625+1</f>
        <v>625</v>
      </c>
      <c r="E626" s="48">
        <v>21.112651722252597</v>
      </c>
      <c r="F626" s="43">
        <f>D626/1076</f>
        <v>0.58085501858736055</v>
      </c>
      <c r="G626" s="45">
        <f>1000*E626*$J$2*9.81/1000</f>
        <v>4142.3022679059604</v>
      </c>
    </row>
    <row r="627" spans="1:7" ht="14.4" x14ac:dyDescent="0.3">
      <c r="A627" s="46">
        <v>4.5983000000000001</v>
      </c>
      <c r="B627" s="47">
        <v>26177</v>
      </c>
      <c r="C627" s="48">
        <f>A627*($H$2/$I$2)</f>
        <v>4.5253909240021866</v>
      </c>
      <c r="D627" s="48">
        <f>D626+1</f>
        <v>626</v>
      </c>
      <c r="E627" s="48">
        <v>21.10438490978677</v>
      </c>
      <c r="F627" s="48">
        <f>D627/1076</f>
        <v>0.58178438661710041</v>
      </c>
      <c r="G627" s="49">
        <f>1000*E627*$J$2*9.81/1000</f>
        <v>4140.6803193001651</v>
      </c>
    </row>
    <row r="628" spans="1:7" ht="14.4" x14ac:dyDescent="0.3">
      <c r="A628" s="41">
        <v>3.2749000000000001</v>
      </c>
      <c r="B628" s="42">
        <v>26146</v>
      </c>
      <c r="C628" s="43">
        <f>A628*($H$2/$I$2)</f>
        <v>3.2229743028977582</v>
      </c>
      <c r="D628" s="43">
        <f>D627+1</f>
        <v>627</v>
      </c>
      <c r="E628" s="43">
        <v>21.09641334062329</v>
      </c>
      <c r="F628" s="43">
        <f>D628/1076</f>
        <v>0.58271375464684017</v>
      </c>
      <c r="G628" s="45">
        <f>1000*E628*$J$2*9.81/1000</f>
        <v>4139.1162974302897</v>
      </c>
    </row>
    <row r="629" spans="1:7" ht="14.4" x14ac:dyDescent="0.3">
      <c r="A629" s="46">
        <v>5.2569999999999997</v>
      </c>
      <c r="B629" s="47">
        <v>26115</v>
      </c>
      <c r="C629" s="48">
        <f>A629*($H$2/$I$2)</f>
        <v>5.1736468015308903</v>
      </c>
      <c r="D629" s="48">
        <f>D628+1</f>
        <v>628</v>
      </c>
      <c r="E629" s="48">
        <v>21.048977583378896</v>
      </c>
      <c r="F629" s="48">
        <f>D629/1076</f>
        <v>0.58364312267657992</v>
      </c>
      <c r="G629" s="49">
        <f>1000*E629*$J$2*9.81/1000</f>
        <v>4129.80940185894</v>
      </c>
    </row>
    <row r="630" spans="1:7" ht="14.4" x14ac:dyDescent="0.3">
      <c r="A630" s="41">
        <v>9.3138000000000005</v>
      </c>
      <c r="B630" s="42">
        <v>26085</v>
      </c>
      <c r="C630" s="43">
        <f>A630*($H$2/$I$2)</f>
        <v>9.166123564789503</v>
      </c>
      <c r="D630" s="43">
        <f>D629+1</f>
        <v>629</v>
      </c>
      <c r="E630" s="43">
        <v>21.020831055221432</v>
      </c>
      <c r="F630" s="43">
        <f>D630/1076</f>
        <v>0.58457249070631967</v>
      </c>
      <c r="G630" s="45">
        <f>1000*E630*$J$2*9.81/1000</f>
        <v>4124.2870530344453</v>
      </c>
    </row>
    <row r="631" spans="1:7" ht="14.4" x14ac:dyDescent="0.3">
      <c r="A631" s="46">
        <v>4.6227</v>
      </c>
      <c r="B631" s="47">
        <v>26054</v>
      </c>
      <c r="C631" s="48">
        <f>A631*($H$2/$I$2)</f>
        <v>4.5494040459267362</v>
      </c>
      <c r="D631" s="48">
        <f>D630+1</f>
        <v>630</v>
      </c>
      <c r="E631" s="48">
        <v>21.006068890103879</v>
      </c>
      <c r="F631" s="48">
        <f>D631/1076</f>
        <v>0.58550185873605953</v>
      </c>
      <c r="G631" s="49">
        <f>1000*E631*$J$2*9.81/1000</f>
        <v>4121.3907162383821</v>
      </c>
    </row>
    <row r="632" spans="1:7" ht="14.4" x14ac:dyDescent="0.3">
      <c r="A632" s="41">
        <v>10.1648</v>
      </c>
      <c r="B632" s="42">
        <v>26024</v>
      </c>
      <c r="C632" s="43">
        <f>A632*($H$2/$I$2)</f>
        <v>10.003630399125205</v>
      </c>
      <c r="D632" s="43">
        <f>D631+1</f>
        <v>631</v>
      </c>
      <c r="E632" s="48">
        <v>20.986189174412246</v>
      </c>
      <c r="F632" s="43">
        <f>D632/1076</f>
        <v>0.58643122676579928</v>
      </c>
      <c r="G632" s="45">
        <f>1000*E632*$J$2*9.81/1000</f>
        <v>4117.4903160196836</v>
      </c>
    </row>
    <row r="633" spans="1:7" ht="14.4" x14ac:dyDescent="0.3">
      <c r="A633" s="46">
        <v>13.568199999999999</v>
      </c>
      <c r="B633" s="47">
        <v>25993</v>
      </c>
      <c r="C633" s="48">
        <f>A633*($H$2/$I$2)</f>
        <v>13.353067249863312</v>
      </c>
      <c r="D633" s="48">
        <f>D632+1</f>
        <v>632</v>
      </c>
      <c r="E633" s="43">
        <v>20.923597594313833</v>
      </c>
      <c r="F633" s="48">
        <f>D633/1076</f>
        <v>0.58736059479553904</v>
      </c>
      <c r="G633" s="49">
        <f>1000*E633*$J$2*9.81/1000</f>
        <v>4105.2098480043742</v>
      </c>
    </row>
    <row r="634" spans="1:7" ht="14.4" x14ac:dyDescent="0.3">
      <c r="A634" s="41">
        <v>8.3632000000000009</v>
      </c>
      <c r="B634" s="42">
        <v>25965</v>
      </c>
      <c r="C634" s="43">
        <f>A634*($H$2/$I$2)</f>
        <v>8.2305959540732641</v>
      </c>
      <c r="D634" s="43">
        <f>D633+1</f>
        <v>633</v>
      </c>
      <c r="E634" s="43">
        <v>20.919267359212682</v>
      </c>
      <c r="F634" s="43">
        <f>D634/1076</f>
        <v>0.58828996282527879</v>
      </c>
      <c r="G634" s="45">
        <f>1000*E634*$J$2*9.81/1000</f>
        <v>4104.3602558775283</v>
      </c>
    </row>
    <row r="635" spans="1:7" ht="14.4" x14ac:dyDescent="0.3">
      <c r="A635" s="46">
        <v>19.925000000000001</v>
      </c>
      <c r="B635" s="47">
        <v>25934</v>
      </c>
      <c r="C635" s="48">
        <f>A635*($H$2/$I$2)</f>
        <v>19.609075997813012</v>
      </c>
      <c r="D635" s="48">
        <f>D634+1</f>
        <v>634</v>
      </c>
      <c r="E635" s="48">
        <v>20.865041006014216</v>
      </c>
      <c r="F635" s="48">
        <f>D635/1076</f>
        <v>0.58921933085501854</v>
      </c>
      <c r="G635" s="49">
        <f>1000*E635*$J$2*9.81/1000</f>
        <v>4093.7210453799894</v>
      </c>
    </row>
    <row r="636" spans="1:7" ht="14.4" x14ac:dyDescent="0.3">
      <c r="A636" s="41">
        <v>19.355499999999999</v>
      </c>
      <c r="B636" s="42">
        <v>25903</v>
      </c>
      <c r="C636" s="43">
        <f>A636*($H$2/$I$2)</f>
        <v>19.048605795516675</v>
      </c>
      <c r="D636" s="43">
        <f>D635+1</f>
        <v>635</v>
      </c>
      <c r="E636" s="48">
        <v>20.739759431383266</v>
      </c>
      <c r="F636" s="43">
        <f>D636/1076</f>
        <v>0.5901486988847584</v>
      </c>
      <c r="G636" s="45">
        <f>1000*E636*$J$2*9.81/1000</f>
        <v>4069.1408004373975</v>
      </c>
    </row>
    <row r="637" spans="1:7" ht="14.4" x14ac:dyDescent="0.3">
      <c r="A637" s="46">
        <v>23.933800000000002</v>
      </c>
      <c r="B637" s="47">
        <v>25873</v>
      </c>
      <c r="C637" s="48">
        <f>A637*($H$2/$I$2)</f>
        <v>23.554313832695463</v>
      </c>
      <c r="D637" s="48">
        <f>D636+1</f>
        <v>636</v>
      </c>
      <c r="E637" s="48">
        <v>20.71997813012575</v>
      </c>
      <c r="F637" s="48">
        <f>D637/1076</f>
        <v>0.59107806691449816</v>
      </c>
      <c r="G637" s="49">
        <f>1000*E637*$J$2*9.81/1000</f>
        <v>4065.2597091306725</v>
      </c>
    </row>
    <row r="638" spans="1:7" ht="14.4" x14ac:dyDescent="0.3">
      <c r="A638" s="41">
        <v>14.1655</v>
      </c>
      <c r="B638" s="42">
        <v>25842</v>
      </c>
      <c r="C638" s="43">
        <f>A638*($H$2/$I$2)</f>
        <v>13.940896664844177</v>
      </c>
      <c r="D638" s="43">
        <f>D637+1</f>
        <v>637</v>
      </c>
      <c r="E638" s="43">
        <v>20.699409513395299</v>
      </c>
      <c r="F638" s="43">
        <f>D638/1076</f>
        <v>0.59200743494423791</v>
      </c>
      <c r="G638" s="45">
        <f>1000*E638*$J$2*9.81/1000</f>
        <v>4061.2241465281572</v>
      </c>
    </row>
    <row r="639" spans="1:7" ht="14.4" x14ac:dyDescent="0.3">
      <c r="A639" s="46">
        <v>14.6013</v>
      </c>
      <c r="B639" s="47">
        <v>25812</v>
      </c>
      <c r="C639" s="48">
        <f>A639*($H$2/$I$2)</f>
        <v>14.36978676872608</v>
      </c>
      <c r="D639" s="48">
        <f>D638+1</f>
        <v>638</v>
      </c>
      <c r="E639" s="48">
        <v>20.678840896664845</v>
      </c>
      <c r="F639" s="48">
        <f>D639/1076</f>
        <v>0.59293680297397766</v>
      </c>
      <c r="G639" s="49">
        <f>1000*E639*$J$2*9.81/1000</f>
        <v>4057.1885839256429</v>
      </c>
    </row>
    <row r="640" spans="1:7" ht="14.4" x14ac:dyDescent="0.3">
      <c r="A640" s="41">
        <v>10.147</v>
      </c>
      <c r="B640" s="42">
        <v>25781</v>
      </c>
      <c r="C640" s="43">
        <f>A640*($H$2/$I$2)</f>
        <v>9.9861126298523786</v>
      </c>
      <c r="D640" s="43">
        <f>D639+1</f>
        <v>639</v>
      </c>
      <c r="E640" s="48">
        <v>20.677266265718973</v>
      </c>
      <c r="F640" s="43">
        <f>D640/1076</f>
        <v>0.59386617100371752</v>
      </c>
      <c r="G640" s="45">
        <f>1000*E640*$J$2*9.81/1000</f>
        <v>4056.8796413340624</v>
      </c>
    </row>
    <row r="641" spans="1:7" ht="14.4" x14ac:dyDescent="0.3">
      <c r="A641" s="46">
        <v>10.543200000000001</v>
      </c>
      <c r="B641" s="47">
        <v>25750</v>
      </c>
      <c r="C641" s="48">
        <f>A641*($H$2/$I$2)</f>
        <v>10.376030617823949</v>
      </c>
      <c r="D641" s="48">
        <f>D640+1</f>
        <v>640</v>
      </c>
      <c r="E641" s="48">
        <v>20.647348277747401</v>
      </c>
      <c r="F641" s="48">
        <f>D641/1076</f>
        <v>0.59479553903345728</v>
      </c>
      <c r="G641" s="49">
        <f>1000*E641*$J$2*9.81/1000</f>
        <v>4051.0097320940399</v>
      </c>
    </row>
    <row r="642" spans="1:7" ht="14.4" x14ac:dyDescent="0.3">
      <c r="A642" s="41">
        <v>11.280900000000001</v>
      </c>
      <c r="B642" s="42">
        <v>25720</v>
      </c>
      <c r="C642" s="43">
        <f>A642*($H$2/$I$2)</f>
        <v>11.102033898305086</v>
      </c>
      <c r="D642" s="43">
        <f>D641+1</f>
        <v>641</v>
      </c>
      <c r="E642" s="48">
        <v>20.582985237834883</v>
      </c>
      <c r="F642" s="43">
        <f>D642/1076</f>
        <v>0.59572490706319703</v>
      </c>
      <c r="G642" s="45">
        <f>1000*E642*$J$2*9.81/1000</f>
        <v>4038.3817036632049</v>
      </c>
    </row>
    <row r="643" spans="1:7" ht="14.4" x14ac:dyDescent="0.3">
      <c r="A643" s="46">
        <v>14.8916</v>
      </c>
      <c r="B643" s="47">
        <v>25689</v>
      </c>
      <c r="C643" s="48">
        <f>A643*($H$2/$I$2)</f>
        <v>14.655483870967743</v>
      </c>
      <c r="D643" s="48">
        <f>D642+1</f>
        <v>642</v>
      </c>
      <c r="E643" s="48">
        <v>20.556806998359761</v>
      </c>
      <c r="F643" s="48">
        <f>D643/1076</f>
        <v>0.59665427509293678</v>
      </c>
      <c r="G643" s="49">
        <f>1000*E643*$J$2*9.81/1000</f>
        <v>4033.2455330781854</v>
      </c>
    </row>
    <row r="644" spans="1:7" ht="14.4" x14ac:dyDescent="0.3">
      <c r="A644" s="41">
        <v>23.468599999999999</v>
      </c>
      <c r="B644" s="42">
        <v>25659</v>
      </c>
      <c r="C644" s="43">
        <f>A644*($H$2/$I$2)</f>
        <v>23.096489885183157</v>
      </c>
      <c r="D644" s="43">
        <f>D643+1</f>
        <v>643</v>
      </c>
      <c r="E644" s="48">
        <v>20.452979770366319</v>
      </c>
      <c r="F644" s="43">
        <f>D644/1076</f>
        <v>0.59758364312267653</v>
      </c>
      <c r="G644" s="45">
        <f>1000*E644*$J$2*9.81/1000</f>
        <v>4012.8746309458725</v>
      </c>
    </row>
    <row r="645" spans="1:7" ht="14.4" x14ac:dyDescent="0.3">
      <c r="A645" s="46">
        <v>32.397100000000002</v>
      </c>
      <c r="B645" s="47">
        <v>25628</v>
      </c>
      <c r="C645" s="48">
        <f>A645*($H$2/$I$2)</f>
        <v>31.883422635319846</v>
      </c>
      <c r="D645" s="48">
        <f>D644+1</f>
        <v>644</v>
      </c>
      <c r="E645" s="48">
        <v>20.352498633132857</v>
      </c>
      <c r="F645" s="48">
        <f>D645/1076</f>
        <v>0.5985130111524164</v>
      </c>
      <c r="G645" s="49">
        <f>1000*E645*$J$2*9.81/1000</f>
        <v>3993.1602318206669</v>
      </c>
    </row>
    <row r="646" spans="1:7" ht="14.4" x14ac:dyDescent="0.3">
      <c r="A646" s="41">
        <v>41.345799999999997</v>
      </c>
      <c r="B646" s="42">
        <v>25600</v>
      </c>
      <c r="C646" s="43">
        <f>A646*($H$2/$I$2)</f>
        <v>40.690235101148161</v>
      </c>
      <c r="D646" s="43">
        <f>D645+1</f>
        <v>645</v>
      </c>
      <c r="E646" s="48">
        <v>20.323958447238926</v>
      </c>
      <c r="F646" s="43">
        <f>D646/1076</f>
        <v>0.59944237918215615</v>
      </c>
      <c r="G646" s="45">
        <f>1000*E646*$J$2*9.81/1000</f>
        <v>3987.5606473482771</v>
      </c>
    </row>
    <row r="647" spans="1:7" ht="14.4" x14ac:dyDescent="0.3">
      <c r="A647" s="46">
        <v>53.380499999999998</v>
      </c>
      <c r="B647" s="47">
        <v>25569</v>
      </c>
      <c r="C647" s="48">
        <f>A647*($H$2/$I$2)</f>
        <v>52.534117003827227</v>
      </c>
      <c r="D647" s="48">
        <f>D646+1</f>
        <v>646</v>
      </c>
      <c r="E647" s="43">
        <v>20.309393110989614</v>
      </c>
      <c r="F647" s="48">
        <f>D647/1076</f>
        <v>0.6003717472118959</v>
      </c>
      <c r="G647" s="49">
        <f>1000*E647*$J$2*9.81/1000</f>
        <v>3984.7029283761631</v>
      </c>
    </row>
    <row r="648" spans="1:7" ht="14.4" x14ac:dyDescent="0.3">
      <c r="A648" s="41">
        <v>37.146799999999999</v>
      </c>
      <c r="B648" s="42">
        <v>25538</v>
      </c>
      <c r="C648" s="43">
        <f>A648*($H$2/$I$2)</f>
        <v>36.557813012575174</v>
      </c>
      <c r="D648" s="43">
        <f>D647+1</f>
        <v>647</v>
      </c>
      <c r="E648" s="48">
        <v>20.27790049207217</v>
      </c>
      <c r="F648" s="43">
        <f>D648/1076</f>
        <v>0.60130111524163565</v>
      </c>
      <c r="G648" s="45">
        <f>1000*E648*$J$2*9.81/1000</f>
        <v>3978.5240765445601</v>
      </c>
    </row>
    <row r="649" spans="1:7" ht="14.4" x14ac:dyDescent="0.3">
      <c r="A649" s="46">
        <v>30.935300000000002</v>
      </c>
      <c r="B649" s="47">
        <v>25508</v>
      </c>
      <c r="C649" s="48">
        <f>A649*($H$2/$I$2)</f>
        <v>30.444800437397486</v>
      </c>
      <c r="D649" s="48">
        <f>D648+1</f>
        <v>648</v>
      </c>
      <c r="E649" s="48">
        <v>20.252903225806453</v>
      </c>
      <c r="F649" s="48">
        <f>D649/1076</f>
        <v>0.60223048327137552</v>
      </c>
      <c r="G649" s="49">
        <f>1000*E649*$J$2*9.81/1000</f>
        <v>3973.619612903226</v>
      </c>
    </row>
    <row r="650" spans="1:7" ht="14.4" x14ac:dyDescent="0.3">
      <c r="A650" s="41">
        <v>11.540100000000001</v>
      </c>
      <c r="B650" s="42">
        <v>25477</v>
      </c>
      <c r="C650" s="43">
        <f>A650*($H$2/$I$2)</f>
        <v>11.357124111536359</v>
      </c>
      <c r="D650" s="43">
        <f>D649+1</f>
        <v>649</v>
      </c>
      <c r="E650" s="50">
        <v>20.244931656642976</v>
      </c>
      <c r="F650" s="43">
        <f>D650/1076</f>
        <v>0.60315985130111527</v>
      </c>
      <c r="G650" s="45">
        <f>1000*E650*$J$2*9.81/1000</f>
        <v>3972.0555910333519</v>
      </c>
    </row>
    <row r="651" spans="1:7" ht="14.4" x14ac:dyDescent="0.3">
      <c r="A651" s="46">
        <v>6.3255999999999997</v>
      </c>
      <c r="B651" s="47">
        <v>25447</v>
      </c>
      <c r="C651" s="48">
        <f>A651*($H$2/$I$2)</f>
        <v>6.2253034445051938</v>
      </c>
      <c r="D651" s="48">
        <f>D650+1</f>
        <v>650</v>
      </c>
      <c r="E651" s="48">
        <v>20.236172772006562</v>
      </c>
      <c r="F651" s="48">
        <f>D651/1076</f>
        <v>0.60408921933085502</v>
      </c>
      <c r="G651" s="49">
        <f>1000*E651*$J$2*9.81/1000</f>
        <v>3970.3370978676876</v>
      </c>
    </row>
    <row r="652" spans="1:7" ht="14.4" x14ac:dyDescent="0.3">
      <c r="A652" s="41">
        <v>10.0001</v>
      </c>
      <c r="B652" s="42">
        <v>25416</v>
      </c>
      <c r="C652" s="43">
        <f>A652*($H$2/$I$2)</f>
        <v>9.8415418261344989</v>
      </c>
      <c r="D652" s="43">
        <f>D651+1</f>
        <v>651</v>
      </c>
      <c r="E652" s="43">
        <v>20.177124111536358</v>
      </c>
      <c r="F652" s="43">
        <f>D652/1076</f>
        <v>0.60501858736059477</v>
      </c>
      <c r="G652" s="45">
        <f>1000*E652*$J$2*9.81/1000</f>
        <v>3958.7517506834342</v>
      </c>
    </row>
    <row r="653" spans="1:7" ht="14.4" x14ac:dyDescent="0.3">
      <c r="A653" s="46">
        <v>10.615</v>
      </c>
      <c r="B653" s="47">
        <v>25385</v>
      </c>
      <c r="C653" s="48">
        <f>A653*($H$2/$I$2)</f>
        <v>10.446692181519957</v>
      </c>
      <c r="D653" s="48">
        <f>D652+1</f>
        <v>652</v>
      </c>
      <c r="E653" s="48">
        <v>20.170825587752869</v>
      </c>
      <c r="F653" s="48">
        <f>D653/1076</f>
        <v>0.60594795539033453</v>
      </c>
      <c r="G653" s="49">
        <f>1000*E653*$J$2*9.81/1000</f>
        <v>3957.5159803171132</v>
      </c>
    </row>
    <row r="654" spans="1:7" ht="14.4" x14ac:dyDescent="0.3">
      <c r="A654" s="41">
        <v>15.204800000000001</v>
      </c>
      <c r="B654" s="42">
        <v>25355</v>
      </c>
      <c r="C654" s="43">
        <f>A654*($H$2/$I$2)</f>
        <v>14.963717878622198</v>
      </c>
      <c r="D654" s="43">
        <f>D653+1</f>
        <v>653</v>
      </c>
      <c r="E654" s="43">
        <v>20.157047566976487</v>
      </c>
      <c r="F654" s="43">
        <f>D654/1076</f>
        <v>0.60687732342007439</v>
      </c>
      <c r="G654" s="45">
        <f>1000*E654*$J$2*9.81/1000</f>
        <v>3954.8127326407871</v>
      </c>
    </row>
    <row r="655" spans="1:7" ht="14.4" x14ac:dyDescent="0.3">
      <c r="A655" s="46">
        <v>15.566000000000001</v>
      </c>
      <c r="B655" s="47">
        <v>25324</v>
      </c>
      <c r="C655" s="48">
        <f>A655*($H$2/$I$2)</f>
        <v>15.319190814652815</v>
      </c>
      <c r="D655" s="48">
        <f>D654+1</f>
        <v>654</v>
      </c>
      <c r="E655" s="48">
        <v>20.141301257517771</v>
      </c>
      <c r="F655" s="48">
        <f>D655/1076</f>
        <v>0.60780669144981414</v>
      </c>
      <c r="G655" s="49">
        <f>1000*E655*$J$2*9.81/1000</f>
        <v>3951.7233067249872</v>
      </c>
    </row>
    <row r="656" spans="1:7" ht="14.4" x14ac:dyDescent="0.3">
      <c r="A656" s="41">
        <v>21.2563</v>
      </c>
      <c r="B656" s="42">
        <v>25294</v>
      </c>
      <c r="C656" s="43">
        <f>A656*($H$2/$I$2)</f>
        <v>20.919267359212682</v>
      </c>
      <c r="D656" s="43">
        <f>D655+1</f>
        <v>655</v>
      </c>
      <c r="E656" s="48">
        <v>20.14002186987425</v>
      </c>
      <c r="F656" s="43">
        <f>D656/1076</f>
        <v>0.60873605947955389</v>
      </c>
      <c r="G656" s="45">
        <f>1000*E656*$J$2*9.81/1000</f>
        <v>3951.4722908693284</v>
      </c>
    </row>
    <row r="657" spans="1:7" ht="14.4" x14ac:dyDescent="0.3">
      <c r="A657" s="46">
        <v>39.613399999999999</v>
      </c>
      <c r="B657" s="47">
        <v>25263</v>
      </c>
      <c r="C657" s="48">
        <f>A657*($H$2/$I$2)</f>
        <v>38.985303444505192</v>
      </c>
      <c r="D657" s="48">
        <f>D656+1</f>
        <v>656</v>
      </c>
      <c r="E657" s="43">
        <v>20.132148715144886</v>
      </c>
      <c r="F657" s="48">
        <f>D657/1076</f>
        <v>0.60966542750929364</v>
      </c>
      <c r="G657" s="49">
        <f>1000*E657*$J$2*9.81/1000</f>
        <v>3949.9275779114269</v>
      </c>
    </row>
    <row r="658" spans="1:7" ht="14.4" x14ac:dyDescent="0.3">
      <c r="A658" s="41">
        <v>46.723999999999997</v>
      </c>
      <c r="B658" s="42">
        <v>25235</v>
      </c>
      <c r="C658" s="43">
        <f>A658*($H$2/$I$2)</f>
        <v>45.983160196828862</v>
      </c>
      <c r="D658" s="43">
        <f>D657+1</f>
        <v>657</v>
      </c>
      <c r="E658" s="43">
        <v>20.106364133406231</v>
      </c>
      <c r="F658" s="43">
        <f>D658/1076</f>
        <v>0.61059479553903351</v>
      </c>
      <c r="G658" s="45">
        <f>1000*E658*$J$2*9.81/1000</f>
        <v>3944.8686429743025</v>
      </c>
    </row>
    <row r="659" spans="1:7" ht="14.4" x14ac:dyDescent="0.3">
      <c r="A659" s="46">
        <v>40.800199999999997</v>
      </c>
      <c r="B659" s="47">
        <v>25204</v>
      </c>
      <c r="C659" s="48">
        <f>A659*($H$2/$I$2)</f>
        <v>40.153285948605792</v>
      </c>
      <c r="D659" s="48">
        <f>D658+1</f>
        <v>658</v>
      </c>
      <c r="E659" s="43">
        <v>20.047413887370148</v>
      </c>
      <c r="F659" s="48">
        <f>D659/1076</f>
        <v>0.61152416356877326</v>
      </c>
      <c r="G659" s="49">
        <f>1000*E659*$J$2*9.81/1000</f>
        <v>3933.3026047020235</v>
      </c>
    </row>
    <row r="660" spans="1:7" ht="14.4" x14ac:dyDescent="0.3">
      <c r="A660" s="41">
        <v>45.397199999999998</v>
      </c>
      <c r="B660" s="42">
        <v>25173</v>
      </c>
      <c r="C660" s="43">
        <f>A660*($H$2/$I$2)</f>
        <v>44.677397484964459</v>
      </c>
      <c r="D660" s="43">
        <f>D659+1</f>
        <v>659</v>
      </c>
      <c r="E660" s="48">
        <v>20.047315472936031</v>
      </c>
      <c r="F660" s="43">
        <f>D660/1076</f>
        <v>0.61245353159851301</v>
      </c>
      <c r="G660" s="45">
        <f>1000*E660*$J$2*9.81/1000</f>
        <v>3933.2832957900491</v>
      </c>
    </row>
    <row r="661" spans="1:7" ht="14.4" x14ac:dyDescent="0.3">
      <c r="A661" s="46">
        <v>8.6910000000000007</v>
      </c>
      <c r="B661" s="47">
        <v>25143</v>
      </c>
      <c r="C661" s="48">
        <f>A661*($H$2/$I$2)</f>
        <v>8.5531984691088034</v>
      </c>
      <c r="D661" s="48">
        <f>D660+1</f>
        <v>660</v>
      </c>
      <c r="E661" s="48">
        <v>19.968879168944778</v>
      </c>
      <c r="F661" s="48">
        <f>D661/1076</f>
        <v>0.61338289962825276</v>
      </c>
      <c r="G661" s="49">
        <f>1000*E661*$J$2*9.81/1000</f>
        <v>3917.8940929469663</v>
      </c>
    </row>
    <row r="662" spans="1:7" ht="14.4" x14ac:dyDescent="0.3">
      <c r="A662" s="41">
        <v>14.9521</v>
      </c>
      <c r="B662" s="42">
        <v>25112</v>
      </c>
      <c r="C662" s="43">
        <f>A662*($H$2/$I$2)</f>
        <v>14.715024603608528</v>
      </c>
      <c r="D662" s="43">
        <f>D661+1</f>
        <v>661</v>
      </c>
      <c r="E662" s="43">
        <v>19.9163258611263</v>
      </c>
      <c r="F662" s="43">
        <f>D662/1076</f>
        <v>0.61431226765799252</v>
      </c>
      <c r="G662" s="45">
        <f>1000*E662*$J$2*9.81/1000</f>
        <v>3907.5831339529805</v>
      </c>
    </row>
    <row r="663" spans="1:7" ht="14.4" x14ac:dyDescent="0.3">
      <c r="A663" s="46">
        <v>10.304600000000001</v>
      </c>
      <c r="B663" s="47">
        <v>25082</v>
      </c>
      <c r="C663" s="48">
        <f>A663*($H$2/$I$2)</f>
        <v>10.141213778020777</v>
      </c>
      <c r="D663" s="48">
        <f>D662+1</f>
        <v>662</v>
      </c>
      <c r="E663" s="43">
        <v>19.910716238381628</v>
      </c>
      <c r="F663" s="48">
        <f>D663/1076</f>
        <v>0.61524163568773238</v>
      </c>
      <c r="G663" s="49">
        <f>1000*E663*$J$2*9.81/1000</f>
        <v>3906.4825259704758</v>
      </c>
    </row>
    <row r="664" spans="1:7" ht="14.4" x14ac:dyDescent="0.3">
      <c r="A664" s="41">
        <v>9.3895</v>
      </c>
      <c r="B664" s="42">
        <v>25051</v>
      </c>
      <c r="C664" s="43">
        <f>A664*($H$2/$I$2)</f>
        <v>9.2406232914160746</v>
      </c>
      <c r="D664" s="43">
        <f>D663+1</f>
        <v>663</v>
      </c>
      <c r="E664" s="48">
        <v>19.896839803171133</v>
      </c>
      <c r="F664" s="43">
        <f>D664/1076</f>
        <v>0.61617100371747213</v>
      </c>
      <c r="G664" s="45">
        <f>1000*E664*$J$2*9.81/1000</f>
        <v>3903.7599693821767</v>
      </c>
    </row>
    <row r="665" spans="1:7" ht="14.4" x14ac:dyDescent="0.3">
      <c r="A665" s="46">
        <v>9.4115000000000002</v>
      </c>
      <c r="B665" s="47">
        <v>25020</v>
      </c>
      <c r="C665" s="48">
        <f>A665*($H$2/$I$2)</f>
        <v>9.2622744669218147</v>
      </c>
      <c r="D665" s="48">
        <f>D664+1</f>
        <v>664</v>
      </c>
      <c r="E665" s="43">
        <v>19.889261891744123</v>
      </c>
      <c r="F665" s="48">
        <f>D665/1076</f>
        <v>0.61710037174721188</v>
      </c>
      <c r="G665" s="49">
        <f>1000*E665*$J$2*9.81/1000</f>
        <v>3902.2731831601973</v>
      </c>
    </row>
    <row r="666" spans="1:7" ht="14.4" x14ac:dyDescent="0.3">
      <c r="A666" s="41">
        <v>11.875</v>
      </c>
      <c r="B666" s="42">
        <v>24990</v>
      </c>
      <c r="C666" s="43">
        <f>A666*($H$2/$I$2)</f>
        <v>11.686714051394205</v>
      </c>
      <c r="D666" s="43">
        <f>D665+1</f>
        <v>665</v>
      </c>
      <c r="E666" s="43">
        <v>19.828048113723348</v>
      </c>
      <c r="F666" s="43">
        <f>D666/1076</f>
        <v>0.61802973977695164</v>
      </c>
      <c r="G666" s="45">
        <f>1000*E666*$J$2*9.81/1000</f>
        <v>3890.263039912521</v>
      </c>
    </row>
    <row r="667" spans="1:7" ht="14.4" x14ac:dyDescent="0.3">
      <c r="A667" s="46">
        <v>15.1655</v>
      </c>
      <c r="B667" s="47">
        <v>24959</v>
      </c>
      <c r="C667" s="48">
        <f>A667*($H$2/$I$2)</f>
        <v>14.925041006014215</v>
      </c>
      <c r="D667" s="48">
        <f>D666+1</f>
        <v>666</v>
      </c>
      <c r="E667" s="48">
        <v>19.802066703116456</v>
      </c>
      <c r="F667" s="48">
        <f>D667/1076</f>
        <v>0.6189591078066915</v>
      </c>
      <c r="G667" s="49">
        <f>1000*E667*$J$2*9.81/1000</f>
        <v>3885.1654871514493</v>
      </c>
    </row>
    <row r="668" spans="1:7" ht="14.4" x14ac:dyDescent="0.3">
      <c r="A668" s="41">
        <v>20.430299999999999</v>
      </c>
      <c r="B668" s="42">
        <v>24929</v>
      </c>
      <c r="C668" s="43">
        <f>A668*($H$2/$I$2)</f>
        <v>20.106364133406231</v>
      </c>
      <c r="D668" s="43">
        <f>D667+1</f>
        <v>667</v>
      </c>
      <c r="E668" s="43">
        <v>19.795866593767084</v>
      </c>
      <c r="F668" s="43">
        <f>D668/1076</f>
        <v>0.61988847583643125</v>
      </c>
      <c r="G668" s="45">
        <f>1000*E668*$J$2*9.81/1000</f>
        <v>3883.9490256971021</v>
      </c>
    </row>
    <row r="669" spans="1:7" ht="14.4" x14ac:dyDescent="0.3">
      <c r="A669" s="46">
        <v>35.587899999999998</v>
      </c>
      <c r="B669" s="47">
        <v>24898</v>
      </c>
      <c r="C669" s="48">
        <f>A669*($H$2/$I$2)</f>
        <v>35.023630399125203</v>
      </c>
      <c r="D669" s="48">
        <f>D668+1</f>
        <v>668</v>
      </c>
      <c r="E669" s="43">
        <v>19.647851284855111</v>
      </c>
      <c r="F669" s="48">
        <f>D669/1076</f>
        <v>0.620817843866171</v>
      </c>
      <c r="G669" s="49">
        <f>1000*E669*$J$2*9.81/1000</f>
        <v>3854.9084220885729</v>
      </c>
    </row>
    <row r="670" spans="1:7" ht="14.4" x14ac:dyDescent="0.3">
      <c r="A670" s="41">
        <v>39.600700000000003</v>
      </c>
      <c r="B670" s="42">
        <v>24869</v>
      </c>
      <c r="C670" s="43">
        <f>A670*($H$2/$I$2)</f>
        <v>38.972804811372335</v>
      </c>
      <c r="D670" s="43">
        <f>D669+1</f>
        <v>669</v>
      </c>
      <c r="E670" s="48">
        <v>19.630628758884637</v>
      </c>
      <c r="F670" s="43">
        <f>D670/1076</f>
        <v>0.62174721189591076</v>
      </c>
      <c r="G670" s="45">
        <f>1000*E670*$J$2*9.81/1000</f>
        <v>3851.5293624931651</v>
      </c>
    </row>
    <row r="671" spans="1:7" ht="14.4" x14ac:dyDescent="0.3">
      <c r="A671" s="46">
        <v>45.882800000000003</v>
      </c>
      <c r="B671" s="47">
        <v>24838</v>
      </c>
      <c r="C671" s="48">
        <f>A671*($H$2/$I$2)</f>
        <v>45.155297977036632</v>
      </c>
      <c r="D671" s="48">
        <f>D670+1</f>
        <v>670</v>
      </c>
      <c r="E671" s="43">
        <v>19.629644614543466</v>
      </c>
      <c r="F671" s="48">
        <f>D671/1076</f>
        <v>0.62267657992565051</v>
      </c>
      <c r="G671" s="49">
        <f>1000*E671*$J$2*9.81/1000</f>
        <v>3851.3362733734289</v>
      </c>
    </row>
    <row r="672" spans="1:7" ht="14.4" x14ac:dyDescent="0.3">
      <c r="A672" s="41">
        <v>40.7498</v>
      </c>
      <c r="B672" s="42">
        <v>24807</v>
      </c>
      <c r="C672" s="43">
        <f>A672*($H$2/$I$2)</f>
        <v>40.103685073810823</v>
      </c>
      <c r="D672" s="43">
        <f>D671+1</f>
        <v>671</v>
      </c>
      <c r="E672" s="48">
        <v>19.629152542372879</v>
      </c>
      <c r="F672" s="43">
        <f>D672/1076</f>
        <v>0.62360594795539037</v>
      </c>
      <c r="G672" s="45">
        <f>1000*E672*$J$2*9.81/1000</f>
        <v>3851.2397288135589</v>
      </c>
    </row>
    <row r="673" spans="1:7" ht="14.4" x14ac:dyDescent="0.3">
      <c r="A673" s="46">
        <v>34.1524</v>
      </c>
      <c r="B673" s="47">
        <v>24777</v>
      </c>
      <c r="C673" s="48">
        <f>A673*($H$2/$I$2)</f>
        <v>33.610891197375615</v>
      </c>
      <c r="D673" s="48">
        <f>D672+1</f>
        <v>672</v>
      </c>
      <c r="E673" s="48">
        <v>19.609075997813012</v>
      </c>
      <c r="F673" s="48">
        <f>D673/1076</f>
        <v>0.62453531598513012</v>
      </c>
      <c r="G673" s="49">
        <f>1000*E673*$J$2*9.81/1000</f>
        <v>3847.3007107709132</v>
      </c>
    </row>
    <row r="674" spans="1:7" ht="14.4" x14ac:dyDescent="0.3">
      <c r="A674" s="41">
        <v>12.331099999999999</v>
      </c>
      <c r="B674" s="42">
        <v>24746</v>
      </c>
      <c r="C674" s="43">
        <f>A674*($H$2/$I$2)</f>
        <v>12.135582285401858</v>
      </c>
      <c r="D674" s="43">
        <f>D673+1</f>
        <v>673</v>
      </c>
      <c r="E674" s="48">
        <v>19.588212137780207</v>
      </c>
      <c r="F674" s="43">
        <f>D674/1076</f>
        <v>0.62546468401486988</v>
      </c>
      <c r="G674" s="45">
        <f>1000*E674*$J$2*9.81/1000</f>
        <v>3843.2072214324767</v>
      </c>
    </row>
    <row r="675" spans="1:7" ht="14.4" x14ac:dyDescent="0.3">
      <c r="A675" s="46">
        <v>11.277799999999999</v>
      </c>
      <c r="B675" s="47">
        <v>24716</v>
      </c>
      <c r="C675" s="48">
        <f>A675*($H$2/$I$2)</f>
        <v>11.098983050847457</v>
      </c>
      <c r="D675" s="48">
        <f>D674+1</f>
        <v>674</v>
      </c>
      <c r="E675" s="43">
        <v>19.574434117003829</v>
      </c>
      <c r="F675" s="48">
        <f>D675/1076</f>
        <v>0.62639405204460963</v>
      </c>
      <c r="G675" s="49">
        <f>1000*E675*$J$2*9.81/1000</f>
        <v>3840.5039737561515</v>
      </c>
    </row>
    <row r="676" spans="1:7" ht="14.4" x14ac:dyDescent="0.3">
      <c r="A676" s="41">
        <v>14.685700000000001</v>
      </c>
      <c r="B676" s="42">
        <v>24685</v>
      </c>
      <c r="C676" s="43">
        <f>A676*($H$2/$I$2)</f>
        <v>14.452848551120832</v>
      </c>
      <c r="D676" s="43">
        <f>D675+1</f>
        <v>675</v>
      </c>
      <c r="E676" s="48">
        <v>19.570595954073262</v>
      </c>
      <c r="F676" s="43">
        <f>D676/1076</f>
        <v>0.62732342007434949</v>
      </c>
      <c r="G676" s="45">
        <f>1000*E676*$J$2*9.81/1000</f>
        <v>3839.7509261891742</v>
      </c>
    </row>
    <row r="677" spans="1:7" ht="14.4" x14ac:dyDescent="0.3">
      <c r="A677" s="46">
        <v>18.631399999999999</v>
      </c>
      <c r="B677" s="47">
        <v>24654</v>
      </c>
      <c r="C677" s="48">
        <f>A677*($H$2/$I$2)</f>
        <v>18.335986878075449</v>
      </c>
      <c r="D677" s="48">
        <f>D676+1</f>
        <v>676</v>
      </c>
      <c r="E677" s="43">
        <v>19.56803717878622</v>
      </c>
      <c r="F677" s="48">
        <f>D677/1076</f>
        <v>0.62825278810408924</v>
      </c>
      <c r="G677" s="49">
        <f>1000*E677*$J$2*9.81/1000</f>
        <v>3839.248894477857</v>
      </c>
    </row>
    <row r="678" spans="1:7" ht="14.4" x14ac:dyDescent="0.3">
      <c r="A678" s="41">
        <v>24.3017</v>
      </c>
      <c r="B678" s="42">
        <v>24624</v>
      </c>
      <c r="C678" s="43">
        <f>A678*($H$2/$I$2)</f>
        <v>23.916380535811918</v>
      </c>
      <c r="D678" s="43">
        <f>D677+1</f>
        <v>677</v>
      </c>
      <c r="E678" s="43">
        <v>19.559770366320393</v>
      </c>
      <c r="F678" s="43">
        <f>D678/1076</f>
        <v>0.629182156133829</v>
      </c>
      <c r="G678" s="45">
        <f>1000*E678*$J$2*9.81/1000</f>
        <v>3837.6269458720608</v>
      </c>
    </row>
    <row r="679" spans="1:7" ht="14.4" x14ac:dyDescent="0.3">
      <c r="A679" s="46">
        <v>29.1846</v>
      </c>
      <c r="B679" s="47">
        <v>24593</v>
      </c>
      <c r="C679" s="48">
        <f>A679*($H$2/$I$2)</f>
        <v>28.721858939311097</v>
      </c>
      <c r="D679" s="48">
        <f>D678+1</f>
        <v>678</v>
      </c>
      <c r="E679" s="43">
        <v>19.467457627118641</v>
      </c>
      <c r="F679" s="48">
        <f>D679/1076</f>
        <v>0.63011152416356875</v>
      </c>
      <c r="G679" s="49">
        <f>1000*E679*$J$2*9.81/1000</f>
        <v>3819.5151864406776</v>
      </c>
    </row>
    <row r="680" spans="1:7" ht="14.4" x14ac:dyDescent="0.3">
      <c r="A680" s="41">
        <v>38.226399999999998</v>
      </c>
      <c r="B680" s="42">
        <v>24563</v>
      </c>
      <c r="C680" s="43">
        <f>A680*($H$2/$I$2)</f>
        <v>37.620295243302351</v>
      </c>
      <c r="D680" s="43">
        <f>D679+1</f>
        <v>679</v>
      </c>
      <c r="E680" s="43">
        <v>19.461946418808093</v>
      </c>
      <c r="F680" s="43">
        <f>D680/1076</f>
        <v>0.6310408921933085</v>
      </c>
      <c r="G680" s="45">
        <f>1000*E680*$J$2*9.81/1000</f>
        <v>3818.4338873701477</v>
      </c>
    </row>
    <row r="681" spans="1:7" ht="14.4" x14ac:dyDescent="0.3">
      <c r="A681" s="46">
        <v>59.829700000000003</v>
      </c>
      <c r="B681" s="47">
        <v>24532</v>
      </c>
      <c r="C681" s="48">
        <f>A681*($H$2/$I$2)</f>
        <v>58.881060688901037</v>
      </c>
      <c r="D681" s="48">
        <f>D680+1</f>
        <v>680</v>
      </c>
      <c r="E681" s="43">
        <v>19.446003280481136</v>
      </c>
      <c r="F681" s="48">
        <f>D681/1076</f>
        <v>0.63197026022304836</v>
      </c>
      <c r="G681" s="49">
        <f>1000*E681*$J$2*9.81/1000</f>
        <v>3815.3058436303986</v>
      </c>
    </row>
    <row r="682" spans="1:7" ht="14.4" x14ac:dyDescent="0.3">
      <c r="A682" s="41">
        <v>81.429400000000001</v>
      </c>
      <c r="B682" s="42">
        <v>24504</v>
      </c>
      <c r="C682" s="43">
        <f>A682*($H$2/$I$2)</f>
        <v>80.138283214871507</v>
      </c>
      <c r="D682" s="43">
        <f>D681+1</f>
        <v>681</v>
      </c>
      <c r="E682" s="48">
        <v>19.420415527610714</v>
      </c>
      <c r="F682" s="43">
        <f>D682/1076</f>
        <v>0.63289962825278812</v>
      </c>
      <c r="G682" s="45">
        <f>1000*E682*$J$2*9.81/1000</f>
        <v>3810.2855265172225</v>
      </c>
    </row>
    <row r="683" spans="1:7" ht="14.4" x14ac:dyDescent="0.3">
      <c r="A683" s="46">
        <v>95.465299999999999</v>
      </c>
      <c r="B683" s="47">
        <v>24473</v>
      </c>
      <c r="C683" s="48">
        <f>A683*($H$2/$I$2)</f>
        <v>93.951634773100054</v>
      </c>
      <c r="D683" s="48">
        <f>D682+1</f>
        <v>682</v>
      </c>
      <c r="E683" s="43">
        <v>19.41539639147075</v>
      </c>
      <c r="F683" s="48">
        <f>D683/1076</f>
        <v>0.63382899628252787</v>
      </c>
      <c r="G683" s="49">
        <f>1000*E683*$J$2*9.81/1000</f>
        <v>3809.3007720065611</v>
      </c>
    </row>
    <row r="684" spans="1:7" ht="14.4" x14ac:dyDescent="0.3">
      <c r="A684" s="41">
        <v>58.213799999999999</v>
      </c>
      <c r="B684" s="42">
        <v>24442</v>
      </c>
      <c r="C684" s="43">
        <f>A684*($H$2/$I$2)</f>
        <v>57.290781848004372</v>
      </c>
      <c r="D684" s="43">
        <f>D683+1</f>
        <v>683</v>
      </c>
      <c r="E684" s="48">
        <v>19.375144887916893</v>
      </c>
      <c r="F684" s="43">
        <f>D684/1076</f>
        <v>0.63475836431226762</v>
      </c>
      <c r="G684" s="45">
        <f>1000*E684*$J$2*9.81/1000</f>
        <v>3801.4034270092943</v>
      </c>
    </row>
    <row r="685" spans="1:7" ht="14.4" x14ac:dyDescent="0.3">
      <c r="A685" s="46">
        <v>60.685499999999998</v>
      </c>
      <c r="B685" s="47">
        <v>24412</v>
      </c>
      <c r="C685" s="48">
        <f>A685*($H$2/$I$2)</f>
        <v>59.723291416074353</v>
      </c>
      <c r="D685" s="48">
        <f>D684+1</f>
        <v>684</v>
      </c>
      <c r="E685" s="43">
        <v>19.368747949699291</v>
      </c>
      <c r="F685" s="48">
        <f>D685/1076</f>
        <v>0.63568773234200748</v>
      </c>
      <c r="G685" s="49">
        <f>1000*E685*$J$2*9.81/1000</f>
        <v>3800.1483477310007</v>
      </c>
    </row>
    <row r="686" spans="1:7" ht="14.4" x14ac:dyDescent="0.3">
      <c r="A686" s="41">
        <v>19.728200000000001</v>
      </c>
      <c r="B686" s="42">
        <v>24381</v>
      </c>
      <c r="C686" s="43">
        <f>A686*($H$2/$I$2)</f>
        <v>19.41539639147075</v>
      </c>
      <c r="D686" s="43">
        <f>D685+1</f>
        <v>685</v>
      </c>
      <c r="E686" s="43">
        <v>19.343160196828869</v>
      </c>
      <c r="F686" s="43">
        <f>D686/1076</f>
        <v>0.63661710037174724</v>
      </c>
      <c r="G686" s="45">
        <f>1000*E686*$J$2*9.81/1000</f>
        <v>3795.1280306178246</v>
      </c>
    </row>
    <row r="687" spans="1:7" ht="14.4" x14ac:dyDescent="0.3">
      <c r="A687" s="46">
        <v>13.8583</v>
      </c>
      <c r="B687" s="47">
        <v>24351</v>
      </c>
      <c r="C687" s="48">
        <f>A687*($H$2/$I$2)</f>
        <v>13.638567523236741</v>
      </c>
      <c r="D687" s="48">
        <f>D686+1</f>
        <v>686</v>
      </c>
      <c r="E687" s="43">
        <v>19.292181519956262</v>
      </c>
      <c r="F687" s="48">
        <f>D687/1076</f>
        <v>0.63754646840148699</v>
      </c>
      <c r="G687" s="49">
        <f>1000*E687*$J$2*9.81/1000</f>
        <v>3785.1260142154192</v>
      </c>
    </row>
    <row r="688" spans="1:7" ht="14.4" x14ac:dyDescent="0.3">
      <c r="A688" s="41">
        <v>16.8613</v>
      </c>
      <c r="B688" s="42">
        <v>24320</v>
      </c>
      <c r="C688" s="43">
        <f>A688*($H$2/$I$2)</f>
        <v>16.593952979770364</v>
      </c>
      <c r="D688" s="43">
        <f>D687+1</f>
        <v>687</v>
      </c>
      <c r="E688" s="43">
        <v>19.282438490978677</v>
      </c>
      <c r="F688" s="43">
        <f>D688/1076</f>
        <v>0.63847583643122674</v>
      </c>
      <c r="G688" s="45">
        <f>1000*E688*$J$2*9.81/1000</f>
        <v>3783.2144319300169</v>
      </c>
    </row>
    <row r="689" spans="1:7" ht="14.4" x14ac:dyDescent="0.3">
      <c r="A689" s="46">
        <v>20.217400000000001</v>
      </c>
      <c r="B689" s="47">
        <v>24289</v>
      </c>
      <c r="C689" s="48">
        <f>A689*($H$2/$I$2)</f>
        <v>19.896839803171133</v>
      </c>
      <c r="D689" s="48">
        <f>D688+1</f>
        <v>688</v>
      </c>
      <c r="E689" s="43">
        <v>19.215418261344997</v>
      </c>
      <c r="F689" s="48">
        <f>D689/1076</f>
        <v>0.63940520446096649</v>
      </c>
      <c r="G689" s="49">
        <f>1000*E689*$J$2*9.81/1000</f>
        <v>3770.0650628758881</v>
      </c>
    </row>
    <row r="690" spans="1:7" ht="14.4" x14ac:dyDescent="0.3">
      <c r="A690" s="41">
        <v>25.078299999999999</v>
      </c>
      <c r="B690" s="42">
        <v>24259</v>
      </c>
      <c r="C690" s="43">
        <f>A690*($H$2/$I$2)</f>
        <v>24.680667031164568</v>
      </c>
      <c r="D690" s="43">
        <f>D689+1</f>
        <v>689</v>
      </c>
      <c r="E690" s="43">
        <v>19.188255877528704</v>
      </c>
      <c r="F690" s="43">
        <f>D690/1076</f>
        <v>0.64033457249070636</v>
      </c>
      <c r="G690" s="45">
        <f>1000*E690*$J$2*9.81/1000</f>
        <v>3764.7358031711319</v>
      </c>
    </row>
    <row r="691" spans="1:7" ht="14.4" x14ac:dyDescent="0.3">
      <c r="A691" s="46">
        <v>33.232999999999997</v>
      </c>
      <c r="B691" s="47">
        <v>24228</v>
      </c>
      <c r="C691" s="48">
        <f>A691*($H$2/$I$2)</f>
        <v>32.706068890103879</v>
      </c>
      <c r="D691" s="48">
        <f>D690+1</f>
        <v>690</v>
      </c>
      <c r="E691" s="43">
        <v>19.170344450519408</v>
      </c>
      <c r="F691" s="48">
        <f>D691/1076</f>
        <v>0.64126394052044611</v>
      </c>
      <c r="G691" s="49">
        <f>1000*E691*$J$2*9.81/1000</f>
        <v>3761.2215811919082</v>
      </c>
    </row>
    <row r="692" spans="1:7" ht="14.4" x14ac:dyDescent="0.3">
      <c r="A692" s="41">
        <v>44.951799999999999</v>
      </c>
      <c r="B692" s="42">
        <v>24198</v>
      </c>
      <c r="C692" s="43">
        <f>A692*($H$2/$I$2)</f>
        <v>44.239059595407326</v>
      </c>
      <c r="D692" s="43">
        <f>D691+1</f>
        <v>691</v>
      </c>
      <c r="E692" s="43">
        <v>19.072323674138872</v>
      </c>
      <c r="F692" s="43">
        <f>D692/1076</f>
        <v>0.64219330855018586</v>
      </c>
      <c r="G692" s="45">
        <f>1000*E692*$J$2*9.81/1000</f>
        <v>3741.9899048660468</v>
      </c>
    </row>
    <row r="693" spans="1:7" ht="14.4" x14ac:dyDescent="0.3">
      <c r="A693" s="46">
        <v>96.330200000000005</v>
      </c>
      <c r="B693" s="47">
        <v>24167</v>
      </c>
      <c r="C693" s="48">
        <f>A693*($H$2/$I$2)</f>
        <v>94.802821213778017</v>
      </c>
      <c r="D693" s="48">
        <f>D692+1</f>
        <v>692</v>
      </c>
      <c r="E693" s="48">
        <v>19.053034445051939</v>
      </c>
      <c r="F693" s="48">
        <f>D693/1076</f>
        <v>0.64312267657992561</v>
      </c>
      <c r="G693" s="49">
        <f>1000*E693*$J$2*9.81/1000</f>
        <v>3738.2053581191904</v>
      </c>
    </row>
    <row r="694" spans="1:7" ht="14.4" x14ac:dyDescent="0.3">
      <c r="A694" s="41">
        <v>68.823400000000007</v>
      </c>
      <c r="B694" s="42">
        <v>24139</v>
      </c>
      <c r="C694" s="43">
        <f>A694*($H$2/$I$2)</f>
        <v>67.732159650082011</v>
      </c>
      <c r="D694" s="43">
        <f>D693+1</f>
        <v>693</v>
      </c>
      <c r="E694" s="43">
        <v>19.048605795516675</v>
      </c>
      <c r="F694" s="43">
        <f>D694/1076</f>
        <v>0.64405204460966547</v>
      </c>
      <c r="G694" s="45">
        <f>1000*E694*$J$2*9.81/1000</f>
        <v>3737.3364570803719</v>
      </c>
    </row>
    <row r="695" spans="1:7" ht="14.4" x14ac:dyDescent="0.3">
      <c r="A695" s="46">
        <v>115.6863</v>
      </c>
      <c r="B695" s="47">
        <v>24108</v>
      </c>
      <c r="C695" s="48">
        <f>A695*($H$2/$I$2)</f>
        <v>113.8520174958994</v>
      </c>
      <c r="D695" s="48">
        <f>D694+1</f>
        <v>694</v>
      </c>
      <c r="E695" s="48">
        <v>19.037386550027339</v>
      </c>
      <c r="F695" s="48">
        <f>D695/1076</f>
        <v>0.64498141263940523</v>
      </c>
      <c r="G695" s="49">
        <f>1000*E695*$J$2*9.81/1000</f>
        <v>3735.1352411153644</v>
      </c>
    </row>
    <row r="696" spans="1:7" ht="14.4" x14ac:dyDescent="0.3">
      <c r="A696" s="41">
        <v>50.093499999999999</v>
      </c>
      <c r="B696" s="42">
        <v>24077</v>
      </c>
      <c r="C696" s="43">
        <f>A696*($H$2/$I$2)</f>
        <v>49.299234554401309</v>
      </c>
      <c r="D696" s="43">
        <f>D695+1</f>
        <v>695</v>
      </c>
      <c r="E696" s="48">
        <v>19.03098961180973</v>
      </c>
      <c r="F696" s="43">
        <f>D696/1076</f>
        <v>0.64591078066914498</v>
      </c>
      <c r="G696" s="45">
        <f>1000*E696*$J$2*9.81/1000</f>
        <v>3733.8801618370694</v>
      </c>
    </row>
    <row r="697" spans="1:7" ht="14.4" x14ac:dyDescent="0.3">
      <c r="A697" s="46">
        <v>38.314999999999998</v>
      </c>
      <c r="B697" s="47">
        <v>24047</v>
      </c>
      <c r="C697" s="48">
        <f>A697*($H$2/$I$2)</f>
        <v>37.707490431930012</v>
      </c>
      <c r="D697" s="48">
        <f>D696+1</f>
        <v>696</v>
      </c>
      <c r="E697" s="43">
        <v>19.017900492072172</v>
      </c>
      <c r="F697" s="48">
        <f>D697/1076</f>
        <v>0.64684014869888473</v>
      </c>
      <c r="G697" s="49">
        <f>1000*E697*$J$2*9.81/1000</f>
        <v>3731.3120765445601</v>
      </c>
    </row>
    <row r="698" spans="1:7" ht="14.4" x14ac:dyDescent="0.3">
      <c r="A698" s="41">
        <v>30.613499999999998</v>
      </c>
      <c r="B698" s="42">
        <v>24016</v>
      </c>
      <c r="C698" s="43">
        <f>A698*($H$2/$I$2)</f>
        <v>30.128102788408963</v>
      </c>
      <c r="D698" s="43">
        <f>D697+1</f>
        <v>697</v>
      </c>
      <c r="E698" s="48">
        <v>18.99615090213231</v>
      </c>
      <c r="F698" s="43">
        <f>D698/1076</f>
        <v>0.64776951672862448</v>
      </c>
      <c r="G698" s="45">
        <f>1000*E698*$J$2*9.81/1000</f>
        <v>3727.0448069983595</v>
      </c>
    </row>
    <row r="699" spans="1:7" ht="14.4" x14ac:dyDescent="0.3">
      <c r="A699" s="46">
        <v>19.946899999999999</v>
      </c>
      <c r="B699" s="47">
        <v>23986</v>
      </c>
      <c r="C699" s="48">
        <f>A699*($H$2/$I$2)</f>
        <v>19.630628758884637</v>
      </c>
      <c r="D699" s="48">
        <f>D698+1</f>
        <v>698</v>
      </c>
      <c r="E699" s="48">
        <v>18.929917987971567</v>
      </c>
      <c r="F699" s="48">
        <f>D699/1076</f>
        <v>0.64869888475836435</v>
      </c>
      <c r="G699" s="49">
        <f>1000*E699*$J$2*9.81/1000</f>
        <v>3714.0499092400214</v>
      </c>
    </row>
    <row r="700" spans="1:7" ht="14.4" x14ac:dyDescent="0.3">
      <c r="A700" s="41">
        <v>22.761600000000001</v>
      </c>
      <c r="B700" s="42">
        <v>23955</v>
      </c>
      <c r="C700" s="43">
        <f>A700*($H$2/$I$2)</f>
        <v>22.400699835975942</v>
      </c>
      <c r="D700" s="43">
        <f>D699+1</f>
        <v>699</v>
      </c>
      <c r="E700" s="48">
        <v>18.876971022416623</v>
      </c>
      <c r="F700" s="43">
        <f>D700/1076</f>
        <v>0.6496282527881041</v>
      </c>
      <c r="G700" s="45">
        <f>1000*E700*$J$2*9.81/1000</f>
        <v>3703.6617145981418</v>
      </c>
    </row>
    <row r="701" spans="1:7" ht="14.4" x14ac:dyDescent="0.3">
      <c r="A701" s="46">
        <v>29.427600000000002</v>
      </c>
      <c r="B701" s="47">
        <v>23924</v>
      </c>
      <c r="C701" s="48">
        <f>A701*($H$2/$I$2)</f>
        <v>28.961006014215418</v>
      </c>
      <c r="D701" s="48">
        <f>D700+1</f>
        <v>700</v>
      </c>
      <c r="E701" s="48">
        <v>18.675615090213231</v>
      </c>
      <c r="F701" s="48">
        <f>D701/1076</f>
        <v>0.65055762081784385</v>
      </c>
      <c r="G701" s="49">
        <f>1000*E701*$J$2*9.81/1000</f>
        <v>3664.1556806998365</v>
      </c>
    </row>
    <row r="702" spans="1:7" ht="14.4" x14ac:dyDescent="0.3">
      <c r="A702" s="41">
        <v>33.469200000000001</v>
      </c>
      <c r="B702" s="42">
        <v>23894</v>
      </c>
      <c r="C702" s="43">
        <f>A702*($H$2/$I$2)</f>
        <v>32.938523783488243</v>
      </c>
      <c r="D702" s="43">
        <f>D701+1</f>
        <v>701</v>
      </c>
      <c r="E702" s="43">
        <v>18.673056314926189</v>
      </c>
      <c r="F702" s="43">
        <f>D702/1076</f>
        <v>0.6514869888475836</v>
      </c>
      <c r="G702" s="45">
        <f>1000*E702*$J$2*9.81/1000</f>
        <v>3663.6536489885189</v>
      </c>
    </row>
    <row r="703" spans="1:7" ht="14.4" x14ac:dyDescent="0.3">
      <c r="A703" s="46">
        <v>42.483899999999998</v>
      </c>
      <c r="B703" s="47">
        <v>23863</v>
      </c>
      <c r="C703" s="48">
        <f>A703*($H$2/$I$2)</f>
        <v>41.810289775833787</v>
      </c>
      <c r="D703" s="48">
        <f>D702+1</f>
        <v>702</v>
      </c>
      <c r="E703" s="48">
        <v>18.659573537452161</v>
      </c>
      <c r="F703" s="48">
        <f>D703/1076</f>
        <v>0.65241635687732347</v>
      </c>
      <c r="G703" s="49">
        <f>1000*E703*$J$2*9.81/1000</f>
        <v>3661.008328048114</v>
      </c>
    </row>
    <row r="704" spans="1:7" ht="14.4" x14ac:dyDescent="0.3">
      <c r="A704" s="41">
        <v>48.668199999999999</v>
      </c>
      <c r="B704" s="42">
        <v>23833</v>
      </c>
      <c r="C704" s="43">
        <f>A704*($H$2/$I$2)</f>
        <v>47.896533624931656</v>
      </c>
      <c r="D704" s="43">
        <f>D703+1</f>
        <v>703</v>
      </c>
      <c r="E704" s="43">
        <v>18.647763805358117</v>
      </c>
      <c r="F704" s="43">
        <f>D704/1076</f>
        <v>0.65334572490706322</v>
      </c>
      <c r="G704" s="45">
        <f>1000*E704*$J$2*9.81/1000</f>
        <v>3658.6912586112626</v>
      </c>
    </row>
    <row r="705" spans="1:7" ht="14.4" x14ac:dyDescent="0.3">
      <c r="A705" s="46">
        <v>103.3424</v>
      </c>
      <c r="B705" s="47">
        <v>23802</v>
      </c>
      <c r="C705" s="48">
        <f>A705*($H$2/$I$2)</f>
        <v>101.70383816293055</v>
      </c>
      <c r="D705" s="48">
        <f>D704+1</f>
        <v>704</v>
      </c>
      <c r="E705" s="48">
        <v>18.631820667031164</v>
      </c>
      <c r="F705" s="48">
        <f>D705/1076</f>
        <v>0.65427509293680297</v>
      </c>
      <c r="G705" s="49">
        <f>1000*E705*$J$2*9.81/1000</f>
        <v>3655.563214871514</v>
      </c>
    </row>
    <row r="706" spans="1:7" ht="14.4" x14ac:dyDescent="0.3">
      <c r="A706" s="41">
        <v>131.05000000000001</v>
      </c>
      <c r="B706" s="42">
        <v>23774</v>
      </c>
      <c r="C706" s="43">
        <f>A706*($H$2/$I$2)</f>
        <v>128.97211591033351</v>
      </c>
      <c r="D706" s="43">
        <f>D705+1</f>
        <v>705</v>
      </c>
      <c r="E706" s="43">
        <v>18.617452159650082</v>
      </c>
      <c r="F706" s="43">
        <f>D706/1076</f>
        <v>0.65520446096654272</v>
      </c>
      <c r="G706" s="45">
        <f>1000*E706*$J$2*9.81/1000</f>
        <v>3652.7441137233463</v>
      </c>
    </row>
    <row r="707" spans="1:7" ht="14.4" x14ac:dyDescent="0.3">
      <c r="A707" s="46">
        <v>98.677400000000006</v>
      </c>
      <c r="B707" s="47">
        <v>23743</v>
      </c>
      <c r="C707" s="48">
        <f>A707*($H$2/$I$2)</f>
        <v>97.112804811372342</v>
      </c>
      <c r="D707" s="48">
        <f>D706+1</f>
        <v>706</v>
      </c>
      <c r="E707" s="43">
        <v>18.592258064516127</v>
      </c>
      <c r="F707" s="48">
        <f>D707/1076</f>
        <v>0.65613382899628248</v>
      </c>
      <c r="G707" s="49">
        <f>1000*E707*$J$2*9.81/1000</f>
        <v>3647.801032258064</v>
      </c>
    </row>
    <row r="708" spans="1:7" ht="14.4" x14ac:dyDescent="0.3">
      <c r="A708" s="41">
        <v>53.581600000000002</v>
      </c>
      <c r="B708" s="42">
        <v>23712</v>
      </c>
      <c r="C708" s="43">
        <f>A708*($H$2/$I$2)</f>
        <v>52.732028430836522</v>
      </c>
      <c r="D708" s="43">
        <f>D707+1</f>
        <v>707</v>
      </c>
      <c r="E708" s="48">
        <v>18.586451612903225</v>
      </c>
      <c r="F708" s="43">
        <f>D708/1076</f>
        <v>0.65706319702602234</v>
      </c>
      <c r="G708" s="45">
        <f>1000*E708*$J$2*9.81/1000</f>
        <v>3646.6618064516124</v>
      </c>
    </row>
    <row r="709" spans="1:7" ht="14.4" x14ac:dyDescent="0.3">
      <c r="A709" s="46">
        <v>27.604900000000001</v>
      </c>
      <c r="B709" s="47">
        <v>23682</v>
      </c>
      <c r="C709" s="48">
        <f>A709*($H$2/$I$2)</f>
        <v>27.167206123564789</v>
      </c>
      <c r="D709" s="48">
        <f>D708+1</f>
        <v>708</v>
      </c>
      <c r="E709" s="48">
        <v>18.546298523783488</v>
      </c>
      <c r="F709" s="48">
        <f>D709/1076</f>
        <v>0.65799256505576209</v>
      </c>
      <c r="G709" s="49">
        <f>1000*E709*$J$2*9.81/1000</f>
        <v>3638.7837703663199</v>
      </c>
    </row>
    <row r="710" spans="1:7" ht="14.4" x14ac:dyDescent="0.3">
      <c r="A710" s="41">
        <v>25.26</v>
      </c>
      <c r="B710" s="42">
        <v>23651</v>
      </c>
      <c r="C710" s="43">
        <f>A710*($H$2/$I$2)</f>
        <v>24.859486057955166</v>
      </c>
      <c r="D710" s="43">
        <f>D709+1</f>
        <v>709</v>
      </c>
      <c r="E710" s="43">
        <v>18.524056861673046</v>
      </c>
      <c r="F710" s="43">
        <f>D710/1076</f>
        <v>0.65892193308550184</v>
      </c>
      <c r="G710" s="45">
        <f>1000*E710*$J$2*9.81/1000</f>
        <v>3634.4199562602516</v>
      </c>
    </row>
    <row r="711" spans="1:7" ht="14.4" x14ac:dyDescent="0.3">
      <c r="A711" s="46">
        <v>5.8094000000000001</v>
      </c>
      <c r="B711" s="47">
        <v>23621</v>
      </c>
      <c r="C711" s="48">
        <f>A711*($H$2/$I$2)</f>
        <v>5.7172881355932201</v>
      </c>
      <c r="D711" s="48">
        <f>D710+1</f>
        <v>710</v>
      </c>
      <c r="E711" s="43">
        <v>18.488430836522689</v>
      </c>
      <c r="F711" s="48">
        <f>D711/1076</f>
        <v>0.6598513011152416</v>
      </c>
      <c r="G711" s="49">
        <f>1000*E711*$J$2*9.81/1000</f>
        <v>3627.4301301257519</v>
      </c>
    </row>
    <row r="712" spans="1:7" ht="14.4" x14ac:dyDescent="0.3">
      <c r="A712" s="41">
        <v>8.1202000000000005</v>
      </c>
      <c r="B712" s="42">
        <v>23590</v>
      </c>
      <c r="C712" s="43">
        <f>A712*($H$2/$I$2)</f>
        <v>7.9914488791689449</v>
      </c>
      <c r="D712" s="43">
        <f>D711+1</f>
        <v>711</v>
      </c>
      <c r="E712" s="43">
        <v>18.478097320940403</v>
      </c>
      <c r="F712" s="43">
        <f>D712/1076</f>
        <v>0.66078066914498146</v>
      </c>
      <c r="G712" s="45">
        <f>1000*E712*$J$2*9.81/1000</f>
        <v>3625.4026943685071</v>
      </c>
    </row>
    <row r="713" spans="1:7" ht="14.4" x14ac:dyDescent="0.3">
      <c r="A713" s="46">
        <v>10.7959</v>
      </c>
      <c r="B713" s="47">
        <v>23559</v>
      </c>
      <c r="C713" s="48">
        <f>A713*($H$2/$I$2)</f>
        <v>10.624723892837615</v>
      </c>
      <c r="D713" s="48">
        <f>D712+1</f>
        <v>712</v>
      </c>
      <c r="E713" s="43">
        <v>18.471995626025151</v>
      </c>
      <c r="F713" s="48">
        <f>D713/1076</f>
        <v>0.66171003717472121</v>
      </c>
      <c r="G713" s="49">
        <f>1000*E713*$J$2*9.81/1000</f>
        <v>3624.2055418261352</v>
      </c>
    </row>
    <row r="714" spans="1:7" ht="14.4" x14ac:dyDescent="0.3">
      <c r="A714" s="41">
        <v>11.8019</v>
      </c>
      <c r="B714" s="42">
        <v>23529</v>
      </c>
      <c r="C714" s="43">
        <f>A714*($H$2/$I$2)</f>
        <v>11.614773100054673</v>
      </c>
      <c r="D714" s="43">
        <f>D713+1</f>
        <v>713</v>
      </c>
      <c r="E714" s="43">
        <v>18.439026790595953</v>
      </c>
      <c r="F714" s="43">
        <f>D714/1076</f>
        <v>0.66263940520446096</v>
      </c>
      <c r="G714" s="45">
        <f>1000*E714*$J$2*9.81/1000</f>
        <v>3617.7370563149257</v>
      </c>
    </row>
    <row r="715" spans="1:7" ht="14.4" x14ac:dyDescent="0.3">
      <c r="A715" s="46">
        <v>20.121099999999998</v>
      </c>
      <c r="B715" s="47">
        <v>23498</v>
      </c>
      <c r="C715" s="48">
        <f>A715*($H$2/$I$2)</f>
        <v>19.802066703116456</v>
      </c>
      <c r="D715" s="48">
        <f>D714+1</f>
        <v>714</v>
      </c>
      <c r="E715" s="43">
        <v>18.418851831601966</v>
      </c>
      <c r="F715" s="48">
        <f>D715/1076</f>
        <v>0.66356877323420072</v>
      </c>
      <c r="G715" s="49">
        <f>1000*E715*$J$2*9.81/1000</f>
        <v>3613.7787293603055</v>
      </c>
    </row>
    <row r="716" spans="1:7" ht="14.4" x14ac:dyDescent="0.3">
      <c r="A716" s="41">
        <v>29.318000000000001</v>
      </c>
      <c r="B716" s="42">
        <v>23468</v>
      </c>
      <c r="C716" s="43">
        <f>A716*($H$2/$I$2)</f>
        <v>28.853143794423183</v>
      </c>
      <c r="D716" s="43">
        <f>D715+1</f>
        <v>715</v>
      </c>
      <c r="E716" s="48">
        <v>18.398775287042099</v>
      </c>
      <c r="F716" s="43">
        <f>D716/1076</f>
        <v>0.66449814126394047</v>
      </c>
      <c r="G716" s="45">
        <f>1000*E716*$J$2*9.81/1000</f>
        <v>3609.8397113176597</v>
      </c>
    </row>
    <row r="717" spans="1:7" ht="14.4" x14ac:dyDescent="0.3">
      <c r="A717" s="46">
        <v>54.233199999999997</v>
      </c>
      <c r="B717" s="47">
        <v>23437</v>
      </c>
      <c r="C717" s="48">
        <f>A717*($H$2/$I$2)</f>
        <v>53.373296883542913</v>
      </c>
      <c r="D717" s="48">
        <f>D716+1</f>
        <v>716</v>
      </c>
      <c r="E717" s="43">
        <v>18.342285401858938</v>
      </c>
      <c r="F717" s="48">
        <f>D717/1076</f>
        <v>0.66542750929368033</v>
      </c>
      <c r="G717" s="49">
        <f>1000*E717*$J$2*9.81/1000</f>
        <v>3598.756395844724</v>
      </c>
    </row>
    <row r="718" spans="1:7" ht="14.4" x14ac:dyDescent="0.3">
      <c r="A718" s="41">
        <v>137.1054</v>
      </c>
      <c r="B718" s="42">
        <v>23408</v>
      </c>
      <c r="C718" s="43">
        <f>A718*($H$2/$I$2)</f>
        <v>134.93150355385455</v>
      </c>
      <c r="D718" s="43">
        <f>D717+1</f>
        <v>717</v>
      </c>
      <c r="E718" s="48">
        <v>18.335986878075449</v>
      </c>
      <c r="F718" s="43">
        <f>D718/1076</f>
        <v>0.66635687732342008</v>
      </c>
      <c r="G718" s="45">
        <f>1000*E718*$J$2*9.81/1000</f>
        <v>3597.520625478403</v>
      </c>
    </row>
    <row r="719" spans="1:7" ht="14.4" x14ac:dyDescent="0.3">
      <c r="A719" s="46">
        <v>77.131100000000004</v>
      </c>
      <c r="B719" s="47">
        <v>23377</v>
      </c>
      <c r="C719" s="48">
        <f>A719*($H$2/$I$2)</f>
        <v>75.908135593220337</v>
      </c>
      <c r="D719" s="48">
        <f>D718+1</f>
        <v>718</v>
      </c>
      <c r="E719" s="48">
        <v>18.319945325314382</v>
      </c>
      <c r="F719" s="48">
        <f>D719/1076</f>
        <v>0.66728624535315983</v>
      </c>
      <c r="G719" s="49">
        <f>1000*E719*$J$2*9.81/1000</f>
        <v>3594.3732728266823</v>
      </c>
    </row>
    <row r="720" spans="1:7" ht="14.4" x14ac:dyDescent="0.3">
      <c r="A720" s="41">
        <v>16.047699999999999</v>
      </c>
      <c r="B720" s="42">
        <v>23346</v>
      </c>
      <c r="C720" s="43">
        <f>A720*($H$2/$I$2)</f>
        <v>15.793253143794422</v>
      </c>
      <c r="D720" s="43">
        <f>D719+1</f>
        <v>719</v>
      </c>
      <c r="E720" s="48">
        <v>18.315319846910878</v>
      </c>
      <c r="F720" s="43">
        <f>D720/1076</f>
        <v>0.66821561338289959</v>
      </c>
      <c r="G720" s="45">
        <f>1000*E720*$J$2*9.81/1000</f>
        <v>3593.4657539639147</v>
      </c>
    </row>
    <row r="721" spans="1:7" ht="14.4" x14ac:dyDescent="0.3">
      <c r="A721" s="46">
        <v>22.148800000000001</v>
      </c>
      <c r="B721" s="47">
        <v>23316</v>
      </c>
      <c r="C721" s="48">
        <f>A721*($H$2/$I$2)</f>
        <v>21.797616183706943</v>
      </c>
      <c r="D721" s="48">
        <f>D720+1</f>
        <v>720</v>
      </c>
      <c r="E721" s="43">
        <v>18.29425915800984</v>
      </c>
      <c r="F721" s="48">
        <f>D721/1076</f>
        <v>0.66914498141263945</v>
      </c>
      <c r="G721" s="49">
        <f>1000*E721*$J$2*9.81/1000</f>
        <v>3589.3336468015309</v>
      </c>
    </row>
    <row r="722" spans="1:7" ht="14.4" x14ac:dyDescent="0.3">
      <c r="A722" s="41">
        <v>16.114100000000001</v>
      </c>
      <c r="B722" s="42">
        <v>23285</v>
      </c>
      <c r="C722" s="43">
        <f>A722*($H$2/$I$2)</f>
        <v>15.858600328048114</v>
      </c>
      <c r="D722" s="43">
        <f>D721+1</f>
        <v>721</v>
      </c>
      <c r="E722" s="48">
        <v>18.268277747402951</v>
      </c>
      <c r="F722" s="43">
        <f>D722/1076</f>
        <v>0.6700743494423792</v>
      </c>
      <c r="G722" s="45">
        <f>1000*E722*$J$2*9.81/1000</f>
        <v>3584.2360940404592</v>
      </c>
    </row>
    <row r="723" spans="1:7" ht="14.4" x14ac:dyDescent="0.3">
      <c r="A723" s="46">
        <v>7.3259999999999996</v>
      </c>
      <c r="B723" s="47">
        <v>23255</v>
      </c>
      <c r="C723" s="48">
        <f>A723*($H$2/$I$2)</f>
        <v>7.2098414434117002</v>
      </c>
      <c r="D723" s="48">
        <f>D722+1</f>
        <v>722</v>
      </c>
      <c r="E723" s="48">
        <v>18.22359759431383</v>
      </c>
      <c r="F723" s="48">
        <f>D723/1076</f>
        <v>0.67100371747211895</v>
      </c>
      <c r="G723" s="49">
        <f>1000*E723*$J$2*9.81/1000</f>
        <v>3575.4698480043739</v>
      </c>
    </row>
    <row r="724" spans="1:7" ht="14.4" x14ac:dyDescent="0.3">
      <c r="A724" s="41">
        <v>10.779199999999999</v>
      </c>
      <c r="B724" s="42">
        <v>23224</v>
      </c>
      <c r="C724" s="43">
        <f>A724*($H$2/$I$2)</f>
        <v>10.608288682340076</v>
      </c>
      <c r="D724" s="43">
        <f>D723+1</f>
        <v>723</v>
      </c>
      <c r="E724" s="43">
        <v>18.21572443958447</v>
      </c>
      <c r="F724" s="43">
        <f>D724/1076</f>
        <v>0.67193308550185871</v>
      </c>
      <c r="G724" s="45">
        <f>1000*E724*$J$2*9.81/1000</f>
        <v>3573.9251350464733</v>
      </c>
    </row>
    <row r="725" spans="1:7" ht="14.4" x14ac:dyDescent="0.3">
      <c r="A725" s="46">
        <v>14.329800000000001</v>
      </c>
      <c r="B725" s="47">
        <v>23193</v>
      </c>
      <c r="C725" s="48">
        <f>A725*($H$2/$I$2)</f>
        <v>14.102591580098414</v>
      </c>
      <c r="D725" s="48">
        <f>D724+1</f>
        <v>724</v>
      </c>
      <c r="E725" s="48">
        <v>18.206079825041005</v>
      </c>
      <c r="F725" s="48">
        <f>D725/1076</f>
        <v>0.67286245353159846</v>
      </c>
      <c r="G725" s="49">
        <f>1000*E725*$J$2*9.81/1000</f>
        <v>3572.0328616730449</v>
      </c>
    </row>
    <row r="726" spans="1:7" ht="14.4" x14ac:dyDescent="0.3">
      <c r="A726" s="41">
        <v>16.912800000000001</v>
      </c>
      <c r="B726" s="42">
        <v>23163</v>
      </c>
      <c r="C726" s="43">
        <f>A726*($H$2/$I$2)</f>
        <v>16.644636413340624</v>
      </c>
      <c r="D726" s="43">
        <f>D725+1</f>
        <v>725</v>
      </c>
      <c r="E726" s="43">
        <v>18.193285948605794</v>
      </c>
      <c r="F726" s="43">
        <f>D726/1076</f>
        <v>0.67379182156133832</v>
      </c>
      <c r="G726" s="45">
        <f>1000*E726*$J$2*9.81/1000</f>
        <v>3569.5227031164568</v>
      </c>
    </row>
    <row r="727" spans="1:7" ht="14.4" x14ac:dyDescent="0.3">
      <c r="A727" s="46">
        <v>19.885899999999999</v>
      </c>
      <c r="B727" s="47">
        <v>23132</v>
      </c>
      <c r="C727" s="48">
        <f>A727*($H$2/$I$2)</f>
        <v>19.570595954073262</v>
      </c>
      <c r="D727" s="48">
        <f>D726+1</f>
        <v>726</v>
      </c>
      <c r="E727" s="43">
        <v>18.136107162383816</v>
      </c>
      <c r="F727" s="48">
        <f>D727/1076</f>
        <v>0.67472118959107807</v>
      </c>
      <c r="G727" s="49">
        <f>1000*E727*$J$2*9.81/1000</f>
        <v>3558.3042252597052</v>
      </c>
    </row>
    <row r="728" spans="1:7" ht="14.4" x14ac:dyDescent="0.3">
      <c r="A728" s="41">
        <v>31.291399999999999</v>
      </c>
      <c r="B728" s="42">
        <v>23102</v>
      </c>
      <c r="C728" s="43">
        <f>A728*($H$2/$I$2)</f>
        <v>30.795254237288134</v>
      </c>
      <c r="D728" s="43">
        <f>D727+1</f>
        <v>727</v>
      </c>
      <c r="E728" s="48">
        <v>18.098808091853471</v>
      </c>
      <c r="F728" s="43">
        <f>D728/1076</f>
        <v>0.67565055762081783</v>
      </c>
      <c r="G728" s="45">
        <f>1000*E728*$J$2*9.81/1000</f>
        <v>3550.9861476216506</v>
      </c>
    </row>
    <row r="729" spans="1:7" ht="14.4" x14ac:dyDescent="0.3">
      <c r="A729" s="46">
        <v>42.084499999999998</v>
      </c>
      <c r="B729" s="47">
        <v>23071</v>
      </c>
      <c r="C729" s="48">
        <f>A729*($H$2/$I$2)</f>
        <v>41.417222525970473</v>
      </c>
      <c r="D729" s="48">
        <f>D728+1</f>
        <v>728</v>
      </c>
      <c r="E729" s="48">
        <v>18.074696555494807</v>
      </c>
      <c r="F729" s="48">
        <f>D729/1076</f>
        <v>0.67657992565055758</v>
      </c>
      <c r="G729" s="49">
        <f>1000*E729*$J$2*9.81/1000</f>
        <v>3546.2554641880815</v>
      </c>
    </row>
    <row r="730" spans="1:7" ht="14.4" x14ac:dyDescent="0.3">
      <c r="A730" s="41">
        <v>61.027900000000002</v>
      </c>
      <c r="B730" s="42">
        <v>23043</v>
      </c>
      <c r="C730" s="43">
        <f>A730*($H$2/$I$2)</f>
        <v>60.06026243849098</v>
      </c>
      <c r="D730" s="43">
        <f>D729+1</f>
        <v>729</v>
      </c>
      <c r="E730" s="43">
        <v>18.048911973756152</v>
      </c>
      <c r="F730" s="43">
        <f>D730/1076</f>
        <v>0.67750929368029744</v>
      </c>
      <c r="G730" s="45">
        <f>1000*E730*$J$2*9.81/1000</f>
        <v>3541.1965292509576</v>
      </c>
    </row>
    <row r="731" spans="1:7" ht="14.4" x14ac:dyDescent="0.3">
      <c r="A731" s="46">
        <v>77.364800000000002</v>
      </c>
      <c r="B731" s="47">
        <v>23012</v>
      </c>
      <c r="C731" s="48">
        <f>A731*($H$2/$I$2)</f>
        <v>76.138130125751772</v>
      </c>
      <c r="D731" s="48">
        <f>D730+1</f>
        <v>730</v>
      </c>
      <c r="E731" s="43">
        <v>18.037889557135045</v>
      </c>
      <c r="F731" s="48">
        <f>D731/1076</f>
        <v>0.67843866171003719</v>
      </c>
      <c r="G731" s="49">
        <f>1000*E731*$J$2*9.81/1000</f>
        <v>3539.033931109896</v>
      </c>
    </row>
    <row r="732" spans="1:7" ht="14.4" x14ac:dyDescent="0.3">
      <c r="A732" s="41">
        <v>99.776300000000006</v>
      </c>
      <c r="B732" s="42">
        <v>22981</v>
      </c>
      <c r="C732" s="43">
        <f>A732*($H$2/$I$2)</f>
        <v>98.194281027884088</v>
      </c>
      <c r="D732" s="43">
        <f>D731+1</f>
        <v>731</v>
      </c>
      <c r="E732" s="48">
        <v>18.016632039365771</v>
      </c>
      <c r="F732" s="43">
        <f>D732/1076</f>
        <v>0.67936802973977695</v>
      </c>
      <c r="G732" s="45">
        <f>1000*E732*$J$2*9.81/1000</f>
        <v>3534.8632061235639</v>
      </c>
    </row>
    <row r="733" spans="1:7" ht="14.4" x14ac:dyDescent="0.3">
      <c r="A733" s="46">
        <v>38.2423</v>
      </c>
      <c r="B733" s="47">
        <v>22951</v>
      </c>
      <c r="C733" s="48">
        <f>A733*($H$2/$I$2)</f>
        <v>37.635943138326951</v>
      </c>
      <c r="D733" s="48">
        <f>D732+1</f>
        <v>732</v>
      </c>
      <c r="E733" s="48">
        <v>17.975593220338983</v>
      </c>
      <c r="F733" s="48">
        <f>D733/1076</f>
        <v>0.6802973977695167</v>
      </c>
      <c r="G733" s="49">
        <f>1000*E733*$J$2*9.81/1000</f>
        <v>3526.8113898305082</v>
      </c>
    </row>
    <row r="734" spans="1:7" ht="14.4" x14ac:dyDescent="0.3">
      <c r="A734" s="41">
        <v>19.883299999999998</v>
      </c>
      <c r="B734" s="42">
        <v>22920</v>
      </c>
      <c r="C734" s="43">
        <f>A734*($H$2/$I$2)</f>
        <v>19.56803717878622</v>
      </c>
      <c r="D734" s="43">
        <f>D733+1</f>
        <v>733</v>
      </c>
      <c r="E734" s="48">
        <v>17.825904866047019</v>
      </c>
      <c r="F734" s="43">
        <f>D734/1076</f>
        <v>0.68122676579925645</v>
      </c>
      <c r="G734" s="45">
        <f>1000*E734*$J$2*9.81/1000</f>
        <v>3497.4425347184251</v>
      </c>
    </row>
    <row r="735" spans="1:7" ht="14.4" x14ac:dyDescent="0.3">
      <c r="A735" s="46">
        <v>6.5674999999999999</v>
      </c>
      <c r="B735" s="47">
        <v>22890</v>
      </c>
      <c r="C735" s="48">
        <f>A735*($H$2/$I$2)</f>
        <v>6.4633679606342263</v>
      </c>
      <c r="D735" s="48">
        <f>D734+1</f>
        <v>734</v>
      </c>
      <c r="E735" s="43">
        <v>17.803466375068343</v>
      </c>
      <c r="F735" s="48">
        <f>D735/1076</f>
        <v>0.68215613382899631</v>
      </c>
      <c r="G735" s="49">
        <f>1000*E735*$J$2*9.81/1000</f>
        <v>3493.0401027884086</v>
      </c>
    </row>
    <row r="736" spans="1:7" ht="14.4" x14ac:dyDescent="0.3">
      <c r="A736" s="41">
        <v>6.7629999999999999</v>
      </c>
      <c r="B736" s="42">
        <v>22859</v>
      </c>
      <c r="C736" s="43">
        <f>A736*($H$2/$I$2)</f>
        <v>6.6557681793329682</v>
      </c>
      <c r="D736" s="43">
        <f>D735+1</f>
        <v>735</v>
      </c>
      <c r="E736" s="48">
        <v>17.793428102788411</v>
      </c>
      <c r="F736" s="43">
        <f>D736/1076</f>
        <v>0.68308550185873607</v>
      </c>
      <c r="G736" s="45">
        <f>1000*E736*$J$2*9.81/1000</f>
        <v>3491.0705937670864</v>
      </c>
    </row>
    <row r="737" spans="1:7" ht="14.4" x14ac:dyDescent="0.3">
      <c r="A737" s="46">
        <v>7.1722999999999999</v>
      </c>
      <c r="B737" s="47">
        <v>22828</v>
      </c>
      <c r="C737" s="48">
        <f>A737*($H$2/$I$2)</f>
        <v>7.0585784581738649</v>
      </c>
      <c r="D737" s="48">
        <f>D736+1</f>
        <v>736</v>
      </c>
      <c r="E737" s="43">
        <v>17.673165664297429</v>
      </c>
      <c r="F737" s="48">
        <f>D737/1076</f>
        <v>0.68401486988847582</v>
      </c>
      <c r="G737" s="49">
        <f>1000*E737*$J$2*9.81/1000</f>
        <v>3467.4751033351558</v>
      </c>
    </row>
    <row r="738" spans="1:7" ht="14.4" x14ac:dyDescent="0.3">
      <c r="A738" s="41">
        <v>10.1067</v>
      </c>
      <c r="B738" s="42">
        <v>22798</v>
      </c>
      <c r="C738" s="43">
        <f>A738*($H$2/$I$2)</f>
        <v>9.9464516129032248</v>
      </c>
      <c r="D738" s="43">
        <f>D737+1</f>
        <v>737</v>
      </c>
      <c r="E738" s="43">
        <v>17.658206670311642</v>
      </c>
      <c r="F738" s="43">
        <f>D738/1076</f>
        <v>0.68494423791821557</v>
      </c>
      <c r="G738" s="45">
        <f>1000*E738*$J$2*9.81/1000</f>
        <v>3464.5401487151444</v>
      </c>
    </row>
    <row r="739" spans="1:7" ht="14.4" x14ac:dyDescent="0.3">
      <c r="A739" s="46">
        <v>17.7713</v>
      </c>
      <c r="B739" s="47">
        <v>22767</v>
      </c>
      <c r="C739" s="48">
        <f>A739*($H$2/$I$2)</f>
        <v>17.489524330235099</v>
      </c>
      <c r="D739" s="48">
        <f>D738+1</f>
        <v>738</v>
      </c>
      <c r="E739" s="43">
        <v>17.647381082558773</v>
      </c>
      <c r="F739" s="48">
        <f>D739/1076</f>
        <v>0.68587360594795543</v>
      </c>
      <c r="G739" s="49">
        <f>1000*E739*$J$2*9.81/1000</f>
        <v>3462.416168398031</v>
      </c>
    </row>
    <row r="740" spans="1:7" ht="14.4" x14ac:dyDescent="0.3">
      <c r="A740" s="41">
        <v>22.8125</v>
      </c>
      <c r="B740" s="42">
        <v>22737</v>
      </c>
      <c r="C740" s="43">
        <f>A740*($H$2/$I$2)</f>
        <v>22.450792782941498</v>
      </c>
      <c r="D740" s="43">
        <f>D739+1</f>
        <v>739</v>
      </c>
      <c r="E740" s="48">
        <v>17.60358665937671</v>
      </c>
      <c r="F740" s="43">
        <f>D740/1076</f>
        <v>0.68680297397769519</v>
      </c>
      <c r="G740" s="45">
        <f>1000*E740*$J$2*9.81/1000</f>
        <v>3453.8237025697103</v>
      </c>
    </row>
    <row r="741" spans="1:7" ht="14.4" x14ac:dyDescent="0.3">
      <c r="A741" s="46">
        <v>50.041400000000003</v>
      </c>
      <c r="B741" s="47">
        <v>22706</v>
      </c>
      <c r="C741" s="48">
        <f>A741*($H$2/$I$2)</f>
        <v>49.247960634226352</v>
      </c>
      <c r="D741" s="48">
        <f>D740+1</f>
        <v>740</v>
      </c>
      <c r="E741" s="43">
        <v>17.58055768179333</v>
      </c>
      <c r="F741" s="48">
        <f>D741/1076</f>
        <v>0.68773234200743494</v>
      </c>
      <c r="G741" s="49">
        <f>1000*E741*$J$2*9.81/1000</f>
        <v>3449.3054171678514</v>
      </c>
    </row>
    <row r="742" spans="1:7" ht="14.4" x14ac:dyDescent="0.3">
      <c r="A742" s="41">
        <v>143.11080000000001</v>
      </c>
      <c r="B742" s="42">
        <v>22678</v>
      </c>
      <c r="C742" s="43">
        <f>A742*($H$2/$I$2)</f>
        <v>140.84168398031713</v>
      </c>
      <c r="D742" s="43">
        <f>D741+1</f>
        <v>741</v>
      </c>
      <c r="E742" s="43">
        <v>17.536664844177142</v>
      </c>
      <c r="F742" s="43">
        <f>D742/1076</f>
        <v>0.68866171003717469</v>
      </c>
      <c r="G742" s="45">
        <f>1000*E742*$J$2*9.81/1000</f>
        <v>3440.6936424275555</v>
      </c>
    </row>
    <row r="743" spans="1:7" ht="14.4" x14ac:dyDescent="0.3">
      <c r="A743" s="46">
        <v>56.489100000000001</v>
      </c>
      <c r="B743" s="47">
        <v>22647</v>
      </c>
      <c r="C743" s="48">
        <f>A743*($H$2/$I$2)</f>
        <v>55.593428102788408</v>
      </c>
      <c r="D743" s="48">
        <f>D742+1</f>
        <v>742</v>
      </c>
      <c r="E743" s="48">
        <v>17.512651722252595</v>
      </c>
      <c r="F743" s="48">
        <f>D743/1076</f>
        <v>0.68959107806691455</v>
      </c>
      <c r="G743" s="49">
        <f>1000*E743*$J$2*9.81/1000</f>
        <v>3435.9822679059594</v>
      </c>
    </row>
    <row r="744" spans="1:7" ht="14.4" x14ac:dyDescent="0.3">
      <c r="A744" s="41">
        <v>22.1462</v>
      </c>
      <c r="B744" s="42">
        <v>22616</v>
      </c>
      <c r="C744" s="43">
        <f>A744*($H$2/$I$2)</f>
        <v>21.7950574084199</v>
      </c>
      <c r="D744" s="43">
        <f>D743+1</f>
        <v>743</v>
      </c>
      <c r="E744" s="48">
        <v>17.489524330235099</v>
      </c>
      <c r="F744" s="43">
        <f>D744/1076</f>
        <v>0.69052044609665431</v>
      </c>
      <c r="G744" s="45">
        <f>1000*E744*$J$2*9.81/1000</f>
        <v>3431.4446735921269</v>
      </c>
    </row>
    <row r="745" spans="1:7" ht="14.4" x14ac:dyDescent="0.3">
      <c r="A745" s="46">
        <v>10.950200000000001</v>
      </c>
      <c r="B745" s="47">
        <v>22586</v>
      </c>
      <c r="C745" s="48">
        <f>A745*($H$2/$I$2)</f>
        <v>10.776577364680154</v>
      </c>
      <c r="D745" s="48">
        <f>D744+1</f>
        <v>744</v>
      </c>
      <c r="E745" s="48">
        <v>17.436183706943684</v>
      </c>
      <c r="F745" s="48">
        <f>D745/1076</f>
        <v>0.69144981412639406</v>
      </c>
      <c r="G745" s="49">
        <f>1000*E745*$J$2*9.81/1000</f>
        <v>3420.9792433023513</v>
      </c>
    </row>
    <row r="746" spans="1:7" ht="14.4" x14ac:dyDescent="0.3">
      <c r="A746" s="41">
        <v>4.1119000000000003</v>
      </c>
      <c r="B746" s="42">
        <v>22555</v>
      </c>
      <c r="C746" s="43">
        <f>A746*($H$2/$I$2)</f>
        <v>4.0467031164570804</v>
      </c>
      <c r="D746" s="43">
        <f>D745+1</f>
        <v>745</v>
      </c>
      <c r="E746" s="48">
        <v>17.436085292509567</v>
      </c>
      <c r="F746" s="43">
        <f>D746/1076</f>
        <v>0.69237918215613381</v>
      </c>
      <c r="G746" s="45">
        <f>1000*E746*$J$2*9.81/1000</f>
        <v>3420.9599343903774</v>
      </c>
    </row>
    <row r="747" spans="1:7" ht="14.4" x14ac:dyDescent="0.3">
      <c r="A747" s="46">
        <v>12.288600000000001</v>
      </c>
      <c r="B747" s="47">
        <v>22525</v>
      </c>
      <c r="C747" s="48">
        <f>A747*($H$2/$I$2)</f>
        <v>12.093756150902133</v>
      </c>
      <c r="D747" s="48">
        <f>D746+1</f>
        <v>746</v>
      </c>
      <c r="E747" s="43">
        <v>17.426932750136686</v>
      </c>
      <c r="F747" s="48">
        <f>D747/1076</f>
        <v>0.69330855018587356</v>
      </c>
      <c r="G747" s="49">
        <f>1000*E747*$J$2*9.81/1000</f>
        <v>3419.1642055768175</v>
      </c>
    </row>
    <row r="748" spans="1:7" ht="14.4" x14ac:dyDescent="0.3">
      <c r="A748" s="41">
        <v>8.3122000000000007</v>
      </c>
      <c r="B748" s="42">
        <v>22494</v>
      </c>
      <c r="C748" s="43">
        <f>A748*($H$2/$I$2)</f>
        <v>8.1804045926735931</v>
      </c>
      <c r="D748" s="43">
        <f>D747+1</f>
        <v>747</v>
      </c>
      <c r="E748" s="48">
        <v>17.399770366320393</v>
      </c>
      <c r="F748" s="43">
        <f>D748/1076</f>
        <v>0.69423791821561343</v>
      </c>
      <c r="G748" s="45">
        <f>1000*E748*$J$2*9.81/1000</f>
        <v>3413.8349458720609</v>
      </c>
    </row>
    <row r="749" spans="1:7" ht="14.4" x14ac:dyDescent="0.3">
      <c r="A749" s="46">
        <v>11.549099999999999</v>
      </c>
      <c r="B749" s="47">
        <v>22463</v>
      </c>
      <c r="C749" s="48">
        <f>A749*($H$2/$I$2)</f>
        <v>11.365981410606889</v>
      </c>
      <c r="D749" s="48">
        <f>D748+1</f>
        <v>748</v>
      </c>
      <c r="E749" s="48">
        <v>17.322515035538547</v>
      </c>
      <c r="F749" s="48">
        <f>D749/1076</f>
        <v>0.69516728624535318</v>
      </c>
      <c r="G749" s="49">
        <f>1000*E749*$J$2*9.81/1000</f>
        <v>3398.6774499726635</v>
      </c>
    </row>
    <row r="750" spans="1:7" ht="14.4" x14ac:dyDescent="0.3">
      <c r="A750" s="41">
        <v>17.197600000000001</v>
      </c>
      <c r="B750" s="42">
        <v>22433</v>
      </c>
      <c r="C750" s="43">
        <f>A750*($H$2/$I$2)</f>
        <v>16.924920721705853</v>
      </c>
      <c r="D750" s="43">
        <f>D749+1</f>
        <v>749</v>
      </c>
      <c r="E750" s="43">
        <v>17.312378348824495</v>
      </c>
      <c r="F750" s="43">
        <f>D750/1076</f>
        <v>0.69609665427509293</v>
      </c>
      <c r="G750" s="45">
        <f>1000*E750*$J$2*9.81/1000</f>
        <v>3396.6886320393664</v>
      </c>
    </row>
    <row r="751" spans="1:7" ht="14.4" x14ac:dyDescent="0.3">
      <c r="A751" s="46">
        <v>34.4</v>
      </c>
      <c r="B751" s="47">
        <v>22402</v>
      </c>
      <c r="C751" s="48">
        <f>A751*($H$2/$I$2)</f>
        <v>33.854565336249316</v>
      </c>
      <c r="D751" s="48">
        <f>D750+1</f>
        <v>750</v>
      </c>
      <c r="E751" s="43">
        <v>17.286101694915253</v>
      </c>
      <c r="F751" s="48">
        <f>D751/1076</f>
        <v>0.69702602230483268</v>
      </c>
      <c r="G751" s="49">
        <f>1000*E751*$J$2*9.81/1000</f>
        <v>3391.533152542373</v>
      </c>
    </row>
    <row r="752" spans="1:7" ht="14.4" x14ac:dyDescent="0.3">
      <c r="A752" s="41">
        <v>50.2273</v>
      </c>
      <c r="B752" s="42">
        <v>22372</v>
      </c>
      <c r="C752" s="43">
        <f>A752*($H$2/$I$2)</f>
        <v>49.430913067249861</v>
      </c>
      <c r="D752" s="43">
        <f>D751+1</f>
        <v>751</v>
      </c>
      <c r="E752" s="48">
        <v>17.281673045379986</v>
      </c>
      <c r="F752" s="43">
        <f>D752/1076</f>
        <v>0.69795539033457255</v>
      </c>
      <c r="G752" s="45">
        <f>1000*E752*$J$2*9.81/1000</f>
        <v>3390.6642515035533</v>
      </c>
    </row>
    <row r="753" spans="1:7" ht="14.4" x14ac:dyDescent="0.3">
      <c r="A753" s="46">
        <v>113.1942</v>
      </c>
      <c r="B753" s="47">
        <v>22341</v>
      </c>
      <c r="C753" s="48">
        <f>A753*($H$2/$I$2)</f>
        <v>111.39943138326954</v>
      </c>
      <c r="D753" s="48">
        <f>D752+1</f>
        <v>752</v>
      </c>
      <c r="E753" s="48">
        <v>17.271241115363583</v>
      </c>
      <c r="F753" s="48">
        <f>D753/1076</f>
        <v>0.6988847583643123</v>
      </c>
      <c r="G753" s="49">
        <f>1000*E753*$J$2*9.81/1000</f>
        <v>3388.617506834335</v>
      </c>
    </row>
    <row r="754" spans="1:7" ht="14.4" x14ac:dyDescent="0.3">
      <c r="A754" s="41">
        <v>129.21530000000001</v>
      </c>
      <c r="B754" s="42">
        <v>22313</v>
      </c>
      <c r="C754" s="43">
        <f>A754*($H$2/$I$2)</f>
        <v>127.16650628758886</v>
      </c>
      <c r="D754" s="43">
        <f>D753+1</f>
        <v>753</v>
      </c>
      <c r="E754" s="48">
        <v>17.249589939857845</v>
      </c>
      <c r="F754" s="43">
        <f>D754/1076</f>
        <v>0.69981412639405205</v>
      </c>
      <c r="G754" s="45">
        <f>1000*E754*$J$2*9.81/1000</f>
        <v>3384.3695462001092</v>
      </c>
    </row>
    <row r="755" spans="1:7" ht="14.4" x14ac:dyDescent="0.3">
      <c r="A755" s="46">
        <v>138.35990000000001</v>
      </c>
      <c r="B755" s="47">
        <v>22282</v>
      </c>
      <c r="C755" s="48">
        <f>A755*($H$2/$I$2)</f>
        <v>136.16611262985239</v>
      </c>
      <c r="D755" s="48">
        <f>D754+1</f>
        <v>754</v>
      </c>
      <c r="E755" s="43">
        <v>17.213471842536904</v>
      </c>
      <c r="F755" s="48">
        <f>D755/1076</f>
        <v>0.7007434944237918</v>
      </c>
      <c r="G755" s="49">
        <f>1000*E755*$J$2*9.81/1000</f>
        <v>3377.2831755057405</v>
      </c>
    </row>
    <row r="756" spans="1:7" ht="14.4" x14ac:dyDescent="0.3">
      <c r="A756" s="41">
        <v>79.578699999999998</v>
      </c>
      <c r="B756" s="42">
        <v>22251</v>
      </c>
      <c r="C756" s="43">
        <f>A756*($H$2/$I$2)</f>
        <v>78.316927282668118</v>
      </c>
      <c r="D756" s="43">
        <f>D755+1</f>
        <v>755</v>
      </c>
      <c r="E756" s="43">
        <v>17.189261891744124</v>
      </c>
      <c r="F756" s="43">
        <f>D756/1076</f>
        <v>0.70167286245353155</v>
      </c>
      <c r="G756" s="45">
        <f>1000*E756*$J$2*9.81/1000</f>
        <v>3372.5331831601975</v>
      </c>
    </row>
    <row r="757" spans="1:7" ht="14.4" x14ac:dyDescent="0.3">
      <c r="A757" s="46">
        <v>29.239100000000001</v>
      </c>
      <c r="B757" s="47">
        <v>22221</v>
      </c>
      <c r="C757" s="48">
        <f>A757*($H$2/$I$2)</f>
        <v>28.775494805904867</v>
      </c>
      <c r="D757" s="48">
        <f>D756+1</f>
        <v>756</v>
      </c>
      <c r="E757" s="43">
        <v>17.182963367960635</v>
      </c>
      <c r="F757" s="48">
        <f>D757/1076</f>
        <v>0.70260223048327142</v>
      </c>
      <c r="G757" s="49">
        <f>1000*E757*$J$2*9.81/1000</f>
        <v>3371.2974127938764</v>
      </c>
    </row>
    <row r="758" spans="1:7" ht="14.4" x14ac:dyDescent="0.3">
      <c r="A758" s="41">
        <v>7.6181000000000001</v>
      </c>
      <c r="B758" s="42">
        <v>22190</v>
      </c>
      <c r="C758" s="43">
        <f>A758*($H$2/$I$2)</f>
        <v>7.4973100054674688</v>
      </c>
      <c r="D758" s="43">
        <f>D757+1</f>
        <v>757</v>
      </c>
      <c r="E758" s="48">
        <v>17.154127938764351</v>
      </c>
      <c r="F758" s="43">
        <f>D758/1076</f>
        <v>0.70353159851301117</v>
      </c>
      <c r="G758" s="45">
        <f>1000*E758*$J$2*9.81/1000</f>
        <v>3365.6399015855659</v>
      </c>
    </row>
    <row r="759" spans="1:7" ht="14.4" x14ac:dyDescent="0.3">
      <c r="A759" s="46">
        <v>5.1714000000000002</v>
      </c>
      <c r="B759" s="47">
        <v>22160</v>
      </c>
      <c r="C759" s="48">
        <f>A759*($H$2/$I$2)</f>
        <v>5.0894040459267362</v>
      </c>
      <c r="D759" s="48">
        <f>D758+1</f>
        <v>758</v>
      </c>
      <c r="E759" s="43">
        <v>17.147927829414979</v>
      </c>
      <c r="F759" s="48">
        <f>D759/1076</f>
        <v>0.70446096654275092</v>
      </c>
      <c r="G759" s="49">
        <f>1000*E759*$J$2*9.81/1000</f>
        <v>3364.4234401312192</v>
      </c>
    </row>
    <row r="760" spans="1:7" ht="14.4" x14ac:dyDescent="0.3">
      <c r="A760" s="41">
        <v>7.2178000000000004</v>
      </c>
      <c r="B760" s="42">
        <v>22129</v>
      </c>
      <c r="C760" s="43">
        <f>A760*($H$2/$I$2)</f>
        <v>7.1033570256971021</v>
      </c>
      <c r="D760" s="43">
        <f>D759+1</f>
        <v>759</v>
      </c>
      <c r="E760" s="48">
        <v>17.14133406232914</v>
      </c>
      <c r="F760" s="43">
        <f>D760/1076</f>
        <v>0.70539033457249067</v>
      </c>
      <c r="G760" s="45">
        <f>1000*E760*$J$2*9.81/1000</f>
        <v>3363.1297430289778</v>
      </c>
    </row>
    <row r="761" spans="1:7" ht="14.4" x14ac:dyDescent="0.3">
      <c r="A761" s="46">
        <v>11.1312</v>
      </c>
      <c r="B761" s="47">
        <v>22098</v>
      </c>
      <c r="C761" s="48">
        <f>A761*($H$2/$I$2)</f>
        <v>10.954707490431929</v>
      </c>
      <c r="D761" s="48">
        <f>D760+1</f>
        <v>760</v>
      </c>
      <c r="E761" s="43">
        <v>17.108168398031712</v>
      </c>
      <c r="F761" s="48">
        <f>D761/1076</f>
        <v>0.70631970260223054</v>
      </c>
      <c r="G761" s="49">
        <f>1000*E761*$J$2*9.81/1000</f>
        <v>3356.6226396938214</v>
      </c>
    </row>
    <row r="762" spans="1:7" ht="14.4" x14ac:dyDescent="0.3">
      <c r="A762" s="41">
        <v>15.436299999999999</v>
      </c>
      <c r="B762" s="42">
        <v>22068</v>
      </c>
      <c r="C762" s="43">
        <f>A762*($H$2/$I$2)</f>
        <v>15.19154729360306</v>
      </c>
      <c r="D762" s="43">
        <f>D761+1</f>
        <v>761</v>
      </c>
      <c r="E762" s="48">
        <v>17.065948605795516</v>
      </c>
      <c r="F762" s="43">
        <f>D762/1076</f>
        <v>0.70724907063197029</v>
      </c>
      <c r="G762" s="45">
        <f>1000*E762*$J$2*9.81/1000</f>
        <v>3348.3391164570799</v>
      </c>
    </row>
    <row r="763" spans="1:7" ht="14.4" x14ac:dyDescent="0.3">
      <c r="A763" s="46">
        <v>24.308700000000002</v>
      </c>
      <c r="B763" s="47">
        <v>22037</v>
      </c>
      <c r="C763" s="48">
        <f>A763*($H$2/$I$2)</f>
        <v>23.92326954620011</v>
      </c>
      <c r="D763" s="48">
        <f>D762+1</f>
        <v>762</v>
      </c>
      <c r="E763" s="48">
        <v>17.051186440677967</v>
      </c>
      <c r="F763" s="48">
        <f>D763/1076</f>
        <v>0.70817843866171004</v>
      </c>
      <c r="G763" s="49">
        <f>1000*E763*$J$2*9.81/1000</f>
        <v>3345.4427796610175</v>
      </c>
    </row>
    <row r="764" spans="1:7" ht="14.4" x14ac:dyDescent="0.3">
      <c r="A764" s="41">
        <v>30.7042</v>
      </c>
      <c r="B764" s="42">
        <v>22007</v>
      </c>
      <c r="C764" s="43">
        <f>A764*($H$2/$I$2)</f>
        <v>30.217364680153089</v>
      </c>
      <c r="D764" s="43">
        <f>D763+1</f>
        <v>763</v>
      </c>
      <c r="E764" s="43">
        <v>17.01624931656643</v>
      </c>
      <c r="F764" s="43">
        <f>D764/1076</f>
        <v>0.70910780669144979</v>
      </c>
      <c r="G764" s="45">
        <f>1000*E764*$J$2*9.81/1000</f>
        <v>3338.5881159103342</v>
      </c>
    </row>
    <row r="765" spans="1:7" ht="14.4" x14ac:dyDescent="0.3">
      <c r="A765" s="46">
        <v>88.057900000000004</v>
      </c>
      <c r="B765" s="47">
        <v>21976</v>
      </c>
      <c r="C765" s="48">
        <f>A765*($H$2/$I$2)</f>
        <v>86.661683980317108</v>
      </c>
      <c r="D765" s="48">
        <f>D764+1</f>
        <v>764</v>
      </c>
      <c r="E765" s="43">
        <v>16.954445051940951</v>
      </c>
      <c r="F765" s="48">
        <f>D765/1076</f>
        <v>0.71003717472118955</v>
      </c>
      <c r="G765" s="49">
        <f>1000*E765*$J$2*9.81/1000</f>
        <v>3326.4621191908145</v>
      </c>
    </row>
    <row r="766" spans="1:7" ht="14.4" x14ac:dyDescent="0.3">
      <c r="A766" s="41">
        <v>51.433</v>
      </c>
      <c r="B766" s="42">
        <v>21947</v>
      </c>
      <c r="C766" s="43">
        <f>A766*($H$2/$I$2)</f>
        <v>50.617495899398577</v>
      </c>
      <c r="D766" s="43">
        <f>D765+1</f>
        <v>765</v>
      </c>
      <c r="E766" s="43">
        <v>16.924920721705853</v>
      </c>
      <c r="F766" s="43">
        <f>D766/1076</f>
        <v>0.71096654275092941</v>
      </c>
      <c r="G766" s="45">
        <f>1000*E766*$J$2*9.81/1000</f>
        <v>3320.669445598689</v>
      </c>
    </row>
    <row r="767" spans="1:7" ht="14.4" x14ac:dyDescent="0.3">
      <c r="A767" s="46">
        <v>96.759100000000004</v>
      </c>
      <c r="B767" s="47">
        <v>21916</v>
      </c>
      <c r="C767" s="48">
        <f>A767*($H$2/$I$2)</f>
        <v>95.224920721705857</v>
      </c>
      <c r="D767" s="48">
        <f>D766+1</f>
        <v>766</v>
      </c>
      <c r="E767" s="48">
        <v>16.923641334062328</v>
      </c>
      <c r="F767" s="48">
        <f>D767/1076</f>
        <v>0.71189591078066916</v>
      </c>
      <c r="G767" s="49">
        <f>1000*E767*$J$2*9.81/1000</f>
        <v>3320.4184297430293</v>
      </c>
    </row>
    <row r="768" spans="1:7" ht="14.4" x14ac:dyDescent="0.3">
      <c r="A768" s="41">
        <v>40.8264</v>
      </c>
      <c r="B768" s="42">
        <v>21885</v>
      </c>
      <c r="C768" s="43">
        <f>A768*($H$2/$I$2)</f>
        <v>40.179070530344447</v>
      </c>
      <c r="D768" s="43">
        <f>D767+1</f>
        <v>767</v>
      </c>
      <c r="E768" s="43">
        <v>16.895888463641331</v>
      </c>
      <c r="F768" s="43">
        <f>D768/1076</f>
        <v>0.71282527881040891</v>
      </c>
      <c r="G768" s="45">
        <f>1000*E768*$J$2*9.81/1000</f>
        <v>3314.9733165664293</v>
      </c>
    </row>
    <row r="769" spans="1:7" ht="14.4" x14ac:dyDescent="0.3">
      <c r="A769" s="46">
        <v>43.651200000000003</v>
      </c>
      <c r="B769" s="47">
        <v>21855</v>
      </c>
      <c r="C769" s="48">
        <f>A769*($H$2/$I$2)</f>
        <v>42.959081465281578</v>
      </c>
      <c r="D769" s="48">
        <f>D768+1</f>
        <v>768</v>
      </c>
      <c r="E769" s="43">
        <v>16.853767085839255</v>
      </c>
      <c r="F769" s="48">
        <f>D769/1076</f>
        <v>0.71375464684014867</v>
      </c>
      <c r="G769" s="49">
        <f>1000*E769*$J$2*9.81/1000</f>
        <v>3306.7091022416616</v>
      </c>
    </row>
    <row r="770" spans="1:7" ht="14.4" x14ac:dyDescent="0.3">
      <c r="A770" s="41">
        <v>11.352</v>
      </c>
      <c r="B770" s="42">
        <v>21824</v>
      </c>
      <c r="C770" s="43">
        <f>A770*($H$2/$I$2)</f>
        <v>11.172006560962274</v>
      </c>
      <c r="D770" s="43">
        <f>D769+1</f>
        <v>769</v>
      </c>
      <c r="E770" s="50">
        <v>16.780546746856203</v>
      </c>
      <c r="F770" s="43">
        <f>D770/1076</f>
        <v>0.71468401486988853</v>
      </c>
      <c r="G770" s="45">
        <f>1000*E770*$J$2*9.81/1000</f>
        <v>3292.3432717331866</v>
      </c>
    </row>
    <row r="771" spans="1:7" ht="14.4" x14ac:dyDescent="0.3">
      <c r="A771" s="46">
        <v>9.4016000000000002</v>
      </c>
      <c r="B771" s="47">
        <v>21794</v>
      </c>
      <c r="C771" s="48">
        <f>A771*($H$2/$I$2)</f>
        <v>9.2525314379442314</v>
      </c>
      <c r="D771" s="48">
        <f>D770+1</f>
        <v>770</v>
      </c>
      <c r="E771" s="43">
        <v>16.73045379989065</v>
      </c>
      <c r="F771" s="48">
        <f>D771/1076</f>
        <v>0.71561338289962828</v>
      </c>
      <c r="G771" s="49">
        <f>1000*E771*$J$2*9.81/1000</f>
        <v>3282.5150355385454</v>
      </c>
    </row>
    <row r="772" spans="1:7" ht="14.4" x14ac:dyDescent="0.3">
      <c r="A772" s="41">
        <v>11.7049</v>
      </c>
      <c r="B772" s="42">
        <v>21763</v>
      </c>
      <c r="C772" s="43">
        <f>A772*($H$2/$I$2)</f>
        <v>11.519311098961181</v>
      </c>
      <c r="D772" s="43">
        <f>D771+1</f>
        <v>771</v>
      </c>
      <c r="E772" s="48">
        <v>16.72159650082012</v>
      </c>
      <c r="F772" s="43">
        <f>D772/1076</f>
        <v>0.71654275092936803</v>
      </c>
      <c r="G772" s="45">
        <f>1000*E772*$J$2*9.81/1000</f>
        <v>3280.7772334609076</v>
      </c>
    </row>
    <row r="773" spans="1:7" ht="14.4" x14ac:dyDescent="0.3">
      <c r="A773" s="46">
        <v>11.9062</v>
      </c>
      <c r="B773" s="47">
        <v>21732</v>
      </c>
      <c r="C773" s="48">
        <f>A773*($H$2/$I$2)</f>
        <v>11.717419354838709</v>
      </c>
      <c r="D773" s="48">
        <f>D772+1</f>
        <v>772</v>
      </c>
      <c r="E773" s="43">
        <v>16.644636413340624</v>
      </c>
      <c r="F773" s="48">
        <f>D773/1076</f>
        <v>0.71747211895910779</v>
      </c>
      <c r="G773" s="49">
        <f>1000*E773*$J$2*9.81/1000</f>
        <v>3265.677664297431</v>
      </c>
    </row>
    <row r="774" spans="1:7" ht="14.4" x14ac:dyDescent="0.3">
      <c r="A774" s="41">
        <v>15.5983</v>
      </c>
      <c r="B774" s="42">
        <v>21702</v>
      </c>
      <c r="C774" s="43">
        <f>A774*($H$2/$I$2)</f>
        <v>15.350978676872607</v>
      </c>
      <c r="D774" s="43">
        <f>D773+1</f>
        <v>773</v>
      </c>
      <c r="E774" s="43">
        <v>16.593952979770364</v>
      </c>
      <c r="F774" s="43">
        <f>D774/1076</f>
        <v>0.71840148698884754</v>
      </c>
      <c r="G774" s="45">
        <f>1000*E774*$J$2*9.81/1000</f>
        <v>3255.7335746309459</v>
      </c>
    </row>
    <row r="775" spans="1:7" ht="14.4" x14ac:dyDescent="0.3">
      <c r="A775" s="46">
        <v>22.115600000000001</v>
      </c>
      <c r="B775" s="47">
        <v>21671</v>
      </c>
      <c r="C775" s="48">
        <f>A775*($H$2/$I$2)</f>
        <v>21.764942591580098</v>
      </c>
      <c r="D775" s="48">
        <f>D774+1</f>
        <v>774</v>
      </c>
      <c r="E775" s="48">
        <v>16.577714598141061</v>
      </c>
      <c r="F775" s="48">
        <f>D775/1076</f>
        <v>0.7193308550185874</v>
      </c>
      <c r="G775" s="49">
        <f>1000*E775*$J$2*9.81/1000</f>
        <v>3252.5476041552765</v>
      </c>
    </row>
    <row r="776" spans="1:7" ht="14.4" x14ac:dyDescent="0.3">
      <c r="A776" s="41">
        <v>43.456600000000002</v>
      </c>
      <c r="B776" s="42">
        <v>21641</v>
      </c>
      <c r="C776" s="43">
        <f>A776*($H$2/$I$2)</f>
        <v>42.767566976489888</v>
      </c>
      <c r="D776" s="43">
        <f>D775+1</f>
        <v>775</v>
      </c>
      <c r="E776" s="43">
        <v>16.56915254237288</v>
      </c>
      <c r="F776" s="43">
        <f>D776/1076</f>
        <v>0.72026022304832715</v>
      </c>
      <c r="G776" s="45">
        <f>1000*E776*$J$2*9.81/1000</f>
        <v>3250.8677288135586</v>
      </c>
    </row>
    <row r="777" spans="1:7" ht="14.4" x14ac:dyDescent="0.3">
      <c r="A777" s="46">
        <v>39.8172</v>
      </c>
      <c r="B777" s="47">
        <v>21610</v>
      </c>
      <c r="C777" s="48">
        <f>A777*($H$2/$I$2)</f>
        <v>39.185872061235649</v>
      </c>
      <c r="D777" s="48">
        <f>D776+1</f>
        <v>776</v>
      </c>
      <c r="E777" s="43">
        <v>16.563542919628212</v>
      </c>
      <c r="F777" s="48">
        <f>D777/1076</f>
        <v>0.72118959107806691</v>
      </c>
      <c r="G777" s="49">
        <f>1000*E777*$J$2*9.81/1000</f>
        <v>3249.7671208310553</v>
      </c>
    </row>
    <row r="778" spans="1:7" ht="14.4" x14ac:dyDescent="0.3">
      <c r="A778" s="41">
        <v>36.2652</v>
      </c>
      <c r="B778" s="42">
        <v>21582</v>
      </c>
      <c r="C778" s="43">
        <f>A778*($H$2/$I$2)</f>
        <v>35.69019136139967</v>
      </c>
      <c r="D778" s="43">
        <f>D777+1</f>
        <v>777</v>
      </c>
      <c r="E778" s="48">
        <v>16.516796063422635</v>
      </c>
      <c r="F778" s="43">
        <f>D778/1076</f>
        <v>0.72211895910780666</v>
      </c>
      <c r="G778" s="45">
        <f>1000*E778*$J$2*9.81/1000</f>
        <v>3240.595387643521</v>
      </c>
    </row>
    <row r="779" spans="1:7" ht="14.4" x14ac:dyDescent="0.3">
      <c r="A779" s="46">
        <v>73.112700000000004</v>
      </c>
      <c r="B779" s="47">
        <v>21551</v>
      </c>
      <c r="C779" s="48">
        <f>A779*($H$2/$I$2)</f>
        <v>71.953449972662654</v>
      </c>
      <c r="D779" s="48">
        <f>D778+1</f>
        <v>778</v>
      </c>
      <c r="E779" s="43">
        <v>16.487566976489884</v>
      </c>
      <c r="F779" s="48">
        <f>D779/1076</f>
        <v>0.72304832713754652</v>
      </c>
      <c r="G779" s="49">
        <f>1000*E779*$J$2*9.81/1000</f>
        <v>3234.8606407873149</v>
      </c>
    </row>
    <row r="780" spans="1:7" ht="14.4" x14ac:dyDescent="0.3">
      <c r="A780" s="41">
        <v>41.868400000000001</v>
      </c>
      <c r="B780" s="42">
        <v>21520</v>
      </c>
      <c r="C780" s="43">
        <f>A780*($H$2/$I$2)</f>
        <v>41.204548933843633</v>
      </c>
      <c r="D780" s="43">
        <f>D779+1</f>
        <v>779</v>
      </c>
      <c r="E780" s="48">
        <v>16.460503007107707</v>
      </c>
      <c r="F780" s="43">
        <f>D780/1076</f>
        <v>0.72397769516728627</v>
      </c>
      <c r="G780" s="45">
        <f>1000*E780*$J$2*9.81/1000</f>
        <v>3229.5506899945326</v>
      </c>
    </row>
    <row r="781" spans="1:7" ht="14.4" x14ac:dyDescent="0.3">
      <c r="A781" s="46">
        <v>34.195399999999999</v>
      </c>
      <c r="B781" s="47">
        <v>21490</v>
      </c>
      <c r="C781" s="48">
        <f>A781*($H$2/$I$2)</f>
        <v>33.653209404045924</v>
      </c>
      <c r="D781" s="48">
        <f>D780+1</f>
        <v>780</v>
      </c>
      <c r="E781" s="48">
        <v>16.460306178239474</v>
      </c>
      <c r="F781" s="48">
        <f>D781/1076</f>
        <v>0.72490706319702602</v>
      </c>
      <c r="G781" s="49">
        <f>1000*E781*$J$2*9.81/1000</f>
        <v>3229.5120721705844</v>
      </c>
    </row>
    <row r="782" spans="1:7" ht="14.4" x14ac:dyDescent="0.3">
      <c r="A782" s="41">
        <v>40.197699999999998</v>
      </c>
      <c r="B782" s="42">
        <v>21459</v>
      </c>
      <c r="C782" s="43">
        <f>A782*($H$2/$I$2)</f>
        <v>39.560338983050841</v>
      </c>
      <c r="D782" s="43">
        <f>D781+1</f>
        <v>781</v>
      </c>
      <c r="E782" s="48">
        <v>16.404406779661016</v>
      </c>
      <c r="F782" s="43">
        <f>D782/1076</f>
        <v>0.72583643122676578</v>
      </c>
      <c r="G782" s="45">
        <f>1000*E782*$J$2*9.81/1000</f>
        <v>3218.5446101694915</v>
      </c>
    </row>
    <row r="783" spans="1:7" ht="14.4" x14ac:dyDescent="0.3">
      <c r="A783" s="46">
        <v>25.226800000000001</v>
      </c>
      <c r="B783" s="47">
        <v>21429</v>
      </c>
      <c r="C783" s="48">
        <f>A783*($H$2/$I$2)</f>
        <v>24.826812465828322</v>
      </c>
      <c r="D783" s="48">
        <f>D782+1</f>
        <v>782</v>
      </c>
      <c r="E783" s="48">
        <v>16.395943138326952</v>
      </c>
      <c r="F783" s="48">
        <f>D783/1076</f>
        <v>0.72676579925650553</v>
      </c>
      <c r="G783" s="49">
        <f>1000*E783*$J$2*9.81/1000</f>
        <v>3216.884043739748</v>
      </c>
    </row>
    <row r="784" spans="1:7" ht="14.4" x14ac:dyDescent="0.3">
      <c r="A784" s="41">
        <v>22.530999999999999</v>
      </c>
      <c r="B784" s="42">
        <v>21398</v>
      </c>
      <c r="C784" s="43">
        <f>A784*($H$2/$I$2)</f>
        <v>22.173756150902129</v>
      </c>
      <c r="D784" s="43">
        <f>D783+1</f>
        <v>783</v>
      </c>
      <c r="E784" s="43">
        <v>16.391416074357572</v>
      </c>
      <c r="F784" s="43">
        <f>D784/1076</f>
        <v>0.72769516728624539</v>
      </c>
      <c r="G784" s="45">
        <f>1000*E784*$J$2*9.81/1000</f>
        <v>3215.9958337889557</v>
      </c>
    </row>
    <row r="785" spans="1:7" ht="14.4" x14ac:dyDescent="0.3">
      <c r="A785" s="46">
        <v>27.499300000000002</v>
      </c>
      <c r="B785" s="47">
        <v>21367</v>
      </c>
      <c r="C785" s="48">
        <f>A785*($H$2/$I$2)</f>
        <v>27.063280481137234</v>
      </c>
      <c r="D785" s="48">
        <f>D784+1</f>
        <v>784</v>
      </c>
      <c r="E785" s="48">
        <v>16.389546200109351</v>
      </c>
      <c r="F785" s="48">
        <f>D785/1076</f>
        <v>0.72862453531598514</v>
      </c>
      <c r="G785" s="49">
        <f>1000*E785*$J$2*9.81/1000</f>
        <v>3215.6289644614553</v>
      </c>
    </row>
    <row r="786" spans="1:7" ht="14.4" x14ac:dyDescent="0.3">
      <c r="A786" s="41">
        <v>31.072299999999998</v>
      </c>
      <c r="B786" s="42">
        <v>21337</v>
      </c>
      <c r="C786" s="43">
        <f>A786*($H$2/$I$2)</f>
        <v>30.579628212137777</v>
      </c>
      <c r="D786" s="43">
        <f>D785+1</f>
        <v>785</v>
      </c>
      <c r="E786" s="43">
        <v>16.38492072170585</v>
      </c>
      <c r="F786" s="43">
        <f>D786/1076</f>
        <v>0.7295539033457249</v>
      </c>
      <c r="G786" s="45">
        <f>1000*E786*$J$2*9.81/1000</f>
        <v>3214.7214455986887</v>
      </c>
    </row>
    <row r="787" spans="1:7" ht="14.4" x14ac:dyDescent="0.3">
      <c r="A787" s="46">
        <v>33.588200000000001</v>
      </c>
      <c r="B787" s="47">
        <v>21306</v>
      </c>
      <c r="C787" s="48">
        <f>A787*($H$2/$I$2)</f>
        <v>33.055636960087476</v>
      </c>
      <c r="D787" s="48">
        <f>D786+1</f>
        <v>786</v>
      </c>
      <c r="E787" s="43">
        <v>16.381476216511754</v>
      </c>
      <c r="F787" s="48">
        <f>D787/1076</f>
        <v>0.73048327137546465</v>
      </c>
      <c r="G787" s="49">
        <f>1000*E787*$J$2*9.81/1000</f>
        <v>3214.0456336796065</v>
      </c>
    </row>
    <row r="788" spans="1:7" ht="14.4" x14ac:dyDescent="0.3">
      <c r="A788" s="41">
        <v>34.119100000000003</v>
      </c>
      <c r="B788" s="42">
        <v>21276</v>
      </c>
      <c r="C788" s="43">
        <f>A788*($H$2/$I$2)</f>
        <v>33.578119190814654</v>
      </c>
      <c r="D788" s="43">
        <f>D787+1</f>
        <v>787</v>
      </c>
      <c r="E788" s="43">
        <v>16.352640787315472</v>
      </c>
      <c r="F788" s="43">
        <f>D788/1076</f>
        <v>0.73141263940520451</v>
      </c>
      <c r="G788" s="45">
        <f>1000*E788*$J$2*9.81/1000</f>
        <v>3208.3881224712964</v>
      </c>
    </row>
    <row r="789" spans="1:7" ht="14.4" x14ac:dyDescent="0.3">
      <c r="A789" s="46">
        <v>38.1935</v>
      </c>
      <c r="B789" s="47">
        <v>21245</v>
      </c>
      <c r="C789" s="48">
        <f>A789*($H$2/$I$2)</f>
        <v>37.587916894477857</v>
      </c>
      <c r="D789" s="48">
        <f>D788+1</f>
        <v>788</v>
      </c>
      <c r="E789" s="43">
        <v>16.346539092400217</v>
      </c>
      <c r="F789" s="48">
        <f>D789/1076</f>
        <v>0.73234200743494426</v>
      </c>
      <c r="G789" s="49">
        <f>1000*E789*$J$2*9.81/1000</f>
        <v>3207.1909699289226</v>
      </c>
    </row>
    <row r="790" spans="1:7" ht="14.4" x14ac:dyDescent="0.3">
      <c r="A790" s="41">
        <v>42.256300000000003</v>
      </c>
      <c r="B790" s="42">
        <v>21217</v>
      </c>
      <c r="C790" s="43">
        <f>A790*($H$2/$I$2)</f>
        <v>41.586298523783491</v>
      </c>
      <c r="D790" s="43">
        <f>D789+1</f>
        <v>789</v>
      </c>
      <c r="E790" s="48">
        <v>16.280306178239474</v>
      </c>
      <c r="F790" s="43">
        <f>D790/1076</f>
        <v>0.73327137546468402</v>
      </c>
      <c r="G790" s="45">
        <f>1000*E790*$J$2*9.81/1000</f>
        <v>3194.196072170585</v>
      </c>
    </row>
    <row r="791" spans="1:7" ht="14.4" x14ac:dyDescent="0.3">
      <c r="A791" s="46">
        <v>40.527799999999999</v>
      </c>
      <c r="B791" s="47">
        <v>21186</v>
      </c>
      <c r="C791" s="48">
        <f>A791*($H$2/$I$2)</f>
        <v>39.885205030071077</v>
      </c>
      <c r="D791" s="48">
        <f>D790+1</f>
        <v>790</v>
      </c>
      <c r="E791" s="43">
        <v>16.278928376161836</v>
      </c>
      <c r="F791" s="48">
        <f>D791/1076</f>
        <v>0.73420074349442377</v>
      </c>
      <c r="G791" s="49">
        <f>1000*E791*$J$2*9.81/1000</f>
        <v>3193.9257474029523</v>
      </c>
    </row>
    <row r="792" spans="1:7" ht="14.4" x14ac:dyDescent="0.3">
      <c r="A792" s="41">
        <v>42.078299999999999</v>
      </c>
      <c r="B792" s="42">
        <v>21155</v>
      </c>
      <c r="C792" s="43">
        <f>A792*($H$2/$I$2)</f>
        <v>41.411120831055221</v>
      </c>
      <c r="D792" s="43">
        <f>D791+1</f>
        <v>791</v>
      </c>
      <c r="E792" s="48">
        <v>16.269185347184255</v>
      </c>
      <c r="F792" s="43">
        <f>D792/1076</f>
        <v>0.73513011152416352</v>
      </c>
      <c r="G792" s="45">
        <f>1000*E792*$J$2*9.81/1000</f>
        <v>3192.0141651175504</v>
      </c>
    </row>
    <row r="793" spans="1:7" ht="14.4" x14ac:dyDescent="0.3">
      <c r="A793" s="46">
        <v>43.595199999999998</v>
      </c>
      <c r="B793" s="47">
        <v>21125</v>
      </c>
      <c r="C793" s="48">
        <f>A793*($H$2/$I$2)</f>
        <v>42.903969382176051</v>
      </c>
      <c r="D793" s="48">
        <f>D792+1</f>
        <v>792</v>
      </c>
      <c r="E793" s="43">
        <v>16.214270092946965</v>
      </c>
      <c r="F793" s="48">
        <f>D793/1076</f>
        <v>0.73605947955390338</v>
      </c>
      <c r="G793" s="49">
        <f>1000*E793*$J$2*9.81/1000</f>
        <v>3181.2397922361952</v>
      </c>
    </row>
    <row r="794" spans="1:7" ht="14.4" x14ac:dyDescent="0.3">
      <c r="A794" s="41">
        <v>25.8049</v>
      </c>
      <c r="B794" s="42">
        <v>21094</v>
      </c>
      <c r="C794" s="43">
        <f>A794*($H$2/$I$2)</f>
        <v>25.395746309458719</v>
      </c>
      <c r="D794" s="43">
        <f>D793+1</f>
        <v>793</v>
      </c>
      <c r="E794" s="48">
        <v>16.19311098961181</v>
      </c>
      <c r="F794" s="43">
        <f>D794/1076</f>
        <v>0.73698884758364314</v>
      </c>
      <c r="G794" s="45">
        <f>1000*E794*$J$2*9.81/1000</f>
        <v>3177.0883761618375</v>
      </c>
    </row>
    <row r="795" spans="1:7" ht="14.4" x14ac:dyDescent="0.3">
      <c r="A795" s="46">
        <v>38.2438</v>
      </c>
      <c r="B795" s="47">
        <v>21064</v>
      </c>
      <c r="C795" s="48">
        <f>A795*($H$2/$I$2)</f>
        <v>37.637419354838705</v>
      </c>
      <c r="D795" s="48">
        <f>D794+1</f>
        <v>794</v>
      </c>
      <c r="E795" s="48">
        <v>16.185631492618917</v>
      </c>
      <c r="F795" s="48">
        <f>D795/1076</f>
        <v>0.73791821561338289</v>
      </c>
      <c r="G795" s="49">
        <f>1000*E795*$J$2*9.81/1000</f>
        <v>3175.6208988518315</v>
      </c>
    </row>
    <row r="796" spans="1:7" ht="14.4" x14ac:dyDescent="0.3">
      <c r="A796" s="41">
        <v>28.3231</v>
      </c>
      <c r="B796" s="42">
        <v>21033</v>
      </c>
      <c r="C796" s="43">
        <f>A796*($H$2/$I$2)</f>
        <v>27.87401858939311</v>
      </c>
      <c r="D796" s="43">
        <f>D795+1</f>
        <v>795</v>
      </c>
      <c r="E796" s="48">
        <v>16.179332968835428</v>
      </c>
      <c r="F796" s="43">
        <f>D796/1076</f>
        <v>0.73884758364312264</v>
      </c>
      <c r="G796" s="45">
        <f>1000*E796*$J$2*9.81/1000</f>
        <v>3174.3851284855109</v>
      </c>
    </row>
    <row r="797" spans="1:7" ht="14.4" x14ac:dyDescent="0.3">
      <c r="A797" s="46">
        <v>37.6447</v>
      </c>
      <c r="B797" s="47">
        <v>21002</v>
      </c>
      <c r="C797" s="48">
        <f>A797*($H$2/$I$2)</f>
        <v>37.047818480043738</v>
      </c>
      <c r="D797" s="48">
        <f>D796+1</f>
        <v>796</v>
      </c>
      <c r="E797" s="48">
        <v>16.173526517222527</v>
      </c>
      <c r="F797" s="48">
        <f>D797/1076</f>
        <v>0.7397769516728625</v>
      </c>
      <c r="G797" s="49">
        <f>1000*E797*$J$2*9.81/1000</f>
        <v>3173.2459026790598</v>
      </c>
    </row>
    <row r="798" spans="1:7" ht="14.4" x14ac:dyDescent="0.3">
      <c r="A798" s="41">
        <v>39.559899999999999</v>
      </c>
      <c r="B798" s="42">
        <v>20972</v>
      </c>
      <c r="C798" s="43">
        <f>A798*($H$2/$I$2)</f>
        <v>38.932651722252594</v>
      </c>
      <c r="D798" s="43">
        <f>D797+1</f>
        <v>797</v>
      </c>
      <c r="E798" s="43">
        <v>16.032695462001094</v>
      </c>
      <c r="F798" s="43">
        <f>D798/1076</f>
        <v>0.74070631970260226</v>
      </c>
      <c r="G798" s="45">
        <f>1000*E798*$J$2*9.81/1000</f>
        <v>3145.6148496446144</v>
      </c>
    </row>
    <row r="799" spans="1:7" ht="14.4" x14ac:dyDescent="0.3">
      <c r="A799" s="46">
        <v>49.092399999999998</v>
      </c>
      <c r="B799" s="47">
        <v>20941</v>
      </c>
      <c r="C799" s="48">
        <f>A799*($H$2/$I$2)</f>
        <v>48.314007654455985</v>
      </c>
      <c r="D799" s="48">
        <f>D798+1</f>
        <v>798</v>
      </c>
      <c r="E799" s="48">
        <v>15.997856752323674</v>
      </c>
      <c r="F799" s="48">
        <f>D799/1076</f>
        <v>0.74163568773234201</v>
      </c>
      <c r="G799" s="49">
        <f>1000*E799*$J$2*9.81/1000</f>
        <v>3138.779494805905</v>
      </c>
    </row>
    <row r="800" spans="1:7" ht="14.4" x14ac:dyDescent="0.3">
      <c r="A800" s="41">
        <v>69.389399999999995</v>
      </c>
      <c r="B800" s="42">
        <v>20911</v>
      </c>
      <c r="C800" s="43">
        <f>A800*($H$2/$I$2)</f>
        <v>68.289185347184244</v>
      </c>
      <c r="D800" s="43">
        <f>D799+1</f>
        <v>799</v>
      </c>
      <c r="E800" s="48">
        <v>15.954652815746309</v>
      </c>
      <c r="F800" s="43">
        <f>D800/1076</f>
        <v>0.74256505576208176</v>
      </c>
      <c r="G800" s="45">
        <f>1000*E800*$J$2*9.81/1000</f>
        <v>3130.3028824494263</v>
      </c>
    </row>
    <row r="801" spans="1:7" ht="14.4" x14ac:dyDescent="0.3">
      <c r="A801" s="46">
        <v>73.252399999999994</v>
      </c>
      <c r="B801" s="47">
        <v>20880</v>
      </c>
      <c r="C801" s="48">
        <f>A801*($H$2/$I$2)</f>
        <v>72.090934937124103</v>
      </c>
      <c r="D801" s="48">
        <f>D800+1</f>
        <v>800</v>
      </c>
      <c r="E801" s="43">
        <v>15.948452706396939</v>
      </c>
      <c r="F801" s="48">
        <f>D801/1076</f>
        <v>0.74349442379182151</v>
      </c>
      <c r="G801" s="49">
        <f>1000*E801*$J$2*9.81/1000</f>
        <v>3129.0864209950796</v>
      </c>
    </row>
    <row r="802" spans="1:7" ht="14.4" x14ac:dyDescent="0.3">
      <c r="A802" s="41">
        <v>74.3566</v>
      </c>
      <c r="B802" s="42">
        <v>20852</v>
      </c>
      <c r="C802" s="43">
        <f>A802*($H$2/$I$2)</f>
        <v>73.177627118644068</v>
      </c>
      <c r="D802" s="43">
        <f>D801+1</f>
        <v>801</v>
      </c>
      <c r="E802" s="48">
        <v>15.863225806451613</v>
      </c>
      <c r="F802" s="43">
        <f>D802/1076</f>
        <v>0.74442379182156138</v>
      </c>
      <c r="G802" s="45">
        <f>1000*E802*$J$2*9.81/1000</f>
        <v>3112.3649032258068</v>
      </c>
    </row>
    <row r="803" spans="1:7" ht="14.4" x14ac:dyDescent="0.3">
      <c r="A803" s="46">
        <v>81.178100000000001</v>
      </c>
      <c r="B803" s="47">
        <v>20821</v>
      </c>
      <c r="C803" s="48">
        <f>A803*($H$2/$I$2)</f>
        <v>79.890967741935484</v>
      </c>
      <c r="D803" s="48">
        <f>D802+1</f>
        <v>802</v>
      </c>
      <c r="E803" s="43">
        <v>15.858600328048114</v>
      </c>
      <c r="F803" s="48">
        <f>D803/1076</f>
        <v>0.74535315985130113</v>
      </c>
      <c r="G803" s="49">
        <f>1000*E803*$J$2*9.81/1000</f>
        <v>3111.4573843630405</v>
      </c>
    </row>
    <row r="804" spans="1:7" ht="14.4" x14ac:dyDescent="0.3">
      <c r="A804" s="41">
        <v>55.901200000000003</v>
      </c>
      <c r="B804" s="42">
        <v>20790</v>
      </c>
      <c r="C804" s="43">
        <f>A804*($H$2/$I$2)</f>
        <v>55.014849644614543</v>
      </c>
      <c r="D804" s="43">
        <f>D803+1</f>
        <v>803</v>
      </c>
      <c r="E804" s="48">
        <v>15.822383816293057</v>
      </c>
      <c r="F804" s="43">
        <f>D804/1076</f>
        <v>0.74628252788104088</v>
      </c>
      <c r="G804" s="45">
        <f>1000*E804*$J$2*9.81/1000</f>
        <v>3104.3517047566975</v>
      </c>
    </row>
    <row r="805" spans="1:7" ht="14.4" x14ac:dyDescent="0.3">
      <c r="A805" s="46">
        <v>25.293399999999998</v>
      </c>
      <c r="B805" s="47">
        <v>20760</v>
      </c>
      <c r="C805" s="48">
        <f>A805*($H$2/$I$2)</f>
        <v>24.892356478950244</v>
      </c>
      <c r="D805" s="48">
        <f>D804+1</f>
        <v>804</v>
      </c>
      <c r="E805" s="43">
        <v>15.793253143794422</v>
      </c>
      <c r="F805" s="48">
        <f>D805/1076</f>
        <v>0.74721189591078063</v>
      </c>
      <c r="G805" s="49">
        <f>1000*E805*$J$2*9.81/1000</f>
        <v>3098.6362668124657</v>
      </c>
    </row>
    <row r="806" spans="1:7" ht="14.4" x14ac:dyDescent="0.3">
      <c r="A806" s="41">
        <v>18.715599999999998</v>
      </c>
      <c r="B806" s="42">
        <v>20729</v>
      </c>
      <c r="C806" s="43">
        <f>A806*($H$2/$I$2)</f>
        <v>18.418851831601966</v>
      </c>
      <c r="D806" s="43">
        <f>D805+1</f>
        <v>805</v>
      </c>
      <c r="E806" s="43">
        <v>15.766189174412245</v>
      </c>
      <c r="F806" s="43">
        <f>D806/1076</f>
        <v>0.7481412639405205</v>
      </c>
      <c r="G806" s="45">
        <f>1000*E806*$J$2*9.81/1000</f>
        <v>3093.3263160196825</v>
      </c>
    </row>
    <row r="807" spans="1:7" ht="14.4" x14ac:dyDescent="0.3">
      <c r="A807" s="46">
        <v>22.288900000000002</v>
      </c>
      <c r="B807" s="47">
        <v>20699</v>
      </c>
      <c r="C807" s="48">
        <f>A807*($H$2/$I$2)</f>
        <v>21.935494805904867</v>
      </c>
      <c r="D807" s="48">
        <f>D806+1</f>
        <v>806</v>
      </c>
      <c r="E807" s="48">
        <v>15.742963367960634</v>
      </c>
      <c r="F807" s="48">
        <f>D807/1076</f>
        <v>0.74907063197026025</v>
      </c>
      <c r="G807" s="49">
        <f>1000*E807*$J$2*9.81/1000</f>
        <v>3088.7694127938767</v>
      </c>
    </row>
    <row r="808" spans="1:7" ht="14.4" x14ac:dyDescent="0.3">
      <c r="A808" s="41">
        <v>22.865100000000002</v>
      </c>
      <c r="B808" s="42">
        <v>20668</v>
      </c>
      <c r="C808" s="43">
        <f>A808*($H$2/$I$2)</f>
        <v>22.502558775287042</v>
      </c>
      <c r="D808" s="43">
        <f>D807+1</f>
        <v>807</v>
      </c>
      <c r="E808" s="48">
        <v>15.726429743028977</v>
      </c>
      <c r="F808" s="43">
        <f>D808/1076</f>
        <v>0.75</v>
      </c>
      <c r="G808" s="45">
        <f>1000*E808*$J$2*9.81/1000</f>
        <v>3085.5255155822852</v>
      </c>
    </row>
    <row r="809" spans="1:7" ht="14.4" x14ac:dyDescent="0.3">
      <c r="A809" s="46">
        <v>22.2745</v>
      </c>
      <c r="B809" s="47">
        <v>20637</v>
      </c>
      <c r="C809" s="48">
        <f>A809*($H$2/$I$2)</f>
        <v>21.921323127392018</v>
      </c>
      <c r="D809" s="48">
        <f>D808+1</f>
        <v>808</v>
      </c>
      <c r="E809" s="48">
        <v>15.704286495352651</v>
      </c>
      <c r="F809" s="48">
        <f>D809/1076</f>
        <v>0.75092936802973975</v>
      </c>
      <c r="G809" s="49">
        <f>1000*E809*$J$2*9.81/1000</f>
        <v>3081.1810103881908</v>
      </c>
    </row>
    <row r="810" spans="1:7" ht="14.4" x14ac:dyDescent="0.3">
      <c r="A810" s="41">
        <v>26.223500000000001</v>
      </c>
      <c r="B810" s="42">
        <v>20607</v>
      </c>
      <c r="C810" s="43">
        <f>A810*($H$2/$I$2)</f>
        <v>25.807709130672499</v>
      </c>
      <c r="D810" s="43">
        <f>D809+1</f>
        <v>809</v>
      </c>
      <c r="E810" s="48">
        <v>15.679190814652816</v>
      </c>
      <c r="F810" s="43">
        <f>D810/1076</f>
        <v>0.7518587360594795</v>
      </c>
      <c r="G810" s="45">
        <f>1000*E810*$J$2*9.81/1000</f>
        <v>3076.2572378348827</v>
      </c>
    </row>
    <row r="811" spans="1:7" ht="14.4" x14ac:dyDescent="0.3">
      <c r="A811" s="46">
        <v>27.883700000000001</v>
      </c>
      <c r="B811" s="47">
        <v>20576</v>
      </c>
      <c r="C811" s="48">
        <f>A811*($H$2/$I$2)</f>
        <v>27.441585565882995</v>
      </c>
      <c r="D811" s="48">
        <f>D810+1</f>
        <v>810</v>
      </c>
      <c r="E811" s="43">
        <v>15.674663750683433</v>
      </c>
      <c r="F811" s="48">
        <f>D811/1076</f>
        <v>0.75278810408921937</v>
      </c>
      <c r="G811" s="49">
        <f>1000*E811*$J$2*9.81/1000</f>
        <v>3075.3690278840895</v>
      </c>
    </row>
    <row r="812" spans="1:7" ht="14.4" x14ac:dyDescent="0.3">
      <c r="A812" s="41">
        <v>32.314999999999998</v>
      </c>
      <c r="B812" s="42">
        <v>20546</v>
      </c>
      <c r="C812" s="43">
        <f>A812*($H$2/$I$2)</f>
        <v>31.802624384909784</v>
      </c>
      <c r="D812" s="43">
        <f>D811+1</f>
        <v>811</v>
      </c>
      <c r="E812" s="43">
        <v>15.641399671951886</v>
      </c>
      <c r="F812" s="43">
        <f>D812/1076</f>
        <v>0.75371747211895912</v>
      </c>
      <c r="G812" s="45">
        <f>1000*E812*$J$2*9.81/1000</f>
        <v>3068.8426156369601</v>
      </c>
    </row>
    <row r="813" spans="1:7" ht="14.4" x14ac:dyDescent="0.3">
      <c r="A813" s="46">
        <v>52.096800000000002</v>
      </c>
      <c r="B813" s="47">
        <v>20515</v>
      </c>
      <c r="C813" s="48">
        <f>A813*($H$2/$I$2)</f>
        <v>51.270770913067253</v>
      </c>
      <c r="D813" s="48">
        <f>D812+1</f>
        <v>812</v>
      </c>
      <c r="E813" s="43">
        <v>15.574477856752324</v>
      </c>
      <c r="F813" s="48">
        <f>D813/1076</f>
        <v>0.75464684014869887</v>
      </c>
      <c r="G813" s="49">
        <f>1000*E813*$J$2*9.81/1000</f>
        <v>3055.7125554948057</v>
      </c>
    </row>
    <row r="814" spans="1:7" ht="14.4" x14ac:dyDescent="0.3">
      <c r="A814" s="41">
        <v>36.001100000000001</v>
      </c>
      <c r="B814" s="42">
        <v>20486</v>
      </c>
      <c r="C814" s="43">
        <f>A814*($H$2/$I$2)</f>
        <v>35.430278840896662</v>
      </c>
      <c r="D814" s="43">
        <f>D813+1</f>
        <v>813</v>
      </c>
      <c r="E814" s="43">
        <v>15.535800984144339</v>
      </c>
      <c r="F814" s="43">
        <f>D814/1076</f>
        <v>0.75557620817843862</v>
      </c>
      <c r="G814" s="45">
        <f>1000*E814*$J$2*9.81/1000</f>
        <v>3048.1241530891198</v>
      </c>
    </row>
    <row r="815" spans="1:7" ht="14.4" x14ac:dyDescent="0.3">
      <c r="A815" s="46">
        <v>41.985700000000001</v>
      </c>
      <c r="B815" s="47">
        <v>20455</v>
      </c>
      <c r="C815" s="48">
        <f>A815*($H$2/$I$2)</f>
        <v>41.319989065062877</v>
      </c>
      <c r="D815" s="48">
        <f>D814+1</f>
        <v>814</v>
      </c>
      <c r="E815" s="48">
        <v>15.530683433570257</v>
      </c>
      <c r="F815" s="48">
        <f>D815/1076</f>
        <v>0.75650557620817849</v>
      </c>
      <c r="G815" s="49">
        <f>1000*E815*$J$2*9.81/1000</f>
        <v>3047.1200896664845</v>
      </c>
    </row>
    <row r="816" spans="1:7" ht="14.4" x14ac:dyDescent="0.3">
      <c r="A816" s="41">
        <v>61.053899999999999</v>
      </c>
      <c r="B816" s="42">
        <v>20424</v>
      </c>
      <c r="C816" s="43">
        <f>A816*($H$2/$I$2)</f>
        <v>60.085850191361395</v>
      </c>
      <c r="D816" s="43">
        <f>D815+1</f>
        <v>815</v>
      </c>
      <c r="E816" s="48">
        <v>15.446932750136686</v>
      </c>
      <c r="F816" s="43">
        <f>D816/1076</f>
        <v>0.75743494423791824</v>
      </c>
      <c r="G816" s="45">
        <f>1000*E816*$J$2*9.81/1000</f>
        <v>3030.6882055768174</v>
      </c>
    </row>
    <row r="817" spans="1:7" ht="14.4" x14ac:dyDescent="0.3">
      <c r="A817" s="46">
        <v>17.549499999999998</v>
      </c>
      <c r="B817" s="47">
        <v>20394</v>
      </c>
      <c r="C817" s="48">
        <f>A817*($H$2/$I$2)</f>
        <v>17.271241115363583</v>
      </c>
      <c r="D817" s="48">
        <f>D816+1</f>
        <v>816</v>
      </c>
      <c r="E817" s="48">
        <v>15.417408419901586</v>
      </c>
      <c r="F817" s="48">
        <f>D817/1076</f>
        <v>0.75836431226765799</v>
      </c>
      <c r="G817" s="49">
        <f>1000*E817*$J$2*9.81/1000</f>
        <v>3024.8955319846914</v>
      </c>
    </row>
    <row r="818" spans="1:7" ht="14.4" x14ac:dyDescent="0.3">
      <c r="A818" s="41">
        <v>15.8254</v>
      </c>
      <c r="B818" s="42">
        <v>20363</v>
      </c>
      <c r="C818" s="43">
        <f>A818*($H$2/$I$2)</f>
        <v>15.574477856752324</v>
      </c>
      <c r="D818" s="43">
        <f>D817+1</f>
        <v>817</v>
      </c>
      <c r="E818" s="48">
        <v>15.411109896118097</v>
      </c>
      <c r="F818" s="43">
        <f>D818/1076</f>
        <v>0.75929368029739774</v>
      </c>
      <c r="G818" s="45">
        <f>1000*E818*$J$2*9.81/1000</f>
        <v>3023.6597616183703</v>
      </c>
    </row>
    <row r="819" spans="1:7" ht="14.4" x14ac:dyDescent="0.3">
      <c r="A819" s="46">
        <v>11.199400000000001</v>
      </c>
      <c r="B819" s="47">
        <v>20333</v>
      </c>
      <c r="C819" s="48">
        <f>A819*($H$2/$I$2)</f>
        <v>11.021826134499728</v>
      </c>
      <c r="D819" s="48">
        <f>D818+1</f>
        <v>818</v>
      </c>
      <c r="E819" s="43">
        <v>15.396052487698196</v>
      </c>
      <c r="F819" s="48">
        <f>D819/1076</f>
        <v>0.7602230483271375</v>
      </c>
      <c r="G819" s="49">
        <f>1000*E819*$J$2*9.81/1000</f>
        <v>3020.7054980863863</v>
      </c>
    </row>
    <row r="820" spans="1:7" ht="14.4" x14ac:dyDescent="0.3">
      <c r="A820" s="41">
        <v>14.3302</v>
      </c>
      <c r="B820" s="42">
        <v>20302</v>
      </c>
      <c r="C820" s="43">
        <f>A820*($H$2/$I$2)</f>
        <v>14.102985237834881</v>
      </c>
      <c r="D820" s="43">
        <f>D819+1</f>
        <v>819</v>
      </c>
      <c r="E820" s="43">
        <v>15.357867687260798</v>
      </c>
      <c r="F820" s="43">
        <f>D820/1076</f>
        <v>0.76115241635687736</v>
      </c>
      <c r="G820" s="45">
        <f>1000*E820*$J$2*9.81/1000</f>
        <v>3013.2136402405681</v>
      </c>
    </row>
    <row r="821" spans="1:7" ht="14.4" x14ac:dyDescent="0.3">
      <c r="A821" s="46">
        <v>15.173299999999999</v>
      </c>
      <c r="B821" s="47">
        <v>20271</v>
      </c>
      <c r="C821" s="48">
        <f>A821*($H$2/$I$2)</f>
        <v>14.93271733187534</v>
      </c>
      <c r="D821" s="48">
        <f>D820+1</f>
        <v>820</v>
      </c>
      <c r="E821" s="43">
        <v>15.350978676872607</v>
      </c>
      <c r="F821" s="48">
        <f>D821/1076</f>
        <v>0.76208178438661711</v>
      </c>
      <c r="G821" s="49">
        <f>1000*E821*$J$2*9.81/1000</f>
        <v>3011.8620164024055</v>
      </c>
    </row>
    <row r="822" spans="1:7" ht="14.4" x14ac:dyDescent="0.3">
      <c r="A822" s="41">
        <v>18.4283</v>
      </c>
      <c r="B822" s="42">
        <v>20241</v>
      </c>
      <c r="C822" s="43">
        <f>A822*($H$2/$I$2)</f>
        <v>18.136107162383816</v>
      </c>
      <c r="D822" s="43">
        <f>D821+1</f>
        <v>821</v>
      </c>
      <c r="E822" s="48">
        <v>15.341137233460907</v>
      </c>
      <c r="F822" s="43">
        <f>D822/1076</f>
        <v>0.76301115241635686</v>
      </c>
      <c r="G822" s="45">
        <f>1000*E822*$J$2*9.81/1000</f>
        <v>3009.9311252050302</v>
      </c>
    </row>
    <row r="823" spans="1:7" ht="14.4" x14ac:dyDescent="0.3">
      <c r="A823" s="46">
        <v>20.651399999999999</v>
      </c>
      <c r="B823" s="47">
        <v>20210</v>
      </c>
      <c r="C823" s="48">
        <f>A823*($H$2/$I$2)</f>
        <v>20.323958447238926</v>
      </c>
      <c r="D823" s="48">
        <f>D822+1</f>
        <v>822</v>
      </c>
      <c r="E823" s="48">
        <v>15.335429196282121</v>
      </c>
      <c r="F823" s="48">
        <f>D823/1076</f>
        <v>0.76394052044609662</v>
      </c>
      <c r="G823" s="49">
        <f>1000*E823*$J$2*9.81/1000</f>
        <v>3008.8112083105525</v>
      </c>
    </row>
    <row r="824" spans="1:7" ht="14.4" x14ac:dyDescent="0.3">
      <c r="A824" s="41">
        <v>30.7485</v>
      </c>
      <c r="B824" s="42">
        <v>20180</v>
      </c>
      <c r="C824" s="43">
        <f>A824*($H$2/$I$2)</f>
        <v>30.26096227446692</v>
      </c>
      <c r="D824" s="43">
        <f>D823+1</f>
        <v>823</v>
      </c>
      <c r="E824" s="48">
        <v>15.321651175505741</v>
      </c>
      <c r="F824" s="43">
        <f>D824/1076</f>
        <v>0.76486988847583648</v>
      </c>
      <c r="G824" s="45">
        <f>1000*E824*$J$2*9.81/1000</f>
        <v>3006.1079606342264</v>
      </c>
    </row>
    <row r="825" spans="1:7" ht="14.4" x14ac:dyDescent="0.3">
      <c r="A825" s="46">
        <v>46.061799999999998</v>
      </c>
      <c r="B825" s="47">
        <v>20149</v>
      </c>
      <c r="C825" s="48">
        <f>A825*($H$2/$I$2)</f>
        <v>45.331459814106069</v>
      </c>
      <c r="D825" s="48">
        <f>D824+1</f>
        <v>824</v>
      </c>
      <c r="E825" s="48">
        <v>15.319190814652815</v>
      </c>
      <c r="F825" s="48">
        <f>D825/1076</f>
        <v>0.76579925650557623</v>
      </c>
      <c r="G825" s="49">
        <f>1000*E825*$J$2*9.81/1000</f>
        <v>3005.6252378348827</v>
      </c>
    </row>
    <row r="826" spans="1:7" ht="14.4" x14ac:dyDescent="0.3">
      <c r="A826" s="41">
        <v>28.796600000000002</v>
      </c>
      <c r="B826" s="42">
        <v>20121</v>
      </c>
      <c r="C826" s="43">
        <f>A826*($H$2/$I$2)</f>
        <v>28.340010934937126</v>
      </c>
      <c r="D826" s="43">
        <f>D825+1</f>
        <v>825</v>
      </c>
      <c r="E826" s="48">
        <v>15.31249863313286</v>
      </c>
      <c r="F826" s="43">
        <f>D826/1076</f>
        <v>0.76672862453531598</v>
      </c>
      <c r="G826" s="45">
        <f>1000*E826*$J$2*9.81/1000</f>
        <v>3004.312231820667</v>
      </c>
    </row>
    <row r="827" spans="1:7" ht="14.4" x14ac:dyDescent="0.3">
      <c r="A827" s="46">
        <v>43.951999999999998</v>
      </c>
      <c r="B827" s="47">
        <v>20090</v>
      </c>
      <c r="C827" s="48">
        <f>A827*($H$2/$I$2)</f>
        <v>43.255112083105516</v>
      </c>
      <c r="D827" s="48">
        <f>D826+1</f>
        <v>826</v>
      </c>
      <c r="E827" s="48">
        <v>15.204636413340623</v>
      </c>
      <c r="F827" s="48">
        <f>D827/1076</f>
        <v>0.76765799256505574</v>
      </c>
      <c r="G827" s="49">
        <f>1000*E827*$J$2*9.81/1000</f>
        <v>2983.1496642974303</v>
      </c>
    </row>
    <row r="828" spans="1:7" ht="14.4" x14ac:dyDescent="0.3">
      <c r="A828" s="41">
        <v>17.942699999999999</v>
      </c>
      <c r="B828" s="42">
        <v>20059</v>
      </c>
      <c r="C828" s="43">
        <f>A828*($H$2/$I$2)</f>
        <v>17.658206670311642</v>
      </c>
      <c r="D828" s="43">
        <f>D827+1</f>
        <v>827</v>
      </c>
      <c r="E828" s="43">
        <v>15.198534718425369</v>
      </c>
      <c r="F828" s="43">
        <f>D828/1076</f>
        <v>0.76858736059479549</v>
      </c>
      <c r="G828" s="45">
        <f>1000*E828*$J$2*9.81/1000</f>
        <v>2981.9525117550575</v>
      </c>
    </row>
    <row r="829" spans="1:7" ht="14.4" x14ac:dyDescent="0.3">
      <c r="A829" s="46">
        <v>12.918799999999999</v>
      </c>
      <c r="B829" s="47">
        <v>20029</v>
      </c>
      <c r="C829" s="48">
        <f>A829*($H$2/$I$2)</f>
        <v>12.71396391470749</v>
      </c>
      <c r="D829" s="48">
        <f>D828+1</f>
        <v>828</v>
      </c>
      <c r="E829" s="43">
        <v>15.19154729360306</v>
      </c>
      <c r="F829" s="48">
        <f>D829/1076</f>
        <v>0.76951672862453535</v>
      </c>
      <c r="G829" s="49">
        <f>1000*E829*$J$2*9.81/1000</f>
        <v>2980.5815790049205</v>
      </c>
    </row>
    <row r="830" spans="1:7" ht="14.4" x14ac:dyDescent="0.3">
      <c r="A830" s="41">
        <v>12.0183</v>
      </c>
      <c r="B830" s="42">
        <v>19998</v>
      </c>
      <c r="C830" s="43">
        <f>A830*($H$2/$I$2)</f>
        <v>11.827741935483871</v>
      </c>
      <c r="D830" s="43">
        <f>D829+1</f>
        <v>829</v>
      </c>
      <c r="E830" s="43">
        <v>15.177277200656095</v>
      </c>
      <c r="F830" s="43">
        <f>D830/1076</f>
        <v>0.7704460966542751</v>
      </c>
      <c r="G830" s="45">
        <f>1000*E830*$J$2*9.81/1000</f>
        <v>2977.7817867687259</v>
      </c>
    </row>
    <row r="831" spans="1:7" ht="14.4" x14ac:dyDescent="0.3">
      <c r="A831" s="46">
        <v>8.9994999999999994</v>
      </c>
      <c r="B831" s="47">
        <v>19968</v>
      </c>
      <c r="C831" s="48">
        <f>A831*($H$2/$I$2)</f>
        <v>8.8568069983597582</v>
      </c>
      <c r="D831" s="48">
        <f>D830+1</f>
        <v>830</v>
      </c>
      <c r="E831" s="43">
        <v>15.170092946965555</v>
      </c>
      <c r="F831" s="48">
        <f>D831/1076</f>
        <v>0.77137546468401486</v>
      </c>
      <c r="G831" s="49">
        <f>1000*E831*$J$2*9.81/1000</f>
        <v>2976.3722361946425</v>
      </c>
    </row>
    <row r="832" spans="1:7" ht="14.4" x14ac:dyDescent="0.3">
      <c r="A832" s="41">
        <v>8.1104000000000003</v>
      </c>
      <c r="B832" s="42">
        <v>19937</v>
      </c>
      <c r="C832" s="43">
        <f>A832*($H$2/$I$2)</f>
        <v>7.9818042646254783</v>
      </c>
      <c r="D832" s="43">
        <f>D831+1</f>
        <v>831</v>
      </c>
      <c r="E832" s="43">
        <v>15.125511208310551</v>
      </c>
      <c r="F832" s="43">
        <f>D832/1076</f>
        <v>0.77230483271375461</v>
      </c>
      <c r="G832" s="45">
        <f>1000*E832*$J$2*9.81/1000</f>
        <v>2967.6252990705307</v>
      </c>
    </row>
    <row r="833" spans="1:7" ht="14.4" x14ac:dyDescent="0.3">
      <c r="A833" s="46">
        <v>9.1530000000000005</v>
      </c>
      <c r="B833" s="47">
        <v>19906</v>
      </c>
      <c r="C833" s="48">
        <f>A833*($H$2/$I$2)</f>
        <v>9.00787315472936</v>
      </c>
      <c r="D833" s="48">
        <f>D832+1</f>
        <v>832</v>
      </c>
      <c r="E833" s="48">
        <v>15.116063422635319</v>
      </c>
      <c r="F833" s="48">
        <f>D833/1076</f>
        <v>0.77323420074349447</v>
      </c>
      <c r="G833" s="49">
        <f>1000*E833*$J$2*9.81/1000</f>
        <v>2965.77164352105</v>
      </c>
    </row>
    <row r="834" spans="1:7" ht="14.4" x14ac:dyDescent="0.3">
      <c r="A834" s="41">
        <v>11.4025</v>
      </c>
      <c r="B834" s="42">
        <v>19876</v>
      </c>
      <c r="C834" s="43">
        <f>A834*($H$2/$I$2)</f>
        <v>11.221705850191361</v>
      </c>
      <c r="D834" s="43">
        <f>D833+1</f>
        <v>833</v>
      </c>
      <c r="E834" s="43">
        <v>15.108190267905959</v>
      </c>
      <c r="F834" s="43">
        <f>D834/1076</f>
        <v>0.77416356877323422</v>
      </c>
      <c r="G834" s="45">
        <f>1000*E834*$J$2*9.81/1000</f>
        <v>2964.2269305631494</v>
      </c>
    </row>
    <row r="835" spans="1:7" ht="14.4" x14ac:dyDescent="0.3">
      <c r="A835" s="46">
        <v>14.9041</v>
      </c>
      <c r="B835" s="47">
        <v>19845</v>
      </c>
      <c r="C835" s="48">
        <f>A835*($H$2/$I$2)</f>
        <v>14.667785675232366</v>
      </c>
      <c r="D835" s="48">
        <f>D834+1</f>
        <v>834</v>
      </c>
      <c r="E835" s="48">
        <v>15.106615636960086</v>
      </c>
      <c r="F835" s="48">
        <f>D835/1076</f>
        <v>0.77509293680297398</v>
      </c>
      <c r="G835" s="49">
        <f>1000*E835*$J$2*9.81/1000</f>
        <v>2963.9179879715689</v>
      </c>
    </row>
    <row r="836" spans="1:7" ht="14.4" x14ac:dyDescent="0.3">
      <c r="A836" s="41">
        <v>13.592499999999999</v>
      </c>
      <c r="B836" s="42">
        <v>19815</v>
      </c>
      <c r="C836" s="43">
        <f>A836*($H$2/$I$2)</f>
        <v>13.376981957353744</v>
      </c>
      <c r="D836" s="43">
        <f>D835+1</f>
        <v>835</v>
      </c>
      <c r="E836" s="43">
        <v>15.102482230727173</v>
      </c>
      <c r="F836" s="43">
        <f>D836/1076</f>
        <v>0.77602230483271373</v>
      </c>
      <c r="G836" s="45">
        <f>1000*E836*$J$2*9.81/1000</f>
        <v>2963.1070136686717</v>
      </c>
    </row>
    <row r="837" spans="1:7" ht="14.4" x14ac:dyDescent="0.3">
      <c r="A837" s="46">
        <v>16.6601</v>
      </c>
      <c r="B837" s="47">
        <v>19784</v>
      </c>
      <c r="C837" s="48">
        <f>A837*($H$2/$I$2)</f>
        <v>16.395943138326952</v>
      </c>
      <c r="D837" s="48">
        <f>D836+1</f>
        <v>836</v>
      </c>
      <c r="E837" s="48">
        <v>15.099037725533078</v>
      </c>
      <c r="F837" s="48">
        <f>D837/1076</f>
        <v>0.77695167286245348</v>
      </c>
      <c r="G837" s="49">
        <f>1000*E837*$J$2*9.81/1000</f>
        <v>2962.4312017495904</v>
      </c>
    </row>
    <row r="838" spans="1:7" ht="14.4" x14ac:dyDescent="0.3">
      <c r="A838" s="41">
        <v>46.315100000000001</v>
      </c>
      <c r="B838" s="42">
        <v>19756</v>
      </c>
      <c r="C838" s="43">
        <f>A838*($H$2/$I$2)</f>
        <v>45.580743575724441</v>
      </c>
      <c r="D838" s="43">
        <f>D837+1</f>
        <v>837</v>
      </c>
      <c r="E838" s="43">
        <v>15.08614543466375</v>
      </c>
      <c r="F838" s="43">
        <f>D838/1076</f>
        <v>0.77788104089219334</v>
      </c>
      <c r="G838" s="45">
        <f>1000*E838*$J$2*9.81/1000</f>
        <v>2959.901734281028</v>
      </c>
    </row>
    <row r="839" spans="1:7" ht="14.4" x14ac:dyDescent="0.3">
      <c r="A839" s="46">
        <v>22.1478</v>
      </c>
      <c r="B839" s="47">
        <v>19725</v>
      </c>
      <c r="C839" s="48">
        <f>A839*($H$2/$I$2)</f>
        <v>21.796632039365772</v>
      </c>
      <c r="D839" s="48">
        <f>D838+1</f>
        <v>838</v>
      </c>
      <c r="E839" s="43">
        <v>15.077484964461453</v>
      </c>
      <c r="F839" s="48">
        <f>D839/1076</f>
        <v>0.77881040892193309</v>
      </c>
      <c r="G839" s="49">
        <f>1000*E839*$J$2*9.81/1000</f>
        <v>2958.2025500273376</v>
      </c>
    </row>
    <row r="840" spans="1:7" ht="14.4" x14ac:dyDescent="0.3">
      <c r="A840" s="41">
        <v>30.7074</v>
      </c>
      <c r="B840" s="42">
        <v>19694</v>
      </c>
      <c r="C840" s="43">
        <f>A840*($H$2/$I$2)</f>
        <v>30.220513942044832</v>
      </c>
      <c r="D840" s="43">
        <f>D839+1</f>
        <v>839</v>
      </c>
      <c r="E840" s="43">
        <v>15.064986331328594</v>
      </c>
      <c r="F840" s="43">
        <f>D840/1076</f>
        <v>0.77973977695167285</v>
      </c>
      <c r="G840" s="45">
        <f>1000*E840*$J$2*9.81/1000</f>
        <v>2955.7503182066703</v>
      </c>
    </row>
    <row r="841" spans="1:7" ht="14.4" x14ac:dyDescent="0.3">
      <c r="A841" s="46">
        <v>23.6511</v>
      </c>
      <c r="B841" s="47">
        <v>19664</v>
      </c>
      <c r="C841" s="48">
        <f>A841*($H$2/$I$2)</f>
        <v>23.27609622744669</v>
      </c>
      <c r="D841" s="48">
        <f>D840+1</f>
        <v>840</v>
      </c>
      <c r="E841" s="48">
        <v>15.038611262985238</v>
      </c>
      <c r="F841" s="48">
        <f>D841/1076</f>
        <v>0.7806691449814126</v>
      </c>
      <c r="G841" s="49">
        <f>1000*E841*$J$2*9.81/1000</f>
        <v>2950.5755297977039</v>
      </c>
    </row>
    <row r="842" spans="1:7" ht="14.4" x14ac:dyDescent="0.3">
      <c r="A842" s="41">
        <v>13.7569</v>
      </c>
      <c r="B842" s="42">
        <v>19633</v>
      </c>
      <c r="C842" s="43">
        <f>A842*($H$2/$I$2)</f>
        <v>13.5387752870421</v>
      </c>
      <c r="D842" s="43">
        <f>D841+1</f>
        <v>841</v>
      </c>
      <c r="E842" s="43">
        <v>15.029753963914708</v>
      </c>
      <c r="F842" s="43">
        <f>D842/1076</f>
        <v>0.78159851301115246</v>
      </c>
      <c r="G842" s="45">
        <f>1000*E842*$J$2*9.81/1000</f>
        <v>2948.8377277200657</v>
      </c>
    </row>
    <row r="843" spans="1:7" ht="14.4" x14ac:dyDescent="0.3">
      <c r="A843" s="46">
        <v>13.318300000000001</v>
      </c>
      <c r="B843" s="47">
        <v>19603</v>
      </c>
      <c r="C843" s="48">
        <f>A843*($H$2/$I$2)</f>
        <v>13.107129579004921</v>
      </c>
      <c r="D843" s="48">
        <f>D842+1</f>
        <v>842</v>
      </c>
      <c r="E843" s="43">
        <v>14.963717878622198</v>
      </c>
      <c r="F843" s="48">
        <f>D843/1076</f>
        <v>0.78252788104089221</v>
      </c>
      <c r="G843" s="49">
        <f>1000*E843*$J$2*9.81/1000</f>
        <v>2935.8814477856754</v>
      </c>
    </row>
    <row r="844" spans="1:7" ht="14.4" x14ac:dyDescent="0.3">
      <c r="A844" s="41">
        <v>15.345800000000001</v>
      </c>
      <c r="B844" s="42">
        <v>19572</v>
      </c>
      <c r="C844" s="43">
        <f>A844*($H$2/$I$2)</f>
        <v>15.102482230727173</v>
      </c>
      <c r="D844" s="43">
        <f>D843+1</f>
        <v>843</v>
      </c>
      <c r="E844" s="43">
        <v>14.962438490978677</v>
      </c>
      <c r="F844" s="43">
        <f>D844/1076</f>
        <v>0.78345724907063197</v>
      </c>
      <c r="G844" s="45">
        <f>1000*E844*$J$2*9.81/1000</f>
        <v>2935.6304319300166</v>
      </c>
    </row>
    <row r="845" spans="1:7" ht="14.4" x14ac:dyDescent="0.3">
      <c r="A845" s="46">
        <v>16.991</v>
      </c>
      <c r="B845" s="47">
        <v>19541</v>
      </c>
      <c r="C845" s="48">
        <f>A845*($H$2/$I$2)</f>
        <v>16.72159650082012</v>
      </c>
      <c r="D845" s="48">
        <f>D844+1</f>
        <v>844</v>
      </c>
      <c r="E845" s="48">
        <v>14.959879715691635</v>
      </c>
      <c r="F845" s="48">
        <f>D845/1076</f>
        <v>0.78438661710037172</v>
      </c>
      <c r="G845" s="49">
        <f>1000*E845*$J$2*9.81/1000</f>
        <v>2935.128400218699</v>
      </c>
    </row>
    <row r="846" spans="1:7" ht="14.4" x14ac:dyDescent="0.3">
      <c r="A846" s="41">
        <v>20.114799999999999</v>
      </c>
      <c r="B846" s="42">
        <v>19511</v>
      </c>
      <c r="C846" s="43">
        <f>A846*($H$2/$I$2)</f>
        <v>19.795866593767084</v>
      </c>
      <c r="D846" s="43">
        <f>D845+1</f>
        <v>845</v>
      </c>
      <c r="E846" s="43">
        <v>14.953187534171679</v>
      </c>
      <c r="F846" s="43">
        <f>D846/1076</f>
        <v>0.78531598513011147</v>
      </c>
      <c r="G846" s="45">
        <f>1000*E846*$J$2*9.81/1000</f>
        <v>2933.8153942044833</v>
      </c>
    </row>
    <row r="847" spans="1:7" ht="14.4" x14ac:dyDescent="0.3">
      <c r="A847" s="46">
        <v>24.0974</v>
      </c>
      <c r="B847" s="47">
        <v>19480</v>
      </c>
      <c r="C847" s="48">
        <f>A847*($H$2/$I$2)</f>
        <v>23.71531984691088</v>
      </c>
      <c r="D847" s="48">
        <f>D846+1</f>
        <v>846</v>
      </c>
      <c r="E847" s="48">
        <v>14.93271733187534</v>
      </c>
      <c r="F847" s="48">
        <f>D847/1076</f>
        <v>0.78624535315985133</v>
      </c>
      <c r="G847" s="49">
        <f>1000*E847*$J$2*9.81/1000</f>
        <v>2929.7991405139414</v>
      </c>
    </row>
    <row r="848" spans="1:7" ht="14.4" x14ac:dyDescent="0.3">
      <c r="A848" s="41">
        <v>40.051600000000001</v>
      </c>
      <c r="B848" s="42">
        <v>19450</v>
      </c>
      <c r="C848" s="43">
        <f>A848*($H$2/$I$2)</f>
        <v>39.416555494805905</v>
      </c>
      <c r="D848" s="43">
        <f>D847+1</f>
        <v>847</v>
      </c>
      <c r="E848" s="43">
        <v>14.927501366867139</v>
      </c>
      <c r="F848" s="43">
        <f>D848/1076</f>
        <v>0.78717472118959109</v>
      </c>
      <c r="G848" s="45">
        <f>1000*E848*$J$2*9.81/1000</f>
        <v>2928.7757681793323</v>
      </c>
    </row>
    <row r="849" spans="1:7" ht="14.4" x14ac:dyDescent="0.3">
      <c r="A849" s="46">
        <v>34.835299999999997</v>
      </c>
      <c r="B849" s="47">
        <v>19419</v>
      </c>
      <c r="C849" s="48">
        <f>A849*($H$2/$I$2)</f>
        <v>34.282963367960633</v>
      </c>
      <c r="D849" s="48">
        <f>D848+1</f>
        <v>848</v>
      </c>
      <c r="E849" s="48">
        <v>14.925041006014215</v>
      </c>
      <c r="F849" s="48">
        <f>D849/1076</f>
        <v>0.78810408921933084</v>
      </c>
      <c r="G849" s="49">
        <f>1000*E849*$J$2*9.81/1000</f>
        <v>2928.2930453799891</v>
      </c>
    </row>
    <row r="850" spans="1:7" ht="14.4" x14ac:dyDescent="0.3">
      <c r="A850" s="41">
        <v>29.148599999999998</v>
      </c>
      <c r="B850" s="42">
        <v>19391</v>
      </c>
      <c r="C850" s="43">
        <f>A850*($H$2/$I$2)</f>
        <v>28.686429743028974</v>
      </c>
      <c r="D850" s="43">
        <f>D849+1</f>
        <v>849</v>
      </c>
      <c r="E850" s="43">
        <v>14.918053581191907</v>
      </c>
      <c r="F850" s="43">
        <f>D850/1076</f>
        <v>0.78903345724907059</v>
      </c>
      <c r="G850" s="45">
        <f>1000*E850*$J$2*9.81/1000</f>
        <v>2926.9221126298521</v>
      </c>
    </row>
    <row r="851" spans="1:7" ht="14.4" x14ac:dyDescent="0.3">
      <c r="A851" s="46">
        <v>25.3505</v>
      </c>
      <c r="B851" s="47">
        <v>19360</v>
      </c>
      <c r="C851" s="48">
        <f>A851*($H$2/$I$2)</f>
        <v>24.948551120831056</v>
      </c>
      <c r="D851" s="48">
        <f>D850+1</f>
        <v>850</v>
      </c>
      <c r="E851" s="48">
        <v>14.904177145981409</v>
      </c>
      <c r="F851" s="48">
        <f>D851/1076</f>
        <v>0.78996282527881045</v>
      </c>
      <c r="G851" s="49">
        <f>1000*E851*$J$2*9.81/1000</f>
        <v>2924.1995560415521</v>
      </c>
    </row>
    <row r="852" spans="1:7" ht="14.4" x14ac:dyDescent="0.3">
      <c r="A852" s="41">
        <v>36.664999999999999</v>
      </c>
      <c r="B852" s="42">
        <v>19329</v>
      </c>
      <c r="C852" s="43">
        <f>A852*($H$2/$I$2)</f>
        <v>36.083652268999451</v>
      </c>
      <c r="D852" s="43">
        <f>D851+1</f>
        <v>851</v>
      </c>
      <c r="E852" s="48">
        <v>14.867370147621651</v>
      </c>
      <c r="F852" s="43">
        <f>D852/1076</f>
        <v>0.79089219330855021</v>
      </c>
      <c r="G852" s="45">
        <f>1000*E852*$J$2*9.81/1000</f>
        <v>2916.9780229633684</v>
      </c>
    </row>
    <row r="853" spans="1:7" ht="14.4" x14ac:dyDescent="0.3">
      <c r="A853" s="46">
        <v>28.9682</v>
      </c>
      <c r="B853" s="47">
        <v>19299</v>
      </c>
      <c r="C853" s="48">
        <f>A853*($H$2/$I$2)</f>
        <v>28.5088901038819</v>
      </c>
      <c r="D853" s="48">
        <f>D852+1</f>
        <v>852</v>
      </c>
      <c r="E853" s="43">
        <v>14.820229633679606</v>
      </c>
      <c r="F853" s="48">
        <f>D853/1076</f>
        <v>0.79182156133828996</v>
      </c>
      <c r="G853" s="49">
        <f>1000*E853*$J$2*9.81/1000</f>
        <v>2907.729054127939</v>
      </c>
    </row>
    <row r="854" spans="1:7" ht="14.4" x14ac:dyDescent="0.3">
      <c r="A854" s="41">
        <v>13.0852</v>
      </c>
      <c r="B854" s="42">
        <v>19268</v>
      </c>
      <c r="C854" s="43">
        <f>A854*($H$2/$I$2)</f>
        <v>12.877725533078184</v>
      </c>
      <c r="D854" s="43">
        <f>D853+1</f>
        <v>853</v>
      </c>
      <c r="E854" s="43">
        <v>14.759212684527064</v>
      </c>
      <c r="F854" s="43">
        <f>D854/1076</f>
        <v>0.79275092936802971</v>
      </c>
      <c r="G854" s="45">
        <f>1000*E854*$J$2*9.81/1000</f>
        <v>2895.7575287042105</v>
      </c>
    </row>
    <row r="855" spans="1:7" ht="14.4" x14ac:dyDescent="0.3">
      <c r="A855" s="46">
        <v>13.6937</v>
      </c>
      <c r="B855" s="47">
        <v>19238</v>
      </c>
      <c r="C855" s="48">
        <f>A855*($H$2/$I$2)</f>
        <v>13.476577364680152</v>
      </c>
      <c r="D855" s="48">
        <f>D854+1</f>
        <v>854</v>
      </c>
      <c r="E855" s="43">
        <v>14.747009294696555</v>
      </c>
      <c r="F855" s="48">
        <f>D855/1076</f>
        <v>0.79368029739776946</v>
      </c>
      <c r="G855" s="49">
        <f>1000*E855*$J$2*9.81/1000</f>
        <v>2893.3632236194649</v>
      </c>
    </row>
    <row r="856" spans="1:7" ht="14.4" x14ac:dyDescent="0.3">
      <c r="A856" s="41">
        <v>13.0428</v>
      </c>
      <c r="B856" s="42">
        <v>19207</v>
      </c>
      <c r="C856" s="43">
        <f>A856*($H$2/$I$2)</f>
        <v>12.835997813012575</v>
      </c>
      <c r="D856" s="43">
        <f>D855+1</f>
        <v>855</v>
      </c>
      <c r="E856" s="43">
        <v>14.715024603608528</v>
      </c>
      <c r="F856" s="43">
        <f>D856/1076</f>
        <v>0.79460966542750933</v>
      </c>
      <c r="G856" s="45">
        <f>1000*E856*$J$2*9.81/1000</f>
        <v>2887.0878272279929</v>
      </c>
    </row>
    <row r="857" spans="1:7" ht="14.4" x14ac:dyDescent="0.3">
      <c r="A857" s="46">
        <v>15.4496</v>
      </c>
      <c r="B857" s="47">
        <v>19176</v>
      </c>
      <c r="C857" s="48">
        <f>A857*($H$2/$I$2)</f>
        <v>15.204636413340623</v>
      </c>
      <c r="D857" s="48">
        <f>D856+1</f>
        <v>856</v>
      </c>
      <c r="E857" s="43">
        <v>14.699278294149808</v>
      </c>
      <c r="F857" s="48">
        <f>D857/1076</f>
        <v>0.79553903345724908</v>
      </c>
      <c r="G857" s="49">
        <f>1000*E857*$J$2*9.81/1000</f>
        <v>2883.998401312193</v>
      </c>
    </row>
    <row r="858" spans="1:7" ht="14.4" x14ac:dyDescent="0.3">
      <c r="A858" s="41">
        <v>21.529699999999998</v>
      </c>
      <c r="B858" s="42">
        <v>19146</v>
      </c>
      <c r="C858" s="43">
        <f>A858*($H$2/$I$2)</f>
        <v>21.188332422088571</v>
      </c>
      <c r="D858" s="43">
        <f>D857+1</f>
        <v>857</v>
      </c>
      <c r="E858" s="43">
        <v>14.669557135046475</v>
      </c>
      <c r="F858" s="43">
        <f>D858/1076</f>
        <v>0.79646840148698883</v>
      </c>
      <c r="G858" s="45">
        <f>1000*E858*$J$2*9.81/1000</f>
        <v>2878.1671098961183</v>
      </c>
    </row>
    <row r="859" spans="1:7" ht="14.4" x14ac:dyDescent="0.3">
      <c r="A859" s="46">
        <v>21.91</v>
      </c>
      <c r="B859" s="47">
        <v>19115</v>
      </c>
      <c r="C859" s="48">
        <f>A859*($H$2/$I$2)</f>
        <v>21.56260251503554</v>
      </c>
      <c r="D859" s="48">
        <f>D858+1</f>
        <v>858</v>
      </c>
      <c r="E859" s="48">
        <v>14.667785675232366</v>
      </c>
      <c r="F859" s="48">
        <f>D859/1076</f>
        <v>0.79739776951672858</v>
      </c>
      <c r="G859" s="49">
        <f>1000*E859*$J$2*9.81/1000</f>
        <v>2877.8195494805905</v>
      </c>
    </row>
    <row r="860" spans="1:7" ht="14.4" x14ac:dyDescent="0.3">
      <c r="A860" s="41">
        <v>36.148400000000002</v>
      </c>
      <c r="B860" s="42">
        <v>19085</v>
      </c>
      <c r="C860" s="43">
        <f>A860*($H$2/$I$2)</f>
        <v>35.575243302351012</v>
      </c>
      <c r="D860" s="43">
        <f>D859+1</f>
        <v>859</v>
      </c>
      <c r="E860" s="48">
        <v>14.660306178239475</v>
      </c>
      <c r="F860" s="43">
        <f>D860/1076</f>
        <v>0.79832713754646845</v>
      </c>
      <c r="G860" s="45">
        <f>1000*E860*$J$2*9.81/1000</f>
        <v>2876.352072170585</v>
      </c>
    </row>
    <row r="861" spans="1:7" ht="14.4" x14ac:dyDescent="0.3">
      <c r="A861" s="46">
        <v>75.939400000000006</v>
      </c>
      <c r="B861" s="47">
        <v>19054</v>
      </c>
      <c r="C861" s="48">
        <f>A861*($H$2/$I$2)</f>
        <v>74.735330781848006</v>
      </c>
      <c r="D861" s="48">
        <f>D860+1</f>
        <v>860</v>
      </c>
      <c r="E861" s="48">
        <v>14.655483870967743</v>
      </c>
      <c r="F861" s="48">
        <f>D861/1076</f>
        <v>0.7992565055762082</v>
      </c>
      <c r="G861" s="49">
        <f>1000*E861*$J$2*9.81/1000</f>
        <v>2875.405935483871</v>
      </c>
    </row>
    <row r="862" spans="1:7" ht="14.4" x14ac:dyDescent="0.3">
      <c r="A862" s="41">
        <v>65.070400000000006</v>
      </c>
      <c r="B862" s="42">
        <v>19025</v>
      </c>
      <c r="C862" s="43">
        <f>A862*($H$2/$I$2)</f>
        <v>64.038665937670856</v>
      </c>
      <c r="D862" s="43">
        <f>D861+1</f>
        <v>861</v>
      </c>
      <c r="E862" s="43">
        <v>14.630781848004373</v>
      </c>
      <c r="F862" s="43">
        <f>D862/1076</f>
        <v>0.80018587360594795</v>
      </c>
      <c r="G862" s="45">
        <f>1000*E862*$J$2*9.81/1000</f>
        <v>2870.5593985784581</v>
      </c>
    </row>
    <row r="863" spans="1:7" ht="14.4" x14ac:dyDescent="0.3">
      <c r="A863" s="46">
        <v>88.938699999999997</v>
      </c>
      <c r="B863" s="47">
        <v>18994</v>
      </c>
      <c r="C863" s="48">
        <f>A863*($H$2/$I$2)</f>
        <v>87.528518316019671</v>
      </c>
      <c r="D863" s="48">
        <f>D862+1</f>
        <v>862</v>
      </c>
      <c r="E863" s="43">
        <v>14.63058501913614</v>
      </c>
      <c r="F863" s="48">
        <f>D863/1076</f>
        <v>0.8011152416356877</v>
      </c>
      <c r="G863" s="49">
        <f>1000*E863*$J$2*9.81/1000</f>
        <v>2870.5207807545112</v>
      </c>
    </row>
    <row r="864" spans="1:7" ht="14.4" x14ac:dyDescent="0.3">
      <c r="A864" s="41">
        <v>29.457599999999999</v>
      </c>
      <c r="B864" s="42">
        <v>18963</v>
      </c>
      <c r="C864" s="43">
        <f>A864*($H$2/$I$2)</f>
        <v>28.990530344450519</v>
      </c>
      <c r="D864" s="43">
        <f>D863+1</f>
        <v>863</v>
      </c>
      <c r="E864" s="43">
        <v>14.618480043739748</v>
      </c>
      <c r="F864" s="43">
        <f>D864/1076</f>
        <v>0.80204460966542745</v>
      </c>
      <c r="G864" s="45">
        <f>1000*E864*$J$2*9.81/1000</f>
        <v>2868.1457845817386</v>
      </c>
    </row>
    <row r="865" spans="1:7" ht="14.4" x14ac:dyDescent="0.3">
      <c r="A865" s="46">
        <v>21.579000000000001</v>
      </c>
      <c r="B865" s="47">
        <v>18933</v>
      </c>
      <c r="C865" s="48">
        <f>A865*($H$2/$I$2)</f>
        <v>21.236850738108256</v>
      </c>
      <c r="D865" s="48">
        <f>D864+1</f>
        <v>864</v>
      </c>
      <c r="E865" s="48">
        <v>14.598797156916348</v>
      </c>
      <c r="F865" s="48">
        <f>D865/1076</f>
        <v>0.80297397769516732</v>
      </c>
      <c r="G865" s="49">
        <f>1000*E865*$J$2*9.81/1000</f>
        <v>2864.284002186987</v>
      </c>
    </row>
    <row r="866" spans="1:7" ht="14.4" x14ac:dyDescent="0.3">
      <c r="A866" s="41">
        <v>21.618200000000002</v>
      </c>
      <c r="B866" s="42">
        <v>18902</v>
      </c>
      <c r="C866" s="43">
        <f>A866*($H$2/$I$2)</f>
        <v>21.275429196282122</v>
      </c>
      <c r="D866" s="43">
        <f>D865+1</f>
        <v>865</v>
      </c>
      <c r="E866" s="43">
        <v>14.535811919081464</v>
      </c>
      <c r="F866" s="43">
        <f>D866/1076</f>
        <v>0.80390334572490707</v>
      </c>
      <c r="G866" s="45">
        <f>1000*E866*$J$2*9.81/1000</f>
        <v>2851.9262985237833</v>
      </c>
    </row>
    <row r="867" spans="1:7" ht="14.4" x14ac:dyDescent="0.3">
      <c r="A867" s="46">
        <v>11.729799999999999</v>
      </c>
      <c r="B867" s="47">
        <v>18872</v>
      </c>
      <c r="C867" s="48">
        <f>A867*($H$2/$I$2)</f>
        <v>11.543816293056313</v>
      </c>
      <c r="D867" s="48">
        <f>D866+1</f>
        <v>866</v>
      </c>
      <c r="E867" s="43">
        <v>14.525084745762712</v>
      </c>
      <c r="F867" s="48">
        <f>D867/1076</f>
        <v>0.80483271375464682</v>
      </c>
      <c r="G867" s="49">
        <f>1000*E867*$J$2*9.81/1000</f>
        <v>2849.8216271186443</v>
      </c>
    </row>
    <row r="868" spans="1:7" ht="14.4" x14ac:dyDescent="0.3">
      <c r="A868" s="41">
        <v>13.385</v>
      </c>
      <c r="B868" s="42">
        <v>18841</v>
      </c>
      <c r="C868" s="43">
        <f>A868*($H$2/$I$2)</f>
        <v>13.172772006560962</v>
      </c>
      <c r="D868" s="43">
        <f>D867+1</f>
        <v>867</v>
      </c>
      <c r="E868" s="43">
        <v>14.452848551120832</v>
      </c>
      <c r="F868" s="43">
        <f>D868/1076</f>
        <v>0.80576208178438657</v>
      </c>
      <c r="G868" s="45">
        <f>1000*E868*$J$2*9.81/1000</f>
        <v>2835.6488857299078</v>
      </c>
    </row>
    <row r="869" spans="1:7" ht="14.4" x14ac:dyDescent="0.3">
      <c r="A869" s="46">
        <v>15.6594</v>
      </c>
      <c r="B869" s="47">
        <v>18810</v>
      </c>
      <c r="C869" s="48">
        <f>A869*($H$2/$I$2)</f>
        <v>15.411109896118097</v>
      </c>
      <c r="D869" s="48">
        <f>D868+1</f>
        <v>868</v>
      </c>
      <c r="E869" s="43">
        <v>14.441235647895024</v>
      </c>
      <c r="F869" s="48">
        <f>D869/1076</f>
        <v>0.80669144981412644</v>
      </c>
      <c r="G869" s="49">
        <f>1000*E869*$J$2*9.81/1000</f>
        <v>2833.3704341170037</v>
      </c>
    </row>
    <row r="870" spans="1:7" ht="14.4" x14ac:dyDescent="0.3">
      <c r="A870" s="41">
        <v>17.819199999999999</v>
      </c>
      <c r="B870" s="42">
        <v>18780</v>
      </c>
      <c r="C870" s="43">
        <f>A870*($H$2/$I$2)</f>
        <v>17.536664844177142</v>
      </c>
      <c r="D870" s="43">
        <f>D869+1</f>
        <v>869</v>
      </c>
      <c r="E870" s="43">
        <v>14.440153089119738</v>
      </c>
      <c r="F870" s="43">
        <f>D870/1076</f>
        <v>0.80762081784386619</v>
      </c>
      <c r="G870" s="45">
        <f>1000*E870*$J$2*9.81/1000</f>
        <v>2833.1580360852927</v>
      </c>
    </row>
    <row r="871" spans="1:7" ht="14.4" x14ac:dyDescent="0.3">
      <c r="A871" s="46">
        <v>20.680399999999999</v>
      </c>
      <c r="B871" s="47">
        <v>18749</v>
      </c>
      <c r="C871" s="48">
        <f>A871*($H$2/$I$2)</f>
        <v>20.352498633132857</v>
      </c>
      <c r="D871" s="48">
        <f>D870+1</f>
        <v>870</v>
      </c>
      <c r="E871" s="48">
        <v>14.36978676872608</v>
      </c>
      <c r="F871" s="48">
        <f>D871/1076</f>
        <v>0.80855018587360594</v>
      </c>
      <c r="G871" s="49">
        <f>1000*E871*$J$2*9.81/1000</f>
        <v>2819.3521640240569</v>
      </c>
    </row>
    <row r="872" spans="1:7" ht="14.4" x14ac:dyDescent="0.3">
      <c r="A872" s="41">
        <v>31.5456</v>
      </c>
      <c r="B872" s="42">
        <v>18719</v>
      </c>
      <c r="C872" s="43">
        <f>A872*($H$2/$I$2)</f>
        <v>31.04542372881356</v>
      </c>
      <c r="D872" s="43">
        <f>D871+1</f>
        <v>871</v>
      </c>
      <c r="E872" s="43">
        <v>14.339376708583924</v>
      </c>
      <c r="F872" s="43">
        <f>D872/1076</f>
        <v>0.80947955390334569</v>
      </c>
      <c r="G872" s="45">
        <f>1000*E872*$J$2*9.81/1000</f>
        <v>2813.3857102241659</v>
      </c>
    </row>
    <row r="873" spans="1:7" ht="14.4" x14ac:dyDescent="0.3">
      <c r="A873" s="46">
        <v>48.186</v>
      </c>
      <c r="B873" s="47">
        <v>18688</v>
      </c>
      <c r="C873" s="48">
        <f>A873*($H$2/$I$2)</f>
        <v>47.421979223619459</v>
      </c>
      <c r="D873" s="48">
        <f>D872+1</f>
        <v>872</v>
      </c>
      <c r="E873" s="43">
        <v>14.312804811372335</v>
      </c>
      <c r="F873" s="48">
        <f>D873/1076</f>
        <v>0.81040892193308545</v>
      </c>
      <c r="G873" s="49">
        <f>1000*E873*$J$2*9.81/1000</f>
        <v>2808.1723039912522</v>
      </c>
    </row>
    <row r="874" spans="1:7" ht="14.4" x14ac:dyDescent="0.3">
      <c r="A874" s="41">
        <v>57.753799999999998</v>
      </c>
      <c r="B874" s="42">
        <v>18660</v>
      </c>
      <c r="C874" s="43">
        <f>A874*($H$2/$I$2)</f>
        <v>56.838075451066153</v>
      </c>
      <c r="D874" s="43">
        <f>D873+1</f>
        <v>873</v>
      </c>
      <c r="E874" s="43">
        <v>14.310836522689993</v>
      </c>
      <c r="F874" s="43">
        <f>D874/1076</f>
        <v>0.81133828996282531</v>
      </c>
      <c r="G874" s="45">
        <f>1000*E874*$J$2*9.81/1000</f>
        <v>2807.786125751777</v>
      </c>
    </row>
    <row r="875" spans="1:7" ht="14.4" x14ac:dyDescent="0.3">
      <c r="A875" s="46">
        <v>51.094900000000003</v>
      </c>
      <c r="B875" s="47">
        <v>18629</v>
      </c>
      <c r="C875" s="48">
        <f>A875*($H$2/$I$2)</f>
        <v>50.284756697648987</v>
      </c>
      <c r="D875" s="48">
        <f>D874+1</f>
        <v>874</v>
      </c>
      <c r="E875" s="43">
        <v>14.303357025697101</v>
      </c>
      <c r="F875" s="48">
        <f>D875/1076</f>
        <v>0.81226765799256506</v>
      </c>
      <c r="G875" s="49">
        <f>1000*E875*$J$2*9.81/1000</f>
        <v>2806.3186484417715</v>
      </c>
    </row>
    <row r="876" spans="1:7" ht="14.4" x14ac:dyDescent="0.3">
      <c r="A876" s="41">
        <v>46.730400000000003</v>
      </c>
      <c r="B876" s="42">
        <v>18598</v>
      </c>
      <c r="C876" s="43">
        <f>A876*($H$2/$I$2)</f>
        <v>45.989458720612355</v>
      </c>
      <c r="D876" s="43">
        <f>D875+1</f>
        <v>875</v>
      </c>
      <c r="E876" s="48">
        <v>14.212126845270639</v>
      </c>
      <c r="F876" s="43">
        <f>D876/1076</f>
        <v>0.81319702602230481</v>
      </c>
      <c r="G876" s="45">
        <f>1000*E876*$J$2*9.81/1000</f>
        <v>2788.4192870420993</v>
      </c>
    </row>
    <row r="877" spans="1:7" ht="14.4" x14ac:dyDescent="0.3">
      <c r="A877" s="46">
        <v>44.973700000000001</v>
      </c>
      <c r="B877" s="47">
        <v>18568</v>
      </c>
      <c r="C877" s="48">
        <f>A877*($H$2/$I$2)</f>
        <v>44.260612356478951</v>
      </c>
      <c r="D877" s="48">
        <f>D876+1</f>
        <v>876</v>
      </c>
      <c r="E877" s="48">
        <v>14.204647348277748</v>
      </c>
      <c r="F877" s="48">
        <f>D877/1076</f>
        <v>0.81412639405204457</v>
      </c>
      <c r="G877" s="49">
        <f>1000*E877*$J$2*9.81/1000</f>
        <v>2786.9518097320943</v>
      </c>
    </row>
    <row r="878" spans="1:7" ht="14.4" x14ac:dyDescent="0.3">
      <c r="A878" s="41">
        <v>17.564599999999999</v>
      </c>
      <c r="B878" s="42">
        <v>18537</v>
      </c>
      <c r="C878" s="43">
        <f>A878*($H$2/$I$2)</f>
        <v>17.286101694915253</v>
      </c>
      <c r="D878" s="43">
        <f>D877+1</f>
        <v>877</v>
      </c>
      <c r="E878" s="48">
        <v>14.126407873154728</v>
      </c>
      <c r="F878" s="43">
        <f>D878/1076</f>
        <v>0.81505576208178443</v>
      </c>
      <c r="G878" s="45">
        <f>1000*E878*$J$2*9.81/1000</f>
        <v>2771.6012247129574</v>
      </c>
    </row>
    <row r="879" spans="1:7" ht="14.4" x14ac:dyDescent="0.3">
      <c r="A879" s="46">
        <v>13.632199999999999</v>
      </c>
      <c r="B879" s="47">
        <v>18507</v>
      </c>
      <c r="C879" s="48">
        <f>A879*($H$2/$I$2)</f>
        <v>13.416052487698195</v>
      </c>
      <c r="D879" s="48">
        <f>D878+1</f>
        <v>878</v>
      </c>
      <c r="E879" s="43">
        <v>14.102985237834881</v>
      </c>
      <c r="F879" s="48">
        <f>D879/1076</f>
        <v>0.81598513011152418</v>
      </c>
      <c r="G879" s="49">
        <f>1000*E879*$J$2*9.81/1000</f>
        <v>2767.0057036632038</v>
      </c>
    </row>
    <row r="880" spans="1:7" ht="14.4" x14ac:dyDescent="0.3">
      <c r="A880" s="41">
        <v>15.1584</v>
      </c>
      <c r="B880" s="42">
        <v>18476</v>
      </c>
      <c r="C880" s="43">
        <f>A880*($H$2/$I$2)</f>
        <v>14.918053581191907</v>
      </c>
      <c r="D880" s="43">
        <f>D879+1</f>
        <v>879</v>
      </c>
      <c r="E880" s="48">
        <v>14.102591580098414</v>
      </c>
      <c r="F880" s="43">
        <f>D880/1076</f>
        <v>0.81691449814126393</v>
      </c>
      <c r="G880" s="45">
        <f>1000*E880*$J$2*9.81/1000</f>
        <v>2766.9284680153091</v>
      </c>
    </row>
    <row r="881" spans="1:7" ht="14.4" x14ac:dyDescent="0.3">
      <c r="A881" s="46">
        <v>18.845099999999999</v>
      </c>
      <c r="B881" s="47">
        <v>18445</v>
      </c>
      <c r="C881" s="48">
        <f>A881*($H$2/$I$2)</f>
        <v>18.546298523783488</v>
      </c>
      <c r="D881" s="48">
        <f>D880+1</f>
        <v>880</v>
      </c>
      <c r="E881" s="43">
        <v>13.983903772553306</v>
      </c>
      <c r="F881" s="48">
        <f>D881/1076</f>
        <v>0.81784386617100369</v>
      </c>
      <c r="G881" s="49">
        <f>1000*E881*$J$2*9.81/1000</f>
        <v>2743.6419201749591</v>
      </c>
    </row>
    <row r="882" spans="1:7" ht="14.4" x14ac:dyDescent="0.3">
      <c r="A882" s="41">
        <v>23.709099999999999</v>
      </c>
      <c r="B882" s="42">
        <v>18415</v>
      </c>
      <c r="C882" s="43">
        <f>A882*($H$2/$I$2)</f>
        <v>23.333176599234552</v>
      </c>
      <c r="D882" s="43">
        <f>D881+1</f>
        <v>881</v>
      </c>
      <c r="E882" s="48">
        <v>13.975243302351011</v>
      </c>
      <c r="F882" s="43">
        <f>D882/1076</f>
        <v>0.81877323420074355</v>
      </c>
      <c r="G882" s="45">
        <f>1000*E882*$J$2*9.81/1000</f>
        <v>2741.9427359212686</v>
      </c>
    </row>
    <row r="883" spans="1:7" ht="14.4" x14ac:dyDescent="0.3">
      <c r="A883" s="46">
        <v>30.1935</v>
      </c>
      <c r="B883" s="47">
        <v>18384</v>
      </c>
      <c r="C883" s="48">
        <f>A883*($H$2/$I$2)</f>
        <v>29.714762165117548</v>
      </c>
      <c r="D883" s="48">
        <f>D882+1</f>
        <v>882</v>
      </c>
      <c r="E883" s="43">
        <v>13.940896664844177</v>
      </c>
      <c r="F883" s="48">
        <f>D883/1076</f>
        <v>0.8197026022304833</v>
      </c>
      <c r="G883" s="49">
        <f>1000*E883*$J$2*9.81/1000</f>
        <v>2735.2039256424277</v>
      </c>
    </row>
    <row r="884" spans="1:7" ht="14.4" x14ac:dyDescent="0.3">
      <c r="A884" s="41">
        <v>40.296700000000001</v>
      </c>
      <c r="B884" s="42">
        <v>18354</v>
      </c>
      <c r="C884" s="43">
        <f>A884*($H$2/$I$2)</f>
        <v>39.657769272826684</v>
      </c>
      <c r="D884" s="43">
        <f>D883+1</f>
        <v>883</v>
      </c>
      <c r="E884" s="43">
        <v>13.870924002186987</v>
      </c>
      <c r="F884" s="43">
        <f>D884/1076</f>
        <v>0.82063197026022305</v>
      </c>
      <c r="G884" s="45">
        <f>1000*E884*$J$2*9.81/1000</f>
        <v>2721.4752892290867</v>
      </c>
    </row>
    <row r="885" spans="1:7" ht="14.4" x14ac:dyDescent="0.3">
      <c r="A885" s="46">
        <v>61.511099999999999</v>
      </c>
      <c r="B885" s="47">
        <v>18323</v>
      </c>
      <c r="C885" s="48">
        <f>A885*($H$2/$I$2)</f>
        <v>60.535800984144338</v>
      </c>
      <c r="D885" s="48">
        <f>D884+1</f>
        <v>884</v>
      </c>
      <c r="E885" s="48">
        <v>13.866593767085838</v>
      </c>
      <c r="F885" s="48">
        <f>D885/1076</f>
        <v>0.82156133828996281</v>
      </c>
      <c r="G885" s="49">
        <f>1000*E885*$J$2*9.81/1000</f>
        <v>2720.6256971022412</v>
      </c>
    </row>
    <row r="886" spans="1:7" ht="14.4" x14ac:dyDescent="0.3">
      <c r="A886" s="41">
        <v>79.366600000000005</v>
      </c>
      <c r="B886" s="42">
        <v>18295</v>
      </c>
      <c r="C886" s="43">
        <f>A886*($H$2/$I$2)</f>
        <v>78.108190267905968</v>
      </c>
      <c r="D886" s="43">
        <f>D885+1</f>
        <v>885</v>
      </c>
      <c r="E886" s="48">
        <v>13.865314379442317</v>
      </c>
      <c r="F886" s="43">
        <f>D886/1076</f>
        <v>0.82249070631970256</v>
      </c>
      <c r="G886" s="45">
        <f>1000*E886*$J$2*9.81/1000</f>
        <v>2720.3746812465829</v>
      </c>
    </row>
    <row r="887" spans="1:7" ht="14.4" x14ac:dyDescent="0.3">
      <c r="A887" s="46">
        <v>64.324399999999997</v>
      </c>
      <c r="B887" s="47">
        <v>18264</v>
      </c>
      <c r="C887" s="48">
        <f>A887*($H$2/$I$2)</f>
        <v>63.304494259158005</v>
      </c>
      <c r="D887" s="48">
        <f>D886+1</f>
        <v>886</v>
      </c>
      <c r="E887" s="43">
        <v>13.864527063969382</v>
      </c>
      <c r="F887" s="48">
        <f>D887/1076</f>
        <v>0.82342007434944242</v>
      </c>
      <c r="G887" s="49">
        <f>1000*E887*$J$2*9.81/1000</f>
        <v>2720.2202099507927</v>
      </c>
    </row>
    <row r="888" spans="1:7" ht="14.4" x14ac:dyDescent="0.3">
      <c r="A888" s="41">
        <v>38.667099999999998</v>
      </c>
      <c r="B888" s="42">
        <v>18233</v>
      </c>
      <c r="C888" s="43">
        <f>A888*($H$2/$I$2)</f>
        <v>38.054007654455987</v>
      </c>
      <c r="D888" s="43">
        <f>D887+1</f>
        <v>887</v>
      </c>
      <c r="E888" s="48">
        <v>13.856752323674138</v>
      </c>
      <c r="F888" s="43">
        <f>D888/1076</f>
        <v>0.82434944237918217</v>
      </c>
      <c r="G888" s="45">
        <f>1000*E888*$J$2*9.81/1000</f>
        <v>2718.6948059048659</v>
      </c>
    </row>
    <row r="889" spans="1:7" ht="14.4" x14ac:dyDescent="0.3">
      <c r="A889" s="46">
        <v>12.876099999999999</v>
      </c>
      <c r="B889" s="47">
        <v>18203</v>
      </c>
      <c r="C889" s="48">
        <f>A889*($H$2/$I$2)</f>
        <v>12.671940951339529</v>
      </c>
      <c r="D889" s="48">
        <f>D888+1</f>
        <v>888</v>
      </c>
      <c r="E889" s="43">
        <v>13.830180426462547</v>
      </c>
      <c r="F889" s="48">
        <f>D889/1076</f>
        <v>0.82527881040892193</v>
      </c>
      <c r="G889" s="49">
        <f>1000*E889*$J$2*9.81/1000</f>
        <v>2713.4813996719517</v>
      </c>
    </row>
    <row r="890" spans="1:7" ht="14.4" x14ac:dyDescent="0.3">
      <c r="A890" s="41">
        <v>12.010300000000001</v>
      </c>
      <c r="B890" s="42">
        <v>18172</v>
      </c>
      <c r="C890" s="43">
        <f>A890*($H$2/$I$2)</f>
        <v>11.819868780754511</v>
      </c>
      <c r="D890" s="43">
        <f>D889+1</f>
        <v>889</v>
      </c>
      <c r="E890" s="43">
        <v>13.777430289775833</v>
      </c>
      <c r="F890" s="43">
        <f>D890/1076</f>
        <v>0.82620817843866168</v>
      </c>
      <c r="G890" s="45">
        <f>1000*E890*$J$2*9.81/1000</f>
        <v>2703.1318228540181</v>
      </c>
    </row>
    <row r="891" spans="1:7" ht="14.4" x14ac:dyDescent="0.3">
      <c r="A891" s="46">
        <v>11.823499999999999</v>
      </c>
      <c r="B891" s="47">
        <v>18142</v>
      </c>
      <c r="C891" s="48">
        <f>A891*($H$2/$I$2)</f>
        <v>11.636030617823947</v>
      </c>
      <c r="D891" s="48">
        <f>D890+1</f>
        <v>890</v>
      </c>
      <c r="E891" s="48">
        <v>13.724778567523236</v>
      </c>
      <c r="F891" s="48">
        <f>D891/1076</f>
        <v>0.82713754646840154</v>
      </c>
      <c r="G891" s="49">
        <f>1000*E891*$J$2*9.81/1000</f>
        <v>2692.8015549480588</v>
      </c>
    </row>
    <row r="892" spans="1:7" ht="14.4" x14ac:dyDescent="0.3">
      <c r="A892" s="41">
        <v>16.4755</v>
      </c>
      <c r="B892" s="42">
        <v>18111</v>
      </c>
      <c r="C892" s="43">
        <f>A892*($H$2/$I$2)</f>
        <v>16.214270092946965</v>
      </c>
      <c r="D892" s="43">
        <f>D891+1</f>
        <v>891</v>
      </c>
      <c r="E892" s="43">
        <v>13.697813012575176</v>
      </c>
      <c r="F892" s="43">
        <f>D892/1076</f>
        <v>0.82806691449814129</v>
      </c>
      <c r="G892" s="45">
        <f>1000*E892*$J$2*9.81/1000</f>
        <v>2687.5109130672495</v>
      </c>
    </row>
    <row r="893" spans="1:7" ht="14.4" x14ac:dyDescent="0.3">
      <c r="A893" s="46">
        <v>21.786200000000001</v>
      </c>
      <c r="B893" s="47">
        <v>18080</v>
      </c>
      <c r="C893" s="48">
        <f>A893*($H$2/$I$2)</f>
        <v>21.440765445598689</v>
      </c>
      <c r="D893" s="48">
        <f>D892+1</f>
        <v>892</v>
      </c>
      <c r="E893" s="48">
        <v>13.663367960634226</v>
      </c>
      <c r="F893" s="48">
        <f>D893/1076</f>
        <v>0.82899628252788105</v>
      </c>
      <c r="G893" s="49">
        <f>1000*E893*$J$2*9.81/1000</f>
        <v>2680.7527938764351</v>
      </c>
    </row>
    <row r="894" spans="1:7" ht="14.4" x14ac:dyDescent="0.3">
      <c r="A894" s="41">
        <v>26.4376</v>
      </c>
      <c r="B894" s="42">
        <v>18050</v>
      </c>
      <c r="C894" s="43">
        <f>A894*($H$2/$I$2)</f>
        <v>26.018414434117002</v>
      </c>
      <c r="D894" s="43">
        <f>D893+1</f>
        <v>893</v>
      </c>
      <c r="E894" s="48">
        <v>13.638567523236741</v>
      </c>
      <c r="F894" s="43">
        <f>D894/1076</f>
        <v>0.8299256505576208</v>
      </c>
      <c r="G894" s="45">
        <f>1000*E894*$J$2*9.81/1000</f>
        <v>2675.8869480590488</v>
      </c>
    </row>
    <row r="895" spans="1:7" ht="14.4" x14ac:dyDescent="0.3">
      <c r="A895" s="46">
        <v>29.516500000000001</v>
      </c>
      <c r="B895" s="47">
        <v>18019</v>
      </c>
      <c r="C895" s="48">
        <f>A895*($H$2/$I$2)</f>
        <v>29.048496446145435</v>
      </c>
      <c r="D895" s="48">
        <f>D894+1</f>
        <v>894</v>
      </c>
      <c r="E895" s="48">
        <v>13.605598687807545</v>
      </c>
      <c r="F895" s="48">
        <f>D895/1076</f>
        <v>0.83085501858736055</v>
      </c>
      <c r="G895" s="49">
        <f>1000*E895*$J$2*9.81/1000</f>
        <v>2669.4184625478406</v>
      </c>
    </row>
    <row r="896" spans="1:7" ht="14.4" x14ac:dyDescent="0.3">
      <c r="A896" s="41">
        <v>34.189700000000002</v>
      </c>
      <c r="B896" s="42">
        <v>17989</v>
      </c>
      <c r="C896" s="43">
        <f>A896*($H$2/$I$2)</f>
        <v>33.64759978130126</v>
      </c>
      <c r="D896" s="43">
        <f>D895+1</f>
        <v>895</v>
      </c>
      <c r="E896" s="43">
        <v>13.5387752870421</v>
      </c>
      <c r="F896" s="43">
        <f>D896/1076</f>
        <v>0.83178438661710041</v>
      </c>
      <c r="G896" s="45">
        <f>1000*E896*$J$2*9.81/1000</f>
        <v>2656.3077113176596</v>
      </c>
    </row>
    <row r="897" spans="1:7" ht="14.4" x14ac:dyDescent="0.3">
      <c r="A897" s="46">
        <v>44.141100000000002</v>
      </c>
      <c r="B897" s="47">
        <v>17958</v>
      </c>
      <c r="C897" s="48">
        <f>A897*($H$2/$I$2)</f>
        <v>43.441213778020774</v>
      </c>
      <c r="D897" s="48">
        <f>D896+1</f>
        <v>896</v>
      </c>
      <c r="E897" s="48">
        <v>13.476577364680152</v>
      </c>
      <c r="F897" s="48">
        <f>D897/1076</f>
        <v>0.83271375464684017</v>
      </c>
      <c r="G897" s="49">
        <f>1000*E897*$J$2*9.81/1000</f>
        <v>2644.1044789502457</v>
      </c>
    </row>
    <row r="898" spans="1:7" ht="14.4" x14ac:dyDescent="0.3">
      <c r="A898" s="41">
        <v>69.481700000000004</v>
      </c>
      <c r="B898" s="42">
        <v>17930</v>
      </c>
      <c r="C898" s="43">
        <f>A898*($H$2/$I$2)</f>
        <v>68.380021869874255</v>
      </c>
      <c r="D898" s="43">
        <f>D897+1</f>
        <v>897</v>
      </c>
      <c r="E898" s="48">
        <v>13.434357572443957</v>
      </c>
      <c r="F898" s="43">
        <f>D898/1076</f>
        <v>0.83364312267657992</v>
      </c>
      <c r="G898" s="45">
        <f>1000*E898*$J$2*9.81/1000</f>
        <v>2635.8209557135046</v>
      </c>
    </row>
    <row r="899" spans="1:7" ht="14.4" x14ac:dyDescent="0.3">
      <c r="A899" s="46">
        <v>67.704899999999995</v>
      </c>
      <c r="B899" s="47">
        <v>17899</v>
      </c>
      <c r="C899" s="48">
        <f>A899*($H$2/$I$2)</f>
        <v>66.631394204483314</v>
      </c>
      <c r="D899" s="48">
        <f>D898+1</f>
        <v>898</v>
      </c>
      <c r="E899" s="48">
        <v>13.416052487698195</v>
      </c>
      <c r="F899" s="48">
        <f>D899/1076</f>
        <v>0.83457249070631967</v>
      </c>
      <c r="G899" s="49">
        <f>1000*E899*$J$2*9.81/1000</f>
        <v>2632.2294980863858</v>
      </c>
    </row>
    <row r="900" spans="1:7" ht="14.4" x14ac:dyDescent="0.3">
      <c r="A900" s="41">
        <v>58.325200000000002</v>
      </c>
      <c r="B900" s="42">
        <v>17868</v>
      </c>
      <c r="C900" s="43">
        <f>A900*($H$2/$I$2)</f>
        <v>57.400415527610718</v>
      </c>
      <c r="D900" s="43">
        <f>D899+1</f>
        <v>899</v>
      </c>
      <c r="E900" s="48">
        <v>13.415265172225258</v>
      </c>
      <c r="F900" s="43">
        <f>D900/1076</f>
        <v>0.83550185873605953</v>
      </c>
      <c r="G900" s="45">
        <f>1000*E900*$J$2*9.81/1000</f>
        <v>2632.0750267905955</v>
      </c>
    </row>
    <row r="901" spans="1:7" ht="14.4" x14ac:dyDescent="0.3">
      <c r="A901" s="46">
        <v>34.790399999999998</v>
      </c>
      <c r="B901" s="47">
        <v>17838</v>
      </c>
      <c r="C901" s="48">
        <f>A901*($H$2/$I$2)</f>
        <v>34.238775287042095</v>
      </c>
      <c r="D901" s="48">
        <f>D900+1</f>
        <v>900</v>
      </c>
      <c r="E901" s="43">
        <v>13.40601421541826</v>
      </c>
      <c r="F901" s="48">
        <f>D901/1076</f>
        <v>0.83643122676579928</v>
      </c>
      <c r="G901" s="49">
        <f>1000*E901*$J$2*9.81/1000</f>
        <v>2630.2599890650627</v>
      </c>
    </row>
    <row r="902" spans="1:7" ht="14.4" x14ac:dyDescent="0.3">
      <c r="A902" s="41">
        <v>17.5913</v>
      </c>
      <c r="B902" s="42">
        <v>17807</v>
      </c>
      <c r="C902" s="43">
        <f>A902*($H$2/$I$2)</f>
        <v>17.312378348824495</v>
      </c>
      <c r="D902" s="43">
        <f>D901+1</f>
        <v>901</v>
      </c>
      <c r="E902" s="43">
        <v>13.394598141060689</v>
      </c>
      <c r="F902" s="43">
        <f>D902/1076</f>
        <v>0.83736059479553904</v>
      </c>
      <c r="G902" s="45">
        <f>1000*E902*$J$2*9.81/1000</f>
        <v>2628.0201552761073</v>
      </c>
    </row>
    <row r="903" spans="1:7" ht="14.4" x14ac:dyDescent="0.3">
      <c r="A903" s="46">
        <v>13.8248</v>
      </c>
      <c r="B903" s="47">
        <v>17777</v>
      </c>
      <c r="C903" s="48">
        <f>A903*($H$2/$I$2)</f>
        <v>13.605598687807545</v>
      </c>
      <c r="D903" s="48">
        <f>D902+1</f>
        <v>902</v>
      </c>
      <c r="E903" s="48">
        <v>13.380623291416073</v>
      </c>
      <c r="F903" s="48">
        <f>D903/1076</f>
        <v>0.83828996282527879</v>
      </c>
      <c r="G903" s="49">
        <f>1000*E903*$J$2*9.81/1000</f>
        <v>2625.2782897758339</v>
      </c>
    </row>
    <row r="904" spans="1:7" ht="14.4" x14ac:dyDescent="0.3">
      <c r="A904" s="41">
        <v>15.6441</v>
      </c>
      <c r="B904" s="42">
        <v>17746</v>
      </c>
      <c r="C904" s="43">
        <f>A904*($H$2/$I$2)</f>
        <v>15.396052487698196</v>
      </c>
      <c r="D904" s="43">
        <f>D903+1</f>
        <v>903</v>
      </c>
      <c r="E904" s="43">
        <v>13.376981957353744</v>
      </c>
      <c r="F904" s="43">
        <f>D904/1076</f>
        <v>0.83921933085501854</v>
      </c>
      <c r="G904" s="45">
        <f>1000*E904*$J$2*9.81/1000</f>
        <v>2624.5638600328048</v>
      </c>
    </row>
    <row r="905" spans="1:7" ht="14.4" x14ac:dyDescent="0.3">
      <c r="A905" s="46">
        <v>18.3904</v>
      </c>
      <c r="B905" s="47">
        <v>17715</v>
      </c>
      <c r="C905" s="48">
        <f>A905*($H$2/$I$2)</f>
        <v>18.098808091853471</v>
      </c>
      <c r="D905" s="48">
        <f>D904+1</f>
        <v>904</v>
      </c>
      <c r="E905" s="43">
        <v>13.359759431383269</v>
      </c>
      <c r="F905" s="48">
        <f>D905/1076</f>
        <v>0.8401486988847584</v>
      </c>
      <c r="G905" s="49">
        <f>1000*E905*$J$2*9.81/1000</f>
        <v>2621.1848004373978</v>
      </c>
    </row>
    <row r="906" spans="1:7" ht="14.4" x14ac:dyDescent="0.3">
      <c r="A906" s="41">
        <v>22.1691</v>
      </c>
      <c r="B906" s="42">
        <v>17685</v>
      </c>
      <c r="C906" s="43">
        <f>A906*($H$2/$I$2)</f>
        <v>21.817594313832696</v>
      </c>
      <c r="D906" s="43">
        <f>D905+1</f>
        <v>905</v>
      </c>
      <c r="E906" s="48">
        <v>13.353067249863312</v>
      </c>
      <c r="F906" s="43">
        <f>D906/1076</f>
        <v>0.84107806691449816</v>
      </c>
      <c r="G906" s="45">
        <f>1000*E906*$J$2*9.81/1000</f>
        <v>2619.8717944231821</v>
      </c>
    </row>
    <row r="907" spans="1:7" ht="14.4" x14ac:dyDescent="0.3">
      <c r="A907" s="46">
        <v>25.982900000000001</v>
      </c>
      <c r="B907" s="47">
        <v>17654</v>
      </c>
      <c r="C907" s="48">
        <f>A907*($H$2/$I$2)</f>
        <v>25.570924002186988</v>
      </c>
      <c r="D907" s="48">
        <f>D906+1</f>
        <v>906</v>
      </c>
      <c r="E907" s="43">
        <v>13.333581191908147</v>
      </c>
      <c r="F907" s="48">
        <f>D907/1076</f>
        <v>0.84200743494423791</v>
      </c>
      <c r="G907" s="49">
        <f>1000*E907*$J$2*9.81/1000</f>
        <v>2616.0486298523783</v>
      </c>
    </row>
    <row r="908" spans="1:7" ht="14.4" x14ac:dyDescent="0.3">
      <c r="A908" s="41">
        <v>35.554299999999998</v>
      </c>
      <c r="B908" s="42">
        <v>17624</v>
      </c>
      <c r="C908" s="43">
        <f>A908*($H$2/$I$2)</f>
        <v>34.990563149261888</v>
      </c>
      <c r="D908" s="43">
        <f>D907+1</f>
        <v>907</v>
      </c>
      <c r="E908" s="43">
        <v>13.291951886276653</v>
      </c>
      <c r="F908" s="43">
        <f>D908/1076</f>
        <v>0.84293680297397766</v>
      </c>
      <c r="G908" s="45">
        <f>1000*E908*$J$2*9.81/1000</f>
        <v>2607.8809600874797</v>
      </c>
    </row>
    <row r="909" spans="1:7" ht="14.4" x14ac:dyDescent="0.3">
      <c r="A909" s="46">
        <v>66.353200000000001</v>
      </c>
      <c r="B909" s="47">
        <v>17593</v>
      </c>
      <c r="C909" s="48">
        <f>A909*($H$2/$I$2)</f>
        <v>65.301126298523783</v>
      </c>
      <c r="D909" s="48">
        <f>D908+1</f>
        <v>908</v>
      </c>
      <c r="E909" s="48">
        <v>13.283783488244943</v>
      </c>
      <c r="F909" s="48">
        <f>D909/1076</f>
        <v>0.84386617100371752</v>
      </c>
      <c r="G909" s="49">
        <f>1000*E909*$J$2*9.81/1000</f>
        <v>2606.2783203936579</v>
      </c>
    </row>
    <row r="910" spans="1:7" ht="14.4" x14ac:dyDescent="0.3">
      <c r="A910" s="41">
        <v>58.277799999999999</v>
      </c>
      <c r="B910" s="42">
        <v>17564</v>
      </c>
      <c r="C910" s="43">
        <f>A910*($H$2/$I$2)</f>
        <v>57.353767085839252</v>
      </c>
      <c r="D910" s="43">
        <f>D909+1</f>
        <v>909</v>
      </c>
      <c r="E910" s="43">
        <v>13.279551667577911</v>
      </c>
      <c r="F910" s="43">
        <f>D910/1076</f>
        <v>0.84479553903345728</v>
      </c>
      <c r="G910" s="45">
        <f>1000*E910*$J$2*9.81/1000</f>
        <v>2605.4480371787859</v>
      </c>
    </row>
    <row r="911" spans="1:7" ht="14.4" x14ac:dyDescent="0.3">
      <c r="A911" s="46">
        <v>46.322000000000003</v>
      </c>
      <c r="B911" s="47">
        <v>17533</v>
      </c>
      <c r="C911" s="48">
        <f>A911*($H$2/$I$2)</f>
        <v>45.587534171678513</v>
      </c>
      <c r="D911" s="48">
        <f>D910+1</f>
        <v>910</v>
      </c>
      <c r="E911" s="43">
        <v>13.270497539639146</v>
      </c>
      <c r="F911" s="48">
        <f>D911/1076</f>
        <v>0.84572490706319703</v>
      </c>
      <c r="G911" s="49">
        <f>1000*E911*$J$2*9.81/1000</f>
        <v>2603.6716172772008</v>
      </c>
    </row>
    <row r="912" spans="1:7" ht="14.4" customHeight="1" x14ac:dyDescent="0.3">
      <c r="A912" s="41">
        <v>49.642299999999999</v>
      </c>
      <c r="B912" s="42">
        <v>17502</v>
      </c>
      <c r="C912" s="43">
        <f>A912*($H$2/$I$2)</f>
        <v>48.855188627665385</v>
      </c>
      <c r="D912" s="43">
        <f>D911+1</f>
        <v>911</v>
      </c>
      <c r="E912" s="43">
        <v>13.265478403499181</v>
      </c>
      <c r="F912" s="43">
        <f>D912/1076</f>
        <v>0.84665427509293678</v>
      </c>
      <c r="G912" s="45">
        <f>1000*E912*$J$2*9.81/1000</f>
        <v>2602.6868627665399</v>
      </c>
    </row>
    <row r="913" spans="1:7" ht="14.4" x14ac:dyDescent="0.3">
      <c r="A913" s="46">
        <v>25.163399999999999</v>
      </c>
      <c r="B913" s="47">
        <v>17472</v>
      </c>
      <c r="C913" s="48">
        <f>A913*($H$2/$I$2)</f>
        <v>24.764417714598139</v>
      </c>
      <c r="D913" s="48">
        <f>D912+1</f>
        <v>912</v>
      </c>
      <c r="E913" s="48">
        <v>13.213121924548934</v>
      </c>
      <c r="F913" s="48">
        <f>D913/1076</f>
        <v>0.84758364312267653</v>
      </c>
      <c r="G913" s="49">
        <f>1000*E913*$J$2*9.81/1000</f>
        <v>2592.4145215965009</v>
      </c>
    </row>
    <row r="914" spans="1:7" ht="14.4" x14ac:dyDescent="0.3">
      <c r="A914" s="41">
        <v>19.3796</v>
      </c>
      <c r="B914" s="42">
        <v>17441</v>
      </c>
      <c r="C914" s="43">
        <f>A914*($H$2/$I$2)</f>
        <v>19.072323674138872</v>
      </c>
      <c r="D914" s="43">
        <f>D913+1</f>
        <v>913</v>
      </c>
      <c r="E914" s="48">
        <v>13.208201202843082</v>
      </c>
      <c r="F914" s="43">
        <f>D914/1076</f>
        <v>0.8485130111524164</v>
      </c>
      <c r="G914" s="45">
        <f>1000*E914*$J$2*9.81/1000</f>
        <v>2591.4490759978125</v>
      </c>
    </row>
    <row r="915" spans="1:7" ht="14.4" x14ac:dyDescent="0.3">
      <c r="A915" s="46">
        <v>22.5002</v>
      </c>
      <c r="B915" s="47">
        <v>17411</v>
      </c>
      <c r="C915" s="48">
        <f>A915*($H$2/$I$2)</f>
        <v>22.143444505194093</v>
      </c>
      <c r="D915" s="48">
        <f>D914+1</f>
        <v>914</v>
      </c>
      <c r="E915" s="48">
        <v>13.199540732640788</v>
      </c>
      <c r="F915" s="48">
        <f>D915/1076</f>
        <v>0.84944237918215615</v>
      </c>
      <c r="G915" s="49">
        <f>1000*E915*$J$2*9.81/1000</f>
        <v>2589.749891744123</v>
      </c>
    </row>
    <row r="916" spans="1:7" ht="14.4" x14ac:dyDescent="0.3">
      <c r="A916" s="41">
        <v>21.761700000000001</v>
      </c>
      <c r="B916" s="42">
        <v>17380</v>
      </c>
      <c r="C916" s="43">
        <f>A916*($H$2/$I$2)</f>
        <v>21.416653909240022</v>
      </c>
      <c r="D916" s="43">
        <f>D915+1</f>
        <v>915</v>
      </c>
      <c r="E916" s="43">
        <v>13.172772006560962</v>
      </c>
      <c r="F916" s="43">
        <f>D916/1076</f>
        <v>0.8503717472118959</v>
      </c>
      <c r="G916" s="45">
        <f>1000*E916*$J$2*9.81/1000</f>
        <v>2584.4978676872606</v>
      </c>
    </row>
    <row r="917" spans="1:7" ht="14.4" x14ac:dyDescent="0.3">
      <c r="A917" s="46">
        <v>23.715599999999998</v>
      </c>
      <c r="B917" s="47">
        <v>17349</v>
      </c>
      <c r="C917" s="48">
        <f>A917*($H$2/$I$2)</f>
        <v>23.339573537452157</v>
      </c>
      <c r="D917" s="48">
        <f>D916+1</f>
        <v>916</v>
      </c>
      <c r="E917" s="48">
        <v>13.107129579004921</v>
      </c>
      <c r="F917" s="48">
        <f>D917/1076</f>
        <v>0.85130111524163565</v>
      </c>
      <c r="G917" s="49">
        <f>1000*E917*$J$2*9.81/1000</f>
        <v>2571.6188234007655</v>
      </c>
    </row>
    <row r="918" spans="1:7" ht="14.4" x14ac:dyDescent="0.3">
      <c r="A918" s="41">
        <v>25.479800000000001</v>
      </c>
      <c r="B918" s="42">
        <v>17319</v>
      </c>
      <c r="C918" s="43">
        <f>A918*($H$2/$I$2)</f>
        <v>25.07580098414434</v>
      </c>
      <c r="D918" s="43">
        <f>D917+1</f>
        <v>917</v>
      </c>
      <c r="E918" s="48">
        <v>13.049557135046474</v>
      </c>
      <c r="F918" s="43">
        <f>D918/1076</f>
        <v>0.85223048327137552</v>
      </c>
      <c r="G918" s="45">
        <f>1000*E918*$J$2*9.81/1000</f>
        <v>2560.3231098961182</v>
      </c>
    </row>
    <row r="919" spans="1:7" ht="14.4" x14ac:dyDescent="0.3">
      <c r="A919" s="46">
        <v>30.119199999999999</v>
      </c>
      <c r="B919" s="47">
        <v>17288</v>
      </c>
      <c r="C919" s="48">
        <f>A919*($H$2/$I$2)</f>
        <v>29.641640240568616</v>
      </c>
      <c r="D919" s="48">
        <f>D918+1</f>
        <v>918</v>
      </c>
      <c r="E919" s="43">
        <v>13.033810825587752</v>
      </c>
      <c r="F919" s="48">
        <f>D919/1076</f>
        <v>0.85315985130111527</v>
      </c>
      <c r="G919" s="49">
        <f>1000*E919*$J$2*9.81/1000</f>
        <v>2557.2336839803174</v>
      </c>
    </row>
    <row r="920" spans="1:7" ht="14.4" x14ac:dyDescent="0.3">
      <c r="A920" s="41">
        <v>43.281300000000002</v>
      </c>
      <c r="B920" s="42">
        <v>17258</v>
      </c>
      <c r="C920" s="43">
        <f>A920*($H$2/$I$2)</f>
        <v>42.595046473482775</v>
      </c>
      <c r="D920" s="43">
        <f>D919+1</f>
        <v>919</v>
      </c>
      <c r="E920" s="43">
        <v>12.955571350464735</v>
      </c>
      <c r="F920" s="43">
        <f>D920/1076</f>
        <v>0.85408921933085502</v>
      </c>
      <c r="G920" s="45">
        <f>1000*E920*$J$2*9.81/1000</f>
        <v>2541.8830989611815</v>
      </c>
    </row>
    <row r="921" spans="1:7" ht="14.4" x14ac:dyDescent="0.3">
      <c r="A921" s="46">
        <v>110.23820000000001</v>
      </c>
      <c r="B921" s="47">
        <v>17227</v>
      </c>
      <c r="C921" s="48">
        <f>A921*($H$2/$I$2)</f>
        <v>108.49030071077091</v>
      </c>
      <c r="D921" s="48">
        <f>D920+1</f>
        <v>920</v>
      </c>
      <c r="E921" s="43">
        <v>12.919354838709676</v>
      </c>
      <c r="F921" s="48">
        <f>D921/1076</f>
        <v>0.85501858736059477</v>
      </c>
      <c r="G921" s="49">
        <f>1000*E921*$J$2*9.81/1000</f>
        <v>2534.7774193548385</v>
      </c>
    </row>
    <row r="922" spans="1:7" ht="14.4" x14ac:dyDescent="0.3">
      <c r="A922" s="41">
        <v>47.825899999999997</v>
      </c>
      <c r="B922" s="42">
        <v>17199</v>
      </c>
      <c r="C922" s="43">
        <f>A922*($H$2/$I$2)</f>
        <v>47.067588846364131</v>
      </c>
      <c r="D922" s="43">
        <f>D921+1</f>
        <v>921</v>
      </c>
      <c r="E922" s="48">
        <v>12.891503553854564</v>
      </c>
      <c r="F922" s="43">
        <f>D922/1076</f>
        <v>0.85594795539033453</v>
      </c>
      <c r="G922" s="45">
        <f>1000*E922*$J$2*9.81/1000</f>
        <v>2529.3129972662655</v>
      </c>
    </row>
    <row r="923" spans="1:7" ht="14.4" x14ac:dyDescent="0.3">
      <c r="A923" s="46">
        <v>43.582799999999999</v>
      </c>
      <c r="B923" s="47">
        <v>17168</v>
      </c>
      <c r="C923" s="48">
        <f>A923*($H$2/$I$2)</f>
        <v>42.89176599234554</v>
      </c>
      <c r="D923" s="48">
        <f>D922+1</f>
        <v>922</v>
      </c>
      <c r="E923" s="43">
        <v>12.877725533078184</v>
      </c>
      <c r="F923" s="48">
        <f>D923/1076</f>
        <v>0.85687732342007439</v>
      </c>
      <c r="G923" s="49">
        <f>1000*E923*$J$2*9.81/1000</f>
        <v>2526.6097495899403</v>
      </c>
    </row>
    <row r="924" spans="1:7" ht="14.4" x14ac:dyDescent="0.3">
      <c r="A924" s="41">
        <v>25.992899999999999</v>
      </c>
      <c r="B924" s="42">
        <v>17137</v>
      </c>
      <c r="C924" s="43">
        <f>A924*($H$2/$I$2)</f>
        <v>25.580765445598686</v>
      </c>
      <c r="D924" s="43">
        <f>D923+1</f>
        <v>923</v>
      </c>
      <c r="E924" s="43">
        <v>12.835997813012575</v>
      </c>
      <c r="F924" s="43">
        <f>D924/1076</f>
        <v>0.85780669144981414</v>
      </c>
      <c r="G924" s="45">
        <f>1000*E924*$J$2*9.81/1000</f>
        <v>2518.4227709130673</v>
      </c>
    </row>
    <row r="925" spans="1:7" ht="14.4" x14ac:dyDescent="0.3">
      <c r="A925" s="46">
        <v>26.942299999999999</v>
      </c>
      <c r="B925" s="47">
        <v>17107</v>
      </c>
      <c r="C925" s="48">
        <f>A925*($H$2/$I$2)</f>
        <v>26.515112083105521</v>
      </c>
      <c r="D925" s="48">
        <f>D924+1</f>
        <v>924</v>
      </c>
      <c r="E925" s="43">
        <v>12.773701476216511</v>
      </c>
      <c r="F925" s="48">
        <f>D925/1076</f>
        <v>0.85873605947955389</v>
      </c>
      <c r="G925" s="49">
        <f>1000*E925*$J$2*9.81/1000</f>
        <v>2506.2002296336796</v>
      </c>
    </row>
    <row r="926" spans="1:7" ht="14.4" x14ac:dyDescent="0.3">
      <c r="A926" s="41">
        <v>18.588999999999999</v>
      </c>
      <c r="B926" s="42">
        <v>17076</v>
      </c>
      <c r="C926" s="43">
        <f>A926*($H$2/$I$2)</f>
        <v>18.29425915800984</v>
      </c>
      <c r="D926" s="43">
        <f>D925+1</f>
        <v>925</v>
      </c>
      <c r="E926" s="43">
        <v>12.755986878075451</v>
      </c>
      <c r="F926" s="43">
        <f>D926/1076</f>
        <v>0.85966542750929364</v>
      </c>
      <c r="G926" s="45">
        <f>1000*E926*$J$2*9.81/1000</f>
        <v>2502.7246254784036</v>
      </c>
    </row>
    <row r="927" spans="1:7" ht="14.4" x14ac:dyDescent="0.3">
      <c r="A927" s="46">
        <v>13.631399999999999</v>
      </c>
      <c r="B927" s="47">
        <v>17046</v>
      </c>
      <c r="C927" s="48">
        <f>A927*($H$2/$I$2)</f>
        <v>13.415265172225258</v>
      </c>
      <c r="D927" s="48">
        <f>D926+1</f>
        <v>926</v>
      </c>
      <c r="E927" s="48">
        <v>12.71396391470749</v>
      </c>
      <c r="F927" s="48">
        <f>D927/1076</f>
        <v>0.86059479553903351</v>
      </c>
      <c r="G927" s="49">
        <f>1000*E927*$J$2*9.81/1000</f>
        <v>2494.4797200656099</v>
      </c>
    </row>
    <row r="928" spans="1:7" ht="14.4" x14ac:dyDescent="0.3">
      <c r="A928" s="41">
        <v>14.905900000000001</v>
      </c>
      <c r="B928" s="42">
        <v>17015</v>
      </c>
      <c r="C928" s="43">
        <f>A928*($H$2/$I$2)</f>
        <v>14.669557135046475</v>
      </c>
      <c r="D928" s="43">
        <f>D927+1</f>
        <v>927</v>
      </c>
      <c r="E928" s="43">
        <v>12.705106615636961</v>
      </c>
      <c r="F928" s="43">
        <f>D928/1076</f>
        <v>0.86152416356877326</v>
      </c>
      <c r="G928" s="45">
        <f>1000*E928*$J$2*9.81/1000</f>
        <v>2492.7419179879721</v>
      </c>
    </row>
    <row r="929" spans="1:7" ht="14.4" x14ac:dyDescent="0.3">
      <c r="A929" s="46">
        <v>18.499400000000001</v>
      </c>
      <c r="B929" s="47">
        <v>16984</v>
      </c>
      <c r="C929" s="48">
        <f>A929*($H$2/$I$2)</f>
        <v>18.206079825041005</v>
      </c>
      <c r="D929" s="48">
        <f>D928+1</f>
        <v>928</v>
      </c>
      <c r="E929" s="48">
        <v>12.701071623838162</v>
      </c>
      <c r="F929" s="48">
        <f>D929/1076</f>
        <v>0.86245353159851301</v>
      </c>
      <c r="G929" s="49">
        <f>1000*E929*$J$2*9.81/1000</f>
        <v>2491.9502525970479</v>
      </c>
    </row>
    <row r="930" spans="1:7" ht="14.4" x14ac:dyDescent="0.3">
      <c r="A930" s="41">
        <v>19.7593</v>
      </c>
      <c r="B930" s="42">
        <v>16954</v>
      </c>
      <c r="C930" s="43">
        <f>A930*($H$2/$I$2)</f>
        <v>19.446003280481136</v>
      </c>
      <c r="D930" s="43">
        <f>D929+1</f>
        <v>929</v>
      </c>
      <c r="E930" s="48">
        <v>12.671940951339529</v>
      </c>
      <c r="F930" s="43">
        <f>D930/1076</f>
        <v>0.86338289962825276</v>
      </c>
      <c r="G930" s="45">
        <f>1000*E930*$J$2*9.81/1000</f>
        <v>2486.2348146528161</v>
      </c>
    </row>
    <row r="931" spans="1:7" ht="14.4" x14ac:dyDescent="0.3">
      <c r="A931" s="46">
        <v>23.352399999999999</v>
      </c>
      <c r="B931" s="47">
        <v>16923</v>
      </c>
      <c r="C931" s="48">
        <f>A931*($H$2/$I$2)</f>
        <v>22.9821323127392</v>
      </c>
      <c r="D931" s="48">
        <f>D930+1</f>
        <v>930</v>
      </c>
      <c r="E931" s="48">
        <v>12.651765992345544</v>
      </c>
      <c r="F931" s="48">
        <f>D931/1076</f>
        <v>0.86431226765799252</v>
      </c>
      <c r="G931" s="49">
        <f>1000*E931*$J$2*9.81/1000</f>
        <v>2482.2764876981955</v>
      </c>
    </row>
    <row r="932" spans="1:7" ht="14.4" x14ac:dyDescent="0.3">
      <c r="A932" s="41">
        <v>38.358400000000003</v>
      </c>
      <c r="B932" s="42">
        <v>16893</v>
      </c>
      <c r="C932" s="43">
        <f>A932*($H$2/$I$2)</f>
        <v>37.750202296336795</v>
      </c>
      <c r="D932" s="43">
        <f>D931+1</f>
        <v>931</v>
      </c>
      <c r="E932" s="43">
        <v>12.598425369054127</v>
      </c>
      <c r="F932" s="43">
        <f>D932/1076</f>
        <v>0.86524163568773238</v>
      </c>
      <c r="G932" s="45">
        <f>1000*E932*$J$2*9.81/1000</f>
        <v>2471.8110574084194</v>
      </c>
    </row>
    <row r="933" spans="1:7" ht="14.4" x14ac:dyDescent="0.3">
      <c r="A933" s="46">
        <v>42.159199999999998</v>
      </c>
      <c r="B933" s="47">
        <v>16862</v>
      </c>
      <c r="C933" s="48">
        <f>A933*($H$2/$I$2)</f>
        <v>41.490738108255876</v>
      </c>
      <c r="D933" s="48">
        <f>D932+1</f>
        <v>932</v>
      </c>
      <c r="E933" s="48">
        <v>12.589371241115362</v>
      </c>
      <c r="F933" s="48">
        <f>D933/1076</f>
        <v>0.86617100371747213</v>
      </c>
      <c r="G933" s="49">
        <f>1000*E933*$J$2*9.81/1000</f>
        <v>2470.0346375068343</v>
      </c>
    </row>
    <row r="934" spans="1:7" ht="14.4" x14ac:dyDescent="0.3">
      <c r="A934" s="41">
        <v>47.359000000000002</v>
      </c>
      <c r="B934" s="42">
        <v>16834</v>
      </c>
      <c r="C934" s="43">
        <f>A934*($H$2/$I$2)</f>
        <v>46.608091853471841</v>
      </c>
      <c r="D934" s="43">
        <f>D933+1</f>
        <v>933</v>
      </c>
      <c r="E934" s="43">
        <v>12.586418808091853</v>
      </c>
      <c r="F934" s="43">
        <f>D934/1076</f>
        <v>0.86710037174721188</v>
      </c>
      <c r="G934" s="45">
        <f>1000*E934*$J$2*9.81/1000</f>
        <v>2469.4553701476216</v>
      </c>
    </row>
    <row r="935" spans="1:7" ht="14.4" x14ac:dyDescent="0.3">
      <c r="A935" s="46">
        <v>100.759</v>
      </c>
      <c r="B935" s="47">
        <v>16803</v>
      </c>
      <c r="C935" s="48">
        <f>A935*($H$2/$I$2)</f>
        <v>99.161399671951884</v>
      </c>
      <c r="D935" s="48">
        <f>D934+1</f>
        <v>934</v>
      </c>
      <c r="E935" s="48">
        <v>12.483477310005467</v>
      </c>
      <c r="F935" s="48">
        <f>D935/1076</f>
        <v>0.86802973977695164</v>
      </c>
      <c r="G935" s="49">
        <f>1000*E935*$J$2*9.81/1000</f>
        <v>2449.2582482230728</v>
      </c>
    </row>
    <row r="936" spans="1:7" ht="14.4" x14ac:dyDescent="0.3">
      <c r="A936" s="41">
        <v>62.548999999999999</v>
      </c>
      <c r="B936" s="42">
        <v>16772</v>
      </c>
      <c r="C936" s="43">
        <f>A936*($H$2/$I$2)</f>
        <v>61.55724439584472</v>
      </c>
      <c r="D936" s="43">
        <f>D935+1</f>
        <v>935</v>
      </c>
      <c r="E936" s="48">
        <v>12.327687260798252</v>
      </c>
      <c r="F936" s="43">
        <f>D936/1076</f>
        <v>0.8689591078066915</v>
      </c>
      <c r="G936" s="45">
        <f>1000*E936*$J$2*9.81/1000</f>
        <v>2418.6922405686169</v>
      </c>
    </row>
    <row r="937" spans="1:7" ht="14.4" x14ac:dyDescent="0.3">
      <c r="A937" s="46">
        <v>26.308599999999998</v>
      </c>
      <c r="B937" s="47">
        <v>16742</v>
      </c>
      <c r="C937" s="48">
        <f>A937*($H$2/$I$2)</f>
        <v>25.891459814106067</v>
      </c>
      <c r="D937" s="48">
        <f>D936+1</f>
        <v>936</v>
      </c>
      <c r="E937" s="48">
        <v>12.32345544013122</v>
      </c>
      <c r="F937" s="48">
        <f>D937/1076</f>
        <v>0.86988847583643125</v>
      </c>
      <c r="G937" s="49">
        <f>1000*E937*$J$2*9.81/1000</f>
        <v>2417.8619573537458</v>
      </c>
    </row>
    <row r="938" spans="1:7" ht="14.4" x14ac:dyDescent="0.3">
      <c r="A938" s="41">
        <v>11.132300000000001</v>
      </c>
      <c r="B938" s="42">
        <v>16711</v>
      </c>
      <c r="C938" s="43">
        <f>A938*($H$2/$I$2)</f>
        <v>10.955790049207218</v>
      </c>
      <c r="D938" s="43">
        <f>D937+1</f>
        <v>937</v>
      </c>
      <c r="E938" s="48">
        <v>12.244625478403499</v>
      </c>
      <c r="F938" s="43">
        <f>D938/1076</f>
        <v>0.870817843866171</v>
      </c>
      <c r="G938" s="45">
        <f>1000*E938*$J$2*9.81/1000</f>
        <v>2402.3955188627665</v>
      </c>
    </row>
    <row r="939" spans="1:7" ht="14.4" x14ac:dyDescent="0.3">
      <c r="A939" s="46">
        <v>10.0419</v>
      </c>
      <c r="B939" s="47">
        <v>16681</v>
      </c>
      <c r="C939" s="48">
        <f>A939*($H$2/$I$2)</f>
        <v>9.8826790595954073</v>
      </c>
      <c r="D939" s="48">
        <f>D938+1</f>
        <v>938</v>
      </c>
      <c r="E939" s="43">
        <v>12.232225259704755</v>
      </c>
      <c r="F939" s="48">
        <f>D939/1076</f>
        <v>0.87174721189591076</v>
      </c>
      <c r="G939" s="49">
        <f>1000*E939*$J$2*9.81/1000</f>
        <v>2399.9625959540731</v>
      </c>
    </row>
    <row r="940" spans="1:7" ht="14.4" x14ac:dyDescent="0.3">
      <c r="A940" s="41">
        <v>10.6845</v>
      </c>
      <c r="B940" s="42">
        <v>16650</v>
      </c>
      <c r="C940" s="43">
        <f>A940*($H$2/$I$2)</f>
        <v>10.515090213231273</v>
      </c>
      <c r="D940" s="43">
        <f>D939+1</f>
        <v>939</v>
      </c>
      <c r="E940" s="43">
        <v>12.227304537998906</v>
      </c>
      <c r="F940" s="43">
        <f>D940/1076</f>
        <v>0.87267657992565051</v>
      </c>
      <c r="G940" s="45">
        <f>1000*E940*$J$2*9.81/1000</f>
        <v>2398.9971503553852</v>
      </c>
    </row>
    <row r="941" spans="1:7" ht="14.4" x14ac:dyDescent="0.3">
      <c r="A941" s="46">
        <v>13.0992</v>
      </c>
      <c r="B941" s="47">
        <v>16619</v>
      </c>
      <c r="C941" s="48">
        <f>A941*($H$2/$I$2)</f>
        <v>12.891503553854564</v>
      </c>
      <c r="D941" s="48">
        <f>D940+1</f>
        <v>940</v>
      </c>
      <c r="E941" s="48">
        <v>12.207818480043739</v>
      </c>
      <c r="F941" s="48">
        <f>D941/1076</f>
        <v>0.87360594795539037</v>
      </c>
      <c r="G941" s="49">
        <f>1000*E941*$J$2*9.81/1000</f>
        <v>2395.1739857845819</v>
      </c>
    </row>
    <row r="942" spans="1:7" ht="14.4" x14ac:dyDescent="0.3">
      <c r="A942" s="41">
        <v>16.836099999999998</v>
      </c>
      <c r="B942" s="42">
        <v>16589</v>
      </c>
      <c r="C942" s="43">
        <f>A942*($H$2/$I$2)</f>
        <v>16.56915254237288</v>
      </c>
      <c r="D942" s="43">
        <f>D941+1</f>
        <v>941</v>
      </c>
      <c r="E942" s="43">
        <v>12.155462001093493</v>
      </c>
      <c r="F942" s="43">
        <f>D942/1076</f>
        <v>0.87453531598513012</v>
      </c>
      <c r="G942" s="45">
        <f>1000*E942*$J$2*9.81/1000</f>
        <v>2384.9016446145438</v>
      </c>
    </row>
    <row r="943" spans="1:7" ht="14.4" x14ac:dyDescent="0.3">
      <c r="A943" s="46">
        <v>17.4175</v>
      </c>
      <c r="B943" s="47">
        <v>16558</v>
      </c>
      <c r="C943" s="48">
        <f>A943*($H$2/$I$2)</f>
        <v>17.14133406232914</v>
      </c>
      <c r="D943" s="48">
        <f>D942+1</f>
        <v>942</v>
      </c>
      <c r="E943" s="48">
        <v>12.153100054674686</v>
      </c>
      <c r="F943" s="48">
        <f>D943/1076</f>
        <v>0.87546468401486988</v>
      </c>
      <c r="G943" s="49">
        <f>1000*E943*$J$2*9.81/1000</f>
        <v>2384.4382307271735</v>
      </c>
    </row>
    <row r="944" spans="1:7" ht="14.4" x14ac:dyDescent="0.3">
      <c r="A944" s="41">
        <v>24.834399999999999</v>
      </c>
      <c r="B944" s="42">
        <v>16528</v>
      </c>
      <c r="C944" s="43">
        <f>A944*($H$2/$I$2)</f>
        <v>24.440634226353197</v>
      </c>
      <c r="D944" s="43">
        <f>D943+1</f>
        <v>943</v>
      </c>
      <c r="E944" s="43">
        <v>12.135582285401858</v>
      </c>
      <c r="F944" s="43">
        <f>D944/1076</f>
        <v>0.87639405204460963</v>
      </c>
      <c r="G944" s="45">
        <f>1000*E944*$J$2*9.81/1000</f>
        <v>2381.0012443958449</v>
      </c>
    </row>
    <row r="945" spans="1:7" ht="14.4" x14ac:dyDescent="0.3">
      <c r="A945" s="46">
        <v>30.476800000000001</v>
      </c>
      <c r="B945" s="47">
        <v>16497</v>
      </c>
      <c r="C945" s="48">
        <f>A945*($H$2/$I$2)</f>
        <v>29.993570256971022</v>
      </c>
      <c r="D945" s="48">
        <f>D944+1</f>
        <v>944</v>
      </c>
      <c r="E945" s="43">
        <v>12.113537452159649</v>
      </c>
      <c r="F945" s="48">
        <f>D945/1076</f>
        <v>0.87732342007434949</v>
      </c>
      <c r="G945" s="49">
        <f>1000*E945*$J$2*9.81/1000</f>
        <v>2376.6760481137235</v>
      </c>
    </row>
    <row r="946" spans="1:7" ht="14.4" x14ac:dyDescent="0.3">
      <c r="A946" s="41">
        <v>54.852800000000002</v>
      </c>
      <c r="B946" s="42">
        <v>16469</v>
      </c>
      <c r="C946" s="43">
        <f>A946*($H$2/$I$2)</f>
        <v>53.983072717331872</v>
      </c>
      <c r="D946" s="43">
        <f>D945+1</f>
        <v>945</v>
      </c>
      <c r="E946" s="48">
        <v>12.093756150902133</v>
      </c>
      <c r="F946" s="43">
        <f>D946/1076</f>
        <v>0.87825278810408924</v>
      </c>
      <c r="G946" s="45">
        <f>1000*E946*$J$2*9.81/1000</f>
        <v>2372.7949568069989</v>
      </c>
    </row>
    <row r="947" spans="1:7" ht="14.4" x14ac:dyDescent="0.3">
      <c r="A947" s="46">
        <v>25.509899999999998</v>
      </c>
      <c r="B947" s="47">
        <v>16438</v>
      </c>
      <c r="C947" s="48">
        <f>A947*($H$2/$I$2)</f>
        <v>25.105423728813555</v>
      </c>
      <c r="D947" s="48">
        <f>D946+1</f>
        <v>946</v>
      </c>
      <c r="E947" s="48">
        <v>12.091492618917442</v>
      </c>
      <c r="F947" s="48">
        <f>D947/1076</f>
        <v>0.879182156133829</v>
      </c>
      <c r="G947" s="49">
        <f>1000*E947*$J$2*9.81/1000</f>
        <v>2372.3508518316025</v>
      </c>
    </row>
    <row r="948" spans="1:7" ht="14.4" x14ac:dyDescent="0.3">
      <c r="A948" s="41">
        <v>17.168099999999999</v>
      </c>
      <c r="B948" s="42">
        <v>16407</v>
      </c>
      <c r="C948" s="43">
        <f>A948*($H$2/$I$2)</f>
        <v>16.895888463641331</v>
      </c>
      <c r="D948" s="43">
        <f>D947+1</f>
        <v>947</v>
      </c>
      <c r="E948" s="48">
        <v>12.05507927829415</v>
      </c>
      <c r="F948" s="43">
        <f>D948/1076</f>
        <v>0.88011152416356875</v>
      </c>
      <c r="G948" s="45">
        <f>1000*E948*$J$2*9.81/1000</f>
        <v>2365.2065544013126</v>
      </c>
    </row>
    <row r="949" spans="1:7" ht="14.4" x14ac:dyDescent="0.3">
      <c r="A949" s="46">
        <v>15.35</v>
      </c>
      <c r="B949" s="47">
        <v>16377</v>
      </c>
      <c r="C949" s="48">
        <f>A949*($H$2/$I$2)</f>
        <v>15.106615636960086</v>
      </c>
      <c r="D949" s="48">
        <f>D948+1</f>
        <v>948</v>
      </c>
      <c r="E949" s="48">
        <v>12.035101148168398</v>
      </c>
      <c r="F949" s="48">
        <f>D949/1076</f>
        <v>0.8810408921933085</v>
      </c>
      <c r="G949" s="49">
        <f>1000*E949*$J$2*9.81/1000</f>
        <v>2361.2868452706398</v>
      </c>
    </row>
    <row r="950" spans="1:7" ht="14.4" x14ac:dyDescent="0.3">
      <c r="A950" s="41">
        <v>13.493499999999999</v>
      </c>
      <c r="B950" s="42">
        <v>16346</v>
      </c>
      <c r="C950" s="43">
        <f>A950*($H$2/$I$2)</f>
        <v>13.279551667577911</v>
      </c>
      <c r="D950" s="43">
        <f>D949+1</f>
        <v>949</v>
      </c>
      <c r="E950" s="48">
        <v>11.913460907599781</v>
      </c>
      <c r="F950" s="43">
        <f>D950/1076</f>
        <v>0.88197026022304836</v>
      </c>
      <c r="G950" s="45">
        <f>1000*E950*$J$2*9.81/1000</f>
        <v>2337.421030071077</v>
      </c>
    </row>
    <row r="951" spans="1:7" ht="14.4" x14ac:dyDescent="0.3">
      <c r="A951" s="46">
        <v>12.4419</v>
      </c>
      <c r="B951" s="47">
        <v>16316</v>
      </c>
      <c r="C951" s="48">
        <f>A951*($H$2/$I$2)</f>
        <v>12.244625478403499</v>
      </c>
      <c r="D951" s="48">
        <f>D950+1</f>
        <v>950</v>
      </c>
      <c r="E951" s="43">
        <v>11.886396938217604</v>
      </c>
      <c r="F951" s="48">
        <f>D951/1076</f>
        <v>0.88289962825278812</v>
      </c>
      <c r="G951" s="49">
        <f>1000*E951*$J$2*9.81/1000</f>
        <v>2332.1110792782938</v>
      </c>
    </row>
    <row r="952" spans="1:7" ht="14.4" x14ac:dyDescent="0.3">
      <c r="A952" s="41">
        <v>13.2438</v>
      </c>
      <c r="B952" s="42">
        <v>16285</v>
      </c>
      <c r="C952" s="43">
        <f>A952*($H$2/$I$2)</f>
        <v>13.033810825587752</v>
      </c>
      <c r="D952" s="43">
        <f>D951+1</f>
        <v>951</v>
      </c>
      <c r="E952" s="48">
        <v>11.873110989611808</v>
      </c>
      <c r="F952" s="43">
        <f>D952/1076</f>
        <v>0.88382899628252787</v>
      </c>
      <c r="G952" s="45">
        <f>1000*E952*$J$2*9.81/1000</f>
        <v>2329.5043761618372</v>
      </c>
    </row>
    <row r="953" spans="1:7" ht="14.4" x14ac:dyDescent="0.3">
      <c r="A953" s="46">
        <v>15.5825</v>
      </c>
      <c r="B953" s="47">
        <v>16254</v>
      </c>
      <c r="C953" s="48">
        <f>A953*($H$2/$I$2)</f>
        <v>15.335429196282121</v>
      </c>
      <c r="D953" s="48">
        <f>D952+1</f>
        <v>952</v>
      </c>
      <c r="E953" s="48">
        <v>11.856675779114271</v>
      </c>
      <c r="F953" s="48">
        <f>D953/1076</f>
        <v>0.88475836431226762</v>
      </c>
      <c r="G953" s="49">
        <f>1000*E953*$J$2*9.81/1000</f>
        <v>2326.2797878622205</v>
      </c>
    </row>
    <row r="954" spans="1:7" ht="14.4" x14ac:dyDescent="0.3">
      <c r="A954" s="41">
        <v>17.863800000000001</v>
      </c>
      <c r="B954" s="42">
        <v>16224</v>
      </c>
      <c r="C954" s="43">
        <f>A954*($H$2/$I$2)</f>
        <v>17.58055768179333</v>
      </c>
      <c r="D954" s="43">
        <f>D953+1</f>
        <v>953</v>
      </c>
      <c r="E954" s="43">
        <v>11.851164570803718</v>
      </c>
      <c r="F954" s="43">
        <f>D954/1076</f>
        <v>0.88568773234200748</v>
      </c>
      <c r="G954" s="45">
        <f>1000*E954*$J$2*9.81/1000</f>
        <v>2325.1984887916897</v>
      </c>
    </row>
    <row r="955" spans="1:7" ht="14.4" x14ac:dyDescent="0.3">
      <c r="A955" s="46">
        <v>21.324300000000001</v>
      </c>
      <c r="B955" s="47">
        <v>16193</v>
      </c>
      <c r="C955" s="48">
        <f>A955*($H$2/$I$2)</f>
        <v>20.986189174412246</v>
      </c>
      <c r="D955" s="48">
        <f>D954+1</f>
        <v>954</v>
      </c>
      <c r="E955" s="48">
        <v>11.833154729360306</v>
      </c>
      <c r="F955" s="48">
        <f>D955/1076</f>
        <v>0.88661710037174724</v>
      </c>
      <c r="G955" s="49">
        <f>1000*E955*$J$2*9.81/1000</f>
        <v>2321.664957900492</v>
      </c>
    </row>
    <row r="956" spans="1:7" ht="14.4" x14ac:dyDescent="0.3">
      <c r="A956" s="41">
        <v>30.181999999999999</v>
      </c>
      <c r="B956" s="42">
        <v>16163</v>
      </c>
      <c r="C956" s="43">
        <f>A956*($H$2/$I$2)</f>
        <v>29.703444505194092</v>
      </c>
      <c r="D956" s="43">
        <f>D955+1</f>
        <v>955</v>
      </c>
      <c r="E956" s="43">
        <v>11.827741935483871</v>
      </c>
      <c r="F956" s="43">
        <f>D956/1076</f>
        <v>0.88754646840148699</v>
      </c>
      <c r="G956" s="45">
        <f>1000*E956*$J$2*9.81/1000</f>
        <v>2320.6029677419356</v>
      </c>
    </row>
    <row r="957" spans="1:7" ht="14.4" x14ac:dyDescent="0.3">
      <c r="A957" s="46">
        <v>54.681399999999996</v>
      </c>
      <c r="B957" s="47">
        <v>16132</v>
      </c>
      <c r="C957" s="48">
        <f>A957*($H$2/$I$2)</f>
        <v>53.814390377255329</v>
      </c>
      <c r="D957" s="48">
        <f>D956+1</f>
        <v>956</v>
      </c>
      <c r="E957" s="43">
        <v>11.819868780754511</v>
      </c>
      <c r="F957" s="48">
        <f>D957/1076</f>
        <v>0.88847583643122674</v>
      </c>
      <c r="G957" s="49">
        <f>1000*E957*$J$2*9.81/1000</f>
        <v>2319.0582547840354</v>
      </c>
    </row>
    <row r="958" spans="1:7" ht="14.4" x14ac:dyDescent="0.3">
      <c r="A958" s="41">
        <v>55.884099999999997</v>
      </c>
      <c r="B958" s="42">
        <v>16103</v>
      </c>
      <c r="C958" s="43">
        <f>A958*($H$2/$I$2)</f>
        <v>54.998020776380528</v>
      </c>
      <c r="D958" s="43">
        <f>D957+1</f>
        <v>957</v>
      </c>
      <c r="E958" s="48">
        <v>11.7827665390924</v>
      </c>
      <c r="F958" s="43">
        <f>D958/1076</f>
        <v>0.88940520446096649</v>
      </c>
      <c r="G958" s="45">
        <f>1000*E958*$J$2*9.81/1000</f>
        <v>2311.7787949699291</v>
      </c>
    </row>
    <row r="959" spans="1:7" ht="14.4" x14ac:dyDescent="0.3">
      <c r="A959" s="46">
        <v>36.605699999999999</v>
      </c>
      <c r="B959" s="47">
        <v>16072</v>
      </c>
      <c r="C959" s="48">
        <f>A959*($H$2/$I$2)</f>
        <v>36.025292509568068</v>
      </c>
      <c r="D959" s="48">
        <f>D958+1</f>
        <v>958</v>
      </c>
      <c r="E959" s="48">
        <v>11.717419354838709</v>
      </c>
      <c r="F959" s="48">
        <f>D959/1076</f>
        <v>0.89033457249070636</v>
      </c>
      <c r="G959" s="49">
        <f>1000*E959*$J$2*9.81/1000</f>
        <v>2298.9576774193547</v>
      </c>
    </row>
    <row r="960" spans="1:7" ht="14.4" x14ac:dyDescent="0.3">
      <c r="A960" s="41">
        <v>41.407699999999998</v>
      </c>
      <c r="B960" s="42">
        <v>16041</v>
      </c>
      <c r="C960" s="43">
        <f>A960*($H$2/$I$2)</f>
        <v>40.751153635866594</v>
      </c>
      <c r="D960" s="43">
        <f>D959+1</f>
        <v>959</v>
      </c>
      <c r="E960" s="43">
        <v>11.686714051394205</v>
      </c>
      <c r="F960" s="43">
        <f>D960/1076</f>
        <v>0.89126394052044611</v>
      </c>
      <c r="G960" s="45">
        <f>1000*E960*$J$2*9.81/1000</f>
        <v>2292.9332968835429</v>
      </c>
    </row>
    <row r="961" spans="1:7" ht="14.4" x14ac:dyDescent="0.3">
      <c r="A961" s="46">
        <v>21.525500000000001</v>
      </c>
      <c r="B961" s="47">
        <v>16011</v>
      </c>
      <c r="C961" s="48">
        <f>A961*($H$2/$I$2)</f>
        <v>21.184199015855658</v>
      </c>
      <c r="D961" s="48">
        <f>D960+1</f>
        <v>960</v>
      </c>
      <c r="E961" s="48">
        <v>11.636030617823947</v>
      </c>
      <c r="F961" s="48">
        <f>D961/1076</f>
        <v>0.89219330855018586</v>
      </c>
      <c r="G961" s="49">
        <f>1000*E961*$J$2*9.81/1000</f>
        <v>2282.9892072170587</v>
      </c>
    </row>
    <row r="962" spans="1:7" ht="14.4" x14ac:dyDescent="0.3">
      <c r="A962" s="41">
        <v>23.2896</v>
      </c>
      <c r="B962" s="42">
        <v>15980</v>
      </c>
      <c r="C962" s="43">
        <f>A962*($H$2/$I$2)</f>
        <v>22.920328048113724</v>
      </c>
      <c r="D962" s="43">
        <f>D961+1</f>
        <v>961</v>
      </c>
      <c r="E962" s="43">
        <v>11.614773100054673</v>
      </c>
      <c r="F962" s="43">
        <f>D962/1076</f>
        <v>0.89312267657992561</v>
      </c>
      <c r="G962" s="45">
        <f>1000*E962*$J$2*9.81/1000</f>
        <v>2278.8184822307271</v>
      </c>
    </row>
    <row r="963" spans="1:7" ht="14.4" x14ac:dyDescent="0.3">
      <c r="A963" s="46">
        <v>14.8965</v>
      </c>
      <c r="B963" s="47">
        <v>15950</v>
      </c>
      <c r="C963" s="48">
        <f>A963*($H$2/$I$2)</f>
        <v>14.660306178239475</v>
      </c>
      <c r="D963" s="48">
        <f>D962+1</f>
        <v>962</v>
      </c>
      <c r="E963" s="48">
        <v>11.543816293056313</v>
      </c>
      <c r="F963" s="48">
        <f>D963/1076</f>
        <v>0.89405204460966547</v>
      </c>
      <c r="G963" s="49">
        <f>1000*E963*$J$2*9.81/1000</f>
        <v>2264.8967566976485</v>
      </c>
    </row>
    <row r="964" spans="1:7" ht="14.4" x14ac:dyDescent="0.3">
      <c r="A964" s="41">
        <v>15.4434</v>
      </c>
      <c r="B964" s="42">
        <v>15919</v>
      </c>
      <c r="C964" s="43">
        <f>A964*($H$2/$I$2)</f>
        <v>15.198534718425369</v>
      </c>
      <c r="D964" s="43">
        <f>D963+1</f>
        <v>963</v>
      </c>
      <c r="E964" s="43">
        <v>11.542241662110442</v>
      </c>
      <c r="F964" s="43">
        <f>D964/1076</f>
        <v>0.89498141263940523</v>
      </c>
      <c r="G964" s="45">
        <f>1000*E964*$J$2*9.81/1000</f>
        <v>2264.5878141060689</v>
      </c>
    </row>
    <row r="965" spans="1:7" ht="14.4" x14ac:dyDescent="0.3">
      <c r="A965" s="46">
        <v>16.668700000000001</v>
      </c>
      <c r="B965" s="47">
        <v>15888</v>
      </c>
      <c r="C965" s="48">
        <f>A965*($H$2/$I$2)</f>
        <v>16.404406779661016</v>
      </c>
      <c r="D965" s="48">
        <f>D964+1</f>
        <v>964</v>
      </c>
      <c r="E965" s="43">
        <v>11.533974849644613</v>
      </c>
      <c r="F965" s="48">
        <f>D965/1076</f>
        <v>0.89591078066914498</v>
      </c>
      <c r="G965" s="49">
        <f>1000*E965*$J$2*9.81/1000</f>
        <v>2262.9658655002731</v>
      </c>
    </row>
    <row r="966" spans="1:7" ht="14.4" x14ac:dyDescent="0.3">
      <c r="A966" s="41">
        <v>19.680800000000001</v>
      </c>
      <c r="B966" s="42">
        <v>15858</v>
      </c>
      <c r="C966" s="43">
        <f>A966*($H$2/$I$2)</f>
        <v>19.368747949699291</v>
      </c>
      <c r="D966" s="43">
        <f>D965+1</f>
        <v>965</v>
      </c>
      <c r="E966" s="43">
        <v>11.519311098961181</v>
      </c>
      <c r="F966" s="43">
        <f>D966/1076</f>
        <v>0.89684014869888473</v>
      </c>
      <c r="G966" s="45">
        <f>1000*E966*$J$2*9.81/1000</f>
        <v>2260.0888376161838</v>
      </c>
    </row>
    <row r="967" spans="1:7" ht="14.4" x14ac:dyDescent="0.3">
      <c r="A967" s="46">
        <v>22.631599999999999</v>
      </c>
      <c r="B967" s="47">
        <v>15827</v>
      </c>
      <c r="C967" s="48">
        <f>A967*($H$2/$I$2)</f>
        <v>22.272761071623837</v>
      </c>
      <c r="D967" s="48">
        <f>D966+1</f>
        <v>966</v>
      </c>
      <c r="E967" s="48">
        <v>11.488212137780208</v>
      </c>
      <c r="F967" s="48">
        <f>D967/1076</f>
        <v>0.89776951672862448</v>
      </c>
      <c r="G967" s="49">
        <f>1000*E967*$J$2*9.81/1000</f>
        <v>2253.9872214324769</v>
      </c>
    </row>
    <row r="968" spans="1:7" ht="14.4" customHeight="1" x14ac:dyDescent="0.3">
      <c r="A968" s="41">
        <v>29.707100000000001</v>
      </c>
      <c r="B968" s="42">
        <v>15797</v>
      </c>
      <c r="C968" s="43">
        <f>A968*($H$2/$I$2)</f>
        <v>29.236074357572445</v>
      </c>
      <c r="D968" s="43">
        <f>D967+1</f>
        <v>967</v>
      </c>
      <c r="E968" s="50">
        <v>11.445500273373426</v>
      </c>
      <c r="F968" s="43">
        <f>D968/1076</f>
        <v>0.89869888475836435</v>
      </c>
      <c r="G968" s="45">
        <f>1000*E968*$J$2*9.81/1000</f>
        <v>2245.6071536358663</v>
      </c>
    </row>
    <row r="969" spans="1:7" ht="14.4" x14ac:dyDescent="0.3">
      <c r="A969" s="46">
        <v>49.898699999999998</v>
      </c>
      <c r="B969" s="47">
        <v>15766</v>
      </c>
      <c r="C969" s="48">
        <f>A969*($H$2/$I$2)</f>
        <v>49.107523236741386</v>
      </c>
      <c r="D969" s="48">
        <f>D968+1</f>
        <v>968</v>
      </c>
      <c r="E969" s="48">
        <v>11.365981410606889</v>
      </c>
      <c r="F969" s="48">
        <f>D969/1076</f>
        <v>0.8996282527881041</v>
      </c>
      <c r="G969" s="49">
        <f>1000*E969*$J$2*9.81/1000</f>
        <v>2230.0055527610712</v>
      </c>
    </row>
    <row r="970" spans="1:7" ht="14.4" x14ac:dyDescent="0.3">
      <c r="A970" s="41">
        <v>53.379600000000003</v>
      </c>
      <c r="B970" s="42">
        <v>15738</v>
      </c>
      <c r="C970" s="43">
        <f>A970*($H$2/$I$2)</f>
        <v>52.53323127392018</v>
      </c>
      <c r="D970" s="43">
        <f>D969+1</f>
        <v>969</v>
      </c>
      <c r="E970" s="48">
        <v>11.358009841443412</v>
      </c>
      <c r="F970" s="43">
        <f>D970/1076</f>
        <v>0.90055762081784385</v>
      </c>
      <c r="G970" s="45">
        <f>1000*E970*$J$2*9.81/1000</f>
        <v>2228.4415308911975</v>
      </c>
    </row>
    <row r="971" spans="1:7" ht="14.4" x14ac:dyDescent="0.3">
      <c r="A971" s="46">
        <v>86.071100000000001</v>
      </c>
      <c r="B971" s="47">
        <v>15707</v>
      </c>
      <c r="C971" s="48">
        <f>A971*($H$2/$I$2)</f>
        <v>84.706386003280485</v>
      </c>
      <c r="D971" s="48">
        <f>D970+1</f>
        <v>970</v>
      </c>
      <c r="E971" s="43">
        <v>11.357124111536359</v>
      </c>
      <c r="F971" s="48">
        <f>D971/1076</f>
        <v>0.9014869888475836</v>
      </c>
      <c r="G971" s="49">
        <f>1000*E971*$J$2*9.81/1000</f>
        <v>2228.2677506834339</v>
      </c>
    </row>
    <row r="972" spans="1:7" ht="14.4" x14ac:dyDescent="0.3">
      <c r="A972" s="41">
        <v>38.064900000000002</v>
      </c>
      <c r="B972" s="42">
        <v>15676</v>
      </c>
      <c r="C972" s="43">
        <f>A972*($H$2/$I$2)</f>
        <v>37.461355932203389</v>
      </c>
      <c r="D972" s="43">
        <f>D971+1</f>
        <v>971</v>
      </c>
      <c r="E972" s="43">
        <v>11.338326954620012</v>
      </c>
      <c r="F972" s="43">
        <f>D972/1076</f>
        <v>0.90241635687732347</v>
      </c>
      <c r="G972" s="45">
        <f>1000*E972*$J$2*9.81/1000</f>
        <v>2224.5797484964464</v>
      </c>
    </row>
    <row r="973" spans="1:7" ht="14.4" x14ac:dyDescent="0.3">
      <c r="A973" s="46">
        <v>25.582599999999999</v>
      </c>
      <c r="B973" s="47">
        <v>15646</v>
      </c>
      <c r="C973" s="48">
        <f>A973*($H$2/$I$2)</f>
        <v>25.17697102241662</v>
      </c>
      <c r="D973" s="48">
        <f>D972+1</f>
        <v>972</v>
      </c>
      <c r="E973" s="43">
        <v>11.270224166211044</v>
      </c>
      <c r="F973" s="48">
        <f>D973/1076</f>
        <v>0.90334572490706322</v>
      </c>
      <c r="G973" s="49">
        <f>1000*E973*$J$2*9.81/1000</f>
        <v>2211.2179814106071</v>
      </c>
    </row>
    <row r="974" spans="1:7" ht="14.4" x14ac:dyDescent="0.3">
      <c r="A974" s="41">
        <v>21.436299999999999</v>
      </c>
      <c r="B974" s="42">
        <v>15615</v>
      </c>
      <c r="C974" s="43">
        <f>A974*($H$2/$I$2)</f>
        <v>21.09641334062329</v>
      </c>
      <c r="D974" s="43">
        <f>D973+1</f>
        <v>973</v>
      </c>
      <c r="E974" s="43">
        <v>11.221705850191361</v>
      </c>
      <c r="F974" s="43">
        <f>D974/1076</f>
        <v>0.90427509293680297</v>
      </c>
      <c r="G974" s="45">
        <f>1000*E974*$J$2*9.81/1000</f>
        <v>2201.6986878075454</v>
      </c>
    </row>
    <row r="975" spans="1:7" ht="14.4" x14ac:dyDescent="0.3">
      <c r="A975" s="46">
        <v>13.426</v>
      </c>
      <c r="B975" s="47">
        <v>15585</v>
      </c>
      <c r="C975" s="48">
        <f>A975*($H$2/$I$2)</f>
        <v>13.213121924548934</v>
      </c>
      <c r="D975" s="48">
        <f>D974+1</f>
        <v>974</v>
      </c>
      <c r="E975" s="43">
        <v>11.172006560962274</v>
      </c>
      <c r="F975" s="48">
        <f>D975/1076</f>
        <v>0.90520446096654272</v>
      </c>
      <c r="G975" s="49">
        <f>1000*E975*$J$2*9.81/1000</f>
        <v>2191.9476872607984</v>
      </c>
    </row>
    <row r="976" spans="1:7" ht="14.4" x14ac:dyDescent="0.3">
      <c r="A976" s="41">
        <v>13.9994</v>
      </c>
      <c r="B976" s="42">
        <v>15554</v>
      </c>
      <c r="C976" s="43">
        <f>A976*($H$2/$I$2)</f>
        <v>13.777430289775833</v>
      </c>
      <c r="D976" s="43">
        <f>D975+1</f>
        <v>975</v>
      </c>
      <c r="E976" s="43">
        <v>11.102033898305086</v>
      </c>
      <c r="F976" s="43">
        <f>D976/1076</f>
        <v>0.90613382899628248</v>
      </c>
      <c r="G976" s="45">
        <f>1000*E976*$J$2*9.81/1000</f>
        <v>2178.2190508474582</v>
      </c>
    </row>
    <row r="977" spans="1:7" ht="14.4" x14ac:dyDescent="0.3">
      <c r="A977" s="46">
        <v>17.325900000000001</v>
      </c>
      <c r="B977" s="47">
        <v>15523</v>
      </c>
      <c r="C977" s="48">
        <f>A977*($H$2/$I$2)</f>
        <v>17.051186440677967</v>
      </c>
      <c r="D977" s="48">
        <f>D976+1</f>
        <v>976</v>
      </c>
      <c r="E977" s="48">
        <v>11.098983050847457</v>
      </c>
      <c r="F977" s="48">
        <f>D977/1076</f>
        <v>0.90706319702602234</v>
      </c>
      <c r="G977" s="49">
        <f>1000*E977*$J$2*9.81/1000</f>
        <v>2177.6204745762711</v>
      </c>
    </row>
    <row r="978" spans="1:7" ht="14.4" x14ac:dyDescent="0.3">
      <c r="A978" s="41">
        <v>19.324300000000001</v>
      </c>
      <c r="B978" s="42">
        <v>15493</v>
      </c>
      <c r="C978" s="43">
        <f>A978*($H$2/$I$2)</f>
        <v>19.017900492072172</v>
      </c>
      <c r="D978" s="43">
        <f>D977+1</f>
        <v>977</v>
      </c>
      <c r="E978" s="43">
        <v>11.07132859486058</v>
      </c>
      <c r="F978" s="43">
        <f>D978/1076</f>
        <v>0.90799256505576209</v>
      </c>
      <c r="G978" s="45">
        <f>1000*E978*$J$2*9.81/1000</f>
        <v>2172.1946703116455</v>
      </c>
    </row>
    <row r="979" spans="1:7" ht="14.4" x14ac:dyDescent="0.3">
      <c r="A979" s="46">
        <v>23.138300000000001</v>
      </c>
      <c r="B979" s="47">
        <v>15462</v>
      </c>
      <c r="C979" s="48">
        <f>A979*($H$2/$I$2)</f>
        <v>22.771427009294698</v>
      </c>
      <c r="D979" s="48">
        <f>D978+1</f>
        <v>978</v>
      </c>
      <c r="E979" s="48">
        <v>11.050956806998359</v>
      </c>
      <c r="F979" s="48">
        <f>D979/1076</f>
        <v>0.90892193308550184</v>
      </c>
      <c r="G979" s="49">
        <f>1000*E979*$J$2*9.81/1000</f>
        <v>2168.1977255330785</v>
      </c>
    </row>
    <row r="980" spans="1:7" ht="14.4" x14ac:dyDescent="0.3">
      <c r="A980" s="41">
        <v>28.093599999999999</v>
      </c>
      <c r="B980" s="42">
        <v>15432</v>
      </c>
      <c r="C980" s="43">
        <f>A980*($H$2/$I$2)</f>
        <v>27.648157463094584</v>
      </c>
      <c r="D980" s="43">
        <f>D979+1</f>
        <v>979</v>
      </c>
      <c r="E980" s="43">
        <v>11.037966101694915</v>
      </c>
      <c r="F980" s="43">
        <f>D980/1076</f>
        <v>0.9098513011152416</v>
      </c>
      <c r="G980" s="45">
        <f>1000*E980*$J$2*9.81/1000</f>
        <v>2165.6489491525422</v>
      </c>
    </row>
    <row r="981" spans="1:7" ht="14.4" x14ac:dyDescent="0.3">
      <c r="A981" s="46">
        <v>55.317300000000003</v>
      </c>
      <c r="B981" s="47">
        <v>15401</v>
      </c>
      <c r="C981" s="48">
        <f>A981*($H$2/$I$2)</f>
        <v>54.440207763805361</v>
      </c>
      <c r="D981" s="48">
        <f>D980+1</f>
        <v>980</v>
      </c>
      <c r="E981" s="48">
        <v>11.037572443958448</v>
      </c>
      <c r="F981" s="48">
        <f>D981/1076</f>
        <v>0.91078066914498146</v>
      </c>
      <c r="G981" s="49">
        <f>1000*E981*$J$2*9.81/1000</f>
        <v>2165.5717135046475</v>
      </c>
    </row>
    <row r="982" spans="1:7" ht="14.4" x14ac:dyDescent="0.3">
      <c r="A982" s="41">
        <v>39.165700000000001</v>
      </c>
      <c r="B982" s="42">
        <v>15373</v>
      </c>
      <c r="C982" s="43">
        <f>A982*($H$2/$I$2)</f>
        <v>38.544702022963371</v>
      </c>
      <c r="D982" s="43">
        <f>D981+1</f>
        <v>981</v>
      </c>
      <c r="E982" s="43">
        <v>11.027632586112629</v>
      </c>
      <c r="F982" s="43">
        <f>D982/1076</f>
        <v>0.91171003717472121</v>
      </c>
      <c r="G982" s="45">
        <f>1000*E982*$J$2*9.81/1000</f>
        <v>2163.6215133952983</v>
      </c>
    </row>
    <row r="983" spans="1:7" ht="14.4" x14ac:dyDescent="0.3">
      <c r="A983" s="46">
        <v>27.224399999999999</v>
      </c>
      <c r="B983" s="47">
        <v>15342</v>
      </c>
      <c r="C983" s="48">
        <f>A983*($H$2/$I$2)</f>
        <v>26.792739201749587</v>
      </c>
      <c r="D983" s="48">
        <f>D982+1</f>
        <v>982</v>
      </c>
      <c r="E983" s="48">
        <v>11.021826134499728</v>
      </c>
      <c r="F983" s="48">
        <f>D983/1076</f>
        <v>0.91263940520446096</v>
      </c>
      <c r="G983" s="49">
        <f>1000*E983*$J$2*9.81/1000</f>
        <v>2162.4822875888467</v>
      </c>
    </row>
    <row r="984" spans="1:7" ht="14.4" x14ac:dyDescent="0.3">
      <c r="A984" s="41">
        <v>35.953200000000002</v>
      </c>
      <c r="B984" s="42">
        <v>15311</v>
      </c>
      <c r="C984" s="43">
        <f>A984*($H$2/$I$2)</f>
        <v>35.383138326954622</v>
      </c>
      <c r="D984" s="43">
        <f>D983+1</f>
        <v>983</v>
      </c>
      <c r="E984" s="43">
        <v>10.955790049207218</v>
      </c>
      <c r="F984" s="43">
        <f>D984/1076</f>
        <v>0.91356877323420072</v>
      </c>
      <c r="G984" s="45">
        <f>1000*E984*$J$2*9.81/1000</f>
        <v>2149.5260076544564</v>
      </c>
    </row>
    <row r="985" spans="1:7" ht="14.4" x14ac:dyDescent="0.3">
      <c r="A985" s="46">
        <v>23.6647</v>
      </c>
      <c r="B985" s="47">
        <v>15281</v>
      </c>
      <c r="C985" s="48">
        <f>A985*($H$2/$I$2)</f>
        <v>23.289480590486605</v>
      </c>
      <c r="D985" s="48">
        <f>D984+1</f>
        <v>984</v>
      </c>
      <c r="E985" s="48">
        <v>10.954707490431929</v>
      </c>
      <c r="F985" s="48">
        <f>D985/1076</f>
        <v>0.91449814126394047</v>
      </c>
      <c r="G985" s="49">
        <f>1000*E985*$J$2*9.81/1000</f>
        <v>2149.3136096227449</v>
      </c>
    </row>
    <row r="986" spans="1:7" ht="14.4" x14ac:dyDescent="0.3">
      <c r="A986" s="41">
        <v>21.923200000000001</v>
      </c>
      <c r="B986" s="42">
        <v>15250</v>
      </c>
      <c r="C986" s="43">
        <f>A986*($H$2/$I$2)</f>
        <v>21.575593220338984</v>
      </c>
      <c r="D986" s="43">
        <f>D985+1</f>
        <v>985</v>
      </c>
      <c r="E986" s="48">
        <v>10.921246582832149</v>
      </c>
      <c r="F986" s="43">
        <f>D986/1076</f>
        <v>0.91542750929368033</v>
      </c>
      <c r="G986" s="45">
        <f>1000*E986*$J$2*9.81/1000</f>
        <v>2142.7485795516677</v>
      </c>
    </row>
    <row r="987" spans="1:7" ht="14.4" x14ac:dyDescent="0.3">
      <c r="A987" s="46">
        <v>20.98</v>
      </c>
      <c r="B987" s="47">
        <v>15220</v>
      </c>
      <c r="C987" s="48">
        <f>A987*($H$2/$I$2)</f>
        <v>20.647348277747401</v>
      </c>
      <c r="D987" s="48">
        <f>D986+1</f>
        <v>986</v>
      </c>
      <c r="E987" s="43">
        <v>10.916719518862765</v>
      </c>
      <c r="F987" s="48">
        <f>D987/1076</f>
        <v>0.91635687732342008</v>
      </c>
      <c r="G987" s="49">
        <f>1000*E987*$J$2*9.81/1000</f>
        <v>2141.8603696008749</v>
      </c>
    </row>
    <row r="988" spans="1:7" ht="14.4" x14ac:dyDescent="0.3">
      <c r="A988" s="41">
        <v>11.728199999999999</v>
      </c>
      <c r="B988" s="42">
        <v>15189</v>
      </c>
      <c r="C988" s="43">
        <f>A988*($H$2/$I$2)</f>
        <v>11.542241662110442</v>
      </c>
      <c r="D988" s="43">
        <f>D987+1</f>
        <v>987</v>
      </c>
      <c r="E988" s="48">
        <v>10.776577364680154</v>
      </c>
      <c r="F988" s="43">
        <f>D988/1076</f>
        <v>0.91728624535315983</v>
      </c>
      <c r="G988" s="45">
        <f>1000*E988*$J$2*9.81/1000</f>
        <v>2114.3644789502464</v>
      </c>
    </row>
    <row r="989" spans="1:7" ht="14.4" x14ac:dyDescent="0.3">
      <c r="A989" s="46">
        <v>15.780900000000001</v>
      </c>
      <c r="B989" s="47">
        <v>15158</v>
      </c>
      <c r="C989" s="48">
        <f>A989*($H$2/$I$2)</f>
        <v>15.530683433570257</v>
      </c>
      <c r="D989" s="48">
        <f>D988+1</f>
        <v>988</v>
      </c>
      <c r="E989" s="43">
        <v>10.755910333515581</v>
      </c>
      <c r="F989" s="48">
        <f>D989/1076</f>
        <v>0.91821561338289959</v>
      </c>
      <c r="G989" s="49">
        <f>1000*E989*$J$2*9.81/1000</f>
        <v>2110.3096074357572</v>
      </c>
    </row>
    <row r="990" spans="1:7" ht="14.4" x14ac:dyDescent="0.3">
      <c r="A990" s="41">
        <v>15.2719</v>
      </c>
      <c r="B990" s="42">
        <v>15128</v>
      </c>
      <c r="C990" s="43">
        <f>A990*($H$2/$I$2)</f>
        <v>15.029753963914708</v>
      </c>
      <c r="D990" s="43">
        <f>D989+1</f>
        <v>989</v>
      </c>
      <c r="E990" s="48">
        <v>10.624723892837615</v>
      </c>
      <c r="F990" s="43">
        <f>D990/1076</f>
        <v>0.91914498141263945</v>
      </c>
      <c r="G990" s="45">
        <f>1000*E990*$J$2*9.81/1000</f>
        <v>2084.5708277747403</v>
      </c>
    </row>
    <row r="991" spans="1:7" ht="14.4" x14ac:dyDescent="0.3">
      <c r="A991" s="46">
        <v>16.2117</v>
      </c>
      <c r="B991" s="47">
        <v>15097</v>
      </c>
      <c r="C991" s="48">
        <f>A991*($H$2/$I$2)</f>
        <v>15.954652815746309</v>
      </c>
      <c r="D991" s="48">
        <f>D990+1</f>
        <v>990</v>
      </c>
      <c r="E991" s="43">
        <v>10.608288682340076</v>
      </c>
      <c r="F991" s="48">
        <f>D991/1076</f>
        <v>0.9200743494423792</v>
      </c>
      <c r="G991" s="49">
        <f>1000*E991*$J$2*9.81/1000</f>
        <v>2081.3462394751232</v>
      </c>
    </row>
    <row r="992" spans="1:7" ht="14.4" x14ac:dyDescent="0.3">
      <c r="A992" s="41">
        <v>21.939800000000002</v>
      </c>
      <c r="B992" s="42">
        <v>15067</v>
      </c>
      <c r="C992" s="43">
        <f>A992*($H$2/$I$2)</f>
        <v>21.591930016402408</v>
      </c>
      <c r="D992" s="43">
        <f>D991+1</f>
        <v>991</v>
      </c>
      <c r="E992" s="43">
        <v>10.546484417714598</v>
      </c>
      <c r="F992" s="43">
        <f>D992/1076</f>
        <v>0.92100371747211895</v>
      </c>
      <c r="G992" s="45">
        <f>1000*E992*$J$2*9.81/1000</f>
        <v>2069.2202427556044</v>
      </c>
    </row>
    <row r="993" spans="1:7" ht="14.4" x14ac:dyDescent="0.3">
      <c r="A993" s="46">
        <v>27.203199999999999</v>
      </c>
      <c r="B993" s="47">
        <v>15036</v>
      </c>
      <c r="C993" s="48">
        <f>A993*($H$2/$I$2)</f>
        <v>26.771875341716783</v>
      </c>
      <c r="D993" s="48">
        <f>D992+1</f>
        <v>992</v>
      </c>
      <c r="E993" s="43">
        <v>10.515090213231273</v>
      </c>
      <c r="F993" s="48">
        <f>D993/1076</f>
        <v>0.92193308550185871</v>
      </c>
      <c r="G993" s="49">
        <f>1000*E993*$J$2*9.81/1000</f>
        <v>2063.0606998359763</v>
      </c>
    </row>
    <row r="994" spans="1:7" ht="14.4" x14ac:dyDescent="0.3">
      <c r="A994" s="41">
        <v>37.447000000000003</v>
      </c>
      <c r="B994" s="42">
        <v>15008</v>
      </c>
      <c r="C994" s="43">
        <f>A994*($H$2/$I$2)</f>
        <v>36.853253143794426</v>
      </c>
      <c r="D994" s="43">
        <f>D993+1</f>
        <v>993</v>
      </c>
      <c r="E994" s="48">
        <v>10.446692181519957</v>
      </c>
      <c r="F994" s="43">
        <f>D994/1076</f>
        <v>0.92286245353159846</v>
      </c>
      <c r="G994" s="45">
        <f>1000*E994*$J$2*9.81/1000</f>
        <v>2049.6410060142157</v>
      </c>
    </row>
    <row r="995" spans="1:7" ht="14.4" x14ac:dyDescent="0.3">
      <c r="A995" s="46">
        <v>67.168499999999995</v>
      </c>
      <c r="B995" s="47">
        <v>14977</v>
      </c>
      <c r="C995" s="48">
        <f>A995*($H$2/$I$2)</f>
        <v>66.103499179879705</v>
      </c>
      <c r="D995" s="48">
        <f>D994+1</f>
        <v>994</v>
      </c>
      <c r="E995" s="48">
        <v>10.423860032804811</v>
      </c>
      <c r="F995" s="48">
        <f>D995/1076</f>
        <v>0.92379182156133832</v>
      </c>
      <c r="G995" s="49">
        <f>1000*E995*$J$2*9.81/1000</f>
        <v>2045.1613384363038</v>
      </c>
    </row>
    <row r="996" spans="1:7" ht="14.4" x14ac:dyDescent="0.3">
      <c r="A996" s="41">
        <v>74.420500000000004</v>
      </c>
      <c r="B996" s="42">
        <v>14946</v>
      </c>
      <c r="C996" s="43">
        <f>A996*($H$2/$I$2)</f>
        <v>73.240513942044828</v>
      </c>
      <c r="D996" s="43">
        <f>D995+1</f>
        <v>995</v>
      </c>
      <c r="E996" s="43">
        <v>10.4012247129579</v>
      </c>
      <c r="F996" s="43">
        <f>D996/1076</f>
        <v>0.92472118959107807</v>
      </c>
      <c r="G996" s="45">
        <f>1000*E996*$J$2*9.81/1000</f>
        <v>2040.72028868234</v>
      </c>
    </row>
    <row r="997" spans="1:7" ht="14.4" x14ac:dyDescent="0.3">
      <c r="A997" s="46">
        <v>44.097700000000003</v>
      </c>
      <c r="B997" s="47">
        <v>14916</v>
      </c>
      <c r="C997" s="48">
        <f>A997*($H$2/$I$2)</f>
        <v>43.398501913613998</v>
      </c>
      <c r="D997" s="48">
        <f>D996+1</f>
        <v>996</v>
      </c>
      <c r="E997" s="48">
        <v>10.376030617823949</v>
      </c>
      <c r="F997" s="48">
        <f>D997/1076</f>
        <v>0.92565055762081783</v>
      </c>
      <c r="G997" s="49">
        <f>1000*E997*$J$2*9.81/1000</f>
        <v>2035.7772072170587</v>
      </c>
    </row>
    <row r="998" spans="1:7" ht="14.4" x14ac:dyDescent="0.3">
      <c r="A998" s="41">
        <v>19.8749</v>
      </c>
      <c r="B998" s="42">
        <v>14885</v>
      </c>
      <c r="C998" s="43">
        <f>A998*($H$2/$I$2)</f>
        <v>19.559770366320393</v>
      </c>
      <c r="D998" s="43">
        <f>D997+1</f>
        <v>997</v>
      </c>
      <c r="E998" s="48">
        <v>10.316981957353745</v>
      </c>
      <c r="F998" s="43">
        <f>D998/1076</f>
        <v>0.92657992565055758</v>
      </c>
      <c r="G998" s="45">
        <f>1000*E998*$J$2*9.81/1000</f>
        <v>2024.1918600328047</v>
      </c>
    </row>
    <row r="999" spans="1:7" ht="14.4" x14ac:dyDescent="0.3">
      <c r="A999" s="46">
        <v>15.1069</v>
      </c>
      <c r="B999" s="47">
        <v>14855</v>
      </c>
      <c r="C999" s="48">
        <f>A999*($H$2/$I$2)</f>
        <v>14.867370147621651</v>
      </c>
      <c r="D999" s="48">
        <f>D998+1</f>
        <v>998</v>
      </c>
      <c r="E999" s="43">
        <v>10.303991252050301</v>
      </c>
      <c r="F999" s="48">
        <f>D999/1076</f>
        <v>0.92750929368029744</v>
      </c>
      <c r="G999" s="49">
        <f>1000*E999*$J$2*9.81/1000</f>
        <v>2021.6430836522688</v>
      </c>
    </row>
    <row r="1000" spans="1:7" ht="14.4" x14ac:dyDescent="0.3">
      <c r="A1000" s="41">
        <v>14.5434</v>
      </c>
      <c r="B1000" s="42">
        <v>14824</v>
      </c>
      <c r="C1000" s="43">
        <f>A1000*($H$2/$I$2)</f>
        <v>14.312804811372335</v>
      </c>
      <c r="D1000" s="43">
        <f>D999+1</f>
        <v>999</v>
      </c>
      <c r="E1000" s="43">
        <v>10.299759431383269</v>
      </c>
      <c r="F1000" s="43">
        <f>D1000/1076</f>
        <v>0.92843866171003719</v>
      </c>
      <c r="G1000" s="45">
        <f>1000*E1000*$J$2*9.81/1000</f>
        <v>2020.8128004373973</v>
      </c>
    </row>
    <row r="1001" spans="1:7" ht="14.4" customHeight="1" x14ac:dyDescent="0.3">
      <c r="A1001" s="46">
        <v>17.050899999999999</v>
      </c>
      <c r="B1001" s="47">
        <v>14793</v>
      </c>
      <c r="C1001" s="48">
        <f>A1001*($H$2/$I$2)</f>
        <v>16.780546746856203</v>
      </c>
      <c r="D1001" s="48">
        <f>D1000+1</f>
        <v>1000</v>
      </c>
      <c r="E1001" s="48">
        <v>10.295035538545653</v>
      </c>
      <c r="F1001" s="48">
        <f>D1001/1076</f>
        <v>0.92936802973977695</v>
      </c>
      <c r="G1001" s="49">
        <f>1000*E1001*$J$2*9.81/1000</f>
        <v>2019.885972662657</v>
      </c>
    </row>
    <row r="1002" spans="1:7" ht="14.4" x14ac:dyDescent="0.3">
      <c r="A1002" s="41">
        <v>20.456499999999998</v>
      </c>
      <c r="B1002" s="42">
        <v>14763</v>
      </c>
      <c r="C1002" s="43">
        <f>A1002*($H$2/$I$2)</f>
        <v>20.132148715144886</v>
      </c>
      <c r="D1002" s="43">
        <f>D1001+1</f>
        <v>1001</v>
      </c>
      <c r="E1002" s="48">
        <v>10.278797156916347</v>
      </c>
      <c r="F1002" s="43">
        <f>D1002/1076</f>
        <v>0.9302973977695167</v>
      </c>
      <c r="G1002" s="45">
        <f>1000*E1002*$J$2*9.81/1000</f>
        <v>2016.7000021869876</v>
      </c>
    </row>
    <row r="1003" spans="1:7" ht="14.4" customHeight="1" x14ac:dyDescent="0.3">
      <c r="A1003" s="46">
        <v>25.840299999999999</v>
      </c>
      <c r="B1003" s="47">
        <v>14732</v>
      </c>
      <c r="C1003" s="48">
        <f>A1003*($H$2/$I$2)</f>
        <v>25.430585019136139</v>
      </c>
      <c r="D1003" s="48">
        <f>D1002+1</f>
        <v>1002</v>
      </c>
      <c r="E1003" s="43">
        <v>10.249568069983598</v>
      </c>
      <c r="F1003" s="48">
        <f>D1003/1076</f>
        <v>0.93122676579925645</v>
      </c>
      <c r="G1003" s="49">
        <f>1000*E1003*$J$2*9.81/1000</f>
        <v>2010.9652553307817</v>
      </c>
    </row>
    <row r="1004" spans="1:7" ht="14.4" x14ac:dyDescent="0.3">
      <c r="A1004" s="41">
        <v>36.724899999999998</v>
      </c>
      <c r="B1004" s="42">
        <v>14702</v>
      </c>
      <c r="C1004" s="43">
        <f>A1004*($H$2/$I$2)</f>
        <v>36.142602515035534</v>
      </c>
      <c r="D1004" s="43">
        <f>D1003+1</f>
        <v>1003</v>
      </c>
      <c r="E1004" s="48">
        <v>10.141213778020777</v>
      </c>
      <c r="F1004" s="43">
        <f>D1004/1076</f>
        <v>0.93215613382899631</v>
      </c>
      <c r="G1004" s="45">
        <f>1000*E1004*$J$2*9.81/1000</f>
        <v>1989.7061432476769</v>
      </c>
    </row>
    <row r="1005" spans="1:7" ht="14.4" x14ac:dyDescent="0.3">
      <c r="A1005" s="46">
        <v>72.111099999999993</v>
      </c>
      <c r="B1005" s="47">
        <v>14671</v>
      </c>
      <c r="C1005" s="48">
        <f>A1005*($H$2/$I$2)</f>
        <v>70.967731000546735</v>
      </c>
      <c r="D1005" s="48">
        <f>D1004+1</f>
        <v>1004</v>
      </c>
      <c r="E1005" s="43">
        <v>10.111394204483323</v>
      </c>
      <c r="F1005" s="48">
        <f>D1005/1076</f>
        <v>0.93308550185873607</v>
      </c>
      <c r="G1005" s="49">
        <f>1000*E1005*$J$2*9.81/1000</f>
        <v>1983.8555429196283</v>
      </c>
    </row>
    <row r="1006" spans="1:7" ht="14.4" x14ac:dyDescent="0.3">
      <c r="A1006" s="41">
        <v>80.686000000000007</v>
      </c>
      <c r="B1006" s="42">
        <v>14642</v>
      </c>
      <c r="C1006" s="43">
        <f>A1006*($H$2/$I$2)</f>
        <v>79.406670311645712</v>
      </c>
      <c r="D1006" s="43">
        <f>D1005+1</f>
        <v>1005</v>
      </c>
      <c r="E1006" s="43">
        <v>10.109622744669219</v>
      </c>
      <c r="F1006" s="43">
        <f>D1006/1076</f>
        <v>0.93401486988847582</v>
      </c>
      <c r="G1006" s="45">
        <f>1000*E1006*$J$2*9.81/1000</f>
        <v>1983.5079825041009</v>
      </c>
    </row>
    <row r="1007" spans="1:7" ht="14.4" x14ac:dyDescent="0.3">
      <c r="A1007" s="46">
        <v>68.642700000000005</v>
      </c>
      <c r="B1007" s="47">
        <v>14611</v>
      </c>
      <c r="C1007" s="48">
        <f>A1007*($H$2/$I$2)</f>
        <v>67.554324767632593</v>
      </c>
      <c r="D1007" s="48">
        <f>D1006+1</f>
        <v>1006</v>
      </c>
      <c r="E1007" s="43">
        <v>10.003630399125205</v>
      </c>
      <c r="F1007" s="48">
        <f>D1007/1076</f>
        <v>0.93494423791821557</v>
      </c>
      <c r="G1007" s="49">
        <f>1000*E1007*$J$2*9.81/1000</f>
        <v>1962.7122843083653</v>
      </c>
    </row>
    <row r="1008" spans="1:7" ht="14.4" x14ac:dyDescent="0.3">
      <c r="A1008" s="41">
        <v>56.652099999999997</v>
      </c>
      <c r="B1008" s="42">
        <v>14580</v>
      </c>
      <c r="C1008" s="43">
        <f>A1008*($H$2/$I$2)</f>
        <v>55.753843630399118</v>
      </c>
      <c r="D1008" s="43">
        <f>D1007+1</f>
        <v>1007</v>
      </c>
      <c r="E1008" s="43">
        <v>9.9861126298523786</v>
      </c>
      <c r="F1008" s="43">
        <f>D1008/1076</f>
        <v>0.93587360594795543</v>
      </c>
      <c r="G1008" s="45">
        <f>1000*E1008*$J$2*9.81/1000</f>
        <v>1959.2752979770366</v>
      </c>
    </row>
    <row r="1009" spans="1:7" ht="14.4" x14ac:dyDescent="0.3">
      <c r="A1009" s="46">
        <v>24.872299999999999</v>
      </c>
      <c r="B1009" s="47">
        <v>14550</v>
      </c>
      <c r="C1009" s="48">
        <f>A1009*($H$2/$I$2)</f>
        <v>24.477933296883542</v>
      </c>
      <c r="D1009" s="48">
        <f>D1008+1</f>
        <v>1008</v>
      </c>
      <c r="E1009" s="43">
        <v>9.9464516129032248</v>
      </c>
      <c r="F1009" s="48">
        <f>D1009/1076</f>
        <v>0.93680297397769519</v>
      </c>
      <c r="G1009" s="49">
        <f>1000*E1009*$J$2*9.81/1000</f>
        <v>1951.4938064516132</v>
      </c>
    </row>
    <row r="1010" spans="1:7" ht="14.4" x14ac:dyDescent="0.3">
      <c r="A1010" s="41">
        <v>19.945900000000002</v>
      </c>
      <c r="B1010" s="42">
        <v>14519</v>
      </c>
      <c r="C1010" s="43">
        <f>A1010*($H$2/$I$2)</f>
        <v>19.629644614543466</v>
      </c>
      <c r="D1010" s="43">
        <f>D1009+1</f>
        <v>1009</v>
      </c>
      <c r="E1010" s="48">
        <v>9.9201749589939858</v>
      </c>
      <c r="F1010" s="43">
        <f>D1010/1076</f>
        <v>0.93773234200743494</v>
      </c>
      <c r="G1010" s="45">
        <f>1000*E1010*$J$2*9.81/1000</f>
        <v>1946.3383269546202</v>
      </c>
    </row>
    <row r="1011" spans="1:7" ht="14.4" x14ac:dyDescent="0.3">
      <c r="A1011" s="46">
        <v>17.560099999999998</v>
      </c>
      <c r="B1011" s="47">
        <v>14489</v>
      </c>
      <c r="C1011" s="48">
        <f>A1011*($H$2/$I$2)</f>
        <v>17.281673045379986</v>
      </c>
      <c r="D1011" s="48">
        <f>D1010+1</f>
        <v>1010</v>
      </c>
      <c r="E1011" s="48">
        <v>9.8826790595954073</v>
      </c>
      <c r="F1011" s="48">
        <f>D1011/1076</f>
        <v>0.93866171003717469</v>
      </c>
      <c r="G1011" s="49">
        <f>1000*E1011*$J$2*9.81/1000</f>
        <v>1938.9816314926193</v>
      </c>
    </row>
    <row r="1012" spans="1:7" ht="14.4" x14ac:dyDescent="0.3">
      <c r="A1012" s="41">
        <v>15.3292</v>
      </c>
      <c r="B1012" s="42">
        <v>14458</v>
      </c>
      <c r="C1012" s="43">
        <f>A1012*($H$2/$I$2)</f>
        <v>15.08614543466375</v>
      </c>
      <c r="D1012" s="43">
        <f>D1011+1</f>
        <v>1011</v>
      </c>
      <c r="E1012" s="43">
        <v>9.8415418261344989</v>
      </c>
      <c r="F1012" s="43">
        <f>D1012/1076</f>
        <v>0.93959107806691455</v>
      </c>
      <c r="G1012" s="45">
        <f>1000*E1012*$J$2*9.81/1000</f>
        <v>1930.9105062875888</v>
      </c>
    </row>
    <row r="1013" spans="1:7" ht="14.4" x14ac:dyDescent="0.3">
      <c r="A1013" s="46">
        <v>17.340900000000001</v>
      </c>
      <c r="B1013" s="47">
        <v>14427</v>
      </c>
      <c r="C1013" s="48">
        <f>A1013*($H$2/$I$2)</f>
        <v>17.065948605795516</v>
      </c>
      <c r="D1013" s="48">
        <f>D1012+1</f>
        <v>1012</v>
      </c>
      <c r="E1013" s="48">
        <v>9.7954838709677414</v>
      </c>
      <c r="F1013" s="48">
        <f>D1013/1076</f>
        <v>0.94052044609665431</v>
      </c>
      <c r="G1013" s="49">
        <f>1000*E1013*$J$2*9.81/1000</f>
        <v>1921.8739354838708</v>
      </c>
    </row>
    <row r="1014" spans="1:7" ht="14.4" x14ac:dyDescent="0.3">
      <c r="A1014" s="41">
        <v>17.4908</v>
      </c>
      <c r="B1014" s="42">
        <v>14397</v>
      </c>
      <c r="C1014" s="43">
        <f>A1014*($H$2/$I$2)</f>
        <v>17.213471842536904</v>
      </c>
      <c r="D1014" s="43">
        <f>D1013+1</f>
        <v>1013</v>
      </c>
      <c r="E1014" s="43">
        <v>9.7739311098961181</v>
      </c>
      <c r="F1014" s="43">
        <f>D1014/1076</f>
        <v>0.94144981412639406</v>
      </c>
      <c r="G1014" s="45">
        <f>1000*E1014*$J$2*9.81/1000</f>
        <v>1917.6452837616187</v>
      </c>
    </row>
    <row r="1015" spans="1:7" ht="14.4" x14ac:dyDescent="0.3">
      <c r="A1015" s="46">
        <v>21.909300000000002</v>
      </c>
      <c r="B1015" s="47">
        <v>14366</v>
      </c>
      <c r="C1015" s="48">
        <f>A1015*($H$2/$I$2)</f>
        <v>21.561913613996719</v>
      </c>
      <c r="D1015" s="48">
        <f>D1014+1</f>
        <v>1014</v>
      </c>
      <c r="E1015" s="48">
        <v>9.609480590486605</v>
      </c>
      <c r="F1015" s="48">
        <f>D1015/1076</f>
        <v>0.94237918215613381</v>
      </c>
      <c r="G1015" s="49">
        <f>1000*E1015*$J$2*9.81/1000</f>
        <v>1885.3800918534719</v>
      </c>
    </row>
    <row r="1016" spans="1:7" ht="14.4" x14ac:dyDescent="0.3">
      <c r="A1016" s="41">
        <v>29.3507</v>
      </c>
      <c r="B1016" s="42">
        <v>14336</v>
      </c>
      <c r="C1016" s="43">
        <f>A1016*($H$2/$I$2)</f>
        <v>28.88532531437944</v>
      </c>
      <c r="D1016" s="43">
        <f>D1015+1</f>
        <v>1015</v>
      </c>
      <c r="E1016" s="48">
        <v>9.6024931656642956</v>
      </c>
      <c r="F1016" s="43">
        <f>D1016/1076</f>
        <v>0.94330855018587356</v>
      </c>
      <c r="G1016" s="45">
        <f>1000*E1016*$J$2*9.81/1000</f>
        <v>1884.0091591033347</v>
      </c>
    </row>
    <row r="1017" spans="1:7" ht="14.4" x14ac:dyDescent="0.3">
      <c r="A1017" s="46">
        <v>31.7224</v>
      </c>
      <c r="B1017" s="47">
        <v>14305</v>
      </c>
      <c r="C1017" s="48">
        <f>A1017*($H$2/$I$2)</f>
        <v>31.219420448332421</v>
      </c>
      <c r="D1017" s="48">
        <f>D1016+1</f>
        <v>1016</v>
      </c>
      <c r="E1017" s="48">
        <v>9.5653909240021875</v>
      </c>
      <c r="F1017" s="48">
        <f>D1017/1076</f>
        <v>0.94423791821561343</v>
      </c>
      <c r="G1017" s="49">
        <f>1000*E1017*$J$2*9.81/1000</f>
        <v>1876.7296992892295</v>
      </c>
    </row>
    <row r="1018" spans="1:7" ht="14.4" x14ac:dyDescent="0.3">
      <c r="A1018" s="41">
        <v>59.698599999999999</v>
      </c>
      <c r="B1018" s="42">
        <v>14277</v>
      </c>
      <c r="C1018" s="43">
        <f>A1018*($H$2/$I$2)</f>
        <v>58.752039365773641</v>
      </c>
      <c r="D1018" s="43">
        <f>D1017+1</f>
        <v>1017</v>
      </c>
      <c r="E1018" s="43">
        <v>9.543641334062329</v>
      </c>
      <c r="F1018" s="43">
        <f>D1018/1076</f>
        <v>0.94516728624535318</v>
      </c>
      <c r="G1018" s="45">
        <f>1000*E1018*$J$2*9.81/1000</f>
        <v>1872.4624297430289</v>
      </c>
    </row>
    <row r="1019" spans="1:7" ht="14.4" x14ac:dyDescent="0.3">
      <c r="A1019" s="46">
        <v>67.638499999999993</v>
      </c>
      <c r="B1019" s="47">
        <v>14246</v>
      </c>
      <c r="C1019" s="48">
        <f>A1019*($H$2/$I$2)</f>
        <v>66.566047020229618</v>
      </c>
      <c r="D1019" s="48">
        <f>D1018+1</f>
        <v>1018</v>
      </c>
      <c r="E1019" s="48">
        <v>9.5342919628212144</v>
      </c>
      <c r="F1019" s="48">
        <f>D1019/1076</f>
        <v>0.94609665427509293</v>
      </c>
      <c r="G1019" s="49">
        <f>1000*E1019*$J$2*9.81/1000</f>
        <v>1870.6280831055221</v>
      </c>
    </row>
    <row r="1020" spans="1:7" ht="14.4" x14ac:dyDescent="0.3">
      <c r="A1020" s="41">
        <v>73.305999999999997</v>
      </c>
      <c r="B1020" s="42">
        <v>14215</v>
      </c>
      <c r="C1020" s="43">
        <f>A1020*($H$2/$I$2)</f>
        <v>72.143685073810815</v>
      </c>
      <c r="D1020" s="43">
        <f>D1019+1</f>
        <v>1019</v>
      </c>
      <c r="E1020" s="43">
        <v>9.5319300164024039</v>
      </c>
      <c r="F1020" s="43">
        <f>D1020/1076</f>
        <v>0.94702602230483268</v>
      </c>
      <c r="G1020" s="45">
        <f>1000*E1020*$J$2*9.81/1000</f>
        <v>1870.1646692181519</v>
      </c>
    </row>
    <row r="1021" spans="1:7" ht="14.4" x14ac:dyDescent="0.3">
      <c r="A1021" s="46">
        <v>34.6676</v>
      </c>
      <c r="B1021" s="47">
        <v>14185</v>
      </c>
      <c r="C1021" s="48">
        <f>A1021*($H$2/$I$2)</f>
        <v>34.11792236194642</v>
      </c>
      <c r="D1021" s="48">
        <f>D1020+1</f>
        <v>1020</v>
      </c>
      <c r="E1021" s="43">
        <v>9.44699835975943</v>
      </c>
      <c r="F1021" s="48">
        <f>D1021/1076</f>
        <v>0.94795539033457255</v>
      </c>
      <c r="G1021" s="49">
        <f>1000*E1021*$J$2*9.81/1000</f>
        <v>1853.5010781848</v>
      </c>
    </row>
    <row r="1022" spans="1:7" ht="14.4" x14ac:dyDescent="0.3">
      <c r="A1022" s="41">
        <v>33.734200000000001</v>
      </c>
      <c r="B1022" s="42">
        <v>14154</v>
      </c>
      <c r="C1022" s="43">
        <f>A1022*($H$2/$I$2)</f>
        <v>33.199322033898305</v>
      </c>
      <c r="D1022" s="43">
        <f>D1021+1</f>
        <v>1021</v>
      </c>
      <c r="E1022" s="48">
        <v>9.4357791142700922</v>
      </c>
      <c r="F1022" s="43">
        <f>D1022/1076</f>
        <v>0.9488847583643123</v>
      </c>
      <c r="G1022" s="45">
        <f>1000*E1022*$J$2*9.81/1000</f>
        <v>1851.2998622197917</v>
      </c>
    </row>
    <row r="1023" spans="1:7" ht="14.4" x14ac:dyDescent="0.3">
      <c r="A1023" s="46">
        <v>21.388100000000001</v>
      </c>
      <c r="B1023" s="47">
        <v>14124</v>
      </c>
      <c r="C1023" s="48">
        <f>A1023*($H$2/$I$2)</f>
        <v>21.048977583378896</v>
      </c>
      <c r="D1023" s="48">
        <f>D1022+1</f>
        <v>1022</v>
      </c>
      <c r="E1023" s="48">
        <v>9.2622744669218147</v>
      </c>
      <c r="F1023" s="48">
        <f>D1023/1076</f>
        <v>0.94981412639405205</v>
      </c>
      <c r="G1023" s="49">
        <f>1000*E1023*$J$2*9.81/1000</f>
        <v>1817.2582504100603</v>
      </c>
    </row>
    <row r="1024" spans="1:7" ht="14.4" x14ac:dyDescent="0.3">
      <c r="A1024" s="41">
        <v>18.7361</v>
      </c>
      <c r="B1024" s="42">
        <v>14093</v>
      </c>
      <c r="C1024" s="43">
        <f>A1024*($H$2/$I$2)</f>
        <v>18.439026790595953</v>
      </c>
      <c r="D1024" s="43">
        <f>D1023+1</f>
        <v>1023</v>
      </c>
      <c r="E1024" s="48">
        <v>9.2525314379442314</v>
      </c>
      <c r="F1024" s="43">
        <f>D1024/1076</f>
        <v>0.9507434944237918</v>
      </c>
      <c r="G1024" s="45">
        <f>1000*E1024*$J$2*9.81/1000</f>
        <v>1815.3466681246582</v>
      </c>
    </row>
    <row r="1025" spans="1:7" ht="14.4" x14ac:dyDescent="0.3">
      <c r="A1025" s="46">
        <v>19.36</v>
      </c>
      <c r="B1025" s="47">
        <v>14062</v>
      </c>
      <c r="C1025" s="48">
        <f>A1025*($H$2/$I$2)</f>
        <v>19.053034445051939</v>
      </c>
      <c r="D1025" s="48">
        <f>D1024+1</f>
        <v>1024</v>
      </c>
      <c r="E1025" s="43">
        <v>9.2406232914160746</v>
      </c>
      <c r="F1025" s="48">
        <f>D1025/1076</f>
        <v>0.95167286245353155</v>
      </c>
      <c r="G1025" s="49">
        <f>1000*E1025*$J$2*9.81/1000</f>
        <v>1813.0102897758343</v>
      </c>
    </row>
    <row r="1026" spans="1:7" ht="14.4" x14ac:dyDescent="0.3">
      <c r="A1026" s="41">
        <v>18.339700000000001</v>
      </c>
      <c r="B1026" s="42">
        <v>14032</v>
      </c>
      <c r="C1026" s="43">
        <f>A1026*($H$2/$I$2)</f>
        <v>18.048911973756152</v>
      </c>
      <c r="D1026" s="43">
        <f>D1025+1</f>
        <v>1025</v>
      </c>
      <c r="E1026" s="43">
        <v>9.166123564789503</v>
      </c>
      <c r="F1026" s="43">
        <f>D1026/1076</f>
        <v>0.95260223048327142</v>
      </c>
      <c r="G1026" s="45">
        <f>1000*E1026*$J$2*9.81/1000</f>
        <v>1798.3934434117004</v>
      </c>
    </row>
    <row r="1027" spans="1:7" ht="14.4" x14ac:dyDescent="0.3">
      <c r="A1027" s="46">
        <v>25.648700000000002</v>
      </c>
      <c r="B1027" s="47">
        <v>14001</v>
      </c>
      <c r="C1027" s="48">
        <f>A1027*($H$2/$I$2)</f>
        <v>25.242022963367962</v>
      </c>
      <c r="D1027" s="48">
        <f>D1026+1</f>
        <v>1026</v>
      </c>
      <c r="E1027" s="48">
        <v>9.00787315472936</v>
      </c>
      <c r="F1027" s="48">
        <f>D1027/1076</f>
        <v>0.95353159851301117</v>
      </c>
      <c r="G1027" s="49">
        <f>1000*E1027*$J$2*9.81/1000</f>
        <v>1767.3447129579004</v>
      </c>
    </row>
    <row r="1028" spans="1:7" ht="14.4" x14ac:dyDescent="0.3">
      <c r="A1028" s="41">
        <v>27.489100000000001</v>
      </c>
      <c r="B1028" s="42">
        <v>13971</v>
      </c>
      <c r="C1028" s="43">
        <f>A1028*($H$2/$I$2)</f>
        <v>27.053242208857299</v>
      </c>
      <c r="D1028" s="43">
        <f>D1027+1</f>
        <v>1027</v>
      </c>
      <c r="E1028" s="48">
        <v>8.9737233460907593</v>
      </c>
      <c r="F1028" s="43">
        <f>D1028/1076</f>
        <v>0.95446096654275092</v>
      </c>
      <c r="G1028" s="45">
        <f>1000*E1028*$J$2*9.81/1000</f>
        <v>1760.644520503007</v>
      </c>
    </row>
    <row r="1029" spans="1:7" ht="14.4" x14ac:dyDescent="0.3">
      <c r="A1029" s="46">
        <v>48.880800000000001</v>
      </c>
      <c r="B1029" s="47">
        <v>13940</v>
      </c>
      <c r="C1029" s="48">
        <f>A1029*($H$2/$I$2)</f>
        <v>48.105762711864408</v>
      </c>
      <c r="D1029" s="48">
        <f>D1028+1</f>
        <v>1028</v>
      </c>
      <c r="E1029" s="48">
        <v>8.8568069983597582</v>
      </c>
      <c r="F1029" s="48">
        <f>D1029/1076</f>
        <v>0.95539033457249067</v>
      </c>
      <c r="G1029" s="49">
        <f>1000*E1029*$J$2*9.81/1000</f>
        <v>1737.7055330781845</v>
      </c>
    </row>
    <row r="1030" spans="1:7" ht="14.4" x14ac:dyDescent="0.3">
      <c r="A1030" s="41">
        <v>62.738100000000003</v>
      </c>
      <c r="B1030" s="42">
        <v>13912</v>
      </c>
      <c r="C1030" s="43">
        <f>A1030*($H$2/$I$2)</f>
        <v>61.743346090759978</v>
      </c>
      <c r="D1030" s="43">
        <f>D1029+1</f>
        <v>1029</v>
      </c>
      <c r="E1030" s="48">
        <v>8.6876325861126293</v>
      </c>
      <c r="F1030" s="43">
        <f>D1030/1076</f>
        <v>0.95631970260223054</v>
      </c>
      <c r="G1030" s="45">
        <f>1000*E1030*$J$2*9.81/1000</f>
        <v>1704.5135133952981</v>
      </c>
    </row>
    <row r="1031" spans="1:7" ht="14.4" x14ac:dyDescent="0.3">
      <c r="A1031" s="46">
        <v>62.520099999999999</v>
      </c>
      <c r="B1031" s="47">
        <v>13881</v>
      </c>
      <c r="C1031" s="48">
        <f>A1031*($H$2/$I$2)</f>
        <v>61.528802624384909</v>
      </c>
      <c r="D1031" s="48">
        <f>D1030+1</f>
        <v>1030</v>
      </c>
      <c r="E1031" s="43">
        <v>8.686057955166758</v>
      </c>
      <c r="F1031" s="48">
        <f>D1031/1076</f>
        <v>0.95724907063197029</v>
      </c>
      <c r="G1031" s="49">
        <f>1000*E1031*$J$2*9.81/1000</f>
        <v>1704.2045708037181</v>
      </c>
    </row>
    <row r="1032" spans="1:7" ht="14.4" x14ac:dyDescent="0.3">
      <c r="A1032" s="41">
        <v>82.520899999999997</v>
      </c>
      <c r="B1032" s="42">
        <v>13850</v>
      </c>
      <c r="C1032" s="43">
        <f>A1032*($H$2/$I$2)</f>
        <v>81.212476763258607</v>
      </c>
      <c r="D1032" s="43">
        <f>D1031+1</f>
        <v>1031</v>
      </c>
      <c r="E1032" s="43">
        <v>8.5810497539639154</v>
      </c>
      <c r="F1032" s="43">
        <f>D1032/1076</f>
        <v>0.95817843866171004</v>
      </c>
      <c r="G1032" s="45">
        <f>1000*E1032*$J$2*9.81/1000</f>
        <v>1683.6019617277202</v>
      </c>
    </row>
    <row r="1033" spans="1:7" ht="14.4" x14ac:dyDescent="0.3">
      <c r="A1033" s="46">
        <v>33.370399999999997</v>
      </c>
      <c r="B1033" s="47">
        <v>13820</v>
      </c>
      <c r="C1033" s="48">
        <f>A1033*($H$2/$I$2)</f>
        <v>32.84129032258064</v>
      </c>
      <c r="D1033" s="48">
        <f>D1032+1</f>
        <v>1032</v>
      </c>
      <c r="E1033" s="48">
        <v>8.5531984691088034</v>
      </c>
      <c r="F1033" s="48">
        <f>D1033/1076</f>
        <v>0.95910780669144979</v>
      </c>
      <c r="G1033" s="49">
        <f>1000*E1033*$J$2*9.81/1000</f>
        <v>1678.1375396391472</v>
      </c>
    </row>
    <row r="1034" spans="1:7" ht="14.4" x14ac:dyDescent="0.3">
      <c r="A1034" s="41">
        <v>33.979199999999999</v>
      </c>
      <c r="B1034" s="42">
        <v>13789</v>
      </c>
      <c r="C1034" s="43">
        <f>A1034*($H$2/$I$2)</f>
        <v>33.440437397484963</v>
      </c>
      <c r="D1034" s="43">
        <f>D1033+1</f>
        <v>1033</v>
      </c>
      <c r="E1034" s="48">
        <v>8.3314707490431932</v>
      </c>
      <c r="F1034" s="43">
        <f>D1034/1076</f>
        <v>0.96003717472118955</v>
      </c>
      <c r="G1034" s="45">
        <f>1000*E1034*$J$2*9.81/1000</f>
        <v>1634.6345609622747</v>
      </c>
    </row>
    <row r="1035" spans="1:7" ht="14.4" x14ac:dyDescent="0.3">
      <c r="A1035" s="46">
        <v>14.088699999999999</v>
      </c>
      <c r="B1035" s="47">
        <v>13759</v>
      </c>
      <c r="C1035" s="48">
        <f>A1035*($H$2/$I$2)</f>
        <v>13.865314379442317</v>
      </c>
      <c r="D1035" s="48">
        <f>D1034+1</f>
        <v>1034</v>
      </c>
      <c r="E1035" s="48">
        <v>8.3271405139420445</v>
      </c>
      <c r="F1035" s="48">
        <f>D1035/1076</f>
        <v>0.96096654275092941</v>
      </c>
      <c r="G1035" s="49">
        <f>1000*E1035*$J$2*9.81/1000</f>
        <v>1633.7849688354293</v>
      </c>
    </row>
    <row r="1036" spans="1:7" ht="14.4" x14ac:dyDescent="0.3">
      <c r="A1036" s="41">
        <v>15.320399999999999</v>
      </c>
      <c r="B1036" s="42">
        <v>13728</v>
      </c>
      <c r="C1036" s="43">
        <f>A1036*($H$2/$I$2)</f>
        <v>15.077484964461453</v>
      </c>
      <c r="D1036" s="43">
        <f>D1035+1</f>
        <v>1035</v>
      </c>
      <c r="E1036" s="43">
        <v>8.2587424822307263</v>
      </c>
      <c r="F1036" s="43">
        <f>D1036/1076</f>
        <v>0.96189591078066916</v>
      </c>
      <c r="G1036" s="45">
        <f>1000*E1036*$J$2*9.81/1000</f>
        <v>1620.3652750136682</v>
      </c>
    </row>
    <row r="1037" spans="1:7" ht="14.4" x14ac:dyDescent="0.3">
      <c r="A1037" s="46">
        <v>12.2493</v>
      </c>
      <c r="B1037" s="47">
        <v>13697</v>
      </c>
      <c r="C1037" s="48">
        <f>A1037*($H$2/$I$2)</f>
        <v>12.05507927829415</v>
      </c>
      <c r="D1037" s="48">
        <f>D1036+1</f>
        <v>1036</v>
      </c>
      <c r="E1037" s="43">
        <v>8.2305959540732641</v>
      </c>
      <c r="F1037" s="48">
        <f>D1037/1076</f>
        <v>0.96282527881040891</v>
      </c>
      <c r="G1037" s="49">
        <f>1000*E1037*$J$2*9.81/1000</f>
        <v>1614.8429261891745</v>
      </c>
    </row>
    <row r="1038" spans="1:7" ht="14.4" x14ac:dyDescent="0.3">
      <c r="A1038" s="41">
        <v>17.707699999999999</v>
      </c>
      <c r="B1038" s="42">
        <v>13667</v>
      </c>
      <c r="C1038" s="43">
        <f>A1038*($H$2/$I$2)</f>
        <v>17.426932750136686</v>
      </c>
      <c r="D1038" s="43">
        <f>D1037+1</f>
        <v>1037</v>
      </c>
      <c r="E1038" s="43">
        <v>8.1804045926735931</v>
      </c>
      <c r="F1038" s="43">
        <f>D1038/1076</f>
        <v>0.96375464684014867</v>
      </c>
      <c r="G1038" s="45">
        <f>1000*E1038*$J$2*9.81/1000</f>
        <v>1604.9953810825593</v>
      </c>
    </row>
    <row r="1039" spans="1:7" ht="14.4" x14ac:dyDescent="0.3">
      <c r="A1039" s="46">
        <v>25.3565</v>
      </c>
      <c r="B1039" s="47">
        <v>13636</v>
      </c>
      <c r="C1039" s="48">
        <f>A1039*($H$2/$I$2)</f>
        <v>24.954455986878074</v>
      </c>
      <c r="D1039" s="48">
        <f>D1038+1</f>
        <v>1038</v>
      </c>
      <c r="E1039" s="48">
        <v>8.0694915254237287</v>
      </c>
      <c r="F1039" s="48">
        <f>D1039/1076</f>
        <v>0.96468401486988853</v>
      </c>
      <c r="G1039" s="49">
        <f>1000*E1039*$J$2*9.81/1000</f>
        <v>1583.2342372881358</v>
      </c>
    </row>
    <row r="1040" spans="1:7" ht="14.4" x14ac:dyDescent="0.3">
      <c r="A1040" s="41">
        <v>23.695699999999999</v>
      </c>
      <c r="B1040" s="42">
        <v>13606</v>
      </c>
      <c r="C1040" s="43">
        <f>A1040*($H$2/$I$2)</f>
        <v>23.319989065062874</v>
      </c>
      <c r="D1040" s="43">
        <f>D1039+1</f>
        <v>1039</v>
      </c>
      <c r="E1040" s="48">
        <v>8.0404592673592123</v>
      </c>
      <c r="F1040" s="43">
        <f>D1040/1076</f>
        <v>0.96561338289962828</v>
      </c>
      <c r="G1040" s="45">
        <f>1000*E1040*$J$2*9.81/1000</f>
        <v>1577.5381082558777</v>
      </c>
    </row>
    <row r="1041" spans="1:7" ht="14.4" x14ac:dyDescent="0.3">
      <c r="A1041" s="46">
        <v>36.380200000000002</v>
      </c>
      <c r="B1041" s="47">
        <v>13575</v>
      </c>
      <c r="C1041" s="48">
        <f>A1041*($H$2/$I$2)</f>
        <v>35.803367960634226</v>
      </c>
      <c r="D1041" s="48">
        <f>D1040+1</f>
        <v>1040</v>
      </c>
      <c r="E1041" s="43">
        <v>8.0057189721159112</v>
      </c>
      <c r="F1041" s="48">
        <f>D1041/1076</f>
        <v>0.96654275092936803</v>
      </c>
      <c r="G1041" s="49">
        <f>1000*E1041*$J$2*9.81/1000</f>
        <v>1570.7220623291419</v>
      </c>
    </row>
    <row r="1042" spans="1:7" ht="14.4" x14ac:dyDescent="0.3">
      <c r="A1042" s="41">
        <v>58.110900000000001</v>
      </c>
      <c r="B1042" s="42">
        <v>13547</v>
      </c>
      <c r="C1042" s="43">
        <f>A1042*($H$2/$I$2)</f>
        <v>57.189513395297979</v>
      </c>
      <c r="D1042" s="43">
        <f>D1041+1</f>
        <v>1041</v>
      </c>
      <c r="E1042" s="43">
        <v>7.9914488791689449</v>
      </c>
      <c r="F1042" s="43">
        <f>D1042/1076</f>
        <v>0.96747211895910779</v>
      </c>
      <c r="G1042" s="45">
        <f>1000*E1042*$J$2*9.81/1000</f>
        <v>1567.9222700929472</v>
      </c>
    </row>
    <row r="1043" spans="1:7" ht="14.4" x14ac:dyDescent="0.3">
      <c r="A1043" s="46">
        <v>101.7311</v>
      </c>
      <c r="B1043" s="47">
        <v>13516</v>
      </c>
      <c r="C1043" s="48">
        <f>A1043*($H$2/$I$2)</f>
        <v>100.11808638600327</v>
      </c>
      <c r="D1043" s="48">
        <f>D1042+1</f>
        <v>1042</v>
      </c>
      <c r="E1043" s="43">
        <v>7.9818042646254783</v>
      </c>
      <c r="F1043" s="48">
        <f>D1043/1076</f>
        <v>0.96840148698884754</v>
      </c>
      <c r="G1043" s="49">
        <f>1000*E1043*$J$2*9.81/1000</f>
        <v>1566.029996719519</v>
      </c>
    </row>
    <row r="1044" spans="1:7" ht="14.4" x14ac:dyDescent="0.3">
      <c r="A1044" s="41">
        <v>56.5</v>
      </c>
      <c r="B1044" s="42">
        <v>13485</v>
      </c>
      <c r="C1044" s="43">
        <f>A1044*($H$2/$I$2)</f>
        <v>55.604155276107157</v>
      </c>
      <c r="D1044" s="43">
        <f>D1043+1</f>
        <v>1043</v>
      </c>
      <c r="E1044" s="48">
        <v>7.9741279387643527</v>
      </c>
      <c r="F1044" s="43">
        <f>D1044/1076</f>
        <v>0.9693308550185874</v>
      </c>
      <c r="G1044" s="45">
        <f>1000*E1044*$J$2*9.81/1000</f>
        <v>1564.5239015855661</v>
      </c>
    </row>
    <row r="1045" spans="1:7" ht="14.4" customHeight="1" x14ac:dyDescent="0.3">
      <c r="A1045" s="46">
        <v>26.645600000000002</v>
      </c>
      <c r="B1045" s="47">
        <v>13455</v>
      </c>
      <c r="C1045" s="48">
        <f>A1045*($H$2/$I$2)</f>
        <v>26.223116457080373</v>
      </c>
      <c r="D1045" s="48">
        <f>D1044+1</f>
        <v>1044</v>
      </c>
      <c r="E1045" s="48">
        <v>7.9618261344997263</v>
      </c>
      <c r="F1045" s="48">
        <f>D1045/1076</f>
        <v>0.97026022304832715</v>
      </c>
      <c r="G1045" s="49">
        <f>1000*E1045*$J$2*9.81/1000</f>
        <v>1562.1102875888466</v>
      </c>
    </row>
    <row r="1046" spans="1:7" ht="14.4" x14ac:dyDescent="0.3">
      <c r="A1046" s="41">
        <v>13.164300000000001</v>
      </c>
      <c r="B1046" s="42">
        <v>13424</v>
      </c>
      <c r="C1046" s="43">
        <f>A1046*($H$2/$I$2)</f>
        <v>12.955571350464735</v>
      </c>
      <c r="D1046" s="43">
        <f>D1045+1</f>
        <v>1045</v>
      </c>
      <c r="E1046" s="48">
        <v>7.7944231820667031</v>
      </c>
      <c r="F1046" s="43">
        <f>D1046/1076</f>
        <v>0.97118959107806691</v>
      </c>
      <c r="G1046" s="45">
        <f>1000*E1046*$J$2*9.81/1000</f>
        <v>1529.2658283214871</v>
      </c>
    </row>
    <row r="1047" spans="1:7" ht="14.4" x14ac:dyDescent="0.3">
      <c r="A1047" s="46">
        <v>16.531300000000002</v>
      </c>
      <c r="B1047" s="47">
        <v>13394</v>
      </c>
      <c r="C1047" s="48">
        <f>A1047*($H$2/$I$2)</f>
        <v>16.269185347184255</v>
      </c>
      <c r="D1047" s="48">
        <f>D1046+1</f>
        <v>1046</v>
      </c>
      <c r="E1047" s="43">
        <v>7.7301585565882993</v>
      </c>
      <c r="F1047" s="48">
        <f>D1047/1076</f>
        <v>0.97211895910780666</v>
      </c>
      <c r="G1047" s="49">
        <f>1000*E1047*$J$2*9.81/1000</f>
        <v>1516.6571088026244</v>
      </c>
    </row>
    <row r="1048" spans="1:7" ht="14.4" x14ac:dyDescent="0.3">
      <c r="A1048" s="41">
        <v>12.909800000000001</v>
      </c>
      <c r="B1048" s="42">
        <v>13363</v>
      </c>
      <c r="C1048" s="43">
        <f>A1048*($H$2/$I$2)</f>
        <v>12.705106615636961</v>
      </c>
      <c r="D1048" s="43">
        <f>D1047+1</f>
        <v>1047</v>
      </c>
      <c r="E1048" s="43">
        <v>7.4973100054674688</v>
      </c>
      <c r="F1048" s="43">
        <f>D1048/1076</f>
        <v>0.97304832713754652</v>
      </c>
      <c r="G1048" s="45">
        <f>1000*E1048*$J$2*9.81/1000</f>
        <v>1470.9722230727177</v>
      </c>
    </row>
    <row r="1049" spans="1:7" ht="14.4" x14ac:dyDescent="0.3">
      <c r="A1049" s="46">
        <v>11.228999999999999</v>
      </c>
      <c r="B1049" s="47">
        <v>13332</v>
      </c>
      <c r="C1049" s="48">
        <f>A1049*($H$2/$I$2)</f>
        <v>11.050956806998359</v>
      </c>
      <c r="D1049" s="48">
        <f>D1048+1</f>
        <v>1048</v>
      </c>
      <c r="E1049" s="43">
        <v>7.4106068890103884</v>
      </c>
      <c r="F1049" s="48">
        <f>D1049/1076</f>
        <v>0.97397769516728627</v>
      </c>
      <c r="G1049" s="49">
        <f>1000*E1049*$J$2*9.81/1000</f>
        <v>1453.9610716238385</v>
      </c>
    </row>
    <row r="1050" spans="1:7" ht="14.4" x14ac:dyDescent="0.3">
      <c r="A1050" s="41">
        <v>13.622</v>
      </c>
      <c r="B1050" s="42">
        <v>13302</v>
      </c>
      <c r="C1050" s="43">
        <f>A1050*($H$2/$I$2)</f>
        <v>13.40601421541826</v>
      </c>
      <c r="D1050" s="43">
        <f>D1049+1</f>
        <v>1049</v>
      </c>
      <c r="E1050" s="48">
        <v>7.3611044286495355</v>
      </c>
      <c r="F1050" s="43">
        <f>D1050/1076</f>
        <v>0.97490706319702602</v>
      </c>
      <c r="G1050" s="45">
        <f>1000*E1050*$J$2*9.81/1000</f>
        <v>1444.2486889010388</v>
      </c>
    </row>
    <row r="1051" spans="1:7" ht="14.4" x14ac:dyDescent="0.3">
      <c r="A1051" s="46">
        <v>20.465800000000002</v>
      </c>
      <c r="B1051" s="47">
        <v>13271</v>
      </c>
      <c r="C1051" s="48">
        <f>A1051*($H$2/$I$2)</f>
        <v>20.141301257517771</v>
      </c>
      <c r="D1051" s="48">
        <f>D1050+1</f>
        <v>1050</v>
      </c>
      <c r="E1051" s="48">
        <v>7.2275560415527611</v>
      </c>
      <c r="F1051" s="48">
        <f>D1051/1076</f>
        <v>0.97583643122676578</v>
      </c>
      <c r="G1051" s="49">
        <f>1000*E1051*$J$2*9.81/1000</f>
        <v>1418.0464953526516</v>
      </c>
    </row>
    <row r="1052" spans="1:7" ht="14.4" customHeight="1" x14ac:dyDescent="0.3">
      <c r="A1052" s="41">
        <v>26.701000000000001</v>
      </c>
      <c r="B1052" s="42">
        <v>13241</v>
      </c>
      <c r="C1052" s="43">
        <f>A1052*($H$2/$I$2)</f>
        <v>26.277638053581192</v>
      </c>
      <c r="D1052" s="43">
        <f>D1051+1</f>
        <v>1051</v>
      </c>
      <c r="E1052" s="48">
        <v>7.2145653362493167</v>
      </c>
      <c r="F1052" s="43">
        <f>D1052/1076</f>
        <v>0.97676579925650553</v>
      </c>
      <c r="G1052" s="45">
        <f>1000*E1052*$J$2*9.81/1000</f>
        <v>1415.497718972116</v>
      </c>
    </row>
    <row r="1053" spans="1:7" ht="14.4" x14ac:dyDescent="0.3">
      <c r="A1053" s="46">
        <v>54.626600000000003</v>
      </c>
      <c r="B1053" s="47">
        <v>13210</v>
      </c>
      <c r="C1053" s="48">
        <f>A1053*($H$2/$I$2)</f>
        <v>53.760459267359217</v>
      </c>
      <c r="D1053" s="48">
        <f>D1052+1</f>
        <v>1052</v>
      </c>
      <c r="E1053" s="48">
        <v>7.2098414434117002</v>
      </c>
      <c r="F1053" s="48">
        <f>D1053/1076</f>
        <v>0.97769516728624539</v>
      </c>
      <c r="G1053" s="49">
        <f>1000*E1053*$J$2*9.81/1000</f>
        <v>1414.5708911973757</v>
      </c>
    </row>
    <row r="1054" spans="1:7" ht="14.4" customHeight="1" x14ac:dyDescent="0.3">
      <c r="A1054" s="41">
        <v>33.124699999999997</v>
      </c>
      <c r="B1054" s="42">
        <v>13181</v>
      </c>
      <c r="C1054" s="43">
        <f>A1054*($H$2/$I$2)</f>
        <v>32.599486057955161</v>
      </c>
      <c r="D1054" s="43">
        <f>D1053+1</f>
        <v>1053</v>
      </c>
      <c r="E1054" s="43">
        <v>7.1689010388190262</v>
      </c>
      <c r="F1054" s="43">
        <f>D1054/1076</f>
        <v>0.97862453531598514</v>
      </c>
      <c r="G1054" s="45">
        <f>1000*E1054*$J$2*9.81/1000</f>
        <v>1406.5383838162929</v>
      </c>
    </row>
    <row r="1055" spans="1:7" ht="14.4" x14ac:dyDescent="0.3">
      <c r="A1055" s="46">
        <v>21.073899999999998</v>
      </c>
      <c r="B1055" s="47">
        <v>13150</v>
      </c>
      <c r="C1055" s="48">
        <f>A1055*($H$2/$I$2)</f>
        <v>20.739759431383266</v>
      </c>
      <c r="D1055" s="48">
        <f>D1054+1</f>
        <v>1054</v>
      </c>
      <c r="E1055" s="43">
        <v>7.1033570256971021</v>
      </c>
      <c r="F1055" s="48">
        <f>D1055/1076</f>
        <v>0.9795539033457249</v>
      </c>
      <c r="G1055" s="49">
        <f>1000*E1055*$J$2*9.81/1000</f>
        <v>1393.6786484417714</v>
      </c>
    </row>
    <row r="1056" spans="1:7" ht="14.4" x14ac:dyDescent="0.3">
      <c r="A1056" s="41">
        <v>22.182300000000001</v>
      </c>
      <c r="B1056" s="42">
        <v>13119</v>
      </c>
      <c r="C1056" s="43">
        <f>A1056*($H$2/$I$2)</f>
        <v>21.830585019136141</v>
      </c>
      <c r="D1056" s="43">
        <f>D1055+1</f>
        <v>1055</v>
      </c>
      <c r="E1056" s="48">
        <v>7.0585784581738649</v>
      </c>
      <c r="F1056" s="43">
        <f>D1056/1076</f>
        <v>0.98048327137546465</v>
      </c>
      <c r="G1056" s="45">
        <f>1000*E1056*$J$2*9.81/1000</f>
        <v>1384.8930934937121</v>
      </c>
    </row>
    <row r="1057" spans="1:7" ht="14.4" x14ac:dyDescent="0.3">
      <c r="A1057" s="46">
        <v>18.306899999999999</v>
      </c>
      <c r="B1057" s="47">
        <v>13089</v>
      </c>
      <c r="C1057" s="48">
        <f>A1057*($H$2/$I$2)</f>
        <v>18.016632039365771</v>
      </c>
      <c r="D1057" s="48">
        <f>D1056+1</f>
        <v>1056</v>
      </c>
      <c r="E1057" s="43">
        <v>6.9480590486604692</v>
      </c>
      <c r="F1057" s="48">
        <f>D1057/1076</f>
        <v>0.98141263940520451</v>
      </c>
      <c r="G1057" s="49">
        <f>1000*E1057*$J$2*9.81/1000</f>
        <v>1363.2091853471841</v>
      </c>
    </row>
    <row r="1058" spans="1:7" ht="14.4" x14ac:dyDescent="0.3">
      <c r="A1058" s="41">
        <v>21.665800000000001</v>
      </c>
      <c r="B1058" s="42">
        <v>13058</v>
      </c>
      <c r="C1058" s="43">
        <f>A1058*($H$2/$I$2)</f>
        <v>21.322274466921815</v>
      </c>
      <c r="D1058" s="43">
        <f>D1057+1</f>
        <v>1057</v>
      </c>
      <c r="E1058" s="43">
        <v>6.9066265718972115</v>
      </c>
      <c r="F1058" s="43">
        <f>D1058/1076</f>
        <v>0.98234200743494426</v>
      </c>
      <c r="G1058" s="45">
        <f>1000*E1058*$J$2*9.81/1000</f>
        <v>1355.080133406233</v>
      </c>
    </row>
    <row r="1059" spans="1:7" ht="14.4" x14ac:dyDescent="0.3">
      <c r="A1059" s="46">
        <v>14.4335</v>
      </c>
      <c r="B1059" s="47">
        <v>13028</v>
      </c>
      <c r="C1059" s="48">
        <f>A1059*($H$2/$I$2)</f>
        <v>14.204647348277748</v>
      </c>
      <c r="D1059" s="48">
        <f>D1058+1</f>
        <v>1058</v>
      </c>
      <c r="E1059" s="48">
        <v>6.8494477856752329</v>
      </c>
      <c r="F1059" s="48">
        <f>D1059/1076</f>
        <v>0.98327137546468402</v>
      </c>
      <c r="G1059" s="49">
        <f>1000*E1059*$J$2*9.81/1000</f>
        <v>1343.8616555494807</v>
      </c>
    </row>
    <row r="1060" spans="1:7" ht="14.4" x14ac:dyDescent="0.3">
      <c r="A1060" s="41">
        <v>12.801399999999999</v>
      </c>
      <c r="B1060" s="42">
        <v>12997</v>
      </c>
      <c r="C1060" s="43">
        <f>A1060*($H$2/$I$2)</f>
        <v>12.598425369054127</v>
      </c>
      <c r="D1060" s="43">
        <f>D1059+1</f>
        <v>1059</v>
      </c>
      <c r="E1060" s="43">
        <v>6.6557681793329682</v>
      </c>
      <c r="F1060" s="43">
        <f>D1060/1076</f>
        <v>0.98420074349442377</v>
      </c>
      <c r="G1060" s="45">
        <f>1000*E1060*$J$2*9.81/1000</f>
        <v>1305.8617167851285</v>
      </c>
    </row>
    <row r="1061" spans="1:7" ht="14.4" x14ac:dyDescent="0.3">
      <c r="A1061" s="46">
        <v>15.979799999999999</v>
      </c>
      <c r="B1061" s="47">
        <v>12966</v>
      </c>
      <c r="C1061" s="48">
        <f>A1061*($H$2/$I$2)</f>
        <v>15.726429743028977</v>
      </c>
      <c r="D1061" s="48">
        <f>D1060+1</f>
        <v>1060</v>
      </c>
      <c r="E1061" s="43">
        <v>6.6269327501366861</v>
      </c>
      <c r="F1061" s="48">
        <f>D1061/1076</f>
        <v>0.98513011152416352</v>
      </c>
      <c r="G1061" s="49">
        <f>1000*E1061*$J$2*9.81/1000</f>
        <v>1300.2042055768179</v>
      </c>
    </row>
    <row r="1062" spans="1:7" ht="14.4" x14ac:dyDescent="0.3">
      <c r="A1062" s="41">
        <v>20.147500000000001</v>
      </c>
      <c r="B1062" s="42">
        <v>12936</v>
      </c>
      <c r="C1062" s="43">
        <f>A1062*($H$2/$I$2)</f>
        <v>19.828048113723348</v>
      </c>
      <c r="D1062" s="43">
        <f>D1061+1</f>
        <v>1061</v>
      </c>
      <c r="E1062" s="48">
        <v>6.4633679606342263</v>
      </c>
      <c r="F1062" s="43">
        <f>D1062/1076</f>
        <v>0.98605947955390338</v>
      </c>
      <c r="G1062" s="45">
        <f>1000*E1062*$J$2*9.81/1000</f>
        <v>1268.1127938764353</v>
      </c>
    </row>
    <row r="1063" spans="1:7" ht="14.4" x14ac:dyDescent="0.3">
      <c r="A1063" s="46">
        <v>27.790299999999998</v>
      </c>
      <c r="B1063" s="47">
        <v>12905</v>
      </c>
      <c r="C1063" s="48">
        <f>A1063*($H$2/$I$2)</f>
        <v>27.34966648441771</v>
      </c>
      <c r="D1063" s="48">
        <f>D1062+1</f>
        <v>1062</v>
      </c>
      <c r="E1063" s="43">
        <v>6.4480153089119732</v>
      </c>
      <c r="F1063" s="48">
        <f>D1063/1076</f>
        <v>0.98698884758364314</v>
      </c>
      <c r="G1063" s="49">
        <f>1000*E1063*$J$2*9.81/1000</f>
        <v>1265.1006036085294</v>
      </c>
    </row>
    <row r="1064" spans="1:7" ht="14.4" x14ac:dyDescent="0.3">
      <c r="A1064" s="41">
        <v>41.524900000000002</v>
      </c>
      <c r="B1064" s="42">
        <v>12875</v>
      </c>
      <c r="C1064" s="43">
        <f>A1064*($H$2/$I$2)</f>
        <v>40.866495352651725</v>
      </c>
      <c r="D1064" s="43">
        <f>D1063+1</f>
        <v>1063</v>
      </c>
      <c r="E1064" s="43">
        <v>6.3378895571350462</v>
      </c>
      <c r="F1064" s="43">
        <f>D1064/1076</f>
        <v>0.98791821561338289</v>
      </c>
      <c r="G1064" s="45">
        <f>1000*E1064*$J$2*9.81/1000</f>
        <v>1243.493931109896</v>
      </c>
    </row>
    <row r="1065" spans="1:7" ht="14.4" x14ac:dyDescent="0.3">
      <c r="A1065" s="46">
        <v>34.608199999999997</v>
      </c>
      <c r="B1065" s="47">
        <v>12844</v>
      </c>
      <c r="C1065" s="48">
        <f>A1065*($H$2/$I$2)</f>
        <v>34.059464188080916</v>
      </c>
      <c r="D1065" s="48">
        <f>D1064+1</f>
        <v>1064</v>
      </c>
      <c r="E1065" s="48">
        <v>6.2253034445051938</v>
      </c>
      <c r="F1065" s="48">
        <f>D1065/1076</f>
        <v>0.98884758364312264</v>
      </c>
      <c r="G1065" s="49">
        <f>1000*E1065*$J$2*9.81/1000</f>
        <v>1221.404535811919</v>
      </c>
    </row>
    <row r="1066" spans="1:7" ht="14.4" x14ac:dyDescent="0.3">
      <c r="A1066" s="41">
        <v>85.060199999999995</v>
      </c>
      <c r="B1066" s="42">
        <v>12816</v>
      </c>
      <c r="C1066" s="43">
        <f>A1066*($H$2/$I$2)</f>
        <v>83.711514488791678</v>
      </c>
      <c r="D1066" s="43">
        <f>D1065+1</f>
        <v>1065</v>
      </c>
      <c r="E1066" s="48">
        <v>6.0759103335155817</v>
      </c>
      <c r="F1066" s="43">
        <f>D1066/1076</f>
        <v>0.9897769516728625</v>
      </c>
      <c r="G1066" s="45">
        <f>1000*E1066*$J$2*9.81/1000</f>
        <v>1192.0936074357571</v>
      </c>
    </row>
    <row r="1067" spans="1:7" ht="15.75" customHeight="1" x14ac:dyDescent="0.25">
      <c r="A1067" s="50">
        <v>47.751899999999999</v>
      </c>
      <c r="B1067" s="47">
        <v>12785</v>
      </c>
      <c r="C1067" s="48">
        <f>A1067*($H$2/$I$2)</f>
        <v>46.99476216511755</v>
      </c>
      <c r="D1067" s="48">
        <f>D1066+1</f>
        <v>1066</v>
      </c>
      <c r="E1067" s="43">
        <v>5.8655002733734278</v>
      </c>
      <c r="F1067" s="48">
        <f>D1067/1076</f>
        <v>0.99070631970260226</v>
      </c>
      <c r="G1067" s="49">
        <f>1000*E1067*$J$2*9.81/1000</f>
        <v>1150.8111536358667</v>
      </c>
    </row>
    <row r="1068" spans="1:7" ht="15.75" customHeight="1" x14ac:dyDescent="0.25">
      <c r="A1068" s="44">
        <v>56.826900000000002</v>
      </c>
      <c r="B1068" s="42">
        <v>12754</v>
      </c>
      <c r="C1068" s="43">
        <f>A1068*($H$2/$I$2)</f>
        <v>55.925872061235651</v>
      </c>
      <c r="D1068" s="43">
        <f>D1067+1</f>
        <v>1067</v>
      </c>
      <c r="E1068" s="48">
        <v>5.7172881355932201</v>
      </c>
      <c r="F1068" s="43">
        <f>D1068/1076</f>
        <v>0.99163568773234201</v>
      </c>
      <c r="G1068" s="45">
        <f>1000*E1068*$J$2*9.81/1000</f>
        <v>1121.73193220339</v>
      </c>
    </row>
    <row r="1069" spans="1:7" ht="15.75" customHeight="1" x14ac:dyDescent="0.25">
      <c r="A1069" s="50">
        <v>11.629899999999999</v>
      </c>
      <c r="B1069" s="47">
        <v>12724</v>
      </c>
      <c r="C1069" s="48">
        <f>A1069*($H$2/$I$2)</f>
        <v>11.445500273373426</v>
      </c>
      <c r="D1069" s="48">
        <f>D1068+1</f>
        <v>1068</v>
      </c>
      <c r="E1069" s="43">
        <v>5.5250847457627117</v>
      </c>
      <c r="F1069" s="48">
        <f>D1069/1076</f>
        <v>0.99256505576208176</v>
      </c>
      <c r="G1069" s="49">
        <f>1000*E1069*$J$2*9.81/1000</f>
        <v>1084.0216271186441</v>
      </c>
    </row>
    <row r="1070" spans="1:7" ht="15.75" customHeight="1" x14ac:dyDescent="0.25">
      <c r="A1070" s="44">
        <v>10.4147</v>
      </c>
      <c r="B1070" s="42">
        <v>12693</v>
      </c>
      <c r="C1070" s="43">
        <f>A1070*($H$2/$I$2)</f>
        <v>10.249568069983598</v>
      </c>
      <c r="D1070" s="43">
        <f>D1069+1</f>
        <v>1069</v>
      </c>
      <c r="E1070" s="48">
        <v>5.1736468015308903</v>
      </c>
      <c r="F1070" s="43">
        <f>D1070/1076</f>
        <v>0.99349442379182151</v>
      </c>
      <c r="G1070" s="45">
        <f>1000*E1070*$J$2*9.81/1000</f>
        <v>1015.0695024603607</v>
      </c>
    </row>
    <row r="1071" spans="1:7" ht="15.75" customHeight="1" x14ac:dyDescent="0.25">
      <c r="A1071" s="50">
        <v>10.460900000000001</v>
      </c>
      <c r="B1071" s="47">
        <v>12663</v>
      </c>
      <c r="C1071" s="48">
        <f>A1071*($H$2/$I$2)</f>
        <v>10.295035538545653</v>
      </c>
      <c r="D1071" s="48">
        <f>D1070+1</f>
        <v>1070</v>
      </c>
      <c r="E1071" s="48">
        <v>5.0894040459267362</v>
      </c>
      <c r="F1071" s="48">
        <f>D1071/1076</f>
        <v>0.99442379182156138</v>
      </c>
      <c r="G1071" s="49">
        <f>1000*E1071*$J$2*9.81/1000</f>
        <v>998.54107381082554</v>
      </c>
    </row>
    <row r="1072" spans="1:7" ht="15.75" customHeight="1" x14ac:dyDescent="0.25">
      <c r="A1072" s="44">
        <v>7.2843999999999998</v>
      </c>
      <c r="B1072" s="42">
        <v>12632</v>
      </c>
      <c r="C1072" s="43">
        <f>A1072*($H$2/$I$2)</f>
        <v>7.1689010388190262</v>
      </c>
      <c r="D1072" s="43">
        <f>D1071+1</f>
        <v>1071</v>
      </c>
      <c r="E1072" s="48">
        <v>5.0289775833788957</v>
      </c>
      <c r="F1072" s="43">
        <f>D1072/1076</f>
        <v>0.99535315985130113</v>
      </c>
      <c r="G1072" s="45">
        <f>1000*E1072*$J$2*9.81/1000</f>
        <v>986.68540185893937</v>
      </c>
    </row>
    <row r="1073" spans="1:7" ht="15.75" customHeight="1" x14ac:dyDescent="0.25">
      <c r="A1073" s="50">
        <v>7.3308</v>
      </c>
      <c r="B1073" s="47">
        <v>12601</v>
      </c>
      <c r="C1073" s="48">
        <f>A1073*($H$2/$I$2)</f>
        <v>7.2145653362493167</v>
      </c>
      <c r="D1073" s="48">
        <f>D1072+1</f>
        <v>1072</v>
      </c>
      <c r="E1073" s="48">
        <v>4.5494040459267362</v>
      </c>
      <c r="F1073" s="48">
        <f>D1073/1076</f>
        <v>0.99628252788104088</v>
      </c>
      <c r="G1073" s="49">
        <f>1000*E1073*$J$2*9.81/1000</f>
        <v>892.59307381082556</v>
      </c>
    </row>
    <row r="1074" spans="1:7" ht="15.75" customHeight="1" x14ac:dyDescent="0.25">
      <c r="A1074" s="44">
        <v>5.6140999999999996</v>
      </c>
      <c r="B1074" s="42">
        <v>12571</v>
      </c>
      <c r="C1074" s="43">
        <f>A1074*($H$2/$I$2)</f>
        <v>5.5250847457627117</v>
      </c>
      <c r="D1074" s="43">
        <f>D1073+1</f>
        <v>1073</v>
      </c>
      <c r="E1074" s="48">
        <v>4.5253909240021866</v>
      </c>
      <c r="F1074" s="43">
        <f>D1074/1076</f>
        <v>0.99721189591078063</v>
      </c>
      <c r="G1074" s="45">
        <f>1000*E1074*$J$2*9.81/1000</f>
        <v>887.881699289229</v>
      </c>
    </row>
    <row r="1075" spans="1:7" ht="15.75" customHeight="1" x14ac:dyDescent="0.25">
      <c r="A1075" s="50">
        <v>8.0900999999999996</v>
      </c>
      <c r="B1075" s="47">
        <v>12540</v>
      </c>
      <c r="C1075" s="48">
        <f>A1075*($H$2/$I$2)</f>
        <v>7.9618261344997263</v>
      </c>
      <c r="D1075" s="48">
        <f>D1074+1</f>
        <v>1074</v>
      </c>
      <c r="E1075" s="43">
        <v>4.0467031164570804</v>
      </c>
      <c r="F1075" s="48">
        <f>D1075/1076</f>
        <v>0.9981412639405205</v>
      </c>
      <c r="G1075" s="49">
        <f>1000*E1075*$J$2*9.81/1000</f>
        <v>793.96315144887933</v>
      </c>
    </row>
    <row r="1076" spans="1:7" ht="15.75" customHeight="1" x14ac:dyDescent="0.25">
      <c r="A1076" s="51">
        <v>13.479200000000001</v>
      </c>
      <c r="B1076" s="52">
        <v>12510</v>
      </c>
      <c r="C1076" s="53">
        <f>A1076*($H$2/$I$2)</f>
        <v>13.265478403499181</v>
      </c>
      <c r="D1076" s="53">
        <f>D1075+1</f>
        <v>1075</v>
      </c>
      <c r="E1076" s="53">
        <v>3.2229743028977582</v>
      </c>
      <c r="F1076" s="53">
        <f>D1076/1076</f>
        <v>0.99907063197026025</v>
      </c>
      <c r="G1076" s="54">
        <f>1000*E1076*$J$2*9.81/1000</f>
        <v>632.34755822854015</v>
      </c>
    </row>
    <row r="1077" spans="1:7" ht="15.75" customHeight="1" x14ac:dyDescent="0.25">
      <c r="B1077" s="9"/>
    </row>
  </sheetData>
  <sortState xmlns:xlrd2="http://schemas.microsoft.com/office/spreadsheetml/2017/richdata2" ref="E2:E1076">
    <sortCondition descending="1" ref="E2:E1076"/>
  </sortState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49FF6-4D2E-4594-B5B0-2F0369BA211B}">
  <dimension ref="A1:G1"/>
  <sheetViews>
    <sheetView workbookViewId="0">
      <selection activeCell="K14" sqref="K14"/>
    </sheetView>
  </sheetViews>
  <sheetFormatPr defaultRowHeight="13.2" x14ac:dyDescent="0.25"/>
  <sheetData>
    <row r="1" spans="1:7" x14ac:dyDescent="0.25">
      <c r="A1" s="16" t="s">
        <v>40</v>
      </c>
      <c r="B1" s="16" t="s">
        <v>41</v>
      </c>
      <c r="C1" s="16" t="s">
        <v>42</v>
      </c>
      <c r="D1" s="16" t="s">
        <v>43</v>
      </c>
      <c r="E1" s="16" t="s">
        <v>44</v>
      </c>
      <c r="F1" s="16" t="s">
        <v>45</v>
      </c>
      <c r="G1" s="16" t="s">
        <v>46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D8B80-6C0F-487C-A301-4187B20279FC}">
  <dimension ref="A1"/>
  <sheetViews>
    <sheetView workbookViewId="0">
      <selection activeCell="C7" sqref="A1:C7"/>
    </sheetView>
  </sheetViews>
  <sheetFormatPr defaultRowHeight="13.2" x14ac:dyDescent="0.25"/>
  <cols>
    <col min="1" max="1" width="12" bestFit="1" customWidth="1"/>
  </cols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77"/>
  <sheetViews>
    <sheetView topLeftCell="A2" workbookViewId="0">
      <selection activeCell="A4" sqref="A4"/>
    </sheetView>
  </sheetViews>
  <sheetFormatPr defaultColWidth="12.6640625" defaultRowHeight="15.75" customHeight="1" x14ac:dyDescent="0.25"/>
  <cols>
    <col min="1" max="1" width="11.33203125" bestFit="1" customWidth="1"/>
    <col min="2" max="2" width="14.88671875" bestFit="1" customWidth="1"/>
    <col min="3" max="3" width="16.6640625" bestFit="1" customWidth="1"/>
    <col min="4" max="4" width="12" bestFit="1" customWidth="1"/>
    <col min="6" max="6" width="14.77734375" bestFit="1" customWidth="1"/>
    <col min="7" max="7" width="32.88671875" bestFit="1" customWidth="1"/>
    <col min="8" max="8" width="23.21875" bestFit="1" customWidth="1"/>
    <col min="9" max="9" width="41.77734375" bestFit="1" customWidth="1"/>
    <col min="10" max="10" width="28.77734375" bestFit="1" customWidth="1"/>
    <col min="12" max="12" width="15.33203125" bestFit="1" customWidth="1"/>
    <col min="13" max="13" width="33.109375" bestFit="1" customWidth="1"/>
    <col min="14" max="14" width="5" bestFit="1" customWidth="1"/>
    <col min="15" max="15" width="7.5546875" bestFit="1" customWidth="1"/>
    <col min="16" max="16" width="20.5546875" bestFit="1" customWidth="1"/>
  </cols>
  <sheetData>
    <row r="1" spans="1:16" ht="13.2" x14ac:dyDescent="0.25">
      <c r="B1" s="6"/>
      <c r="D1" s="6"/>
    </row>
    <row r="2" spans="1:16" s="12" customFormat="1" ht="19.95" customHeight="1" x14ac:dyDescent="0.25">
      <c r="A2" s="57" t="s">
        <v>2</v>
      </c>
      <c r="B2" s="58" t="s">
        <v>9</v>
      </c>
      <c r="C2" s="58" t="s">
        <v>4</v>
      </c>
      <c r="D2" s="58" t="s">
        <v>10</v>
      </c>
      <c r="E2" s="58" t="s">
        <v>11</v>
      </c>
      <c r="F2" s="58" t="s">
        <v>12</v>
      </c>
      <c r="G2" s="58" t="s">
        <v>13</v>
      </c>
      <c r="H2" s="58" t="s">
        <v>14</v>
      </c>
      <c r="I2" s="58" t="s">
        <v>15</v>
      </c>
      <c r="J2" s="59" t="s">
        <v>16</v>
      </c>
      <c r="M2" s="13" t="s">
        <v>17</v>
      </c>
      <c r="N2" s="13">
        <v>0.25</v>
      </c>
      <c r="O2" s="13" t="s">
        <v>18</v>
      </c>
    </row>
    <row r="3" spans="1:16" ht="13.2" x14ac:dyDescent="0.25">
      <c r="A3" s="60">
        <v>1075</v>
      </c>
      <c r="B3" s="61">
        <v>140.84168398031713</v>
      </c>
      <c r="C3" s="61">
        <v>0.99907063197026025</v>
      </c>
      <c r="D3" s="61">
        <v>27633.138396938197</v>
      </c>
      <c r="E3" s="61">
        <f>D3*C3</f>
        <v>27607.457041550708</v>
      </c>
      <c r="F3" s="61">
        <f t="shared" ref="F3:F1067" si="0">E3*24*365</f>
        <v>241841323.68398422</v>
      </c>
      <c r="G3" s="62">
        <f t="shared" ref="G3:G12" si="1">J3-I3-(H3*$N$4)</f>
        <v>33932518.059935383</v>
      </c>
      <c r="H3" s="62">
        <f t="shared" ref="H3:H1067" si="2">$N$3*D3</f>
        <v>221065107.17550558</v>
      </c>
      <c r="I3" s="62">
        <f t="shared" ref="I3:I1067" si="3">H3*0.03</f>
        <v>6631953.2152651669</v>
      </c>
      <c r="J3" s="63">
        <f t="shared" ref="J3:J1067" si="4">F3*$N$2</f>
        <v>60460330.920996055</v>
      </c>
      <c r="M3" s="4" t="s">
        <v>19</v>
      </c>
      <c r="N3" s="4">
        <v>8000</v>
      </c>
      <c r="O3" s="4" t="s">
        <v>18</v>
      </c>
      <c r="P3" s="4" t="s">
        <v>20</v>
      </c>
    </row>
    <row r="4" spans="1:16" ht="13.2" x14ac:dyDescent="0.25">
      <c r="A4" s="64">
        <v>1074</v>
      </c>
      <c r="B4" s="65">
        <v>137.15006014215419</v>
      </c>
      <c r="C4" s="65">
        <v>0.9981412639405205</v>
      </c>
      <c r="D4" s="65">
        <v>26908.841799890655</v>
      </c>
      <c r="E4" s="65">
        <f t="shared" ref="E4:E1068" si="5">(C3+C4/2)*(D4-D3)+E3</f>
        <v>26522.358422182086</v>
      </c>
      <c r="F4" s="65">
        <f t="shared" si="0"/>
        <v>232335859.77831504</v>
      </c>
      <c r="G4" s="66">
        <f t="shared" si="1"/>
        <v>32251476.816683732</v>
      </c>
      <c r="H4" s="66">
        <f t="shared" si="2"/>
        <v>215270734.39912525</v>
      </c>
      <c r="I4" s="66">
        <f t="shared" si="3"/>
        <v>6458122.0319737568</v>
      </c>
      <c r="J4" s="67">
        <f t="shared" si="4"/>
        <v>58083964.944578759</v>
      </c>
      <c r="M4" s="4" t="s">
        <v>21</v>
      </c>
      <c r="N4" s="4">
        <v>0.09</v>
      </c>
      <c r="O4" s="4" t="s">
        <v>22</v>
      </c>
    </row>
    <row r="5" spans="1:16" ht="13.2" x14ac:dyDescent="0.25">
      <c r="A5" s="60">
        <v>1073</v>
      </c>
      <c r="B5" s="61">
        <v>136.16611262985239</v>
      </c>
      <c r="C5" s="61">
        <v>0.99721189591078063</v>
      </c>
      <c r="D5" s="61">
        <v>26715.791297977041</v>
      </c>
      <c r="E5" s="61">
        <f t="shared" si="5"/>
        <v>26233.410621687777</v>
      </c>
      <c r="F5" s="61">
        <f t="shared" si="0"/>
        <v>229804677.04598495</v>
      </c>
      <c r="G5" s="62">
        <f t="shared" si="1"/>
        <v>31804009.615438279</v>
      </c>
      <c r="H5" s="62">
        <f t="shared" si="2"/>
        <v>213726330.38381633</v>
      </c>
      <c r="I5" s="62">
        <f t="shared" si="3"/>
        <v>6411789.9115144899</v>
      </c>
      <c r="J5" s="63">
        <f t="shared" si="4"/>
        <v>57451169.261496238</v>
      </c>
    </row>
    <row r="6" spans="1:16" ht="13.2" x14ac:dyDescent="0.25">
      <c r="A6" s="64">
        <v>1072</v>
      </c>
      <c r="B6" s="65">
        <v>134.93150355385455</v>
      </c>
      <c r="C6" s="65">
        <v>0.99628252788104088</v>
      </c>
      <c r="D6" s="65">
        <v>26473.560997266268</v>
      </c>
      <c r="E6" s="65">
        <f t="shared" si="5"/>
        <v>25871.190776108193</v>
      </c>
      <c r="F6" s="65">
        <f t="shared" si="0"/>
        <v>226631631.19870776</v>
      </c>
      <c r="G6" s="66">
        <f t="shared" si="1"/>
        <v>31243289.242301326</v>
      </c>
      <c r="H6" s="66">
        <f t="shared" si="2"/>
        <v>211788487.97813013</v>
      </c>
      <c r="I6" s="66">
        <f t="shared" si="3"/>
        <v>6353654.6393439034</v>
      </c>
      <c r="J6" s="67">
        <f t="shared" si="4"/>
        <v>56657907.79967694</v>
      </c>
    </row>
    <row r="7" spans="1:16" ht="13.2" x14ac:dyDescent="0.25">
      <c r="A7" s="60">
        <v>1071</v>
      </c>
      <c r="B7" s="61">
        <v>134.17095680699836</v>
      </c>
      <c r="C7" s="61">
        <v>0.99535315985130113</v>
      </c>
      <c r="D7" s="61">
        <v>26324.341725533079</v>
      </c>
      <c r="E7" s="61">
        <f t="shared" si="5"/>
        <v>25648.263286042114</v>
      </c>
      <c r="F7" s="61">
        <f t="shared" si="0"/>
        <v>224678786.38572893</v>
      </c>
      <c r="G7" s="62">
        <f t="shared" si="1"/>
        <v>30898328.539920475</v>
      </c>
      <c r="H7" s="62">
        <f t="shared" si="2"/>
        <v>210594733.80426463</v>
      </c>
      <c r="I7" s="62">
        <f t="shared" si="3"/>
        <v>6317842.014127939</v>
      </c>
      <c r="J7" s="63">
        <f t="shared" si="4"/>
        <v>56169696.596432231</v>
      </c>
    </row>
    <row r="8" spans="1:16" ht="13.2" x14ac:dyDescent="0.25">
      <c r="A8" s="64">
        <v>1070</v>
      </c>
      <c r="B8" s="65">
        <v>131.9244505194095</v>
      </c>
      <c r="C8" s="65">
        <v>0.99442379182156138</v>
      </c>
      <c r="D8" s="65">
        <v>25883.577191908142</v>
      </c>
      <c r="E8" s="65">
        <f t="shared" si="5"/>
        <v>24990.393545334264</v>
      </c>
      <c r="F8" s="65">
        <f t="shared" si="0"/>
        <v>218915847.45712817</v>
      </c>
      <c r="G8" s="66">
        <f t="shared" si="1"/>
        <v>29880727.76005023</v>
      </c>
      <c r="H8" s="66">
        <f t="shared" si="2"/>
        <v>207068617.53526515</v>
      </c>
      <c r="I8" s="66">
        <f t="shared" si="3"/>
        <v>6212058.5260579539</v>
      </c>
      <c r="J8" s="67">
        <f t="shared" si="4"/>
        <v>54728961.864282042</v>
      </c>
    </row>
    <row r="9" spans="1:16" ht="13.2" x14ac:dyDescent="0.25">
      <c r="A9" s="60">
        <v>1069</v>
      </c>
      <c r="B9" s="61">
        <v>128.97211591033351</v>
      </c>
      <c r="C9" s="61">
        <v>0.99349442379182151</v>
      </c>
      <c r="D9" s="61">
        <v>25304.329141607439</v>
      </c>
      <c r="E9" s="61">
        <f t="shared" si="5"/>
        <v>24126.635648765976</v>
      </c>
      <c r="F9" s="61">
        <f t="shared" si="0"/>
        <v>211349328.28318995</v>
      </c>
      <c r="G9" s="62">
        <f t="shared" si="1"/>
        <v>28545176.094854347</v>
      </c>
      <c r="H9" s="62">
        <f t="shared" si="2"/>
        <v>202434633.1328595</v>
      </c>
      <c r="I9" s="62">
        <f t="shared" si="3"/>
        <v>6073038.9939857852</v>
      </c>
      <c r="J9" s="63">
        <f t="shared" si="4"/>
        <v>52837332.070797488</v>
      </c>
    </row>
    <row r="10" spans="1:16" ht="13.2" x14ac:dyDescent="0.25">
      <c r="A10" s="64">
        <v>1068</v>
      </c>
      <c r="B10" s="65">
        <v>127.16650628758886</v>
      </c>
      <c r="C10" s="65">
        <v>0.99256505576208176</v>
      </c>
      <c r="D10" s="65">
        <v>24950.068533624937</v>
      </c>
      <c r="E10" s="65">
        <f t="shared" si="5"/>
        <v>23598.86636010803</v>
      </c>
      <c r="F10" s="65">
        <f t="shared" si="0"/>
        <v>206726069.31454632</v>
      </c>
      <c r="G10" s="66">
        <f t="shared" si="1"/>
        <v>27729451.536356643</v>
      </c>
      <c r="H10" s="66">
        <f t="shared" si="2"/>
        <v>199600548.26899949</v>
      </c>
      <c r="I10" s="66">
        <f t="shared" si="3"/>
        <v>5988016.4480699841</v>
      </c>
      <c r="J10" s="67">
        <f t="shared" si="4"/>
        <v>51681517.328636579</v>
      </c>
    </row>
    <row r="11" spans="1:16" ht="13.2" x14ac:dyDescent="0.25">
      <c r="A11" s="60">
        <v>1067</v>
      </c>
      <c r="B11" s="61">
        <v>123.70950246036085</v>
      </c>
      <c r="C11" s="61">
        <v>0.99163568773234201</v>
      </c>
      <c r="D11" s="61">
        <v>24271.804382722799</v>
      </c>
      <c r="E11" s="61">
        <f t="shared" si="5"/>
        <v>22589.349596474411</v>
      </c>
      <c r="F11" s="61">
        <f t="shared" si="0"/>
        <v>197882702.46511585</v>
      </c>
      <c r="G11" s="62">
        <f t="shared" si="1"/>
        <v>26169743.408865076</v>
      </c>
      <c r="H11" s="62">
        <f t="shared" si="2"/>
        <v>194174435.06178239</v>
      </c>
      <c r="I11" s="62">
        <f t="shared" si="3"/>
        <v>5825233.0518534714</v>
      </c>
      <c r="J11" s="63">
        <f t="shared" si="4"/>
        <v>49470675.616278961</v>
      </c>
    </row>
    <row r="12" spans="1:16" ht="13.2" x14ac:dyDescent="0.25">
      <c r="A12" s="64">
        <v>1066</v>
      </c>
      <c r="B12" s="65">
        <v>119.04278840896664</v>
      </c>
      <c r="C12" s="65">
        <v>0.99070631970260226</v>
      </c>
      <c r="D12" s="65">
        <v>23356.195085839256</v>
      </c>
      <c r="E12" s="65">
        <f t="shared" si="5"/>
        <v>21227.848783264679</v>
      </c>
      <c r="F12" s="65">
        <f t="shared" si="0"/>
        <v>185955955.3413986</v>
      </c>
      <c r="G12" s="66">
        <f t="shared" si="1"/>
        <v>24067041.552943967</v>
      </c>
      <c r="H12" s="66">
        <f t="shared" si="2"/>
        <v>186849560.68671405</v>
      </c>
      <c r="I12" s="66">
        <f t="shared" si="3"/>
        <v>5605486.8206014214</v>
      </c>
      <c r="J12" s="67">
        <f t="shared" si="4"/>
        <v>46488988.835349649</v>
      </c>
    </row>
    <row r="13" spans="1:16" ht="13.2" x14ac:dyDescent="0.25">
      <c r="A13" s="68">
        <v>1065</v>
      </c>
      <c r="B13" s="61">
        <v>113.8520174958994</v>
      </c>
      <c r="C13" s="61">
        <v>0.9897769516728625</v>
      </c>
      <c r="D13" s="61">
        <v>22337.765832695466</v>
      </c>
      <c r="E13" s="61">
        <f t="shared" si="5"/>
        <v>19714.875585169561</v>
      </c>
      <c r="F13" s="61">
        <f t="shared" si="0"/>
        <v>172702310.12608534</v>
      </c>
      <c r="G13" s="62">
        <f>J13-(I13-(H13*$N$4))</f>
        <v>53897705.131215155</v>
      </c>
      <c r="H13" s="62">
        <f t="shared" si="2"/>
        <v>178702126.66156372</v>
      </c>
      <c r="I13" s="62">
        <f t="shared" si="3"/>
        <v>5361063.7998469118</v>
      </c>
      <c r="J13" s="63">
        <f t="shared" si="4"/>
        <v>43175577.531521335</v>
      </c>
    </row>
    <row r="14" spans="1:16" ht="13.2" x14ac:dyDescent="0.25">
      <c r="A14" s="64">
        <v>1064</v>
      </c>
      <c r="B14" s="65">
        <v>113.38789502460359</v>
      </c>
      <c r="C14" s="65">
        <v>0.98884758364312264</v>
      </c>
      <c r="D14" s="65">
        <v>22246.705003827228</v>
      </c>
      <c r="E14" s="65">
        <f t="shared" si="5"/>
        <v>19579.723035260104</v>
      </c>
      <c r="F14" s="65">
        <f t="shared" si="0"/>
        <v>171518373.7888785</v>
      </c>
      <c r="G14" s="66">
        <f t="shared" ref="G14:G28" si="6">J14-I14-(H14*$N$4)</f>
        <v>21522756.643545486</v>
      </c>
      <c r="H14" s="66">
        <f t="shared" si="2"/>
        <v>177973640.03061783</v>
      </c>
      <c r="I14" s="66">
        <f t="shared" si="3"/>
        <v>5339209.2009185348</v>
      </c>
      <c r="J14" s="67">
        <f t="shared" si="4"/>
        <v>42879593.447219625</v>
      </c>
    </row>
    <row r="15" spans="1:16" ht="13.2" x14ac:dyDescent="0.25">
      <c r="A15" s="60">
        <v>1063</v>
      </c>
      <c r="B15" s="61">
        <v>112.35237834882449</v>
      </c>
      <c r="C15" s="61">
        <v>0.98791821561338289</v>
      </c>
      <c r="D15" s="61">
        <v>22043.536632039366</v>
      </c>
      <c r="E15" s="61">
        <f t="shared" si="5"/>
        <v>19278.463614082099</v>
      </c>
      <c r="F15" s="61">
        <f t="shared" si="0"/>
        <v>168879341.25935918</v>
      </c>
      <c r="G15" s="62">
        <f t="shared" si="6"/>
        <v>21058040.148082003</v>
      </c>
      <c r="H15" s="62">
        <f t="shared" si="2"/>
        <v>176348293.05631492</v>
      </c>
      <c r="I15" s="62">
        <f t="shared" si="3"/>
        <v>5290448.7916894471</v>
      </c>
      <c r="J15" s="63">
        <f t="shared" si="4"/>
        <v>42219835.314839795</v>
      </c>
    </row>
    <row r="16" spans="1:16" ht="13.2" x14ac:dyDescent="0.25">
      <c r="A16" s="64">
        <v>1062</v>
      </c>
      <c r="B16" s="65">
        <v>111.39943138326954</v>
      </c>
      <c r="C16" s="65">
        <v>0.98698884758364314</v>
      </c>
      <c r="D16" s="65">
        <v>21856.568437397487</v>
      </c>
      <c r="E16" s="65">
        <f t="shared" si="5"/>
        <v>19001.486567372845</v>
      </c>
      <c r="F16" s="65">
        <f t="shared" si="0"/>
        <v>166453022.33018613</v>
      </c>
      <c r="G16" s="66">
        <f t="shared" si="6"/>
        <v>20630949.882644944</v>
      </c>
      <c r="H16" s="66">
        <f t="shared" si="2"/>
        <v>174852547.4991799</v>
      </c>
      <c r="I16" s="66">
        <f t="shared" si="3"/>
        <v>5245576.4249753971</v>
      </c>
      <c r="J16" s="67">
        <f t="shared" si="4"/>
        <v>41613255.582546532</v>
      </c>
    </row>
    <row r="17" spans="1:10" ht="13.2" x14ac:dyDescent="0.25">
      <c r="A17" s="60">
        <v>1061</v>
      </c>
      <c r="B17" s="61">
        <v>108.49030071077091</v>
      </c>
      <c r="C17" s="61">
        <v>0.98605947955390338</v>
      </c>
      <c r="D17" s="61">
        <v>21285.796999453254</v>
      </c>
      <c r="E17" s="61">
        <f t="shared" si="5"/>
        <v>18156.734230080845</v>
      </c>
      <c r="F17" s="61">
        <f t="shared" si="0"/>
        <v>159052991.85550821</v>
      </c>
      <c r="G17" s="62">
        <f t="shared" si="6"/>
        <v>19328882.844401926</v>
      </c>
      <c r="H17" s="62">
        <f t="shared" si="2"/>
        <v>170286375.99562603</v>
      </c>
      <c r="I17" s="62">
        <f t="shared" si="3"/>
        <v>5108591.2798687806</v>
      </c>
      <c r="J17" s="63">
        <f t="shared" si="4"/>
        <v>39763247.963877052</v>
      </c>
    </row>
    <row r="18" spans="1:10" ht="13.2" x14ac:dyDescent="0.25">
      <c r="A18" s="64">
        <v>1060</v>
      </c>
      <c r="B18" s="65">
        <v>107.0322908693275</v>
      </c>
      <c r="C18" s="65">
        <v>0.98513011152416352</v>
      </c>
      <c r="D18" s="65">
        <v>20999.735468562056</v>
      </c>
      <c r="E18" s="65">
        <f t="shared" si="5"/>
        <v>17733.756631895067</v>
      </c>
      <c r="F18" s="65">
        <f t="shared" si="0"/>
        <v>155347708.09540078</v>
      </c>
      <c r="G18" s="66">
        <f t="shared" si="6"/>
        <v>18677180.974030629</v>
      </c>
      <c r="H18" s="66">
        <f t="shared" si="2"/>
        <v>167997883.74849644</v>
      </c>
      <c r="I18" s="66">
        <f t="shared" si="3"/>
        <v>5039936.5124548934</v>
      </c>
      <c r="J18" s="67">
        <f t="shared" si="4"/>
        <v>38836927.023850195</v>
      </c>
    </row>
    <row r="19" spans="1:10" ht="13.2" x14ac:dyDescent="0.25">
      <c r="A19" s="60">
        <v>1059</v>
      </c>
      <c r="B19" s="61">
        <v>104.29509021323126</v>
      </c>
      <c r="C19" s="61">
        <v>0.98420074349442377</v>
      </c>
      <c r="D19" s="61">
        <v>20462.696699835975</v>
      </c>
      <c r="E19" s="61">
        <f t="shared" si="5"/>
        <v>16940.426592034375</v>
      </c>
      <c r="F19" s="61">
        <f t="shared" si="0"/>
        <v>148398136.94622111</v>
      </c>
      <c r="G19" s="62">
        <f t="shared" si="6"/>
        <v>17455345.404712744</v>
      </c>
      <c r="H19" s="62">
        <f t="shared" si="2"/>
        <v>163701573.5986878</v>
      </c>
      <c r="I19" s="62">
        <f t="shared" si="3"/>
        <v>4911047.2079606336</v>
      </c>
      <c r="J19" s="63">
        <f t="shared" si="4"/>
        <v>37099534.236555278</v>
      </c>
    </row>
    <row r="20" spans="1:10" ht="13.2" x14ac:dyDescent="0.25">
      <c r="A20" s="64">
        <v>1058</v>
      </c>
      <c r="B20" s="65">
        <v>101.70383816293055</v>
      </c>
      <c r="C20" s="65">
        <v>0.98327137546468402</v>
      </c>
      <c r="D20" s="65">
        <v>19954.293047566978</v>
      </c>
      <c r="E20" s="65">
        <f t="shared" si="5"/>
        <v>16190.105960247045</v>
      </c>
      <c r="F20" s="65">
        <f t="shared" si="0"/>
        <v>141825328.2117641</v>
      </c>
      <c r="G20" s="66">
        <f t="shared" si="6"/>
        <v>16300210.727276728</v>
      </c>
      <c r="H20" s="66">
        <f t="shared" si="2"/>
        <v>159634344.38053581</v>
      </c>
      <c r="I20" s="66">
        <f t="shared" si="3"/>
        <v>4789030.3314160742</v>
      </c>
      <c r="J20" s="67">
        <f t="shared" si="4"/>
        <v>35456332.052941024</v>
      </c>
    </row>
    <row r="21" spans="1:10" ht="13.2" x14ac:dyDescent="0.25">
      <c r="A21" s="60">
        <v>1057</v>
      </c>
      <c r="B21" s="61">
        <v>100.92557681793329</v>
      </c>
      <c r="C21" s="61">
        <v>0.98234200743494426</v>
      </c>
      <c r="D21" s="61">
        <v>19801.598171678514</v>
      </c>
      <c r="E21" s="61">
        <f t="shared" si="5"/>
        <v>15964.966164153133</v>
      </c>
      <c r="F21" s="61">
        <f t="shared" si="0"/>
        <v>139853103.59798145</v>
      </c>
      <c r="G21" s="62">
        <f t="shared" si="6"/>
        <v>15953741.654683992</v>
      </c>
      <c r="H21" s="62">
        <f t="shared" si="2"/>
        <v>158412785.37342811</v>
      </c>
      <c r="I21" s="62">
        <f t="shared" si="3"/>
        <v>4752383.5612028427</v>
      </c>
      <c r="J21" s="63">
        <f t="shared" si="4"/>
        <v>34963275.899495363</v>
      </c>
    </row>
    <row r="22" spans="1:10" ht="13.2" x14ac:dyDescent="0.25">
      <c r="A22" s="64">
        <v>1056</v>
      </c>
      <c r="B22" s="65">
        <v>100.59657736468014</v>
      </c>
      <c r="C22" s="65">
        <v>0.98141263940520451</v>
      </c>
      <c r="D22" s="65">
        <v>19737.048478950244</v>
      </c>
      <c r="E22" s="65">
        <f t="shared" si="5"/>
        <v>15869.881347262513</v>
      </c>
      <c r="F22" s="65">
        <f t="shared" si="0"/>
        <v>139020160.60201961</v>
      </c>
      <c r="G22" s="66">
        <f t="shared" si="6"/>
        <v>15807473.610712668</v>
      </c>
      <c r="H22" s="66">
        <f t="shared" si="2"/>
        <v>157896387.83160195</v>
      </c>
      <c r="I22" s="66">
        <f t="shared" si="3"/>
        <v>4736891.6349480581</v>
      </c>
      <c r="J22" s="67">
        <f t="shared" si="4"/>
        <v>34755040.150504902</v>
      </c>
    </row>
    <row r="23" spans="1:10" ht="13.2" x14ac:dyDescent="0.25">
      <c r="A23" s="60">
        <v>1055</v>
      </c>
      <c r="B23" s="61">
        <v>100.11808638600327</v>
      </c>
      <c r="C23" s="61">
        <v>0.98048327137546465</v>
      </c>
      <c r="D23" s="61">
        <v>19643.168548933845</v>
      </c>
      <c r="E23" s="61">
        <f t="shared" si="5"/>
        <v>15731.722546908453</v>
      </c>
      <c r="F23" s="61">
        <f t="shared" si="0"/>
        <v>137809889.51091805</v>
      </c>
      <c r="G23" s="62">
        <f t="shared" si="6"/>
        <v>15595030.570753021</v>
      </c>
      <c r="H23" s="62">
        <f t="shared" si="2"/>
        <v>157145348.39147076</v>
      </c>
      <c r="I23" s="62">
        <f t="shared" si="3"/>
        <v>4714360.4517441224</v>
      </c>
      <c r="J23" s="63">
        <f t="shared" si="4"/>
        <v>34452472.377729513</v>
      </c>
    </row>
    <row r="24" spans="1:10" ht="13.2" x14ac:dyDescent="0.25">
      <c r="A24" s="64">
        <v>1054</v>
      </c>
      <c r="B24" s="65">
        <v>99.161399671951884</v>
      </c>
      <c r="C24" s="65">
        <v>0.9795539033457249</v>
      </c>
      <c r="D24" s="65">
        <v>19455.466615636964</v>
      </c>
      <c r="E24" s="65">
        <f t="shared" si="5"/>
        <v>15455.751860592778</v>
      </c>
      <c r="F24" s="65">
        <f t="shared" si="0"/>
        <v>135392386.29879275</v>
      </c>
      <c r="G24" s="66">
        <f t="shared" si="6"/>
        <v>15170848.623686705</v>
      </c>
      <c r="H24" s="66">
        <f t="shared" si="2"/>
        <v>155643732.92509571</v>
      </c>
      <c r="I24" s="66">
        <f t="shared" si="3"/>
        <v>4669311.9877528707</v>
      </c>
      <c r="J24" s="67">
        <f t="shared" si="4"/>
        <v>33848096.574698187</v>
      </c>
    </row>
    <row r="25" spans="1:10" ht="13.2" x14ac:dyDescent="0.25">
      <c r="A25" s="60">
        <v>1053</v>
      </c>
      <c r="B25" s="61">
        <v>98.194281027884088</v>
      </c>
      <c r="C25" s="61">
        <v>0.97862453531598514</v>
      </c>
      <c r="D25" s="61">
        <v>19265.717937670859</v>
      </c>
      <c r="E25" s="61">
        <f t="shared" si="5"/>
        <v>15177.036446535689</v>
      </c>
      <c r="F25" s="61">
        <f t="shared" si="0"/>
        <v>132950839.27165262</v>
      </c>
      <c r="G25" s="62">
        <f t="shared" si="6"/>
        <v>14742620.597749129</v>
      </c>
      <c r="H25" s="62">
        <f t="shared" si="2"/>
        <v>154125743.50136688</v>
      </c>
      <c r="I25" s="62">
        <f t="shared" si="3"/>
        <v>4623772.3050410068</v>
      </c>
      <c r="J25" s="63">
        <f t="shared" si="4"/>
        <v>33237709.817913156</v>
      </c>
    </row>
    <row r="26" spans="1:10" ht="13.2" x14ac:dyDescent="0.25">
      <c r="A26" s="64">
        <v>1052</v>
      </c>
      <c r="B26" s="65">
        <v>98.043018042646253</v>
      </c>
      <c r="C26" s="65">
        <v>0.97769516728624539</v>
      </c>
      <c r="D26" s="65">
        <v>19236.040139967197</v>
      </c>
      <c r="E26" s="65">
        <f t="shared" si="5"/>
        <v>15133.485105853457</v>
      </c>
      <c r="F26" s="65">
        <f t="shared" si="0"/>
        <v>132569329.52727629</v>
      </c>
      <c r="G26" s="66">
        <f t="shared" si="6"/>
        <v>14675733.847450567</v>
      </c>
      <c r="H26" s="66">
        <f t="shared" si="2"/>
        <v>153888321.11973757</v>
      </c>
      <c r="I26" s="66">
        <f t="shared" si="3"/>
        <v>4616649.6335921269</v>
      </c>
      <c r="J26" s="67">
        <f t="shared" si="4"/>
        <v>33142332.381819073</v>
      </c>
    </row>
    <row r="27" spans="1:10" ht="13.2" x14ac:dyDescent="0.25">
      <c r="A27" s="60">
        <v>1051</v>
      </c>
      <c r="B27" s="61">
        <v>98.021858939311102</v>
      </c>
      <c r="C27" s="61">
        <v>0.97676579925650553</v>
      </c>
      <c r="D27" s="61">
        <v>19231.88872389284</v>
      </c>
      <c r="E27" s="61">
        <f t="shared" si="5"/>
        <v>15127.398805800205</v>
      </c>
      <c r="F27" s="61">
        <f t="shared" si="0"/>
        <v>132516013.53880979</v>
      </c>
      <c r="G27" s="62">
        <f t="shared" si="6"/>
        <v>14666390.209765321</v>
      </c>
      <c r="H27" s="62">
        <f t="shared" si="2"/>
        <v>153855109.79114273</v>
      </c>
      <c r="I27" s="62">
        <f t="shared" si="3"/>
        <v>4615653.2937342813</v>
      </c>
      <c r="J27" s="63">
        <f t="shared" si="4"/>
        <v>33129003.384702448</v>
      </c>
    </row>
    <row r="28" spans="1:10" ht="13.2" x14ac:dyDescent="0.25">
      <c r="A28" s="64">
        <v>1050</v>
      </c>
      <c r="B28" s="65">
        <v>97.112804811372342</v>
      </c>
      <c r="C28" s="65">
        <v>0.97583643122676578</v>
      </c>
      <c r="D28" s="65">
        <v>19053.532303991258</v>
      </c>
      <c r="E28" s="65">
        <f t="shared" si="5"/>
        <v>14866.163008620937</v>
      </c>
      <c r="F28" s="65">
        <f t="shared" si="0"/>
        <v>130227587.95551942</v>
      </c>
      <c r="G28" s="66">
        <f t="shared" si="6"/>
        <v>14265505.977048248</v>
      </c>
      <c r="H28" s="66">
        <f t="shared" si="2"/>
        <v>152428258.43193007</v>
      </c>
      <c r="I28" s="66">
        <f t="shared" si="3"/>
        <v>4572847.7529579019</v>
      </c>
      <c r="J28" s="67">
        <f t="shared" si="4"/>
        <v>32556896.988879856</v>
      </c>
    </row>
    <row r="29" spans="1:10" ht="13.2" x14ac:dyDescent="0.25">
      <c r="A29" s="60">
        <v>1049</v>
      </c>
      <c r="B29" s="61">
        <v>95.224920721705857</v>
      </c>
      <c r="C29" s="61">
        <v>0.97490706319702602</v>
      </c>
      <c r="D29" s="61">
        <v>18683.12944559869</v>
      </c>
      <c r="E29" s="61">
        <f t="shared" si="5"/>
        <v>14324.156223733298</v>
      </c>
      <c r="F29" s="61">
        <f t="shared" si="0"/>
        <v>125479608.51990369</v>
      </c>
      <c r="G29" s="62">
        <f>J29-(I29-(H29*$N$4))</f>
        <v>40337804.263863295</v>
      </c>
      <c r="H29" s="62">
        <f t="shared" si="2"/>
        <v>149465035.56478953</v>
      </c>
      <c r="I29" s="62">
        <f t="shared" si="3"/>
        <v>4483951.0669436855</v>
      </c>
      <c r="J29" s="63">
        <f t="shared" si="4"/>
        <v>31369902.129975922</v>
      </c>
    </row>
    <row r="30" spans="1:10" ht="13.2" x14ac:dyDescent="0.25">
      <c r="A30" s="64">
        <v>1048</v>
      </c>
      <c r="B30" s="65">
        <v>95.021498086386003</v>
      </c>
      <c r="C30" s="65">
        <v>0.97397769516728627</v>
      </c>
      <c r="D30" s="65">
        <v>18643.217924548935</v>
      </c>
      <c r="E30" s="65">
        <f t="shared" si="5"/>
        <v>14265.809734317625</v>
      </c>
      <c r="F30" s="65">
        <f t="shared" si="0"/>
        <v>124968493.27262239</v>
      </c>
      <c r="G30" s="66">
        <f t="shared" ref="G30:G44" si="7">J30-I30-(H30*$N$4)</f>
        <v>13344634.110588621</v>
      </c>
      <c r="H30" s="66">
        <f t="shared" si="2"/>
        <v>149145743.39639148</v>
      </c>
      <c r="I30" s="66">
        <f t="shared" si="3"/>
        <v>4474372.3018917441</v>
      </c>
      <c r="J30" s="67">
        <f t="shared" si="4"/>
        <v>31242123.318155598</v>
      </c>
    </row>
    <row r="31" spans="1:10" ht="13.2" x14ac:dyDescent="0.25">
      <c r="A31" s="60">
        <v>1047</v>
      </c>
      <c r="B31" s="61">
        <v>94.802821213778017</v>
      </c>
      <c r="C31" s="61">
        <v>0.97304832713754652</v>
      </c>
      <c r="D31" s="61">
        <v>18600.313522143249</v>
      </c>
      <c r="E31" s="61">
        <f t="shared" si="5"/>
        <v>14203.147774856161</v>
      </c>
      <c r="F31" s="61">
        <f t="shared" si="0"/>
        <v>124419574.50773998</v>
      </c>
      <c r="G31" s="62">
        <f t="shared" si="7"/>
        <v>13248592.645677477</v>
      </c>
      <c r="H31" s="62">
        <f t="shared" si="2"/>
        <v>148802508.17714599</v>
      </c>
      <c r="I31" s="62">
        <f t="shared" si="3"/>
        <v>4464075.2453143792</v>
      </c>
      <c r="J31" s="63">
        <f t="shared" si="4"/>
        <v>31104893.626934994</v>
      </c>
    </row>
    <row r="32" spans="1:10" ht="13.2" x14ac:dyDescent="0.25">
      <c r="A32" s="64">
        <v>1046</v>
      </c>
      <c r="B32" s="65">
        <v>93.956260251503551</v>
      </c>
      <c r="C32" s="65">
        <v>0.97211895910780666</v>
      </c>
      <c r="D32" s="65">
        <v>18434.218261344999</v>
      </c>
      <c r="E32" s="65">
        <f t="shared" si="5"/>
        <v>13960.79688317098</v>
      </c>
      <c r="F32" s="65">
        <f t="shared" si="0"/>
        <v>122296580.69657779</v>
      </c>
      <c r="G32" s="66">
        <f t="shared" si="7"/>
        <v>12877295.64325325</v>
      </c>
      <c r="H32" s="66">
        <f t="shared" si="2"/>
        <v>147473746.09075999</v>
      </c>
      <c r="I32" s="66">
        <f t="shared" si="3"/>
        <v>4424212.3827227997</v>
      </c>
      <c r="J32" s="67">
        <f t="shared" si="4"/>
        <v>30574145.174144447</v>
      </c>
    </row>
    <row r="33" spans="1:10" ht="13.2" x14ac:dyDescent="0.25">
      <c r="A33" s="60">
        <v>1045</v>
      </c>
      <c r="B33" s="61">
        <v>93.951634773100054</v>
      </c>
      <c r="C33" s="61">
        <v>0.97118959107806691</v>
      </c>
      <c r="D33" s="61">
        <v>18433.31074248223</v>
      </c>
      <c r="E33" s="61">
        <f t="shared" si="5"/>
        <v>13959.473980442121</v>
      </c>
      <c r="F33" s="61">
        <f t="shared" si="0"/>
        <v>122284992.06867298</v>
      </c>
      <c r="G33" s="62">
        <f t="shared" si="7"/>
        <v>12875269.704385305</v>
      </c>
      <c r="H33" s="62">
        <f t="shared" si="2"/>
        <v>147466485.93985784</v>
      </c>
      <c r="I33" s="62">
        <f t="shared" si="3"/>
        <v>4423994.5781957349</v>
      </c>
      <c r="J33" s="63">
        <f t="shared" si="4"/>
        <v>30571248.017168246</v>
      </c>
    </row>
    <row r="34" spans="1:10" ht="13.2" x14ac:dyDescent="0.25">
      <c r="A34" s="64">
        <v>1044</v>
      </c>
      <c r="B34" s="65">
        <v>91.352509568069976</v>
      </c>
      <c r="C34" s="65">
        <v>0.97026022304832715</v>
      </c>
      <c r="D34" s="65">
        <v>17923.362377255329</v>
      </c>
      <c r="E34" s="65">
        <f t="shared" si="5"/>
        <v>13216.826128852386</v>
      </c>
      <c r="F34" s="65">
        <f t="shared" si="0"/>
        <v>115779396.8887469</v>
      </c>
      <c r="G34" s="66">
        <f t="shared" si="7"/>
        <v>11738421.34002161</v>
      </c>
      <c r="H34" s="66">
        <f t="shared" si="2"/>
        <v>143386899.01804262</v>
      </c>
      <c r="I34" s="66">
        <f t="shared" si="3"/>
        <v>4301606.9705412788</v>
      </c>
      <c r="J34" s="67">
        <f t="shared" si="4"/>
        <v>28944849.222186726</v>
      </c>
    </row>
    <row r="35" spans="1:10" ht="13.2" x14ac:dyDescent="0.25">
      <c r="A35" s="60">
        <v>1043</v>
      </c>
      <c r="B35" s="61">
        <v>88.512859486057962</v>
      </c>
      <c r="C35" s="61">
        <v>0.9693308550185874</v>
      </c>
      <c r="D35" s="61">
        <v>17366.223031164573</v>
      </c>
      <c r="E35" s="61">
        <f t="shared" si="5"/>
        <v>12406.229803290045</v>
      </c>
      <c r="F35" s="61">
        <f t="shared" si="0"/>
        <v>108678573.07682081</v>
      </c>
      <c r="G35" s="62">
        <f t="shared" si="7"/>
        <v>10498069.159287214</v>
      </c>
      <c r="H35" s="62">
        <f t="shared" si="2"/>
        <v>138929784.24931657</v>
      </c>
      <c r="I35" s="62">
        <f t="shared" si="3"/>
        <v>4167893.5274794973</v>
      </c>
      <c r="J35" s="63">
        <f t="shared" si="4"/>
        <v>27169643.269205201</v>
      </c>
    </row>
    <row r="36" spans="1:10" ht="13.2" x14ac:dyDescent="0.25">
      <c r="A36" s="64">
        <v>1042</v>
      </c>
      <c r="B36" s="65">
        <v>87.528518316019671</v>
      </c>
      <c r="C36" s="65">
        <v>0.96840148698884754</v>
      </c>
      <c r="D36" s="65">
        <v>17173.095293603063</v>
      </c>
      <c r="E36" s="65">
        <f t="shared" si="5"/>
        <v>12125.512534195062</v>
      </c>
      <c r="F36" s="65">
        <f t="shared" si="0"/>
        <v>106219489.79954875</v>
      </c>
      <c r="G36" s="66">
        <f t="shared" si="7"/>
        <v>10068700.968028247</v>
      </c>
      <c r="H36" s="66">
        <f t="shared" si="2"/>
        <v>137384762.3488245</v>
      </c>
      <c r="I36" s="66">
        <f t="shared" si="3"/>
        <v>4121542.8704647347</v>
      </c>
      <c r="J36" s="67">
        <f t="shared" si="4"/>
        <v>26554872.449887186</v>
      </c>
    </row>
    <row r="37" spans="1:10" ht="13.2" x14ac:dyDescent="0.25">
      <c r="A37" s="60">
        <v>1041</v>
      </c>
      <c r="B37" s="61">
        <v>87.400579551667576</v>
      </c>
      <c r="C37" s="61">
        <v>0.96747211895910779</v>
      </c>
      <c r="D37" s="61">
        <v>17147.993708037178</v>
      </c>
      <c r="E37" s="61">
        <f t="shared" si="5"/>
        <v>12089.061579318952</v>
      </c>
      <c r="F37" s="61">
        <f t="shared" si="0"/>
        <v>105900179.43483402</v>
      </c>
      <c r="G37" s="62">
        <f t="shared" si="7"/>
        <v>10012970.898992812</v>
      </c>
      <c r="H37" s="62">
        <f t="shared" si="2"/>
        <v>137183949.66429743</v>
      </c>
      <c r="I37" s="62">
        <f t="shared" si="3"/>
        <v>4115518.4899289226</v>
      </c>
      <c r="J37" s="63">
        <f t="shared" si="4"/>
        <v>26475044.858708505</v>
      </c>
    </row>
    <row r="38" spans="1:10" ht="13.2" x14ac:dyDescent="0.25">
      <c r="A38" s="64">
        <v>1040</v>
      </c>
      <c r="B38" s="65">
        <v>86.837255330781844</v>
      </c>
      <c r="C38" s="65">
        <v>0.96654275092936803</v>
      </c>
      <c r="D38" s="65">
        <v>17037.469495899397</v>
      </c>
      <c r="E38" s="65">
        <f t="shared" si="5"/>
        <v>11928.71929758375</v>
      </c>
      <c r="F38" s="65">
        <f t="shared" si="0"/>
        <v>104495581.04683363</v>
      </c>
      <c r="G38" s="66">
        <f t="shared" si="7"/>
        <v>9767924.5456449855</v>
      </c>
      <c r="H38" s="66">
        <f t="shared" si="2"/>
        <v>136299755.96719518</v>
      </c>
      <c r="I38" s="66">
        <f t="shared" si="3"/>
        <v>4088992.6790158553</v>
      </c>
      <c r="J38" s="67">
        <f t="shared" si="4"/>
        <v>26123895.261708409</v>
      </c>
    </row>
    <row r="39" spans="1:10" ht="13.2" x14ac:dyDescent="0.25">
      <c r="A39" s="60">
        <v>1039</v>
      </c>
      <c r="B39" s="61">
        <v>86.661683980317108</v>
      </c>
      <c r="C39" s="61">
        <v>0.96561338289962828</v>
      </c>
      <c r="D39" s="61">
        <v>17003.022396938217</v>
      </c>
      <c r="E39" s="61">
        <f t="shared" si="5"/>
        <v>11878.793413912783</v>
      </c>
      <c r="F39" s="61">
        <f t="shared" si="0"/>
        <v>104058230.30587597</v>
      </c>
      <c r="G39" s="62">
        <f t="shared" si="7"/>
        <v>9691656.0754083078</v>
      </c>
      <c r="H39" s="62">
        <f t="shared" si="2"/>
        <v>136024179.17550573</v>
      </c>
      <c r="I39" s="62">
        <f t="shared" si="3"/>
        <v>4080725.3752651718</v>
      </c>
      <c r="J39" s="63">
        <f t="shared" si="4"/>
        <v>26014557.576468993</v>
      </c>
    </row>
    <row r="40" spans="1:10" ht="13.2" x14ac:dyDescent="0.25">
      <c r="A40" s="64">
        <v>1038</v>
      </c>
      <c r="B40" s="65">
        <v>86.088813559322034</v>
      </c>
      <c r="C40" s="65">
        <v>0.96468401486988853</v>
      </c>
      <c r="D40" s="65">
        <v>16890.625220338985</v>
      </c>
      <c r="E40" s="65">
        <f t="shared" si="5"/>
        <v>11716.047316197539</v>
      </c>
      <c r="F40" s="65">
        <f t="shared" si="0"/>
        <v>102632574.48989044</v>
      </c>
      <c r="G40" s="66">
        <f t="shared" si="7"/>
        <v>9443143.410947185</v>
      </c>
      <c r="H40" s="66">
        <f t="shared" si="2"/>
        <v>135125001.76271188</v>
      </c>
      <c r="I40" s="66">
        <f t="shared" si="3"/>
        <v>4053750.0528813563</v>
      </c>
      <c r="J40" s="67">
        <f t="shared" si="4"/>
        <v>25658143.62247261</v>
      </c>
    </row>
    <row r="41" spans="1:10" ht="13.2" x14ac:dyDescent="0.25">
      <c r="A41" s="60">
        <v>1037</v>
      </c>
      <c r="B41" s="61">
        <v>84.706386003280485</v>
      </c>
      <c r="C41" s="61">
        <v>0.96375464684014867</v>
      </c>
      <c r="D41" s="61">
        <v>16619.392933843632</v>
      </c>
      <c r="E41" s="61">
        <f t="shared" si="5"/>
        <v>11323.693176857374</v>
      </c>
      <c r="F41" s="61">
        <f t="shared" si="0"/>
        <v>99195552.229270607</v>
      </c>
      <c r="G41" s="62">
        <f t="shared" si="7"/>
        <v>8844270.8408277668</v>
      </c>
      <c r="H41" s="62">
        <f t="shared" si="2"/>
        <v>132955143.47074905</v>
      </c>
      <c r="I41" s="62">
        <f t="shared" si="3"/>
        <v>3988654.3041224713</v>
      </c>
      <c r="J41" s="63">
        <f t="shared" si="4"/>
        <v>24798888.057317652</v>
      </c>
    </row>
    <row r="42" spans="1:10" ht="13.2" x14ac:dyDescent="0.25">
      <c r="A42" s="64">
        <v>1036</v>
      </c>
      <c r="B42" s="65">
        <v>83.711514488791678</v>
      </c>
      <c r="C42" s="65">
        <v>0.96282527881040891</v>
      </c>
      <c r="D42" s="65">
        <v>16424.199142700931</v>
      </c>
      <c r="E42" s="65">
        <f t="shared" si="5"/>
        <v>11041.605495419733</v>
      </c>
      <c r="F42" s="65">
        <f t="shared" si="0"/>
        <v>96724464.139876872</v>
      </c>
      <c r="G42" s="66">
        <f t="shared" si="7"/>
        <v>8413884.8579763249</v>
      </c>
      <c r="H42" s="66">
        <f t="shared" si="2"/>
        <v>131393593.14160745</v>
      </c>
      <c r="I42" s="66">
        <f t="shared" si="3"/>
        <v>3941807.7942482233</v>
      </c>
      <c r="J42" s="67">
        <f t="shared" si="4"/>
        <v>24181116.034969218</v>
      </c>
    </row>
    <row r="43" spans="1:10" ht="13.2" x14ac:dyDescent="0.25">
      <c r="A43" s="60">
        <v>1035</v>
      </c>
      <c r="B43" s="61">
        <v>83.660634226353196</v>
      </c>
      <c r="C43" s="61">
        <v>0.96189591078066916</v>
      </c>
      <c r="D43" s="61">
        <v>16414.216435210499</v>
      </c>
      <c r="E43" s="61">
        <f t="shared" si="5"/>
        <v>11027.192729540193</v>
      </c>
      <c r="F43" s="61">
        <f t="shared" si="0"/>
        <v>96598208.310772091</v>
      </c>
      <c r="G43" s="62">
        <f t="shared" si="7"/>
        <v>8391904.2998909429</v>
      </c>
      <c r="H43" s="62">
        <f t="shared" si="2"/>
        <v>131313731.481684</v>
      </c>
      <c r="I43" s="62">
        <f t="shared" si="3"/>
        <v>3939411.94445052</v>
      </c>
      <c r="J43" s="63">
        <f t="shared" si="4"/>
        <v>24149552.077693023</v>
      </c>
    </row>
    <row r="44" spans="1:10" ht="13.2" x14ac:dyDescent="0.25">
      <c r="A44" s="64">
        <v>1034</v>
      </c>
      <c r="B44" s="65">
        <v>83.097998906506291</v>
      </c>
      <c r="C44" s="65">
        <v>0.96096654275092941</v>
      </c>
      <c r="D44" s="65">
        <v>16303.827385456534</v>
      </c>
      <c r="E44" s="65">
        <f t="shared" si="5"/>
        <v>10867.969862237076</v>
      </c>
      <c r="F44" s="65">
        <f t="shared" si="0"/>
        <v>95203415.993196785</v>
      </c>
      <c r="G44" s="66">
        <f t="shared" si="7"/>
        <v>8149179.7082609236</v>
      </c>
      <c r="H44" s="66">
        <f t="shared" si="2"/>
        <v>130430619.08365227</v>
      </c>
      <c r="I44" s="66">
        <f t="shared" si="3"/>
        <v>3912918.5725095682</v>
      </c>
      <c r="J44" s="67">
        <f t="shared" si="4"/>
        <v>23800853.998299196</v>
      </c>
    </row>
    <row r="45" spans="1:10" ht="13.2" x14ac:dyDescent="0.25">
      <c r="A45" s="60">
        <v>1033</v>
      </c>
      <c r="B45" s="61">
        <v>83.011197375615097</v>
      </c>
      <c r="C45" s="61">
        <v>0.96003717472118955</v>
      </c>
      <c r="D45" s="61">
        <v>16286.796925095685</v>
      </c>
      <c r="E45" s="61">
        <f t="shared" si="5"/>
        <v>10843.429222098139</v>
      </c>
      <c r="F45" s="61">
        <f t="shared" si="0"/>
        <v>94988439.985579699</v>
      </c>
      <c r="G45" s="62">
        <f>J45-(I45-(H45*$N$4))</f>
        <v>31564772.520440854</v>
      </c>
      <c r="H45" s="62">
        <f t="shared" si="2"/>
        <v>130294375.40076548</v>
      </c>
      <c r="I45" s="62">
        <f t="shared" si="3"/>
        <v>3908831.2620229642</v>
      </c>
      <c r="J45" s="63">
        <f t="shared" si="4"/>
        <v>23747109.996394925</v>
      </c>
    </row>
    <row r="46" spans="1:10" ht="13.2" x14ac:dyDescent="0.25">
      <c r="A46" s="64">
        <v>1032</v>
      </c>
      <c r="B46" s="65">
        <v>82.618622197922363</v>
      </c>
      <c r="C46" s="65">
        <v>0.95910780669144979</v>
      </c>
      <c r="D46" s="65">
        <v>16209.773675232369</v>
      </c>
      <c r="E46" s="65">
        <f t="shared" si="5"/>
        <v>10732.54723879119</v>
      </c>
      <c r="F46" s="65">
        <f t="shared" si="0"/>
        <v>94017113.811810821</v>
      </c>
      <c r="G46" s="66">
        <f t="shared" ref="G46:G60" si="8">J46-I46-(H46*$N$4)</f>
        <v>7942895.724729633</v>
      </c>
      <c r="H46" s="66">
        <f t="shared" si="2"/>
        <v>129678189.40185896</v>
      </c>
      <c r="I46" s="66">
        <f t="shared" si="3"/>
        <v>3890345.6820557686</v>
      </c>
      <c r="J46" s="67">
        <f t="shared" si="4"/>
        <v>23504278.452952705</v>
      </c>
    </row>
    <row r="47" spans="1:10" ht="13.2" x14ac:dyDescent="0.25">
      <c r="A47" s="60">
        <v>1031</v>
      </c>
      <c r="B47" s="61">
        <v>81.675713504647348</v>
      </c>
      <c r="C47" s="61">
        <v>0.95817843866171004</v>
      </c>
      <c r="D47" s="61">
        <v>16024.774989611809</v>
      </c>
      <c r="E47" s="61">
        <f t="shared" si="5"/>
        <v>10466.482679313667</v>
      </c>
      <c r="F47" s="61">
        <f t="shared" si="0"/>
        <v>91686388.270787731</v>
      </c>
      <c r="G47" s="62">
        <f t="shared" si="8"/>
        <v>7537813.0776695944</v>
      </c>
      <c r="H47" s="62">
        <f t="shared" si="2"/>
        <v>128198199.91689448</v>
      </c>
      <c r="I47" s="62">
        <f t="shared" si="3"/>
        <v>3845945.9975068341</v>
      </c>
      <c r="J47" s="63">
        <f t="shared" si="4"/>
        <v>22921597.067696933</v>
      </c>
    </row>
    <row r="48" spans="1:10" ht="13.2" x14ac:dyDescent="0.25">
      <c r="A48" s="64">
        <v>1030</v>
      </c>
      <c r="B48" s="65">
        <v>81.366396938217605</v>
      </c>
      <c r="C48" s="65">
        <v>0.95724907063197029</v>
      </c>
      <c r="D48" s="65">
        <v>15964.087079278292</v>
      </c>
      <c r="E48" s="65">
        <f t="shared" si="5"/>
        <v>10379.286109261977</v>
      </c>
      <c r="F48" s="65">
        <f t="shared" si="0"/>
        <v>90922546.317134917</v>
      </c>
      <c r="G48" s="66">
        <f t="shared" si="8"/>
        <v>7405112.9831765704</v>
      </c>
      <c r="H48" s="66">
        <f t="shared" si="2"/>
        <v>127712696.63422634</v>
      </c>
      <c r="I48" s="66">
        <f t="shared" si="3"/>
        <v>3831380.8990267902</v>
      </c>
      <c r="J48" s="67">
        <f t="shared" si="4"/>
        <v>22730636.579283729</v>
      </c>
    </row>
    <row r="49" spans="1:10" ht="13.2" x14ac:dyDescent="0.25">
      <c r="A49" s="60">
        <v>1029</v>
      </c>
      <c r="B49" s="61">
        <v>81.212476763258607</v>
      </c>
      <c r="C49" s="61">
        <v>0.95631970260223054</v>
      </c>
      <c r="D49" s="61">
        <v>15933.887940951337</v>
      </c>
      <c r="E49" s="61">
        <f t="shared" si="5"/>
        <v>10335.937996672776</v>
      </c>
      <c r="F49" s="61">
        <f t="shared" si="0"/>
        <v>90542816.850853518</v>
      </c>
      <c r="G49" s="62">
        <f t="shared" si="8"/>
        <v>7339171.7894000933</v>
      </c>
      <c r="H49" s="62">
        <f t="shared" si="2"/>
        <v>127471103.5276107</v>
      </c>
      <c r="I49" s="62">
        <f t="shared" si="3"/>
        <v>3824133.1058283211</v>
      </c>
      <c r="J49" s="63">
        <f t="shared" si="4"/>
        <v>22635704.212713379</v>
      </c>
    </row>
    <row r="50" spans="1:10" ht="13.2" x14ac:dyDescent="0.25">
      <c r="A50" s="64">
        <v>1028</v>
      </c>
      <c r="B50" s="65">
        <v>81.020076544559871</v>
      </c>
      <c r="C50" s="65">
        <v>0.95539033457249067</v>
      </c>
      <c r="D50" s="65">
        <v>15896.139018042646</v>
      </c>
      <c r="E50" s="65">
        <f t="shared" si="5"/>
        <v>10281.805479899438</v>
      </c>
      <c r="F50" s="65">
        <f t="shared" si="0"/>
        <v>90068616.00391908</v>
      </c>
      <c r="G50" s="66">
        <f t="shared" si="8"/>
        <v>7256860.5436588284</v>
      </c>
      <c r="H50" s="66">
        <f t="shared" si="2"/>
        <v>127169112.14434117</v>
      </c>
      <c r="I50" s="66">
        <f t="shared" si="3"/>
        <v>3815073.3643302349</v>
      </c>
      <c r="J50" s="67">
        <f t="shared" si="4"/>
        <v>22517154.00097977</v>
      </c>
    </row>
    <row r="51" spans="1:10" ht="13.2" x14ac:dyDescent="0.25">
      <c r="A51" s="60">
        <v>1027</v>
      </c>
      <c r="B51" s="61">
        <v>80.604964461454344</v>
      </c>
      <c r="C51" s="61">
        <v>0.95446096654275092</v>
      </c>
      <c r="D51" s="61">
        <v>15814.694027337344</v>
      </c>
      <c r="E51" s="61">
        <f t="shared" si="5"/>
        <v>10165.125690705921</v>
      </c>
      <c r="F51" s="61">
        <f t="shared" si="0"/>
        <v>89046501.050583869</v>
      </c>
      <c r="G51" s="62">
        <f t="shared" si="8"/>
        <v>7079518.9964021184</v>
      </c>
      <c r="H51" s="62">
        <f t="shared" si="2"/>
        <v>126517552.21869875</v>
      </c>
      <c r="I51" s="62">
        <f t="shared" si="3"/>
        <v>3795526.5665609627</v>
      </c>
      <c r="J51" s="63">
        <f t="shared" si="4"/>
        <v>22261625.262645967</v>
      </c>
    </row>
    <row r="52" spans="1:10" ht="13.2" x14ac:dyDescent="0.25">
      <c r="A52" s="64">
        <v>1026</v>
      </c>
      <c r="B52" s="65">
        <v>80.585576817933287</v>
      </c>
      <c r="C52" s="65">
        <v>0.95353159851301117</v>
      </c>
      <c r="D52" s="65">
        <v>15810.890171678511</v>
      </c>
      <c r="E52" s="65">
        <f t="shared" si="5"/>
        <v>10159.681510673763</v>
      </c>
      <c r="F52" s="65">
        <f t="shared" si="0"/>
        <v>88998810.033502162</v>
      </c>
      <c r="G52" s="66">
        <f t="shared" si="8"/>
        <v>7071247.9435641672</v>
      </c>
      <c r="H52" s="66">
        <f t="shared" si="2"/>
        <v>126487121.37342809</v>
      </c>
      <c r="I52" s="66">
        <f t="shared" si="3"/>
        <v>3794613.6412028428</v>
      </c>
      <c r="J52" s="67">
        <f t="shared" si="4"/>
        <v>22249702.50837554</v>
      </c>
    </row>
    <row r="53" spans="1:10" ht="13.2" x14ac:dyDescent="0.25">
      <c r="A53" s="60">
        <v>1025</v>
      </c>
      <c r="B53" s="61">
        <v>80.397113176599234</v>
      </c>
      <c r="C53" s="61">
        <v>0.95260223048327142</v>
      </c>
      <c r="D53" s="61">
        <v>15773.913605248772</v>
      </c>
      <c r="E53" s="61">
        <f t="shared" si="5"/>
        <v>10106.811206350199</v>
      </c>
      <c r="F53" s="61">
        <f t="shared" si="0"/>
        <v>88535666.167627752</v>
      </c>
      <c r="G53" s="62">
        <f t="shared" si="8"/>
        <v>6990959.4808681179</v>
      </c>
      <c r="H53" s="62">
        <f t="shared" si="2"/>
        <v>126191308.84199017</v>
      </c>
      <c r="I53" s="62">
        <f t="shared" si="3"/>
        <v>3785739.265259705</v>
      </c>
      <c r="J53" s="63">
        <f t="shared" si="4"/>
        <v>22133916.541906938</v>
      </c>
    </row>
    <row r="54" spans="1:10" ht="13.2" x14ac:dyDescent="0.25">
      <c r="A54" s="64">
        <v>1024</v>
      </c>
      <c r="B54" s="65">
        <v>80.138283214871507</v>
      </c>
      <c r="C54" s="65">
        <v>0.95167286245353155</v>
      </c>
      <c r="D54" s="65">
        <v>15723.131166757792</v>
      </c>
      <c r="E54" s="65">
        <f t="shared" si="5"/>
        <v>10034.271607873772</v>
      </c>
      <c r="F54" s="65">
        <f t="shared" si="0"/>
        <v>87900219.284974247</v>
      </c>
      <c r="G54" s="66">
        <f t="shared" si="8"/>
        <v>6880848.9011560809</v>
      </c>
      <c r="H54" s="66">
        <f t="shared" si="2"/>
        <v>125785049.33406234</v>
      </c>
      <c r="I54" s="66">
        <f t="shared" si="3"/>
        <v>3773551.4800218698</v>
      </c>
      <c r="J54" s="67">
        <f t="shared" si="4"/>
        <v>21975054.821243562</v>
      </c>
    </row>
    <row r="55" spans="1:10" ht="13.2" x14ac:dyDescent="0.25">
      <c r="A55" s="60">
        <v>1023</v>
      </c>
      <c r="B55" s="61">
        <v>80.07815199562603</v>
      </c>
      <c r="C55" s="61">
        <v>0.9507434944237918</v>
      </c>
      <c r="D55" s="61">
        <v>15711.333421541829</v>
      </c>
      <c r="E55" s="61">
        <f t="shared" si="5"/>
        <v>10017.435699157126</v>
      </c>
      <c r="F55" s="61">
        <f t="shared" si="0"/>
        <v>87752736.724616423</v>
      </c>
      <c r="G55" s="62">
        <f t="shared" si="8"/>
        <v>6855304.0964739509</v>
      </c>
      <c r="H55" s="62">
        <f t="shared" si="2"/>
        <v>125690667.37233463</v>
      </c>
      <c r="I55" s="62">
        <f t="shared" si="3"/>
        <v>3770720.0211700387</v>
      </c>
      <c r="J55" s="63">
        <f t="shared" si="4"/>
        <v>21938184.181154106</v>
      </c>
    </row>
    <row r="56" spans="1:10" ht="13.2" x14ac:dyDescent="0.25">
      <c r="A56" s="64">
        <v>1022</v>
      </c>
      <c r="B56" s="65">
        <v>79.930628758884637</v>
      </c>
      <c r="C56" s="65">
        <v>0.94981412639405205</v>
      </c>
      <c r="D56" s="65">
        <v>15682.389362493164</v>
      </c>
      <c r="E56" s="65">
        <f t="shared" si="5"/>
        <v>9976.1715852345878</v>
      </c>
      <c r="F56" s="65">
        <f t="shared" si="0"/>
        <v>87391263.086654991</v>
      </c>
      <c r="G56" s="66">
        <f t="shared" si="8"/>
        <v>6792721.983670311</v>
      </c>
      <c r="H56" s="66">
        <f t="shared" si="2"/>
        <v>125459114.89994532</v>
      </c>
      <c r="I56" s="66">
        <f t="shared" si="3"/>
        <v>3763773.4469983596</v>
      </c>
      <c r="J56" s="67">
        <f t="shared" si="4"/>
        <v>21847815.771663748</v>
      </c>
    </row>
    <row r="57" spans="1:10" ht="13.2" x14ac:dyDescent="0.25">
      <c r="A57" s="60">
        <v>1021</v>
      </c>
      <c r="B57" s="61">
        <v>79.890967741935484</v>
      </c>
      <c r="C57" s="61">
        <v>0.9488847583643123</v>
      </c>
      <c r="D57" s="61">
        <v>15674.607870967744</v>
      </c>
      <c r="E57" s="61">
        <f t="shared" si="5"/>
        <v>9965.0887453064224</v>
      </c>
      <c r="F57" s="61">
        <f t="shared" si="0"/>
        <v>87294177.408884272</v>
      </c>
      <c r="G57" s="62">
        <f t="shared" si="8"/>
        <v>6775920.7960920334</v>
      </c>
      <c r="H57" s="62">
        <f t="shared" si="2"/>
        <v>125396862.96774195</v>
      </c>
      <c r="I57" s="62">
        <f t="shared" si="3"/>
        <v>3761905.8890322582</v>
      </c>
      <c r="J57" s="63">
        <f t="shared" si="4"/>
        <v>21823544.352221068</v>
      </c>
    </row>
    <row r="58" spans="1:10" ht="13.2" x14ac:dyDescent="0.25">
      <c r="A58" s="64">
        <v>1020</v>
      </c>
      <c r="B58" s="65">
        <v>79.429404045926745</v>
      </c>
      <c r="C58" s="65">
        <v>0.94795539033457255</v>
      </c>
      <c r="D58" s="65">
        <v>15584.049073810829</v>
      </c>
      <c r="E58" s="65">
        <f t="shared" si="5"/>
        <v>9836.2360329948642</v>
      </c>
      <c r="F58" s="65">
        <f t="shared" si="0"/>
        <v>86165427.649035007</v>
      </c>
      <c r="G58" s="66">
        <f t="shared" si="8"/>
        <v>6580669.801400356</v>
      </c>
      <c r="H58" s="66">
        <f t="shared" si="2"/>
        <v>124672392.59048663</v>
      </c>
      <c r="I58" s="66">
        <f t="shared" si="3"/>
        <v>3740171.7777145989</v>
      </c>
      <c r="J58" s="67">
        <f t="shared" si="4"/>
        <v>21541356.912258752</v>
      </c>
    </row>
    <row r="59" spans="1:10" ht="13.2" x14ac:dyDescent="0.25">
      <c r="A59" s="60">
        <v>1019</v>
      </c>
      <c r="B59" s="61">
        <v>79.406670311645712</v>
      </c>
      <c r="C59" s="61">
        <v>0.94702602230483268</v>
      </c>
      <c r="D59" s="61">
        <v>15579.58871514489</v>
      </c>
      <c r="E59" s="61">
        <f t="shared" si="5"/>
        <v>9829.8957740919323</v>
      </c>
      <c r="F59" s="61">
        <f t="shared" si="0"/>
        <v>86109886.981045321</v>
      </c>
      <c r="G59" s="62">
        <f t="shared" si="8"/>
        <v>6571066.5787222385</v>
      </c>
      <c r="H59" s="62">
        <f t="shared" si="2"/>
        <v>124636709.72115912</v>
      </c>
      <c r="I59" s="62">
        <f t="shared" si="3"/>
        <v>3739101.2916347734</v>
      </c>
      <c r="J59" s="63">
        <f t="shared" si="4"/>
        <v>21527471.74526133</v>
      </c>
    </row>
    <row r="60" spans="1:10" ht="13.2" x14ac:dyDescent="0.25">
      <c r="A60" s="64">
        <v>1018</v>
      </c>
      <c r="B60" s="65">
        <v>79.065073810825581</v>
      </c>
      <c r="C60" s="65">
        <v>0.94609665427509293</v>
      </c>
      <c r="D60" s="65">
        <v>15512.567481683978</v>
      </c>
      <c r="E60" s="65">
        <f t="shared" si="5"/>
        <v>9734.7206395861031</v>
      </c>
      <c r="F60" s="65">
        <f t="shared" si="0"/>
        <v>85276152.802774265</v>
      </c>
      <c r="G60" s="66">
        <f t="shared" si="8"/>
        <v>6426973.4182769451</v>
      </c>
      <c r="H60" s="66">
        <f t="shared" si="2"/>
        <v>124100539.85347183</v>
      </c>
      <c r="I60" s="66">
        <f t="shared" si="3"/>
        <v>3723016.1956041548</v>
      </c>
      <c r="J60" s="67">
        <f t="shared" si="4"/>
        <v>21319038.200693566</v>
      </c>
    </row>
    <row r="61" spans="1:10" ht="13.2" x14ac:dyDescent="0.25">
      <c r="A61" s="60">
        <v>1017</v>
      </c>
      <c r="B61" s="61">
        <v>78.516806998359755</v>
      </c>
      <c r="C61" s="61">
        <v>0.94516728624535318</v>
      </c>
      <c r="D61" s="61">
        <v>15404.997533078184</v>
      </c>
      <c r="E61" s="61">
        <f t="shared" si="5"/>
        <v>9582.1132729069723</v>
      </c>
      <c r="F61" s="61">
        <f t="shared" si="0"/>
        <v>83939312.270665079</v>
      </c>
      <c r="G61" s="62">
        <f>J61-(I61-(H61*$N$4))</f>
        <v>28379226.883543797</v>
      </c>
      <c r="H61" s="62">
        <f t="shared" si="2"/>
        <v>123239980.26462547</v>
      </c>
      <c r="I61" s="62">
        <f t="shared" si="3"/>
        <v>3697199.407938764</v>
      </c>
      <c r="J61" s="63">
        <f t="shared" si="4"/>
        <v>20984828.06766627</v>
      </c>
    </row>
    <row r="62" spans="1:10" ht="13.2" x14ac:dyDescent="0.25">
      <c r="A62" s="64">
        <v>1016</v>
      </c>
      <c r="B62" s="65">
        <v>78.316927282668118</v>
      </c>
      <c r="C62" s="65">
        <v>0.94423791821561343</v>
      </c>
      <c r="D62" s="65">
        <v>15365.781132859485</v>
      </c>
      <c r="E62" s="65">
        <f t="shared" si="5"/>
        <v>9526.5324082847474</v>
      </c>
      <c r="F62" s="65">
        <f t="shared" si="0"/>
        <v>83452423.896574393</v>
      </c>
      <c r="G62" s="66">
        <f t="shared" ref="G62:G76" si="9">J62-I62-(H62*$N$4)</f>
        <v>6111956.0865984913</v>
      </c>
      <c r="H62" s="66">
        <f t="shared" si="2"/>
        <v>122926249.06287588</v>
      </c>
      <c r="I62" s="66">
        <f t="shared" si="3"/>
        <v>3687787.4718862763</v>
      </c>
      <c r="J62" s="67">
        <f t="shared" si="4"/>
        <v>20863105.974143598</v>
      </c>
    </row>
    <row r="63" spans="1:10" ht="13.2" x14ac:dyDescent="0.25">
      <c r="A63" s="60">
        <v>1015</v>
      </c>
      <c r="B63" s="61">
        <v>78.297933296883542</v>
      </c>
      <c r="C63" s="61">
        <v>0.94330855018587356</v>
      </c>
      <c r="D63" s="61">
        <v>15362.05451284855</v>
      </c>
      <c r="E63" s="61">
        <f t="shared" si="5"/>
        <v>9521.2559161038371</v>
      </c>
      <c r="F63" s="61">
        <f t="shared" si="0"/>
        <v>83406201.825069606</v>
      </c>
      <c r="G63" s="62">
        <f t="shared" si="9"/>
        <v>6103978.1239327937</v>
      </c>
      <c r="H63" s="62">
        <f t="shared" si="2"/>
        <v>122896436.1027884</v>
      </c>
      <c r="I63" s="62">
        <f t="shared" si="3"/>
        <v>3686893.083083652</v>
      </c>
      <c r="J63" s="63">
        <f t="shared" si="4"/>
        <v>20851550.456267402</v>
      </c>
    </row>
    <row r="64" spans="1:10" ht="13.2" x14ac:dyDescent="0.25">
      <c r="A64" s="64">
        <v>1014</v>
      </c>
      <c r="B64" s="65">
        <v>78.108190267905968</v>
      </c>
      <c r="C64" s="65">
        <v>0.94237918215613381</v>
      </c>
      <c r="D64" s="65">
        <v>15324.826930563151</v>
      </c>
      <c r="E64" s="65">
        <f t="shared" si="5"/>
        <v>9468.5975701573898</v>
      </c>
      <c r="F64" s="65">
        <f t="shared" si="0"/>
        <v>82944914.714578733</v>
      </c>
      <c r="G64" s="66">
        <f t="shared" si="9"/>
        <v>6024394.8253040574</v>
      </c>
      <c r="H64" s="66">
        <f t="shared" si="2"/>
        <v>122598615.44450521</v>
      </c>
      <c r="I64" s="66">
        <f t="shared" si="3"/>
        <v>3677958.4633351564</v>
      </c>
      <c r="J64" s="67">
        <f t="shared" si="4"/>
        <v>20736228.678644683</v>
      </c>
    </row>
    <row r="65" spans="1:10" ht="13.2" x14ac:dyDescent="0.25">
      <c r="A65" s="60">
        <v>1013</v>
      </c>
      <c r="B65" s="61">
        <v>76.833526517222523</v>
      </c>
      <c r="C65" s="61">
        <v>0.94144981412639406</v>
      </c>
      <c r="D65" s="61">
        <v>15074.73790267906</v>
      </c>
      <c r="E65" s="61">
        <f t="shared" si="5"/>
        <v>9115.1957421854931</v>
      </c>
      <c r="F65" s="61">
        <f t="shared" si="0"/>
        <v>79849114.701544926</v>
      </c>
      <c r="G65" s="62">
        <f t="shared" si="9"/>
        <v>5490530.2888143342</v>
      </c>
      <c r="H65" s="62">
        <f t="shared" si="2"/>
        <v>120597903.22143248</v>
      </c>
      <c r="I65" s="62">
        <f t="shared" si="3"/>
        <v>3617937.0966429743</v>
      </c>
      <c r="J65" s="63">
        <f t="shared" si="4"/>
        <v>19962278.675386231</v>
      </c>
    </row>
    <row r="66" spans="1:10" ht="13.2" x14ac:dyDescent="0.25">
      <c r="A66" s="64">
        <v>1012</v>
      </c>
      <c r="B66" s="65">
        <v>76.357594313832692</v>
      </c>
      <c r="C66" s="65">
        <v>0.94052044609665431</v>
      </c>
      <c r="D66" s="65">
        <v>14981.360004373977</v>
      </c>
      <c r="E66" s="65">
        <f t="shared" si="5"/>
        <v>8983.3732258979271</v>
      </c>
      <c r="F66" s="65">
        <f t="shared" si="0"/>
        <v>78694349.458865836</v>
      </c>
      <c r="G66" s="66">
        <f t="shared" si="9"/>
        <v>5291481.7605174426</v>
      </c>
      <c r="H66" s="66">
        <f t="shared" si="2"/>
        <v>119850880.03499182</v>
      </c>
      <c r="I66" s="66">
        <f t="shared" si="3"/>
        <v>3595526.4010497541</v>
      </c>
      <c r="J66" s="67">
        <f t="shared" si="4"/>
        <v>19673587.364716459</v>
      </c>
    </row>
    <row r="67" spans="1:10" ht="13.2" x14ac:dyDescent="0.25">
      <c r="A67" s="60">
        <v>1011</v>
      </c>
      <c r="B67" s="61">
        <v>76.138130125751772</v>
      </c>
      <c r="C67" s="61">
        <v>0.93959107806691455</v>
      </c>
      <c r="D67" s="61">
        <v>14938.3011306725</v>
      </c>
      <c r="E67" s="61">
        <f t="shared" si="5"/>
        <v>8922.6466080150349</v>
      </c>
      <c r="F67" s="61">
        <f t="shared" si="0"/>
        <v>78162384.286211699</v>
      </c>
      <c r="G67" s="62">
        <f t="shared" si="9"/>
        <v>5199826.9861073252</v>
      </c>
      <c r="H67" s="62">
        <f t="shared" si="2"/>
        <v>119506409.04538</v>
      </c>
      <c r="I67" s="62">
        <f t="shared" si="3"/>
        <v>3585192.2713613999</v>
      </c>
      <c r="J67" s="63">
        <f t="shared" si="4"/>
        <v>19540596.071552925</v>
      </c>
    </row>
    <row r="68" spans="1:10" ht="13.2" x14ac:dyDescent="0.25">
      <c r="A68" s="64">
        <v>1010</v>
      </c>
      <c r="B68" s="65">
        <v>75.908135593220337</v>
      </c>
      <c r="C68" s="65">
        <v>0.93866171003717469</v>
      </c>
      <c r="D68" s="65">
        <v>14893.17620338983</v>
      </c>
      <c r="E68" s="65">
        <f t="shared" si="5"/>
        <v>8859.0691082375924</v>
      </c>
      <c r="F68" s="65">
        <f t="shared" si="0"/>
        <v>77605445.388161317</v>
      </c>
      <c r="G68" s="66">
        <f t="shared" si="9"/>
        <v>5103912.1917860918</v>
      </c>
      <c r="H68" s="66">
        <f t="shared" si="2"/>
        <v>119145409.62711865</v>
      </c>
      <c r="I68" s="66">
        <f t="shared" si="3"/>
        <v>3574362.2888135593</v>
      </c>
      <c r="J68" s="67">
        <f t="shared" si="4"/>
        <v>19401361.347040329</v>
      </c>
    </row>
    <row r="69" spans="1:10" ht="13.2" x14ac:dyDescent="0.25">
      <c r="A69" s="60">
        <v>1009</v>
      </c>
      <c r="B69" s="61">
        <v>75.229666484417706</v>
      </c>
      <c r="C69" s="61">
        <v>0.93773234200743494</v>
      </c>
      <c r="D69" s="61">
        <v>14760.060564242753</v>
      </c>
      <c r="E69" s="61">
        <f t="shared" si="5"/>
        <v>8671.7051347355027</v>
      </c>
      <c r="F69" s="61">
        <f t="shared" si="0"/>
        <v>75964136.980283007</v>
      </c>
      <c r="G69" s="62">
        <f t="shared" si="9"/>
        <v>4821376.1033977102</v>
      </c>
      <c r="H69" s="62">
        <f t="shared" si="2"/>
        <v>118080484.51394202</v>
      </c>
      <c r="I69" s="62">
        <f t="shared" si="3"/>
        <v>3542414.5354182604</v>
      </c>
      <c r="J69" s="63">
        <f t="shared" si="4"/>
        <v>18991034.245070752</v>
      </c>
    </row>
    <row r="70" spans="1:10" ht="13.2" x14ac:dyDescent="0.25">
      <c r="A70" s="64">
        <v>1008</v>
      </c>
      <c r="B70" s="65">
        <v>74.735330781848006</v>
      </c>
      <c r="C70" s="65">
        <v>0.93680297397769519</v>
      </c>
      <c r="D70" s="65">
        <v>14663.071899398581</v>
      </c>
      <c r="E70" s="65">
        <f t="shared" si="5"/>
        <v>8535.3260920689299</v>
      </c>
      <c r="F70" s="65">
        <f t="shared" si="0"/>
        <v>74769456.566523835</v>
      </c>
      <c r="G70" s="66">
        <f t="shared" si="9"/>
        <v>4615815.1182083227</v>
      </c>
      <c r="H70" s="66">
        <f t="shared" si="2"/>
        <v>117304575.19518864</v>
      </c>
      <c r="I70" s="66">
        <f t="shared" si="3"/>
        <v>3519137.255855659</v>
      </c>
      <c r="J70" s="67">
        <f t="shared" si="4"/>
        <v>18692364.141630959</v>
      </c>
    </row>
    <row r="71" spans="1:10" ht="13.2" x14ac:dyDescent="0.25">
      <c r="A71" s="60">
        <v>1007</v>
      </c>
      <c r="B71" s="61">
        <v>74.074182613449977</v>
      </c>
      <c r="C71" s="61">
        <v>0.93587360594795543</v>
      </c>
      <c r="D71" s="61">
        <v>14533.354628758885</v>
      </c>
      <c r="E71" s="61">
        <f t="shared" si="5"/>
        <v>8353.1070822437432</v>
      </c>
      <c r="F71" s="61">
        <f t="shared" si="0"/>
        <v>73173218.040455192</v>
      </c>
      <c r="G71" s="62">
        <f t="shared" si="9"/>
        <v>4341284.0665052682</v>
      </c>
      <c r="H71" s="62">
        <f t="shared" si="2"/>
        <v>116266837.03007108</v>
      </c>
      <c r="I71" s="62">
        <f t="shared" si="3"/>
        <v>3488005.1109021325</v>
      </c>
      <c r="J71" s="63">
        <f t="shared" si="4"/>
        <v>18293304.510113798</v>
      </c>
    </row>
    <row r="72" spans="1:10" ht="13.2" x14ac:dyDescent="0.25">
      <c r="A72" s="64">
        <v>1006</v>
      </c>
      <c r="B72" s="65">
        <v>73.94427556041552</v>
      </c>
      <c r="C72" s="65">
        <v>0.93494423791821557</v>
      </c>
      <c r="D72" s="65">
        <v>14507.866864953527</v>
      </c>
      <c r="E72" s="65">
        <f t="shared" si="5"/>
        <v>8317.3389378700522</v>
      </c>
      <c r="F72" s="65">
        <f t="shared" si="0"/>
        <v>72859889.095741659</v>
      </c>
      <c r="G72" s="66">
        <f t="shared" si="9"/>
        <v>4287420.0835800301</v>
      </c>
      <c r="H72" s="66">
        <f t="shared" si="2"/>
        <v>116062934.91962822</v>
      </c>
      <c r="I72" s="66">
        <f t="shared" si="3"/>
        <v>3481888.0475888462</v>
      </c>
      <c r="J72" s="67">
        <f t="shared" si="4"/>
        <v>18214972.273935415</v>
      </c>
    </row>
    <row r="73" spans="1:10" ht="13.2" x14ac:dyDescent="0.25">
      <c r="A73" s="60">
        <v>1005</v>
      </c>
      <c r="B73" s="61">
        <v>73.807676325861124</v>
      </c>
      <c r="C73" s="61">
        <v>0.93401486988847582</v>
      </c>
      <c r="D73" s="61">
        <v>14481.066095133952</v>
      </c>
      <c r="E73" s="61">
        <f t="shared" si="5"/>
        <v>8279.765553787498</v>
      </c>
      <c r="F73" s="61">
        <f t="shared" si="0"/>
        <v>72530746.251178488</v>
      </c>
      <c r="G73" s="62">
        <f t="shared" si="9"/>
        <v>4230863.1114660297</v>
      </c>
      <c r="H73" s="62">
        <f t="shared" si="2"/>
        <v>115848528.76107162</v>
      </c>
      <c r="I73" s="62">
        <f t="shared" si="3"/>
        <v>3475455.8628321486</v>
      </c>
      <c r="J73" s="63">
        <f t="shared" si="4"/>
        <v>18132686.562794622</v>
      </c>
    </row>
    <row r="74" spans="1:10" ht="13.2" x14ac:dyDescent="0.25">
      <c r="A74" s="64">
        <v>1004</v>
      </c>
      <c r="B74" s="65">
        <v>73.299562602515039</v>
      </c>
      <c r="C74" s="65">
        <v>0.93308550185873607</v>
      </c>
      <c r="D74" s="65">
        <v>14381.374182613452</v>
      </c>
      <c r="E74" s="65">
        <f t="shared" si="5"/>
        <v>8140.1412859730053</v>
      </c>
      <c r="F74" s="65">
        <f t="shared" si="0"/>
        <v>71307637.665123522</v>
      </c>
      <c r="G74" s="66">
        <f t="shared" si="9"/>
        <v>4020790.2009719685</v>
      </c>
      <c r="H74" s="66">
        <f t="shared" si="2"/>
        <v>115050993.46090761</v>
      </c>
      <c r="I74" s="66">
        <f t="shared" si="3"/>
        <v>3451529.803827228</v>
      </c>
      <c r="J74" s="67">
        <f t="shared" si="4"/>
        <v>17826909.416280881</v>
      </c>
    </row>
    <row r="75" spans="1:10" ht="13.2" x14ac:dyDescent="0.25">
      <c r="A75" s="60">
        <v>1003</v>
      </c>
      <c r="B75" s="61">
        <v>73.240513942044828</v>
      </c>
      <c r="C75" s="61">
        <v>0.93215613382899631</v>
      </c>
      <c r="D75" s="61">
        <v>14369.788835429195</v>
      </c>
      <c r="E75" s="61">
        <f t="shared" si="5"/>
        <v>8123.9314902612041</v>
      </c>
      <c r="F75" s="61">
        <f t="shared" si="0"/>
        <v>71165639.854688153</v>
      </c>
      <c r="G75" s="62">
        <f t="shared" si="9"/>
        <v>3996412.6816600095</v>
      </c>
      <c r="H75" s="62">
        <f t="shared" si="2"/>
        <v>114958310.68343356</v>
      </c>
      <c r="I75" s="62">
        <f t="shared" si="3"/>
        <v>3448749.3205030067</v>
      </c>
      <c r="J75" s="63">
        <f t="shared" si="4"/>
        <v>17791409.963672038</v>
      </c>
    </row>
    <row r="76" spans="1:10" ht="13.2" x14ac:dyDescent="0.25">
      <c r="A76" s="64">
        <v>1002</v>
      </c>
      <c r="B76" s="65">
        <v>73.177627118644068</v>
      </c>
      <c r="C76" s="65">
        <v>0.93122676579925645</v>
      </c>
      <c r="D76" s="65">
        <v>14357.450440677967</v>
      </c>
      <c r="E76" s="65">
        <f t="shared" si="5"/>
        <v>8106.6852581925723</v>
      </c>
      <c r="F76" s="65">
        <f t="shared" si="0"/>
        <v>71014562.861766934</v>
      </c>
      <c r="G76" s="66">
        <f t="shared" si="9"/>
        <v>3970488.2923908848</v>
      </c>
      <c r="H76" s="66">
        <f t="shared" si="2"/>
        <v>114859603.52542374</v>
      </c>
      <c r="I76" s="66">
        <f t="shared" si="3"/>
        <v>3445788.1057627117</v>
      </c>
      <c r="J76" s="67">
        <f t="shared" si="4"/>
        <v>17753640.715441734</v>
      </c>
    </row>
    <row r="77" spans="1:10" ht="13.2" x14ac:dyDescent="0.25">
      <c r="A77" s="60">
        <v>1001</v>
      </c>
      <c r="B77" s="61">
        <v>72.532028430836519</v>
      </c>
      <c r="C77" s="61">
        <v>0.9302973977695167</v>
      </c>
      <c r="D77" s="61">
        <v>14230.783978130126</v>
      </c>
      <c r="E77" s="61">
        <f t="shared" si="5"/>
        <v>7929.8113176924508</v>
      </c>
      <c r="F77" s="61">
        <f t="shared" si="0"/>
        <v>69465147.142985865</v>
      </c>
      <c r="G77" s="62">
        <f>J77-(I77-(H77*$N$4))</f>
        <v>24197063.095248926</v>
      </c>
      <c r="H77" s="62">
        <f t="shared" si="2"/>
        <v>113846271.82504101</v>
      </c>
      <c r="I77" s="62">
        <f t="shared" si="3"/>
        <v>3415388.15475123</v>
      </c>
      <c r="J77" s="63">
        <f t="shared" si="4"/>
        <v>17366286.785746466</v>
      </c>
    </row>
    <row r="78" spans="1:10" ht="13.2" x14ac:dyDescent="0.25">
      <c r="A78" s="64">
        <v>1000</v>
      </c>
      <c r="B78" s="65">
        <v>72.319256424275551</v>
      </c>
      <c r="C78" s="65">
        <v>0.92936802973977695</v>
      </c>
      <c r="D78" s="65">
        <v>14189.038110442863</v>
      </c>
      <c r="E78" s="65">
        <f t="shared" si="5"/>
        <v>7871.5766082142154</v>
      </c>
      <c r="F78" s="65">
        <f t="shared" si="0"/>
        <v>68955011.087956533</v>
      </c>
      <c r="G78" s="66">
        <f t="shared" ref="G78:G92" si="10">J78-I78-(H78*$N$4)</f>
        <v>3617276.1859639846</v>
      </c>
      <c r="H78" s="66">
        <f t="shared" si="2"/>
        <v>113512304.88354291</v>
      </c>
      <c r="I78" s="66">
        <f t="shared" si="3"/>
        <v>3405369.1465062872</v>
      </c>
      <c r="J78" s="67">
        <f t="shared" si="4"/>
        <v>17238752.771989133</v>
      </c>
    </row>
    <row r="79" spans="1:10" ht="13.2" x14ac:dyDescent="0.25">
      <c r="A79" s="60">
        <v>999</v>
      </c>
      <c r="B79" s="61">
        <v>72.143685073810815</v>
      </c>
      <c r="C79" s="61">
        <v>0.92843866171003719</v>
      </c>
      <c r="D79" s="61">
        <v>14154.591011481683</v>
      </c>
      <c r="E79" s="61">
        <f t="shared" si="5"/>
        <v>7823.5715664927566</v>
      </c>
      <c r="F79" s="61">
        <f t="shared" si="0"/>
        <v>68534486.922476545</v>
      </c>
      <c r="G79" s="62">
        <f t="shared" si="10"/>
        <v>3545214.35959672</v>
      </c>
      <c r="H79" s="62">
        <f t="shared" si="2"/>
        <v>113236728.09185347</v>
      </c>
      <c r="I79" s="62">
        <f t="shared" si="3"/>
        <v>3397101.8427556041</v>
      </c>
      <c r="J79" s="63">
        <f t="shared" si="4"/>
        <v>17133621.730619136</v>
      </c>
    </row>
    <row r="80" spans="1:10" ht="13.2" x14ac:dyDescent="0.25">
      <c r="A80" s="64">
        <v>998</v>
      </c>
      <c r="B80" s="65">
        <v>72.090934937124103</v>
      </c>
      <c r="C80" s="65">
        <v>0.92750929368029744</v>
      </c>
      <c r="D80" s="65">
        <v>14144.241434663749</v>
      </c>
      <c r="E80" s="65">
        <f t="shared" si="5"/>
        <v>7809.162954900502</v>
      </c>
      <c r="F80" s="65">
        <f t="shared" si="0"/>
        <v>68408267.484928399</v>
      </c>
      <c r="G80" s="66">
        <f t="shared" si="10"/>
        <v>3523595.0939549003</v>
      </c>
      <c r="H80" s="66">
        <f t="shared" si="2"/>
        <v>113153931.47730999</v>
      </c>
      <c r="I80" s="66">
        <f t="shared" si="3"/>
        <v>3394617.9443192994</v>
      </c>
      <c r="J80" s="67">
        <f t="shared" si="4"/>
        <v>17102066.8712321</v>
      </c>
    </row>
    <row r="81" spans="1:10" ht="13.2" x14ac:dyDescent="0.25">
      <c r="A81" s="60">
        <v>997</v>
      </c>
      <c r="B81" s="61">
        <v>72.041826134499729</v>
      </c>
      <c r="C81" s="61">
        <v>0.92657992565055758</v>
      </c>
      <c r="D81" s="61">
        <v>14134.606287588847</v>
      </c>
      <c r="E81" s="61">
        <f t="shared" si="5"/>
        <v>7795.7623995124077</v>
      </c>
      <c r="F81" s="61">
        <f t="shared" si="0"/>
        <v>68290878.619728684</v>
      </c>
      <c r="G81" s="62">
        <f t="shared" si="10"/>
        <v>3503497.6188468784</v>
      </c>
      <c r="H81" s="62">
        <f t="shared" si="2"/>
        <v>113076850.30071078</v>
      </c>
      <c r="I81" s="62">
        <f t="shared" si="3"/>
        <v>3392305.5090213232</v>
      </c>
      <c r="J81" s="63">
        <f t="shared" si="4"/>
        <v>17072719.654932171</v>
      </c>
    </row>
    <row r="82" spans="1:10" ht="13.2" x14ac:dyDescent="0.25">
      <c r="A82" s="64">
        <v>996</v>
      </c>
      <c r="B82" s="65">
        <v>71.999704756697653</v>
      </c>
      <c r="C82" s="65">
        <v>0.92565055762081783</v>
      </c>
      <c r="D82" s="65">
        <v>14126.342073264079</v>
      </c>
      <c r="E82" s="65">
        <f t="shared" si="5"/>
        <v>7784.2800571187936</v>
      </c>
      <c r="F82" s="65">
        <f t="shared" si="0"/>
        <v>68190293.300360635</v>
      </c>
      <c r="G82" s="66">
        <f t="shared" si="10"/>
        <v>3486284.9347566422</v>
      </c>
      <c r="H82" s="66">
        <f t="shared" si="2"/>
        <v>113010736.58611263</v>
      </c>
      <c r="I82" s="66">
        <f t="shared" si="3"/>
        <v>3390322.0975833787</v>
      </c>
      <c r="J82" s="67">
        <f t="shared" si="4"/>
        <v>17047573.325090159</v>
      </c>
    </row>
    <row r="83" spans="1:10" ht="13.2" x14ac:dyDescent="0.25">
      <c r="A83" s="60">
        <v>995</v>
      </c>
      <c r="B83" s="61">
        <v>71.953449972662654</v>
      </c>
      <c r="C83" s="61">
        <v>0.92472118959107807</v>
      </c>
      <c r="D83" s="61">
        <v>14117.266884636414</v>
      </c>
      <c r="E83" s="61">
        <f t="shared" si="5"/>
        <v>7771.6835940933124</v>
      </c>
      <c r="F83" s="61">
        <f t="shared" si="0"/>
        <v>68079948.284257412</v>
      </c>
      <c r="G83" s="62">
        <f t="shared" si="10"/>
        <v>3467410.8618133962</v>
      </c>
      <c r="H83" s="62">
        <f t="shared" si="2"/>
        <v>112938135.07709131</v>
      </c>
      <c r="I83" s="62">
        <f t="shared" si="3"/>
        <v>3388144.0523127392</v>
      </c>
      <c r="J83" s="63">
        <f t="shared" si="4"/>
        <v>17019987.071064353</v>
      </c>
    </row>
    <row r="84" spans="1:10" ht="13.2" x14ac:dyDescent="0.25">
      <c r="A84" s="64">
        <v>994</v>
      </c>
      <c r="B84" s="65">
        <v>71.890563149261894</v>
      </c>
      <c r="C84" s="65">
        <v>0.92379182156133832</v>
      </c>
      <c r="D84" s="65">
        <v>14104.928489885186</v>
      </c>
      <c r="E84" s="65">
        <f t="shared" si="5"/>
        <v>7754.5749649401223</v>
      </c>
      <c r="F84" s="65">
        <f t="shared" si="0"/>
        <v>67930076.692875475</v>
      </c>
      <c r="G84" s="66">
        <f t="shared" si="10"/>
        <v>3441787.8229290918</v>
      </c>
      <c r="H84" s="66">
        <f t="shared" si="2"/>
        <v>112839427.91908148</v>
      </c>
      <c r="I84" s="66">
        <f t="shared" si="3"/>
        <v>3385182.8375724442</v>
      </c>
      <c r="J84" s="67">
        <f t="shared" si="4"/>
        <v>16982519.173218869</v>
      </c>
    </row>
    <row r="85" spans="1:10" ht="13.2" x14ac:dyDescent="0.25">
      <c r="A85" s="60">
        <v>993</v>
      </c>
      <c r="B85" s="61">
        <v>71.650235101148155</v>
      </c>
      <c r="C85" s="61">
        <v>0.92286245353159846</v>
      </c>
      <c r="D85" s="61">
        <v>14057.776126845267</v>
      </c>
      <c r="E85" s="61">
        <f t="shared" si="5"/>
        <v>7689.2584248741377</v>
      </c>
      <c r="F85" s="61">
        <f t="shared" si="0"/>
        <v>67357903.801897451</v>
      </c>
      <c r="G85" s="62">
        <f t="shared" si="10"/>
        <v>3344010.8687029071</v>
      </c>
      <c r="H85" s="62">
        <f t="shared" si="2"/>
        <v>112462209.01476213</v>
      </c>
      <c r="I85" s="62">
        <f t="shared" si="3"/>
        <v>3373866.2704428639</v>
      </c>
      <c r="J85" s="63">
        <f t="shared" si="4"/>
        <v>16839475.950474363</v>
      </c>
    </row>
    <row r="86" spans="1:10" ht="13.2" x14ac:dyDescent="0.25">
      <c r="A86" s="64">
        <v>992</v>
      </c>
      <c r="B86" s="65">
        <v>70.967731000546735</v>
      </c>
      <c r="C86" s="65">
        <v>0.92193308550185871</v>
      </c>
      <c r="D86" s="65">
        <v>13923.868822307268</v>
      </c>
      <c r="E86" s="65">
        <f t="shared" si="5"/>
        <v>7503.9536140404198</v>
      </c>
      <c r="F86" s="65">
        <f t="shared" si="0"/>
        <v>65734633.658994079</v>
      </c>
      <c r="G86" s="66">
        <f t="shared" si="10"/>
        <v>3066744.3453335445</v>
      </c>
      <c r="H86" s="66">
        <f t="shared" si="2"/>
        <v>111390950.57845815</v>
      </c>
      <c r="I86" s="66">
        <f t="shared" si="3"/>
        <v>3341728.5173537442</v>
      </c>
      <c r="J86" s="67">
        <f t="shared" si="4"/>
        <v>16433658.41474852</v>
      </c>
    </row>
    <row r="87" spans="1:10" ht="13.2" x14ac:dyDescent="0.25">
      <c r="A87" s="60">
        <v>991</v>
      </c>
      <c r="B87" s="61">
        <v>70.292607982504094</v>
      </c>
      <c r="C87" s="61">
        <v>0.92100371747211895</v>
      </c>
      <c r="D87" s="61">
        <v>13791.409686167304</v>
      </c>
      <c r="E87" s="61">
        <f t="shared" si="5"/>
        <v>7320.8374755569666</v>
      </c>
      <c r="F87" s="61">
        <f t="shared" si="0"/>
        <v>64130536.285879023</v>
      </c>
      <c r="G87" s="62">
        <f t="shared" si="10"/>
        <v>2792880.7727491446</v>
      </c>
      <c r="H87" s="62">
        <f t="shared" si="2"/>
        <v>110331277.48933843</v>
      </c>
      <c r="I87" s="62">
        <f t="shared" si="3"/>
        <v>3309938.3246801528</v>
      </c>
      <c r="J87" s="63">
        <f t="shared" si="4"/>
        <v>16032634.071469756</v>
      </c>
    </row>
    <row r="88" spans="1:10" ht="13.2" x14ac:dyDescent="0.25">
      <c r="A88" s="64">
        <v>990</v>
      </c>
      <c r="B88" s="65">
        <v>70.166539092400214</v>
      </c>
      <c r="C88" s="65">
        <v>0.9200743494423792</v>
      </c>
      <c r="D88" s="65">
        <v>13766.674969928925</v>
      </c>
      <c r="E88" s="65">
        <f t="shared" si="5"/>
        <v>7286.6778209749664</v>
      </c>
      <c r="F88" s="65">
        <f t="shared" si="0"/>
        <v>63831297.711740702</v>
      </c>
      <c r="G88" s="66">
        <f t="shared" si="10"/>
        <v>2741816.4568034094</v>
      </c>
      <c r="H88" s="66">
        <f t="shared" si="2"/>
        <v>110133399.75943139</v>
      </c>
      <c r="I88" s="66">
        <f t="shared" si="3"/>
        <v>3304001.9927829416</v>
      </c>
      <c r="J88" s="67">
        <f t="shared" si="4"/>
        <v>15957824.427935176</v>
      </c>
    </row>
    <row r="89" spans="1:10" ht="13.2" x14ac:dyDescent="0.25">
      <c r="A89" s="60">
        <v>989</v>
      </c>
      <c r="B89" s="61">
        <v>69.784297430289783</v>
      </c>
      <c r="C89" s="61">
        <v>0.91914498141263945</v>
      </c>
      <c r="D89" s="61">
        <v>13691.679155822856</v>
      </c>
      <c r="E89" s="61">
        <f t="shared" si="5"/>
        <v>7183.2100830191494</v>
      </c>
      <c r="F89" s="61">
        <f t="shared" si="0"/>
        <v>62924920.327247754</v>
      </c>
      <c r="G89" s="62">
        <f t="shared" si="10"/>
        <v>2587218.0922219958</v>
      </c>
      <c r="H89" s="62">
        <f t="shared" si="2"/>
        <v>109533433.24658285</v>
      </c>
      <c r="I89" s="62">
        <f t="shared" si="3"/>
        <v>3286002.9973974852</v>
      </c>
      <c r="J89" s="63">
        <f t="shared" si="4"/>
        <v>15731230.081811938</v>
      </c>
    </row>
    <row r="90" spans="1:10" ht="13.2" x14ac:dyDescent="0.25">
      <c r="A90" s="64">
        <v>988</v>
      </c>
      <c r="B90" s="65">
        <v>69.068824494259161</v>
      </c>
      <c r="C90" s="65">
        <v>0.91821561338289959</v>
      </c>
      <c r="D90" s="65">
        <v>13551.303365773647</v>
      </c>
      <c r="E90" s="65">
        <f t="shared" si="5"/>
        <v>6989.7367590015128</v>
      </c>
      <c r="F90" s="65">
        <f t="shared" si="0"/>
        <v>61230094.008853249</v>
      </c>
      <c r="G90" s="66">
        <f t="shared" si="10"/>
        <v>2298272.2710706126</v>
      </c>
      <c r="H90" s="66">
        <f t="shared" si="2"/>
        <v>108410426.92618917</v>
      </c>
      <c r="I90" s="66">
        <f t="shared" si="3"/>
        <v>3252312.8077856749</v>
      </c>
      <c r="J90" s="67">
        <f t="shared" si="4"/>
        <v>15307523.502213312</v>
      </c>
    </row>
    <row r="91" spans="1:10" ht="13.2" x14ac:dyDescent="0.25">
      <c r="A91" s="60">
        <v>987</v>
      </c>
      <c r="B91" s="61">
        <v>68.915691634773097</v>
      </c>
      <c r="C91" s="61">
        <v>0.91728624535315983</v>
      </c>
      <c r="D91" s="61">
        <v>13521.258698742482</v>
      </c>
      <c r="E91" s="61">
        <f t="shared" si="5"/>
        <v>6948.3694967276551</v>
      </c>
      <c r="F91" s="61">
        <f t="shared" si="0"/>
        <v>60867716.791334264</v>
      </c>
      <c r="G91" s="62">
        <f t="shared" si="10"/>
        <v>2236520.8470407836</v>
      </c>
      <c r="H91" s="62">
        <f t="shared" si="2"/>
        <v>108170069.58993986</v>
      </c>
      <c r="I91" s="62">
        <f t="shared" si="3"/>
        <v>3245102.0876981956</v>
      </c>
      <c r="J91" s="63">
        <f t="shared" si="4"/>
        <v>15216929.197833566</v>
      </c>
    </row>
    <row r="92" spans="1:10" ht="13.2" x14ac:dyDescent="0.25">
      <c r="A92" s="64">
        <v>986</v>
      </c>
      <c r="B92" s="65">
        <v>68.380021869874255</v>
      </c>
      <c r="C92" s="65">
        <v>0.91635687732342008</v>
      </c>
      <c r="D92" s="65">
        <v>13416.160290869329</v>
      </c>
      <c r="E92" s="65">
        <f t="shared" si="5"/>
        <v>6803.8103483519435</v>
      </c>
      <c r="F92" s="65">
        <f t="shared" si="0"/>
        <v>59601378.651563026</v>
      </c>
      <c r="G92" s="66">
        <f t="shared" si="10"/>
        <v>2020830.7836562004</v>
      </c>
      <c r="H92" s="66">
        <f t="shared" si="2"/>
        <v>107329282.32695463</v>
      </c>
      <c r="I92" s="66">
        <f t="shared" si="3"/>
        <v>3219878.469808639</v>
      </c>
      <c r="J92" s="67">
        <f t="shared" si="4"/>
        <v>14900344.662890757</v>
      </c>
    </row>
    <row r="93" spans="1:10" ht="13.2" x14ac:dyDescent="0.25">
      <c r="A93" s="60">
        <v>985</v>
      </c>
      <c r="B93" s="61">
        <v>68.289185347184244</v>
      </c>
      <c r="C93" s="61">
        <v>0.91542750929368033</v>
      </c>
      <c r="D93" s="61">
        <v>13398.338165117551</v>
      </c>
      <c r="E93" s="61">
        <f t="shared" si="5"/>
        <v>6779.3214887571448</v>
      </c>
      <c r="F93" s="61">
        <f t="shared" si="0"/>
        <v>59386856.241512589</v>
      </c>
      <c r="G93" s="62">
        <f>J93-(I93-(H93*$N$4))</f>
        <v>21277916.37963457</v>
      </c>
      <c r="H93" s="62">
        <f t="shared" si="2"/>
        <v>107186705.32094041</v>
      </c>
      <c r="I93" s="62">
        <f t="shared" si="3"/>
        <v>3215601.159628212</v>
      </c>
      <c r="J93" s="63">
        <f t="shared" si="4"/>
        <v>14846714.060378147</v>
      </c>
    </row>
    <row r="94" spans="1:10" ht="13.2" x14ac:dyDescent="0.25">
      <c r="A94" s="64">
        <v>984</v>
      </c>
      <c r="B94" s="65">
        <v>67.732159650082011</v>
      </c>
      <c r="C94" s="65">
        <v>0.91449814126394047</v>
      </c>
      <c r="D94" s="65">
        <v>13289.049723346092</v>
      </c>
      <c r="E94" s="65">
        <f t="shared" si="5"/>
        <v>6629.3038042808939</v>
      </c>
      <c r="F94" s="65">
        <f t="shared" si="0"/>
        <v>58072701.32550063</v>
      </c>
      <c r="G94" s="66">
        <f t="shared" ref="G94:G108" si="11">J94-I94-(H94*$N$4)</f>
        <v>1760687.5969629101</v>
      </c>
      <c r="H94" s="66">
        <f t="shared" si="2"/>
        <v>106312397.78676873</v>
      </c>
      <c r="I94" s="66">
        <f t="shared" si="3"/>
        <v>3189371.9336030618</v>
      </c>
      <c r="J94" s="67">
        <f t="shared" si="4"/>
        <v>14518175.331375157</v>
      </c>
    </row>
    <row r="95" spans="1:10" ht="13.2" x14ac:dyDescent="0.25">
      <c r="A95" s="60">
        <v>983</v>
      </c>
      <c r="B95" s="61">
        <v>67.554324767632593</v>
      </c>
      <c r="C95" s="61">
        <v>0.91356877323420072</v>
      </c>
      <c r="D95" s="61">
        <v>13254.158519409517</v>
      </c>
      <c r="E95" s="61">
        <f t="shared" si="5"/>
        <v>6581.4581059459342</v>
      </c>
      <c r="F95" s="61">
        <f t="shared" si="0"/>
        <v>57653573.008086383</v>
      </c>
      <c r="G95" s="62">
        <f t="shared" si="11"/>
        <v>1689401.0733884592</v>
      </c>
      <c r="H95" s="62">
        <f t="shared" si="2"/>
        <v>106033268.15527613</v>
      </c>
      <c r="I95" s="62">
        <f t="shared" si="3"/>
        <v>3180998.0446582837</v>
      </c>
      <c r="J95" s="63">
        <f t="shared" si="4"/>
        <v>14413393.252021596</v>
      </c>
    </row>
    <row r="96" spans="1:10" ht="13.2" x14ac:dyDescent="0.25">
      <c r="A96" s="64">
        <v>982</v>
      </c>
      <c r="B96" s="65">
        <v>67.120513942044823</v>
      </c>
      <c r="C96" s="65">
        <v>0.91263940520446096</v>
      </c>
      <c r="D96" s="65">
        <v>13169.044835429195</v>
      </c>
      <c r="E96" s="65">
        <f t="shared" si="5"/>
        <v>6464.8618511253071</v>
      </c>
      <c r="F96" s="65">
        <f t="shared" si="0"/>
        <v>56632189.815857686</v>
      </c>
      <c r="G96" s="66">
        <f t="shared" si="11"/>
        <v>1515764.411952395</v>
      </c>
      <c r="H96" s="66">
        <f t="shared" si="2"/>
        <v>105352358.68343356</v>
      </c>
      <c r="I96" s="66">
        <f t="shared" si="3"/>
        <v>3160570.7605030066</v>
      </c>
      <c r="J96" s="67">
        <f t="shared" si="4"/>
        <v>14158047.453964422</v>
      </c>
    </row>
    <row r="97" spans="1:10" ht="13.2" x14ac:dyDescent="0.25">
      <c r="A97" s="60">
        <v>981</v>
      </c>
      <c r="B97" s="61">
        <v>67.024658283214876</v>
      </c>
      <c r="C97" s="61">
        <v>0.91171003717472121</v>
      </c>
      <c r="D97" s="61">
        <v>13150.237955166758</v>
      </c>
      <c r="E97" s="61">
        <f t="shared" si="5"/>
        <v>6439.1247403572424</v>
      </c>
      <c r="F97" s="61">
        <f t="shared" si="0"/>
        <v>56406732.725529447</v>
      </c>
      <c r="G97" s="62">
        <f t="shared" si="11"/>
        <v>1477454.7444222737</v>
      </c>
      <c r="H97" s="62">
        <f t="shared" si="2"/>
        <v>105201903.64133407</v>
      </c>
      <c r="I97" s="62">
        <f t="shared" si="3"/>
        <v>3156057.109240022</v>
      </c>
      <c r="J97" s="63">
        <f t="shared" si="4"/>
        <v>14101683.181382362</v>
      </c>
    </row>
    <row r="98" spans="1:10" ht="13.2" x14ac:dyDescent="0.25">
      <c r="A98" s="64">
        <v>980</v>
      </c>
      <c r="B98" s="65">
        <v>66.835308911973755</v>
      </c>
      <c r="C98" s="65">
        <v>0.91078066914498146</v>
      </c>
      <c r="D98" s="65">
        <v>13113.087608529251</v>
      </c>
      <c r="E98" s="65">
        <f t="shared" si="5"/>
        <v>6388.3364876585692</v>
      </c>
      <c r="F98" s="65">
        <f t="shared" si="0"/>
        <v>55961827.631889068</v>
      </c>
      <c r="G98" s="66">
        <f t="shared" si="11"/>
        <v>1401892.8037841879</v>
      </c>
      <c r="H98" s="66">
        <f t="shared" si="2"/>
        <v>104904700.86823401</v>
      </c>
      <c r="I98" s="66">
        <f t="shared" si="3"/>
        <v>3147141.0260470202</v>
      </c>
      <c r="J98" s="67">
        <f t="shared" si="4"/>
        <v>13990456.907972267</v>
      </c>
    </row>
    <row r="99" spans="1:10" ht="13.2" x14ac:dyDescent="0.25">
      <c r="A99" s="60">
        <v>979</v>
      </c>
      <c r="B99" s="61">
        <v>66.723313285948606</v>
      </c>
      <c r="C99" s="61">
        <v>0.9098513011152416</v>
      </c>
      <c r="D99" s="61">
        <v>13091.114066703116</v>
      </c>
      <c r="E99" s="61">
        <f t="shared" si="5"/>
        <v>6358.3270827203669</v>
      </c>
      <c r="F99" s="61">
        <f t="shared" si="0"/>
        <v>55698945.244630411</v>
      </c>
      <c r="G99" s="62">
        <f t="shared" si="11"/>
        <v>1357266.8071226105</v>
      </c>
      <c r="H99" s="62">
        <f t="shared" si="2"/>
        <v>104728912.53362493</v>
      </c>
      <c r="I99" s="62">
        <f t="shared" si="3"/>
        <v>3141867.3760087481</v>
      </c>
      <c r="J99" s="63">
        <f t="shared" si="4"/>
        <v>13924736.311157603</v>
      </c>
    </row>
    <row r="100" spans="1:10" ht="13.2" x14ac:dyDescent="0.25">
      <c r="A100" s="64">
        <v>978</v>
      </c>
      <c r="B100" s="65">
        <v>66.631394204483314</v>
      </c>
      <c r="C100" s="65">
        <v>0.90892193308550184</v>
      </c>
      <c r="D100" s="65">
        <v>13073.079542919626</v>
      </c>
      <c r="E100" s="65">
        <f t="shared" si="5"/>
        <v>6333.7223606811822</v>
      </c>
      <c r="F100" s="65">
        <f t="shared" si="0"/>
        <v>55483407.879567154</v>
      </c>
      <c r="G100" s="66">
        <f t="shared" si="11"/>
        <v>1320695.6086889468</v>
      </c>
      <c r="H100" s="66">
        <f t="shared" si="2"/>
        <v>104584636.34335701</v>
      </c>
      <c r="I100" s="66">
        <f t="shared" si="3"/>
        <v>3137539.0903007104</v>
      </c>
      <c r="J100" s="67">
        <f t="shared" si="4"/>
        <v>13870851.969891788</v>
      </c>
    </row>
    <row r="101" spans="1:10" ht="13.2" x14ac:dyDescent="0.25">
      <c r="A101" s="60">
        <v>977</v>
      </c>
      <c r="B101" s="61">
        <v>66.566047020229618</v>
      </c>
      <c r="C101" s="61">
        <v>0.90799256505576209</v>
      </c>
      <c r="D101" s="61">
        <v>13060.258425369051</v>
      </c>
      <c r="E101" s="61">
        <f t="shared" si="5"/>
        <v>6316.2482260269835</v>
      </c>
      <c r="F101" s="61">
        <f t="shared" si="0"/>
        <v>55330334.45999638</v>
      </c>
      <c r="G101" s="62">
        <f t="shared" si="11"/>
        <v>1294735.5266448073</v>
      </c>
      <c r="H101" s="62">
        <f t="shared" si="2"/>
        <v>104482067.4029524</v>
      </c>
      <c r="I101" s="62">
        <f t="shared" si="3"/>
        <v>3134462.0220885719</v>
      </c>
      <c r="J101" s="63">
        <f t="shared" si="4"/>
        <v>13832583.614999095</v>
      </c>
    </row>
    <row r="102" spans="1:10" ht="13.2" x14ac:dyDescent="0.25">
      <c r="A102" s="64">
        <v>976</v>
      </c>
      <c r="B102" s="65">
        <v>66.425511208310553</v>
      </c>
      <c r="C102" s="65">
        <v>0.90706319702602234</v>
      </c>
      <c r="D102" s="65">
        <v>13032.68529907053</v>
      </c>
      <c r="E102" s="65">
        <f t="shared" si="5"/>
        <v>6278.7067483064138</v>
      </c>
      <c r="F102" s="65">
        <f t="shared" si="0"/>
        <v>55001471.115164191</v>
      </c>
      <c r="G102" s="66">
        <f t="shared" si="11"/>
        <v>1238989.8916833401</v>
      </c>
      <c r="H102" s="66">
        <f t="shared" si="2"/>
        <v>104261482.39256424</v>
      </c>
      <c r="I102" s="66">
        <f t="shared" si="3"/>
        <v>3127844.4717769269</v>
      </c>
      <c r="J102" s="67">
        <f t="shared" si="4"/>
        <v>13750367.778791048</v>
      </c>
    </row>
    <row r="103" spans="1:10" ht="13.2" x14ac:dyDescent="0.25">
      <c r="A103" s="60">
        <v>975</v>
      </c>
      <c r="B103" s="61">
        <v>66.301312192454887</v>
      </c>
      <c r="C103" s="61">
        <v>0.90613382899628248</v>
      </c>
      <c r="D103" s="61">
        <v>13008.317452159648</v>
      </c>
      <c r="E103" s="61">
        <f t="shared" si="5"/>
        <v>6245.5633059699121</v>
      </c>
      <c r="F103" s="61">
        <f t="shared" si="0"/>
        <v>54711134.560296439</v>
      </c>
      <c r="G103" s="62">
        <f t="shared" si="11"/>
        <v>1189798.8860008474</v>
      </c>
      <c r="H103" s="62">
        <f t="shared" si="2"/>
        <v>104066539.61727719</v>
      </c>
      <c r="I103" s="62">
        <f t="shared" si="3"/>
        <v>3121996.1885183156</v>
      </c>
      <c r="J103" s="63">
        <f t="shared" si="4"/>
        <v>13677783.64007411</v>
      </c>
    </row>
    <row r="104" spans="1:10" ht="13.2" x14ac:dyDescent="0.25">
      <c r="A104" s="64">
        <v>974</v>
      </c>
      <c r="B104" s="65">
        <v>66.272279934390383</v>
      </c>
      <c r="C104" s="65">
        <v>0.90520446096654272</v>
      </c>
      <c r="D104" s="65">
        <v>13002.621323127394</v>
      </c>
      <c r="E104" s="65">
        <f t="shared" si="5"/>
        <v>6237.8237700543395</v>
      </c>
      <c r="F104" s="65">
        <f t="shared" si="0"/>
        <v>54643336.225676015</v>
      </c>
      <c r="G104" s="66">
        <f t="shared" si="11"/>
        <v>1178317.5862167049</v>
      </c>
      <c r="H104" s="66">
        <f t="shared" si="2"/>
        <v>104020970.58501916</v>
      </c>
      <c r="I104" s="66">
        <f t="shared" si="3"/>
        <v>3120629.1175505747</v>
      </c>
      <c r="J104" s="67">
        <f t="shared" si="4"/>
        <v>13660834.056419004</v>
      </c>
    </row>
    <row r="105" spans="1:10" ht="13.2" x14ac:dyDescent="0.25">
      <c r="A105" s="60">
        <v>973</v>
      </c>
      <c r="B105" s="61">
        <v>66.103499179879705</v>
      </c>
      <c r="C105" s="61">
        <v>0.90427509293680297</v>
      </c>
      <c r="D105" s="61">
        <v>12969.506539092396</v>
      </c>
      <c r="E105" s="61">
        <f t="shared" si="5"/>
        <v>6192.8756826164999</v>
      </c>
      <c r="F105" s="61">
        <f t="shared" si="0"/>
        <v>54249590.97972054</v>
      </c>
      <c r="G105" s="62">
        <f t="shared" si="11"/>
        <v>1111671.4674014375</v>
      </c>
      <c r="H105" s="62">
        <f t="shared" si="2"/>
        <v>103756052.31273916</v>
      </c>
      <c r="I105" s="62">
        <f t="shared" si="3"/>
        <v>3112681.5693821749</v>
      </c>
      <c r="J105" s="63">
        <f t="shared" si="4"/>
        <v>13562397.744930135</v>
      </c>
    </row>
    <row r="106" spans="1:10" ht="13.2" x14ac:dyDescent="0.25">
      <c r="A106" s="64">
        <v>972</v>
      </c>
      <c r="B106" s="65">
        <v>66.012367413887375</v>
      </c>
      <c r="C106" s="65">
        <v>0.90334572490706322</v>
      </c>
      <c r="D106" s="65">
        <v>12951.626486604706</v>
      </c>
      <c r="E106" s="65">
        <f t="shared" si="5"/>
        <v>6168.6312620035451</v>
      </c>
      <c r="F106" s="65">
        <f t="shared" si="0"/>
        <v>54037209.85515105</v>
      </c>
      <c r="G106" s="66">
        <f t="shared" si="11"/>
        <v>1075741.0366472453</v>
      </c>
      <c r="H106" s="66">
        <f t="shared" si="2"/>
        <v>103613011.89283764</v>
      </c>
      <c r="I106" s="66">
        <f t="shared" si="3"/>
        <v>3108390.3567851293</v>
      </c>
      <c r="J106" s="67">
        <f t="shared" si="4"/>
        <v>13509302.463787762</v>
      </c>
    </row>
    <row r="107" spans="1:10" ht="13.2" x14ac:dyDescent="0.25">
      <c r="A107" s="60">
        <v>971</v>
      </c>
      <c r="B107" s="61">
        <v>65.990027337342809</v>
      </c>
      <c r="C107" s="61">
        <v>0.90241635687732347</v>
      </c>
      <c r="D107" s="61">
        <v>12947.243363586658</v>
      </c>
      <c r="E107" s="61">
        <f t="shared" si="5"/>
        <v>6162.6940856106039</v>
      </c>
      <c r="F107" s="61">
        <f t="shared" si="0"/>
        <v>53985200.189948887</v>
      </c>
      <c r="G107" s="62">
        <f t="shared" si="11"/>
        <v>1066946.41844403</v>
      </c>
      <c r="H107" s="62">
        <f t="shared" si="2"/>
        <v>103577946.90869327</v>
      </c>
      <c r="I107" s="62">
        <f t="shared" si="3"/>
        <v>3107338.4072607979</v>
      </c>
      <c r="J107" s="63">
        <f t="shared" si="4"/>
        <v>13496300.047487222</v>
      </c>
    </row>
    <row r="108" spans="1:10" ht="13.2" x14ac:dyDescent="0.25">
      <c r="A108" s="64">
        <v>970</v>
      </c>
      <c r="B108" s="65">
        <v>65.328879168944781</v>
      </c>
      <c r="C108" s="65">
        <v>0.9014869888475836</v>
      </c>
      <c r="D108" s="65">
        <v>12817.526092946968</v>
      </c>
      <c r="E108" s="65">
        <f t="shared" si="5"/>
        <v>5987.165882960614</v>
      </c>
      <c r="F108" s="65">
        <f t="shared" si="0"/>
        <v>52447573.134734981</v>
      </c>
      <c r="G108" s="66">
        <f t="shared" si="11"/>
        <v>807068.23445465788</v>
      </c>
      <c r="H108" s="66">
        <f t="shared" si="2"/>
        <v>102540208.74357574</v>
      </c>
      <c r="I108" s="66">
        <f t="shared" si="3"/>
        <v>3076206.2623072718</v>
      </c>
      <c r="J108" s="67">
        <f t="shared" si="4"/>
        <v>13111893.283683745</v>
      </c>
    </row>
    <row r="109" spans="1:10" ht="13.2" x14ac:dyDescent="0.25">
      <c r="A109" s="60">
        <v>969</v>
      </c>
      <c r="B109" s="61">
        <v>65.301126298523783</v>
      </c>
      <c r="C109" s="61">
        <v>0.90055762081784385</v>
      </c>
      <c r="D109" s="61">
        <v>12812.080979770368</v>
      </c>
      <c r="E109" s="61">
        <f t="shared" si="5"/>
        <v>5979.8053651954051</v>
      </c>
      <c r="F109" s="61">
        <f t="shared" si="0"/>
        <v>52383094.999111757</v>
      </c>
      <c r="G109" s="62">
        <f>J109-(I109-(H109*$N$4))</f>
        <v>19245572.620067716</v>
      </c>
      <c r="H109" s="62">
        <f t="shared" si="2"/>
        <v>102496647.83816294</v>
      </c>
      <c r="I109" s="62">
        <f t="shared" si="3"/>
        <v>3074899.4351448882</v>
      </c>
      <c r="J109" s="63">
        <f t="shared" si="4"/>
        <v>13095773.749777939</v>
      </c>
    </row>
    <row r="110" spans="1:10" ht="13.2" x14ac:dyDescent="0.25">
      <c r="A110" s="64">
        <v>968</v>
      </c>
      <c r="B110" s="65">
        <v>64.847534171678518</v>
      </c>
      <c r="C110" s="65">
        <v>0.8996282527881041</v>
      </c>
      <c r="D110" s="65">
        <v>12723.086204483327</v>
      </c>
      <c r="E110" s="65">
        <f t="shared" si="5"/>
        <v>5859.6293349983134</v>
      </c>
      <c r="F110" s="65">
        <f t="shared" si="0"/>
        <v>51330352.974585228</v>
      </c>
      <c r="G110" s="66">
        <f t="shared" ref="G110:G124" si="12">J110-I110-(H110*$N$4)</f>
        <v>618425.48734231479</v>
      </c>
      <c r="H110" s="66">
        <f t="shared" si="2"/>
        <v>101784689.63586661</v>
      </c>
      <c r="I110" s="66">
        <f t="shared" si="3"/>
        <v>3053540.689075998</v>
      </c>
      <c r="J110" s="67">
        <f t="shared" si="4"/>
        <v>12832588.243646307</v>
      </c>
    </row>
    <row r="111" spans="1:10" ht="13.2" x14ac:dyDescent="0.25">
      <c r="A111" s="60">
        <v>967</v>
      </c>
      <c r="B111" s="61">
        <v>64.551995626025146</v>
      </c>
      <c r="C111" s="61">
        <v>0.89869888475836435</v>
      </c>
      <c r="D111" s="61">
        <v>12665.101541826134</v>
      </c>
      <c r="E111" s="61">
        <f t="shared" si="5"/>
        <v>5781.4093184119611</v>
      </c>
      <c r="F111" s="61">
        <f t="shared" si="0"/>
        <v>50645145.62928877</v>
      </c>
      <c r="G111" s="62">
        <f t="shared" si="12"/>
        <v>502788.92716910318</v>
      </c>
      <c r="H111" s="62">
        <f t="shared" si="2"/>
        <v>101320812.33460908</v>
      </c>
      <c r="I111" s="62">
        <f t="shared" si="3"/>
        <v>3039624.3700382723</v>
      </c>
      <c r="J111" s="63">
        <f t="shared" si="4"/>
        <v>12661286.407322193</v>
      </c>
    </row>
    <row r="112" spans="1:10" ht="13.2" x14ac:dyDescent="0.25">
      <c r="A112" s="64">
        <v>966</v>
      </c>
      <c r="B112" s="65">
        <v>64.038665937670856</v>
      </c>
      <c r="C112" s="65">
        <v>0.89776951672862448</v>
      </c>
      <c r="D112" s="65">
        <v>12564.386256971022</v>
      </c>
      <c r="E112" s="65">
        <f t="shared" si="5"/>
        <v>5645.6870479287709</v>
      </c>
      <c r="F112" s="65">
        <f t="shared" si="0"/>
        <v>49456218.539856032</v>
      </c>
      <c r="G112" s="66">
        <f t="shared" si="12"/>
        <v>302243.82827182673</v>
      </c>
      <c r="H112" s="66">
        <f t="shared" si="2"/>
        <v>100515090.05576818</v>
      </c>
      <c r="I112" s="66">
        <f t="shared" si="3"/>
        <v>3015452.7016730453</v>
      </c>
      <c r="J112" s="67">
        <f t="shared" si="4"/>
        <v>12364054.634964008</v>
      </c>
    </row>
    <row r="113" spans="1:10" ht="13.2" x14ac:dyDescent="0.25">
      <c r="A113" s="60">
        <v>965</v>
      </c>
      <c r="B113" s="61">
        <v>63.894291962821207</v>
      </c>
      <c r="C113" s="61">
        <v>0.89684014869888473</v>
      </c>
      <c r="D113" s="61">
        <v>12536.06008310552</v>
      </c>
      <c r="E113" s="61">
        <f t="shared" si="5"/>
        <v>5607.5546475159645</v>
      </c>
      <c r="F113" s="61">
        <f t="shared" si="0"/>
        <v>49122178.712239847</v>
      </c>
      <c r="G113" s="62">
        <f t="shared" si="12"/>
        <v>245926.99827866256</v>
      </c>
      <c r="H113" s="62">
        <f t="shared" si="2"/>
        <v>100288480.66484416</v>
      </c>
      <c r="I113" s="62">
        <f t="shared" si="3"/>
        <v>3008654.4199453248</v>
      </c>
      <c r="J113" s="63">
        <f t="shared" si="4"/>
        <v>12280544.678059962</v>
      </c>
    </row>
    <row r="114" spans="1:10" ht="13.2" x14ac:dyDescent="0.25">
      <c r="A114" s="64">
        <v>964</v>
      </c>
      <c r="B114" s="65">
        <v>63.824024056861667</v>
      </c>
      <c r="C114" s="65">
        <v>0.89591078066914498</v>
      </c>
      <c r="D114" s="65">
        <v>12522.273519956259</v>
      </c>
      <c r="E114" s="65">
        <f t="shared" si="5"/>
        <v>5589.0145388942356</v>
      </c>
      <c r="F114" s="65">
        <f t="shared" si="0"/>
        <v>48959767.360713504</v>
      </c>
      <c r="G114" s="66">
        <f t="shared" si="12"/>
        <v>218559.26102036797</v>
      </c>
      <c r="H114" s="66">
        <f t="shared" si="2"/>
        <v>100178188.15965007</v>
      </c>
      <c r="I114" s="66">
        <f t="shared" si="3"/>
        <v>3005345.644789502</v>
      </c>
      <c r="J114" s="67">
        <f t="shared" si="4"/>
        <v>12239941.840178376</v>
      </c>
    </row>
    <row r="115" spans="1:10" ht="13.2" x14ac:dyDescent="0.25">
      <c r="A115" s="60">
        <v>963</v>
      </c>
      <c r="B115" s="61">
        <v>63.683685073810821</v>
      </c>
      <c r="C115" s="61">
        <v>0.89498141263940523</v>
      </c>
      <c r="D115" s="61">
        <v>12494.739011481683</v>
      </c>
      <c r="E115" s="61">
        <f t="shared" si="5"/>
        <v>5552.0246392659819</v>
      </c>
      <c r="F115" s="61">
        <f t="shared" si="0"/>
        <v>48635735.83997</v>
      </c>
      <c r="G115" s="62">
        <f t="shared" si="12"/>
        <v>163984.50897008553</v>
      </c>
      <c r="H115" s="62">
        <f t="shared" si="2"/>
        <v>99957912.091853455</v>
      </c>
      <c r="I115" s="62">
        <f t="shared" si="3"/>
        <v>2998737.3627556036</v>
      </c>
      <c r="J115" s="63">
        <f t="shared" si="4"/>
        <v>12158933.9599925</v>
      </c>
    </row>
    <row r="116" spans="1:10" ht="13.2" x14ac:dyDescent="0.25">
      <c r="A116" s="64">
        <v>962</v>
      </c>
      <c r="B116" s="65">
        <v>63.581530891197382</v>
      </c>
      <c r="C116" s="65">
        <v>0.89405204460966547</v>
      </c>
      <c r="D116" s="65">
        <v>12474.696360852928</v>
      </c>
      <c r="E116" s="65">
        <f t="shared" si="5"/>
        <v>5525.1272531062032</v>
      </c>
      <c r="F116" s="65">
        <f t="shared" si="0"/>
        <v>48400114.737210341</v>
      </c>
      <c r="G116" s="66">
        <f t="shared" si="12"/>
        <v>124320.1778837759</v>
      </c>
      <c r="H116" s="66">
        <f t="shared" si="2"/>
        <v>99797570.886823416</v>
      </c>
      <c r="I116" s="66">
        <f t="shared" si="3"/>
        <v>2993927.1266047023</v>
      </c>
      <c r="J116" s="67">
        <f t="shared" si="4"/>
        <v>12100028.684302585</v>
      </c>
    </row>
    <row r="117" spans="1:10" ht="13.2" x14ac:dyDescent="0.25">
      <c r="A117" s="60">
        <v>961</v>
      </c>
      <c r="B117" s="61">
        <v>63.462055768179326</v>
      </c>
      <c r="C117" s="61">
        <v>0.89312267657992561</v>
      </c>
      <c r="D117" s="61">
        <v>12451.255341716787</v>
      </c>
      <c r="E117" s="61">
        <f t="shared" si="5"/>
        <v>5493.7019091434868</v>
      </c>
      <c r="F117" s="61">
        <f t="shared" si="0"/>
        <v>48124828.724096946</v>
      </c>
      <c r="G117" s="62">
        <f t="shared" si="12"/>
        <v>78002.052976122126</v>
      </c>
      <c r="H117" s="62">
        <f t="shared" si="2"/>
        <v>99610042.733734295</v>
      </c>
      <c r="I117" s="62">
        <f t="shared" si="3"/>
        <v>2988301.2820120286</v>
      </c>
      <c r="J117" s="63">
        <f t="shared" si="4"/>
        <v>12031207.181024237</v>
      </c>
    </row>
    <row r="118" spans="1:10" ht="13.2" x14ac:dyDescent="0.25">
      <c r="A118" s="64">
        <v>960</v>
      </c>
      <c r="B118" s="65">
        <v>63.420131219245491</v>
      </c>
      <c r="C118" s="65">
        <v>0.89219330855018586</v>
      </c>
      <c r="D118" s="65">
        <v>12443.029745215967</v>
      </c>
      <c r="E118" s="65">
        <f t="shared" si="5"/>
        <v>5482.6860313017742</v>
      </c>
      <c r="F118" s="65">
        <f t="shared" si="0"/>
        <v>48028329.634203538</v>
      </c>
      <c r="G118" s="66">
        <f t="shared" si="12"/>
        <v>61773.853143556044</v>
      </c>
      <c r="H118" s="66">
        <f t="shared" si="2"/>
        <v>99544237.961727738</v>
      </c>
      <c r="I118" s="66">
        <f t="shared" si="3"/>
        <v>2986327.1388518321</v>
      </c>
      <c r="J118" s="67">
        <f t="shared" si="4"/>
        <v>12007082.408550885</v>
      </c>
    </row>
    <row r="119" spans="1:10" ht="13.2" x14ac:dyDescent="0.25">
      <c r="A119" s="60">
        <v>959</v>
      </c>
      <c r="B119" s="61">
        <v>63.304494259158005</v>
      </c>
      <c r="C119" s="61">
        <v>0.89126394052044611</v>
      </c>
      <c r="D119" s="61">
        <v>12420.341773646802</v>
      </c>
      <c r="E119" s="61">
        <f t="shared" si="5"/>
        <v>5452.3334894116133</v>
      </c>
      <c r="F119" s="61">
        <f t="shared" si="0"/>
        <v>47762441.367245734</v>
      </c>
      <c r="G119" s="62">
        <f t="shared" si="12"/>
        <v>17082.239110503346</v>
      </c>
      <c r="H119" s="62">
        <f t="shared" si="2"/>
        <v>99362734.189174414</v>
      </c>
      <c r="I119" s="62">
        <f t="shared" si="3"/>
        <v>2980882.0256752325</v>
      </c>
      <c r="J119" s="63">
        <f t="shared" si="4"/>
        <v>11940610.341811433</v>
      </c>
    </row>
    <row r="120" spans="1:10" ht="13.2" x14ac:dyDescent="0.25">
      <c r="A120" s="64">
        <v>958</v>
      </c>
      <c r="B120" s="65">
        <v>62.492181519956262</v>
      </c>
      <c r="C120" s="65">
        <v>0.89033457249070636</v>
      </c>
      <c r="D120" s="65">
        <v>12260.966014215419</v>
      </c>
      <c r="E120" s="65">
        <f t="shared" si="5"/>
        <v>5239.3387477179995</v>
      </c>
      <c r="F120" s="65">
        <f t="shared" si="0"/>
        <v>45896607.430009671</v>
      </c>
      <c r="G120" s="66">
        <f t="shared" si="12"/>
        <v>-296375.5161443837</v>
      </c>
      <c r="H120" s="66">
        <f t="shared" si="2"/>
        <v>98087728.113723353</v>
      </c>
      <c r="I120" s="66">
        <f t="shared" si="3"/>
        <v>2942631.8434117003</v>
      </c>
      <c r="J120" s="67">
        <f t="shared" si="4"/>
        <v>11474151.857502418</v>
      </c>
    </row>
    <row r="121" spans="1:10" ht="13.2" x14ac:dyDescent="0.25">
      <c r="A121" s="60">
        <v>957</v>
      </c>
      <c r="B121" s="61">
        <v>62.376544559868783</v>
      </c>
      <c r="C121" s="61">
        <v>0.88940520446096649</v>
      </c>
      <c r="D121" s="61">
        <v>12238.278042646254</v>
      </c>
      <c r="E121" s="61">
        <f t="shared" si="5"/>
        <v>5209.0494622541473</v>
      </c>
      <c r="F121" s="61">
        <f t="shared" si="0"/>
        <v>45631273.28934633</v>
      </c>
      <c r="G121" s="62">
        <f t="shared" si="12"/>
        <v>-340928.59860382229</v>
      </c>
      <c r="H121" s="62">
        <f t="shared" si="2"/>
        <v>97906224.341170028</v>
      </c>
      <c r="I121" s="62">
        <f t="shared" si="3"/>
        <v>2937186.7302351007</v>
      </c>
      <c r="J121" s="63">
        <f t="shared" si="4"/>
        <v>11407818.322336582</v>
      </c>
    </row>
    <row r="122" spans="1:10" ht="13.2" x14ac:dyDescent="0.25">
      <c r="A122" s="64">
        <v>956</v>
      </c>
      <c r="B122" s="65">
        <v>61.743346090759978</v>
      </c>
      <c r="C122" s="65">
        <v>0.88847583643122674</v>
      </c>
      <c r="D122" s="65">
        <v>12114.044503007108</v>
      </c>
      <c r="E122" s="65">
        <f t="shared" si="5"/>
        <v>5043.3662565086315</v>
      </c>
      <c r="F122" s="65">
        <f t="shared" si="0"/>
        <v>44179888.407015614</v>
      </c>
      <c r="G122" s="66">
        <f t="shared" si="12"/>
        <v>-584510.62113291956</v>
      </c>
      <c r="H122" s="66">
        <f t="shared" si="2"/>
        <v>96912356.024056867</v>
      </c>
      <c r="I122" s="66">
        <f t="shared" si="3"/>
        <v>2907370.6807217058</v>
      </c>
      <c r="J122" s="67">
        <f t="shared" si="4"/>
        <v>11044972.101753904</v>
      </c>
    </row>
    <row r="123" spans="1:10" ht="13.2" x14ac:dyDescent="0.25">
      <c r="A123" s="60">
        <v>955</v>
      </c>
      <c r="B123" s="61">
        <v>61.55724439584472</v>
      </c>
      <c r="C123" s="61">
        <v>0.88754646840148699</v>
      </c>
      <c r="D123" s="61">
        <v>12077.531350464735</v>
      </c>
      <c r="E123" s="61">
        <f t="shared" si="5"/>
        <v>4994.7216429682112</v>
      </c>
      <c r="F123" s="61">
        <f t="shared" si="0"/>
        <v>43753761.592401527</v>
      </c>
      <c r="G123" s="62">
        <f t="shared" si="12"/>
        <v>-655989.69834576454</v>
      </c>
      <c r="H123" s="62">
        <f t="shared" si="2"/>
        <v>96620250.803717881</v>
      </c>
      <c r="I123" s="62">
        <f t="shared" si="3"/>
        <v>2898607.5241115363</v>
      </c>
      <c r="J123" s="63">
        <f t="shared" si="4"/>
        <v>10938440.398100382</v>
      </c>
    </row>
    <row r="124" spans="1:10" ht="13.2" x14ac:dyDescent="0.25">
      <c r="A124" s="64">
        <v>954</v>
      </c>
      <c r="B124" s="65">
        <v>61.528802624384909</v>
      </c>
      <c r="C124" s="65">
        <v>0.88661710037174724</v>
      </c>
      <c r="D124" s="65">
        <v>12071.951074904318</v>
      </c>
      <c r="E124" s="65">
        <f t="shared" si="5"/>
        <v>4987.2951052335311</v>
      </c>
      <c r="F124" s="65">
        <f t="shared" si="0"/>
        <v>43688705.121845737</v>
      </c>
      <c r="G124" s="66">
        <f t="shared" si="12"/>
        <v>-666896.7514467109</v>
      </c>
      <c r="H124" s="66">
        <f t="shared" si="2"/>
        <v>96575608.599234551</v>
      </c>
      <c r="I124" s="66">
        <f t="shared" si="3"/>
        <v>2897268.2579770363</v>
      </c>
      <c r="J124" s="67">
        <f t="shared" si="4"/>
        <v>10922176.280461434</v>
      </c>
    </row>
    <row r="125" spans="1:10" ht="13.2" x14ac:dyDescent="0.25">
      <c r="A125" s="60">
        <v>953</v>
      </c>
      <c r="B125" s="61">
        <v>60.94156369600875</v>
      </c>
      <c r="C125" s="61">
        <v>0.88568773234200748</v>
      </c>
      <c r="D125" s="61">
        <v>11956.734797156916</v>
      </c>
      <c r="E125" s="61">
        <f t="shared" si="5"/>
        <v>4834.1195612580113</v>
      </c>
      <c r="F125" s="61">
        <f t="shared" si="0"/>
        <v>42346887.356620178</v>
      </c>
      <c r="G125" s="62">
        <f>J125-(I125-(H125*$N$4))</f>
        <v>16325954.541790366</v>
      </c>
      <c r="H125" s="62">
        <f t="shared" si="2"/>
        <v>95653878.377255335</v>
      </c>
      <c r="I125" s="62">
        <f t="shared" si="3"/>
        <v>2869616.35131766</v>
      </c>
      <c r="J125" s="63">
        <f t="shared" si="4"/>
        <v>10586721.839155044</v>
      </c>
    </row>
    <row r="126" spans="1:10" ht="13.2" x14ac:dyDescent="0.25">
      <c r="A126" s="64">
        <v>952</v>
      </c>
      <c r="B126" s="65">
        <v>60.677616183706945</v>
      </c>
      <c r="C126" s="65">
        <v>0.88475836431226762</v>
      </c>
      <c r="D126" s="65">
        <v>11904.948295243303</v>
      </c>
      <c r="E126" s="65">
        <f t="shared" si="5"/>
        <v>4765.3436214489466</v>
      </c>
      <c r="F126" s="65">
        <f t="shared" si="0"/>
        <v>41744410.123892769</v>
      </c>
      <c r="G126" s="66">
        <f t="shared" ref="G126:G140" si="13">J126-I126-(H126*$N$4)</f>
        <v>-992647.83246037737</v>
      </c>
      <c r="H126" s="66">
        <f t="shared" si="2"/>
        <v>95239586.361946419</v>
      </c>
      <c r="I126" s="66">
        <f t="shared" si="3"/>
        <v>2857187.5908583924</v>
      </c>
      <c r="J126" s="67">
        <f t="shared" si="4"/>
        <v>10436102.530973192</v>
      </c>
    </row>
    <row r="127" spans="1:10" ht="13.2" x14ac:dyDescent="0.25">
      <c r="A127" s="60">
        <v>951</v>
      </c>
      <c r="B127" s="61">
        <v>60.535800984144338</v>
      </c>
      <c r="C127" s="61">
        <v>0.88382899628252787</v>
      </c>
      <c r="D127" s="61">
        <v>11877.124153089118</v>
      </c>
      <c r="E127" s="61">
        <f t="shared" si="5"/>
        <v>4728.430087131941</v>
      </c>
      <c r="F127" s="61">
        <f t="shared" si="0"/>
        <v>41421047.563275807</v>
      </c>
      <c r="G127" s="62">
        <f t="shared" si="13"/>
        <v>-1046777.2961466033</v>
      </c>
      <c r="H127" s="62">
        <f t="shared" si="2"/>
        <v>95016993.224712953</v>
      </c>
      <c r="I127" s="62">
        <f t="shared" si="3"/>
        <v>2850509.7967413883</v>
      </c>
      <c r="J127" s="63">
        <f t="shared" si="4"/>
        <v>10355261.890818952</v>
      </c>
    </row>
    <row r="128" spans="1:10" ht="13.2" x14ac:dyDescent="0.25">
      <c r="A128" s="64">
        <v>950</v>
      </c>
      <c r="B128" s="65">
        <v>60.425478403499177</v>
      </c>
      <c r="C128" s="65">
        <v>0.88289962825278812</v>
      </c>
      <c r="D128" s="65">
        <v>11855.47886276654</v>
      </c>
      <c r="E128" s="65">
        <f t="shared" si="5"/>
        <v>4699.7440425222785</v>
      </c>
      <c r="F128" s="65">
        <f t="shared" si="0"/>
        <v>41169757.812495165</v>
      </c>
      <c r="G128" s="66">
        <f t="shared" si="13"/>
        <v>-1088820.2551320866</v>
      </c>
      <c r="H128" s="66">
        <f t="shared" si="2"/>
        <v>94843830.902132317</v>
      </c>
      <c r="I128" s="66">
        <f t="shared" si="3"/>
        <v>2845314.9270639694</v>
      </c>
      <c r="J128" s="67">
        <f t="shared" si="4"/>
        <v>10292439.453123791</v>
      </c>
    </row>
    <row r="129" spans="1:10" ht="13.2" x14ac:dyDescent="0.25">
      <c r="A129" s="60">
        <v>949</v>
      </c>
      <c r="B129" s="61">
        <v>60.303149261891747</v>
      </c>
      <c r="C129" s="61">
        <v>0.88197026022304836</v>
      </c>
      <c r="D129" s="61">
        <v>11831.477885183162</v>
      </c>
      <c r="E129" s="61">
        <f t="shared" si="5"/>
        <v>4667.9695141138</v>
      </c>
      <c r="F129" s="61">
        <f t="shared" si="0"/>
        <v>40891412.943636887</v>
      </c>
      <c r="G129" s="62">
        <f t="shared" si="13"/>
        <v>-1135365.5338666132</v>
      </c>
      <c r="H129" s="62">
        <f t="shared" si="2"/>
        <v>94651823.081465289</v>
      </c>
      <c r="I129" s="62">
        <f t="shared" si="3"/>
        <v>2839554.6924439585</v>
      </c>
      <c r="J129" s="63">
        <f t="shared" si="4"/>
        <v>10222853.235909222</v>
      </c>
    </row>
    <row r="130" spans="1:10" ht="13.2" x14ac:dyDescent="0.25">
      <c r="A130" s="64">
        <v>948</v>
      </c>
      <c r="B130" s="65">
        <v>60.085850191361395</v>
      </c>
      <c r="C130" s="65">
        <v>0.8810408921933085</v>
      </c>
      <c r="D130" s="65">
        <v>11788.843807545107</v>
      </c>
      <c r="E130" s="65">
        <f t="shared" si="5"/>
        <v>4611.5863426649594</v>
      </c>
      <c r="F130" s="65">
        <f t="shared" si="0"/>
        <v>40397496.361745045</v>
      </c>
      <c r="G130" s="66">
        <f t="shared" si="13"/>
        <v>-1217915.9648070419</v>
      </c>
      <c r="H130" s="66">
        <f t="shared" si="2"/>
        <v>94310750.460360855</v>
      </c>
      <c r="I130" s="66">
        <f t="shared" si="3"/>
        <v>2829322.5138108255</v>
      </c>
      <c r="J130" s="67">
        <f t="shared" si="4"/>
        <v>10099374.090436261</v>
      </c>
    </row>
    <row r="131" spans="1:10" ht="13.2" x14ac:dyDescent="0.25">
      <c r="A131" s="60">
        <v>947</v>
      </c>
      <c r="B131" s="61">
        <v>60.06026243849098</v>
      </c>
      <c r="C131" s="61">
        <v>0.88011152416356875</v>
      </c>
      <c r="D131" s="61">
        <v>11783.823490431929</v>
      </c>
      <c r="E131" s="61">
        <f t="shared" si="5"/>
        <v>4604.95401852334</v>
      </c>
      <c r="F131" s="61">
        <f t="shared" si="0"/>
        <v>40339397.202264458</v>
      </c>
      <c r="G131" s="62">
        <f t="shared" si="13"/>
        <v>-1227621.2502485365</v>
      </c>
      <c r="H131" s="62">
        <f t="shared" si="2"/>
        <v>94270587.923455432</v>
      </c>
      <c r="I131" s="62">
        <f t="shared" si="3"/>
        <v>2828117.6377036627</v>
      </c>
      <c r="J131" s="63">
        <f t="shared" si="4"/>
        <v>10084849.300566114</v>
      </c>
    </row>
    <row r="132" spans="1:10" ht="13.2" x14ac:dyDescent="0.25">
      <c r="A132" s="64">
        <v>946</v>
      </c>
      <c r="B132" s="65">
        <v>59.886757791142699</v>
      </c>
      <c r="C132" s="65">
        <v>0.879182156133829</v>
      </c>
      <c r="D132" s="65">
        <v>11749.781878622198</v>
      </c>
      <c r="E132" s="65">
        <f t="shared" si="5"/>
        <v>4560.0292148339176</v>
      </c>
      <c r="F132" s="65">
        <f t="shared" si="0"/>
        <v>39945855.921945117</v>
      </c>
      <c r="G132" s="66">
        <f t="shared" si="13"/>
        <v>-1293326.6229910301</v>
      </c>
      <c r="H132" s="66">
        <f t="shared" si="2"/>
        <v>93998255.028977588</v>
      </c>
      <c r="I132" s="66">
        <f t="shared" si="3"/>
        <v>2819947.6508693276</v>
      </c>
      <c r="J132" s="67">
        <f t="shared" si="4"/>
        <v>9986463.9804862794</v>
      </c>
    </row>
    <row r="133" spans="1:10" ht="13.2" x14ac:dyDescent="0.25">
      <c r="A133" s="60">
        <v>945</v>
      </c>
      <c r="B133" s="61">
        <v>59.723291416074353</v>
      </c>
      <c r="C133" s="61">
        <v>0.87825278810408924</v>
      </c>
      <c r="D133" s="61">
        <v>11717.70977583379</v>
      </c>
      <c r="E133" s="61">
        <f t="shared" si="5"/>
        <v>4517.7482875055184</v>
      </c>
      <c r="F133" s="61">
        <f t="shared" si="0"/>
        <v>39575474.998548344</v>
      </c>
      <c r="G133" s="62">
        <f t="shared" si="13"/>
        <v>-1355132.635163351</v>
      </c>
      <c r="H133" s="62">
        <f t="shared" si="2"/>
        <v>93741678.206670314</v>
      </c>
      <c r="I133" s="62">
        <f t="shared" si="3"/>
        <v>2812250.3462001095</v>
      </c>
      <c r="J133" s="63">
        <f t="shared" si="4"/>
        <v>9893868.7496370859</v>
      </c>
    </row>
    <row r="134" spans="1:10" ht="13.2" x14ac:dyDescent="0.25">
      <c r="A134" s="64">
        <v>944</v>
      </c>
      <c r="B134" s="65">
        <v>59.5498851831602</v>
      </c>
      <c r="C134" s="65">
        <v>0.87732342007434949</v>
      </c>
      <c r="D134" s="65">
        <v>11683.687472936032</v>
      </c>
      <c r="E134" s="65">
        <f t="shared" si="5"/>
        <v>4472.943823559307</v>
      </c>
      <c r="F134" s="65">
        <f t="shared" si="0"/>
        <v>39182987.894379526</v>
      </c>
      <c r="G134" s="66">
        <f t="shared" si="13"/>
        <v>-1420593.0004237089</v>
      </c>
      <c r="H134" s="66">
        <f t="shared" si="2"/>
        <v>93469499.783488259</v>
      </c>
      <c r="I134" s="66">
        <f t="shared" si="3"/>
        <v>2804084.9935046476</v>
      </c>
      <c r="J134" s="67">
        <f t="shared" si="4"/>
        <v>9795746.9735948816</v>
      </c>
    </row>
    <row r="135" spans="1:10" ht="13.2" x14ac:dyDescent="0.25">
      <c r="A135" s="60">
        <v>943</v>
      </c>
      <c r="B135" s="61">
        <v>59.430902132312731</v>
      </c>
      <c r="C135" s="61">
        <v>0.87639405204460963</v>
      </c>
      <c r="D135" s="61">
        <v>11660.342998359758</v>
      </c>
      <c r="E135" s="61">
        <f t="shared" si="5"/>
        <v>4442.2336899508355</v>
      </c>
      <c r="F135" s="61">
        <f t="shared" si="0"/>
        <v>38913967.123969316</v>
      </c>
      <c r="G135" s="62">
        <f t="shared" si="13"/>
        <v>-1465437.4974330384</v>
      </c>
      <c r="H135" s="62">
        <f t="shared" si="2"/>
        <v>93282743.986878067</v>
      </c>
      <c r="I135" s="62">
        <f t="shared" si="3"/>
        <v>2798482.3196063419</v>
      </c>
      <c r="J135" s="63">
        <f t="shared" si="4"/>
        <v>9728491.7809923291</v>
      </c>
    </row>
    <row r="136" spans="1:10" ht="13.2" x14ac:dyDescent="0.25">
      <c r="A136" s="64">
        <v>942</v>
      </c>
      <c r="B136" s="65">
        <v>59.308474576271188</v>
      </c>
      <c r="C136" s="65">
        <v>0.87546468401486988</v>
      </c>
      <c r="D136" s="65">
        <v>11636.322711864408</v>
      </c>
      <c r="E136" s="65">
        <f t="shared" si="5"/>
        <v>4410.6679974746039</v>
      </c>
      <c r="F136" s="65">
        <f t="shared" si="0"/>
        <v>38637451.657877527</v>
      </c>
      <c r="G136" s="66">
        <f t="shared" si="13"/>
        <v>-1511506.8889204497</v>
      </c>
      <c r="H136" s="66">
        <f t="shared" si="2"/>
        <v>93090581.694915265</v>
      </c>
      <c r="I136" s="66">
        <f t="shared" si="3"/>
        <v>2792717.4508474576</v>
      </c>
      <c r="J136" s="67">
        <f t="shared" si="4"/>
        <v>9659362.9144693818</v>
      </c>
    </row>
    <row r="137" spans="1:10" ht="13.2" x14ac:dyDescent="0.25">
      <c r="A137" s="60">
        <v>941</v>
      </c>
      <c r="B137" s="61">
        <v>58.881060688901037</v>
      </c>
      <c r="C137" s="61">
        <v>0.87453531598513012</v>
      </c>
      <c r="D137" s="61">
        <v>11552.464107162385</v>
      </c>
      <c r="E137" s="61">
        <f t="shared" si="5"/>
        <v>4300.5840949266412</v>
      </c>
      <c r="F137" s="61">
        <f t="shared" si="0"/>
        <v>37673116.671557374</v>
      </c>
      <c r="G137" s="62">
        <f t="shared" si="13"/>
        <v>-1672086.3749865443</v>
      </c>
      <c r="H137" s="62">
        <f t="shared" si="2"/>
        <v>92419712.857299075</v>
      </c>
      <c r="I137" s="62">
        <f t="shared" si="3"/>
        <v>2772591.385718972</v>
      </c>
      <c r="J137" s="63">
        <f t="shared" si="4"/>
        <v>9418279.1678893436</v>
      </c>
    </row>
    <row r="138" spans="1:10" ht="13.2" x14ac:dyDescent="0.25">
      <c r="A138" s="64">
        <v>940</v>
      </c>
      <c r="B138" s="65">
        <v>58.752039365773641</v>
      </c>
      <c r="C138" s="65">
        <v>0.87360594795539037</v>
      </c>
      <c r="D138" s="65">
        <v>11527.15012356479</v>
      </c>
      <c r="E138" s="65">
        <f t="shared" si="5"/>
        <v>4267.3888989636243</v>
      </c>
      <c r="F138" s="65">
        <f t="shared" si="0"/>
        <v>37382326.754921347</v>
      </c>
      <c r="G138" s="66">
        <f t="shared" si="13"/>
        <v>-1720482.429891862</v>
      </c>
      <c r="H138" s="66">
        <f t="shared" si="2"/>
        <v>92217200.988518327</v>
      </c>
      <c r="I138" s="66">
        <f t="shared" si="3"/>
        <v>2766516.0296555497</v>
      </c>
      <c r="J138" s="67">
        <f t="shared" si="4"/>
        <v>9345581.6887303367</v>
      </c>
    </row>
    <row r="139" spans="1:10" ht="13.2" x14ac:dyDescent="0.25">
      <c r="A139" s="60">
        <v>939</v>
      </c>
      <c r="B139" s="61">
        <v>58.661498086386004</v>
      </c>
      <c r="C139" s="61">
        <v>0.87267657992565051</v>
      </c>
      <c r="D139" s="61">
        <v>11509.385924548933</v>
      </c>
      <c r="E139" s="61">
        <f t="shared" si="5"/>
        <v>4244.11878882157</v>
      </c>
      <c r="F139" s="61">
        <f t="shared" si="0"/>
        <v>37178480.590076953</v>
      </c>
      <c r="G139" s="62">
        <f t="shared" si="13"/>
        <v>-1754390.3400477376</v>
      </c>
      <c r="H139" s="62">
        <f t="shared" si="2"/>
        <v>92075087.396391466</v>
      </c>
      <c r="I139" s="62">
        <f t="shared" si="3"/>
        <v>2762252.621891744</v>
      </c>
      <c r="J139" s="63">
        <f t="shared" si="4"/>
        <v>9294620.1475192383</v>
      </c>
    </row>
    <row r="140" spans="1:10" ht="13.2" x14ac:dyDescent="0.25">
      <c r="A140" s="64">
        <v>938</v>
      </c>
      <c r="B140" s="65">
        <v>57.935888463641334</v>
      </c>
      <c r="C140" s="65">
        <v>0.87174721189591076</v>
      </c>
      <c r="D140" s="65">
        <v>11367.02131656643</v>
      </c>
      <c r="E140" s="65">
        <f t="shared" si="5"/>
        <v>4057.8275545842425</v>
      </c>
      <c r="F140" s="65">
        <f t="shared" si="0"/>
        <v>35546569.378157966</v>
      </c>
      <c r="G140" s="66">
        <f t="shared" si="13"/>
        <v>-2025698.1193642803</v>
      </c>
      <c r="H140" s="66">
        <f t="shared" si="2"/>
        <v>90936170.53253144</v>
      </c>
      <c r="I140" s="66">
        <f t="shared" si="3"/>
        <v>2728085.1159759429</v>
      </c>
      <c r="J140" s="67">
        <f t="shared" si="4"/>
        <v>8886642.3445394915</v>
      </c>
    </row>
    <row r="141" spans="1:10" ht="13.2" x14ac:dyDescent="0.25">
      <c r="A141" s="60">
        <v>937</v>
      </c>
      <c r="B141" s="61">
        <v>57.744177145981411</v>
      </c>
      <c r="C141" s="61">
        <v>0.870817843866171</v>
      </c>
      <c r="D141" s="61">
        <v>11329.407556041553</v>
      </c>
      <c r="E141" s="61">
        <f t="shared" si="5"/>
        <v>4008.6604967977746</v>
      </c>
      <c r="F141" s="61">
        <f t="shared" si="0"/>
        <v>35115865.951948509</v>
      </c>
      <c r="G141" s="62">
        <f>J141-(I141-(H141*$N$4))</f>
        <v>14217082.114887072</v>
      </c>
      <c r="H141" s="62">
        <f t="shared" si="2"/>
        <v>90635260.448332429</v>
      </c>
      <c r="I141" s="62">
        <f t="shared" si="3"/>
        <v>2719057.8134499728</v>
      </c>
      <c r="J141" s="63">
        <f t="shared" si="4"/>
        <v>8778966.4879871272</v>
      </c>
    </row>
    <row r="142" spans="1:10" ht="13.2" x14ac:dyDescent="0.25">
      <c r="A142" s="64">
        <v>936</v>
      </c>
      <c r="B142" s="65">
        <v>57.715144887916892</v>
      </c>
      <c r="C142" s="65">
        <v>0.86988847583643125</v>
      </c>
      <c r="D142" s="65">
        <v>11323.711427009293</v>
      </c>
      <c r="E142" s="65">
        <f t="shared" si="5"/>
        <v>4001.2227074944985</v>
      </c>
      <c r="F142" s="65">
        <f t="shared" si="0"/>
        <v>35050710.91765181</v>
      </c>
      <c r="G142" s="66">
        <f t="shared" ref="G142:G156" si="14">J142-I142-(H142*$N$4)</f>
        <v>-2108085.2405159688</v>
      </c>
      <c r="H142" s="66">
        <f t="shared" si="2"/>
        <v>90589691.41607435</v>
      </c>
      <c r="I142" s="66">
        <f t="shared" si="3"/>
        <v>2717690.7424822305</v>
      </c>
      <c r="J142" s="67">
        <f t="shared" si="4"/>
        <v>8762677.7294129524</v>
      </c>
    </row>
    <row r="143" spans="1:10" ht="13.2" x14ac:dyDescent="0.25">
      <c r="A143" s="60">
        <v>935</v>
      </c>
      <c r="B143" s="61">
        <v>57.400415527610718</v>
      </c>
      <c r="C143" s="61">
        <v>0.8689591078066915</v>
      </c>
      <c r="D143" s="61">
        <v>11261.961526517222</v>
      </c>
      <c r="E143" s="61">
        <f t="shared" si="5"/>
        <v>3920.6781114530272</v>
      </c>
      <c r="F143" s="61">
        <f t="shared" si="0"/>
        <v>34345140.256328516</v>
      </c>
      <c r="G143" s="62">
        <f t="shared" si="14"/>
        <v>-2225198.001374403</v>
      </c>
      <c r="H143" s="62">
        <f t="shared" si="2"/>
        <v>90095692.212137774</v>
      </c>
      <c r="I143" s="62">
        <f t="shared" si="3"/>
        <v>2702870.766364133</v>
      </c>
      <c r="J143" s="63">
        <f t="shared" si="4"/>
        <v>8586285.0640821289</v>
      </c>
    </row>
    <row r="144" spans="1:10" ht="13.2" x14ac:dyDescent="0.25">
      <c r="A144" s="64">
        <v>934</v>
      </c>
      <c r="B144" s="65">
        <v>57.353767085839252</v>
      </c>
      <c r="C144" s="65">
        <v>0.86802973977695164</v>
      </c>
      <c r="D144" s="65">
        <v>11252.809102241661</v>
      </c>
      <c r="E144" s="65">
        <f t="shared" si="5"/>
        <v>3908.7527407891466</v>
      </c>
      <c r="F144" s="65">
        <f t="shared" si="0"/>
        <v>34240674.009312928</v>
      </c>
      <c r="G144" s="66">
        <f t="shared" si="14"/>
        <v>-2242528.2358237635</v>
      </c>
      <c r="H144" s="66">
        <f t="shared" si="2"/>
        <v>90022472.817933291</v>
      </c>
      <c r="I144" s="66">
        <f t="shared" si="3"/>
        <v>2700674.1845379989</v>
      </c>
      <c r="J144" s="67">
        <f t="shared" si="4"/>
        <v>8560168.5023282319</v>
      </c>
    </row>
    <row r="145" spans="1:10" ht="13.2" x14ac:dyDescent="0.25">
      <c r="A145" s="60">
        <v>933</v>
      </c>
      <c r="B145" s="61">
        <v>57.290781848004372</v>
      </c>
      <c r="C145" s="61">
        <v>0.86710037174721188</v>
      </c>
      <c r="D145" s="61">
        <v>11240.451398578458</v>
      </c>
      <c r="E145" s="61">
        <f t="shared" si="5"/>
        <v>3892.6682017739831</v>
      </c>
      <c r="F145" s="61">
        <f t="shared" si="0"/>
        <v>34099773.447540089</v>
      </c>
      <c r="G145" s="62">
        <f t="shared" si="14"/>
        <v>-2265889.9807502963</v>
      </c>
      <c r="H145" s="62">
        <f t="shared" si="2"/>
        <v>89923611.18862766</v>
      </c>
      <c r="I145" s="62">
        <f t="shared" si="3"/>
        <v>2697708.3356588297</v>
      </c>
      <c r="J145" s="63">
        <f t="shared" si="4"/>
        <v>8524943.3618850224</v>
      </c>
    </row>
    <row r="146" spans="1:10" ht="13.2" x14ac:dyDescent="0.25">
      <c r="A146" s="64">
        <v>932</v>
      </c>
      <c r="B146" s="65">
        <v>57.272772006560963</v>
      </c>
      <c r="C146" s="65">
        <v>0.86617100371747213</v>
      </c>
      <c r="D146" s="65">
        <v>11236.917867687262</v>
      </c>
      <c r="E146" s="65">
        <f t="shared" si="5"/>
        <v>3888.0739548252996</v>
      </c>
      <c r="F146" s="65">
        <f t="shared" si="0"/>
        <v>34059527.844269618</v>
      </c>
      <c r="G146" s="66">
        <f t="shared" si="14"/>
        <v>-2272559.1919123651</v>
      </c>
      <c r="H146" s="66">
        <f t="shared" si="2"/>
        <v>89895342.941498086</v>
      </c>
      <c r="I146" s="66">
        <f t="shared" si="3"/>
        <v>2696860.2882449427</v>
      </c>
      <c r="J146" s="67">
        <f t="shared" si="4"/>
        <v>8514881.9610674046</v>
      </c>
    </row>
    <row r="147" spans="1:10" ht="13.2" x14ac:dyDescent="0.25">
      <c r="A147" s="60">
        <v>931</v>
      </c>
      <c r="B147" s="61">
        <v>57.189513395297979</v>
      </c>
      <c r="C147" s="61">
        <v>0.86524163568773238</v>
      </c>
      <c r="D147" s="61">
        <v>11220.582528157465</v>
      </c>
      <c r="E147" s="61">
        <f t="shared" si="5"/>
        <v>3866.8577494415727</v>
      </c>
      <c r="F147" s="61">
        <f t="shared" si="0"/>
        <v>33873673.885108173</v>
      </c>
      <c r="G147" s="62">
        <f t="shared" si="14"/>
        <v>-2303340.7557541225</v>
      </c>
      <c r="H147" s="62">
        <f t="shared" si="2"/>
        <v>89764660.225259721</v>
      </c>
      <c r="I147" s="62">
        <f t="shared" si="3"/>
        <v>2692939.8067577914</v>
      </c>
      <c r="J147" s="63">
        <f t="shared" si="4"/>
        <v>8468418.4712770432</v>
      </c>
    </row>
    <row r="148" spans="1:10" ht="13.2" x14ac:dyDescent="0.25">
      <c r="A148" s="64">
        <v>930</v>
      </c>
      <c r="B148" s="65">
        <v>56.959814106068883</v>
      </c>
      <c r="C148" s="65">
        <v>0.86431226765799252</v>
      </c>
      <c r="D148" s="65">
        <v>11175.515527610718</v>
      </c>
      <c r="E148" s="65">
        <f t="shared" si="5"/>
        <v>3808.3879234534134</v>
      </c>
      <c r="F148" s="65">
        <f t="shared" si="0"/>
        <v>33361478.209451899</v>
      </c>
      <c r="G148" s="66">
        <f t="shared" si="14"/>
        <v>-2388125.3541433141</v>
      </c>
      <c r="H148" s="66">
        <f t="shared" si="2"/>
        <v>89404124.220885739</v>
      </c>
      <c r="I148" s="66">
        <f t="shared" si="3"/>
        <v>2682123.7266265722</v>
      </c>
      <c r="J148" s="67">
        <f t="shared" si="4"/>
        <v>8340369.5523629747</v>
      </c>
    </row>
    <row r="149" spans="1:10" ht="13.2" x14ac:dyDescent="0.25">
      <c r="A149" s="60">
        <v>929</v>
      </c>
      <c r="B149" s="61">
        <v>56.875669764898852</v>
      </c>
      <c r="C149" s="61">
        <v>0.86338289962825276</v>
      </c>
      <c r="D149" s="61">
        <v>11159.006407873156</v>
      </c>
      <c r="E149" s="61">
        <f t="shared" si="5"/>
        <v>3786.9920429013405</v>
      </c>
      <c r="F149" s="61">
        <f t="shared" si="0"/>
        <v>33174050.295815744</v>
      </c>
      <c r="G149" s="62">
        <f t="shared" si="14"/>
        <v>-2419133.5776042929</v>
      </c>
      <c r="H149" s="62">
        <f t="shared" si="2"/>
        <v>89272051.262985244</v>
      </c>
      <c r="I149" s="62">
        <f t="shared" si="3"/>
        <v>2678161.5378895574</v>
      </c>
      <c r="J149" s="63">
        <f t="shared" si="4"/>
        <v>8293512.5739539359</v>
      </c>
    </row>
    <row r="150" spans="1:10" ht="13.2" x14ac:dyDescent="0.25">
      <c r="A150" s="64">
        <v>928</v>
      </c>
      <c r="B150" s="65">
        <v>56.838075451066153</v>
      </c>
      <c r="C150" s="65">
        <v>0.86245353159851301</v>
      </c>
      <c r="D150" s="65">
        <v>11151.630403499179</v>
      </c>
      <c r="E150" s="65">
        <f t="shared" si="5"/>
        <v>3777.4429963465545</v>
      </c>
      <c r="F150" s="65">
        <f t="shared" si="0"/>
        <v>33090400.647995815</v>
      </c>
      <c r="G150" s="66">
        <f t="shared" si="14"/>
        <v>-2432965.0253602583</v>
      </c>
      <c r="H150" s="66">
        <f t="shared" si="2"/>
        <v>89213043.227993429</v>
      </c>
      <c r="I150" s="66">
        <f t="shared" si="3"/>
        <v>2676391.296839803</v>
      </c>
      <c r="J150" s="67">
        <f t="shared" si="4"/>
        <v>8272600.1619989537</v>
      </c>
    </row>
    <row r="151" spans="1:10" ht="13.2" x14ac:dyDescent="0.25">
      <c r="A151" s="60">
        <v>927</v>
      </c>
      <c r="B151" s="61">
        <v>56.467545106615631</v>
      </c>
      <c r="C151" s="61">
        <v>0.86152416356877326</v>
      </c>
      <c r="D151" s="61">
        <v>11078.932349917988</v>
      </c>
      <c r="E151" s="61">
        <f t="shared" si="5"/>
        <v>3683.4287383928117</v>
      </c>
      <c r="F151" s="61">
        <f t="shared" si="0"/>
        <v>32266835.748321034</v>
      </c>
      <c r="G151" s="62">
        <f t="shared" si="14"/>
        <v>-2569066.1188410092</v>
      </c>
      <c r="H151" s="62">
        <f t="shared" si="2"/>
        <v>88631458.799343899</v>
      </c>
      <c r="I151" s="62">
        <f t="shared" si="3"/>
        <v>2658943.7639803169</v>
      </c>
      <c r="J151" s="63">
        <f t="shared" si="4"/>
        <v>8066708.9370802585</v>
      </c>
    </row>
    <row r="152" spans="1:10" ht="13.2" x14ac:dyDescent="0.25">
      <c r="A152" s="64">
        <v>926</v>
      </c>
      <c r="B152" s="65">
        <v>56.428671405139418</v>
      </c>
      <c r="C152" s="65">
        <v>0.86059479553903351</v>
      </c>
      <c r="D152" s="65">
        <v>11071.305329688354</v>
      </c>
      <c r="E152" s="65">
        <f t="shared" si="5"/>
        <v>3673.5759892114065</v>
      </c>
      <c r="F152" s="65">
        <f t="shared" si="0"/>
        <v>32180525.66549192</v>
      </c>
      <c r="G152" s="66">
        <f t="shared" si="14"/>
        <v>-2583321.7001278391</v>
      </c>
      <c r="H152" s="66">
        <f t="shared" si="2"/>
        <v>88570442.637506828</v>
      </c>
      <c r="I152" s="66">
        <f t="shared" si="3"/>
        <v>2657113.2791252048</v>
      </c>
      <c r="J152" s="67">
        <f t="shared" si="4"/>
        <v>8045131.41637298</v>
      </c>
    </row>
    <row r="153" spans="1:10" ht="13.2" x14ac:dyDescent="0.25">
      <c r="A153" s="60">
        <v>925</v>
      </c>
      <c r="B153" s="61">
        <v>56.403575724439584</v>
      </c>
      <c r="C153" s="61">
        <v>0.85966542750929364</v>
      </c>
      <c r="D153" s="61">
        <v>11066.381557135048</v>
      </c>
      <c r="E153" s="61">
        <f t="shared" si="5"/>
        <v>3667.2222176591158</v>
      </c>
      <c r="F153" s="61">
        <f t="shared" si="0"/>
        <v>32124866.626693852</v>
      </c>
      <c r="G153" s="62">
        <f t="shared" si="14"/>
        <v>-2592509.6381761823</v>
      </c>
      <c r="H153" s="62">
        <f t="shared" si="2"/>
        <v>88531052.457080379</v>
      </c>
      <c r="I153" s="62">
        <f t="shared" si="3"/>
        <v>2655931.5737124113</v>
      </c>
      <c r="J153" s="63">
        <f t="shared" si="4"/>
        <v>8031216.6566734631</v>
      </c>
    </row>
    <row r="154" spans="1:10" ht="13.2" x14ac:dyDescent="0.25">
      <c r="A154" s="64">
        <v>924</v>
      </c>
      <c r="B154" s="65">
        <v>56.072607982504096</v>
      </c>
      <c r="C154" s="65">
        <v>0.85873605947955389</v>
      </c>
      <c r="D154" s="65">
        <v>11001.445686167304</v>
      </c>
      <c r="E154" s="65">
        <f t="shared" si="5"/>
        <v>3583.5177074060857</v>
      </c>
      <c r="F154" s="65">
        <f t="shared" si="0"/>
        <v>31391615.116877314</v>
      </c>
      <c r="G154" s="66">
        <f t="shared" si="14"/>
        <v>-2713484.0795012824</v>
      </c>
      <c r="H154" s="66">
        <f t="shared" si="2"/>
        <v>88011565.489338428</v>
      </c>
      <c r="I154" s="66">
        <f t="shared" si="3"/>
        <v>2640346.9646801529</v>
      </c>
      <c r="J154" s="67">
        <f t="shared" si="4"/>
        <v>7847903.7792193284</v>
      </c>
    </row>
    <row r="155" spans="1:10" ht="13.2" x14ac:dyDescent="0.25">
      <c r="A155" s="60">
        <v>923</v>
      </c>
      <c r="B155" s="61">
        <v>56.055680699835968</v>
      </c>
      <c r="C155" s="61">
        <v>0.85780669144981414</v>
      </c>
      <c r="D155" s="61">
        <v>10998.124553307818</v>
      </c>
      <c r="E155" s="61">
        <f t="shared" si="5"/>
        <v>3579.2412858662919</v>
      </c>
      <c r="F155" s="61">
        <f t="shared" si="0"/>
        <v>31354153.664188717</v>
      </c>
      <c r="G155" s="62">
        <f t="shared" si="14"/>
        <v>-2719661.1551283263</v>
      </c>
      <c r="H155" s="62">
        <f t="shared" si="2"/>
        <v>87984996.426462546</v>
      </c>
      <c r="I155" s="62">
        <f t="shared" si="3"/>
        <v>2639549.8927938761</v>
      </c>
      <c r="J155" s="63">
        <f t="shared" si="4"/>
        <v>7838538.4160471791</v>
      </c>
    </row>
    <row r="156" spans="1:10" ht="13.2" x14ac:dyDescent="0.25">
      <c r="A156" s="64">
        <v>922</v>
      </c>
      <c r="B156" s="65">
        <v>55.925872061235651</v>
      </c>
      <c r="C156" s="65">
        <v>0.85687732342007439</v>
      </c>
      <c r="D156" s="65">
        <v>10972.656098414434</v>
      </c>
      <c r="E156" s="65">
        <f t="shared" si="5"/>
        <v>3546.4826041075157</v>
      </c>
      <c r="F156" s="65">
        <f t="shared" si="0"/>
        <v>31067187.611981839</v>
      </c>
      <c r="G156" s="66">
        <f t="shared" si="14"/>
        <v>-2766952.9514823966</v>
      </c>
      <c r="H156" s="66">
        <f t="shared" si="2"/>
        <v>87781248.787315473</v>
      </c>
      <c r="I156" s="66">
        <f t="shared" si="3"/>
        <v>2633437.4636194641</v>
      </c>
      <c r="J156" s="67">
        <f t="shared" si="4"/>
        <v>7766796.9029954597</v>
      </c>
    </row>
    <row r="157" spans="1:10" ht="13.2" x14ac:dyDescent="0.25">
      <c r="A157" s="60">
        <v>921</v>
      </c>
      <c r="B157" s="61">
        <v>55.917506834335697</v>
      </c>
      <c r="C157" s="61">
        <v>0.85594795539033453</v>
      </c>
      <c r="D157" s="61">
        <v>10971.014840896663</v>
      </c>
      <c r="E157" s="61">
        <f t="shared" si="5"/>
        <v>3544.3738322503423</v>
      </c>
      <c r="F157" s="61">
        <f t="shared" si="0"/>
        <v>31048714.770513002</v>
      </c>
      <c r="G157" s="62">
        <f>J157-(I157-(H157*$N$4))</f>
        <v>13028265.81625865</v>
      </c>
      <c r="H157" s="62">
        <f t="shared" si="2"/>
        <v>87768118.727173313</v>
      </c>
      <c r="I157" s="62">
        <f t="shared" si="3"/>
        <v>2633043.5618151994</v>
      </c>
      <c r="J157" s="63">
        <f t="shared" si="4"/>
        <v>7762178.6926282505</v>
      </c>
    </row>
    <row r="158" spans="1:10" ht="13.2" x14ac:dyDescent="0.25">
      <c r="A158" s="64">
        <v>920</v>
      </c>
      <c r="B158" s="65">
        <v>55.753843630399118</v>
      </c>
      <c r="C158" s="65">
        <v>0.85501858736059477</v>
      </c>
      <c r="D158" s="65">
        <v>10938.904120284305</v>
      </c>
      <c r="E158" s="65">
        <f t="shared" si="5"/>
        <v>3503.1610951075299</v>
      </c>
      <c r="F158" s="65">
        <f t="shared" si="0"/>
        <v>30687691.19314196</v>
      </c>
      <c r="G158" s="66">
        <f t="shared" ref="G158:G172" si="15">J158-I158-(H158*$N$4)</f>
        <v>-2829425.1571874432</v>
      </c>
      <c r="H158" s="66">
        <f t="shared" si="2"/>
        <v>87511232.962274447</v>
      </c>
      <c r="I158" s="66">
        <f t="shared" si="3"/>
        <v>2625336.9888682333</v>
      </c>
      <c r="J158" s="67">
        <f t="shared" si="4"/>
        <v>7671922.7982854899</v>
      </c>
    </row>
    <row r="159" spans="1:10" ht="13.2" x14ac:dyDescent="0.25">
      <c r="A159" s="60">
        <v>919</v>
      </c>
      <c r="B159" s="61">
        <v>55.604155276107157</v>
      </c>
      <c r="C159" s="61">
        <v>0.85408921933085502</v>
      </c>
      <c r="D159" s="61">
        <v>10909.535265172224</v>
      </c>
      <c r="E159" s="61">
        <f t="shared" si="5"/>
        <v>3465.508366829541</v>
      </c>
      <c r="F159" s="61">
        <f t="shared" si="0"/>
        <v>30357853.293426778</v>
      </c>
      <c r="G159" s="62">
        <f t="shared" si="15"/>
        <v>-2883690.53120864</v>
      </c>
      <c r="H159" s="62">
        <f t="shared" si="2"/>
        <v>87276282.121377796</v>
      </c>
      <c r="I159" s="62">
        <f t="shared" si="3"/>
        <v>2618288.4636413339</v>
      </c>
      <c r="J159" s="63">
        <f t="shared" si="4"/>
        <v>7589463.3233566945</v>
      </c>
    </row>
    <row r="160" spans="1:10" ht="13.2" x14ac:dyDescent="0.25">
      <c r="A160" s="64">
        <v>918</v>
      </c>
      <c r="B160" s="65">
        <v>55.593428102788408</v>
      </c>
      <c r="C160" s="65">
        <v>0.85315985130111527</v>
      </c>
      <c r="D160" s="65">
        <v>10907.430593767085</v>
      </c>
      <c r="E160" s="65">
        <f t="shared" si="5"/>
        <v>3462.812979100655</v>
      </c>
      <c r="F160" s="65">
        <f t="shared" si="0"/>
        <v>30334241.69692174</v>
      </c>
      <c r="G160" s="66">
        <f t="shared" si="15"/>
        <v>-2887572.9457859667</v>
      </c>
      <c r="H160" s="66">
        <f t="shared" si="2"/>
        <v>87259444.750136688</v>
      </c>
      <c r="I160" s="66">
        <f t="shared" si="3"/>
        <v>2617783.3425041004</v>
      </c>
      <c r="J160" s="67">
        <f t="shared" si="4"/>
        <v>7583560.4242304349</v>
      </c>
    </row>
    <row r="161" spans="1:10" ht="13.2" x14ac:dyDescent="0.25">
      <c r="A161" s="60">
        <v>917</v>
      </c>
      <c r="B161" s="61">
        <v>55.192881355932201</v>
      </c>
      <c r="C161" s="61">
        <v>0.85223048327137552</v>
      </c>
      <c r="D161" s="61">
        <v>10828.843322033899</v>
      </c>
      <c r="E161" s="61">
        <f t="shared" si="5"/>
        <v>3362.2782397505339</v>
      </c>
      <c r="F161" s="61">
        <f t="shared" si="0"/>
        <v>29453557.380214676</v>
      </c>
      <c r="G161" s="62">
        <f t="shared" si="15"/>
        <v>-3032300.2440988738</v>
      </c>
      <c r="H161" s="62">
        <f t="shared" si="2"/>
        <v>86630746.576271191</v>
      </c>
      <c r="I161" s="62">
        <f t="shared" si="3"/>
        <v>2598922.3972881357</v>
      </c>
      <c r="J161" s="63">
        <f t="shared" si="4"/>
        <v>7363389.3450536691</v>
      </c>
    </row>
    <row r="162" spans="1:10" ht="13.2" x14ac:dyDescent="0.25">
      <c r="A162" s="64">
        <v>916</v>
      </c>
      <c r="B162" s="65">
        <v>55.116905412793876</v>
      </c>
      <c r="C162" s="65">
        <v>0.85130111524163565</v>
      </c>
      <c r="D162" s="65">
        <v>10813.93684199016</v>
      </c>
      <c r="E162" s="65">
        <f t="shared" si="5"/>
        <v>3343.2295315162019</v>
      </c>
      <c r="F162" s="65">
        <f t="shared" si="0"/>
        <v>29286690.696081933</v>
      </c>
      <c r="G162" s="66">
        <f t="shared" si="15"/>
        <v>-3059706.6942900699</v>
      </c>
      <c r="H162" s="66">
        <f t="shared" si="2"/>
        <v>86511494.735921279</v>
      </c>
      <c r="I162" s="66">
        <f t="shared" si="3"/>
        <v>2595344.8420776385</v>
      </c>
      <c r="J162" s="67">
        <f t="shared" si="4"/>
        <v>7321672.6740204832</v>
      </c>
    </row>
    <row r="163" spans="1:10" ht="13.2" x14ac:dyDescent="0.25">
      <c r="A163" s="60">
        <v>915</v>
      </c>
      <c r="B163" s="61">
        <v>55.048015308911971</v>
      </c>
      <c r="C163" s="61">
        <v>0.8503717472118959</v>
      </c>
      <c r="D163" s="61">
        <v>10800.420603608531</v>
      </c>
      <c r="E163" s="61">
        <f t="shared" si="5"/>
        <v>3325.9762290838894</v>
      </c>
      <c r="F163" s="61">
        <f t="shared" si="0"/>
        <v>29135551.76677487</v>
      </c>
      <c r="G163" s="62">
        <f t="shared" si="15"/>
        <v>-3084515.8377704713</v>
      </c>
      <c r="H163" s="62">
        <f t="shared" si="2"/>
        <v>86403364.82886824</v>
      </c>
      <c r="I163" s="62">
        <f t="shared" si="3"/>
        <v>2592100.9448660472</v>
      </c>
      <c r="J163" s="63">
        <f t="shared" si="4"/>
        <v>7283887.9416937176</v>
      </c>
    </row>
    <row r="164" spans="1:10" ht="13.2" x14ac:dyDescent="0.25">
      <c r="A164" s="64">
        <v>914</v>
      </c>
      <c r="B164" s="65">
        <v>55.014849644614543</v>
      </c>
      <c r="C164" s="65">
        <v>0.84944237918215615</v>
      </c>
      <c r="D164" s="65">
        <v>10793.913500273375</v>
      </c>
      <c r="E164" s="65">
        <f t="shared" si="5"/>
        <v>3317.6790675821849</v>
      </c>
      <c r="F164" s="65">
        <f t="shared" si="0"/>
        <v>29062868.632019941</v>
      </c>
      <c r="G164" s="66">
        <f t="shared" si="15"/>
        <v>-3096439.802257454</v>
      </c>
      <c r="H164" s="66">
        <f t="shared" si="2"/>
        <v>86351308.002186999</v>
      </c>
      <c r="I164" s="66">
        <f t="shared" si="3"/>
        <v>2590539.24006561</v>
      </c>
      <c r="J164" s="67">
        <f t="shared" si="4"/>
        <v>7265717.1580049852</v>
      </c>
    </row>
    <row r="165" spans="1:10" ht="13.2" x14ac:dyDescent="0.25">
      <c r="A165" s="60">
        <v>913</v>
      </c>
      <c r="B165" s="61">
        <v>54.998020776380528</v>
      </c>
      <c r="C165" s="61">
        <v>0.8485130111524164</v>
      </c>
      <c r="D165" s="61">
        <v>10790.61167632586</v>
      </c>
      <c r="E165" s="61">
        <f t="shared" si="5"/>
        <v>3313.4735381025666</v>
      </c>
      <c r="F165" s="61">
        <f t="shared" si="0"/>
        <v>29026028.193778481</v>
      </c>
      <c r="G165" s="62">
        <f t="shared" si="15"/>
        <v>-3102480.1608282039</v>
      </c>
      <c r="H165" s="62">
        <f t="shared" si="2"/>
        <v>86324893.410606876</v>
      </c>
      <c r="I165" s="62">
        <f t="shared" si="3"/>
        <v>2589746.8023182061</v>
      </c>
      <c r="J165" s="63">
        <f t="shared" si="4"/>
        <v>7256507.0484446203</v>
      </c>
    </row>
    <row r="166" spans="1:10" ht="13.2" x14ac:dyDescent="0.25">
      <c r="A166" s="64">
        <v>912</v>
      </c>
      <c r="B166" s="65">
        <v>54.637036632039361</v>
      </c>
      <c r="C166" s="65">
        <v>0.84758364312267653</v>
      </c>
      <c r="D166" s="65">
        <v>10719.786587206123</v>
      </c>
      <c r="E166" s="65">
        <f t="shared" si="5"/>
        <v>3223.3624349381435</v>
      </c>
      <c r="F166" s="65">
        <f t="shared" si="0"/>
        <v>28236654.93005814</v>
      </c>
      <c r="G166" s="66">
        <f t="shared" si="15"/>
        <v>-3231831.3912033429</v>
      </c>
      <c r="H166" s="66">
        <f t="shared" si="2"/>
        <v>85758292.697648987</v>
      </c>
      <c r="I166" s="66">
        <f t="shared" si="3"/>
        <v>2572748.7809294695</v>
      </c>
      <c r="J166" s="67">
        <f t="shared" si="4"/>
        <v>7059163.7325145351</v>
      </c>
    </row>
    <row r="167" spans="1:10" ht="13.2" x14ac:dyDescent="0.25">
      <c r="A167" s="60">
        <v>911</v>
      </c>
      <c r="B167" s="61">
        <v>54.440207763805361</v>
      </c>
      <c r="C167" s="61">
        <v>0.84665427509293678</v>
      </c>
      <c r="D167" s="61">
        <v>10681.168763258613</v>
      </c>
      <c r="E167" s="61">
        <f t="shared" si="5"/>
        <v>3174.2826261572695</v>
      </c>
      <c r="F167" s="61">
        <f t="shared" si="0"/>
        <v>27806715.805137679</v>
      </c>
      <c r="G167" s="62">
        <f t="shared" si="15"/>
        <v>-3302243.0614438467</v>
      </c>
      <c r="H167" s="62">
        <f t="shared" si="2"/>
        <v>85449350.106068894</v>
      </c>
      <c r="I167" s="62">
        <f t="shared" si="3"/>
        <v>2563480.5031820666</v>
      </c>
      <c r="J167" s="63">
        <f t="shared" si="4"/>
        <v>6951678.9512844197</v>
      </c>
    </row>
    <row r="168" spans="1:10" ht="13.2" x14ac:dyDescent="0.25">
      <c r="A168" s="64">
        <v>910</v>
      </c>
      <c r="B168" s="65">
        <v>54.268572990705302</v>
      </c>
      <c r="C168" s="65">
        <v>0.84572490706319703</v>
      </c>
      <c r="D168" s="65">
        <v>10647.494020776381</v>
      </c>
      <c r="E168" s="65">
        <f t="shared" si="5"/>
        <v>3131.5319772439534</v>
      </c>
      <c r="F168" s="65">
        <f t="shared" si="0"/>
        <v>27432220.12065703</v>
      </c>
      <c r="G168" s="66">
        <f t="shared" si="15"/>
        <v>-3363539.2297810679</v>
      </c>
      <c r="H168" s="66">
        <f t="shared" si="2"/>
        <v>85179952.166211054</v>
      </c>
      <c r="I168" s="66">
        <f t="shared" si="3"/>
        <v>2555398.5649863314</v>
      </c>
      <c r="J168" s="67">
        <f t="shared" si="4"/>
        <v>6858055.0301642576</v>
      </c>
    </row>
    <row r="169" spans="1:10" ht="13.2" x14ac:dyDescent="0.25">
      <c r="A169" s="60">
        <v>909</v>
      </c>
      <c r="B169" s="61">
        <v>54.261585565882996</v>
      </c>
      <c r="C169" s="61">
        <v>0.84479553903345728</v>
      </c>
      <c r="D169" s="61">
        <v>10646.123088026245</v>
      </c>
      <c r="E169" s="61">
        <f t="shared" si="5"/>
        <v>3129.7934663354395</v>
      </c>
      <c r="F169" s="61">
        <f t="shared" si="0"/>
        <v>27416990.765098453</v>
      </c>
      <c r="G169" s="62">
        <f t="shared" si="15"/>
        <v>-3366030.4732305808</v>
      </c>
      <c r="H169" s="62">
        <f t="shared" si="2"/>
        <v>85168984.704209954</v>
      </c>
      <c r="I169" s="62">
        <f t="shared" si="3"/>
        <v>2555069.5411262987</v>
      </c>
      <c r="J169" s="63">
        <f t="shared" si="4"/>
        <v>6854247.6912746131</v>
      </c>
    </row>
    <row r="170" spans="1:10" ht="13.2" x14ac:dyDescent="0.25">
      <c r="A170" s="64">
        <v>908</v>
      </c>
      <c r="B170" s="65">
        <v>53.983072717331872</v>
      </c>
      <c r="C170" s="65">
        <v>0.84386617100371752</v>
      </c>
      <c r="D170" s="65">
        <v>10591.478867140515</v>
      </c>
      <c r="E170" s="65">
        <f t="shared" si="5"/>
        <v>3060.5740675740549</v>
      </c>
      <c r="F170" s="65">
        <f t="shared" si="0"/>
        <v>26810628.831948724</v>
      </c>
      <c r="G170" s="66">
        <f t="shared" si="15"/>
        <v>-3465162.5044677132</v>
      </c>
      <c r="H170" s="66">
        <f t="shared" si="2"/>
        <v>84731830.937124118</v>
      </c>
      <c r="I170" s="66">
        <f t="shared" si="3"/>
        <v>2541954.9281137236</v>
      </c>
      <c r="J170" s="67">
        <f t="shared" si="4"/>
        <v>6702657.2079871809</v>
      </c>
    </row>
    <row r="171" spans="1:10" ht="13.2" x14ac:dyDescent="0.25">
      <c r="A171" s="60">
        <v>907</v>
      </c>
      <c r="B171" s="61">
        <v>53.814390377255329</v>
      </c>
      <c r="C171" s="61">
        <v>0.84293680297397766</v>
      </c>
      <c r="D171" s="61">
        <v>10558.383392017497</v>
      </c>
      <c r="E171" s="61">
        <f t="shared" si="5"/>
        <v>3018.6972187078936</v>
      </c>
      <c r="F171" s="61">
        <f t="shared" si="0"/>
        <v>26443787.635881148</v>
      </c>
      <c r="G171" s="62">
        <f t="shared" si="15"/>
        <v>-3525101.1473665093</v>
      </c>
      <c r="H171" s="62">
        <f t="shared" si="2"/>
        <v>84467067.136139974</v>
      </c>
      <c r="I171" s="62">
        <f t="shared" si="3"/>
        <v>2534012.014084199</v>
      </c>
      <c r="J171" s="63">
        <f t="shared" si="4"/>
        <v>6610946.9089702871</v>
      </c>
    </row>
    <row r="172" spans="1:10" ht="13.2" x14ac:dyDescent="0.25">
      <c r="A172" s="64">
        <v>906</v>
      </c>
      <c r="B172" s="65">
        <v>53.760459267359217</v>
      </c>
      <c r="C172" s="65">
        <v>0.84200743494423791</v>
      </c>
      <c r="D172" s="65">
        <v>10547.802108255879</v>
      </c>
      <c r="E172" s="65">
        <f t="shared" si="5"/>
        <v>3005.3231054032467</v>
      </c>
      <c r="F172" s="65">
        <f t="shared" si="0"/>
        <v>26326630.403332438</v>
      </c>
      <c r="G172" s="66">
        <f t="shared" si="15"/>
        <v>-3544232.4230925329</v>
      </c>
      <c r="H172" s="66">
        <f t="shared" si="2"/>
        <v>84382416.866047025</v>
      </c>
      <c r="I172" s="66">
        <f t="shared" si="3"/>
        <v>2531472.5059814109</v>
      </c>
      <c r="J172" s="67">
        <f t="shared" si="4"/>
        <v>6581657.6008331096</v>
      </c>
    </row>
    <row r="173" spans="1:10" ht="13.2" x14ac:dyDescent="0.25">
      <c r="A173" s="60">
        <v>905</v>
      </c>
      <c r="B173" s="61">
        <v>53.651022416621103</v>
      </c>
      <c r="C173" s="61">
        <v>0.84107806691449816</v>
      </c>
      <c r="D173" s="61">
        <v>10526.330598141063</v>
      </c>
      <c r="E173" s="61">
        <f t="shared" si="5"/>
        <v>2978.2143261365391</v>
      </c>
      <c r="F173" s="61">
        <f t="shared" si="0"/>
        <v>26089157.496956084</v>
      </c>
      <c r="G173" s="62">
        <f>J173-(I173-(H173*$N$4))</f>
        <v>11574928.061346732</v>
      </c>
      <c r="H173" s="62">
        <f t="shared" si="2"/>
        <v>84210644.785128504</v>
      </c>
      <c r="I173" s="62">
        <f t="shared" si="3"/>
        <v>2526319.3435538551</v>
      </c>
      <c r="J173" s="63">
        <f t="shared" si="4"/>
        <v>6522289.374239021</v>
      </c>
    </row>
    <row r="174" spans="1:10" ht="13.2" x14ac:dyDescent="0.25">
      <c r="A174" s="64">
        <v>904</v>
      </c>
      <c r="B174" s="65">
        <v>53.600831055221427</v>
      </c>
      <c r="C174" s="65">
        <v>0.8401486988847584</v>
      </c>
      <c r="D174" s="65">
        <v>10516.483053034446</v>
      </c>
      <c r="E174" s="65">
        <f t="shared" si="5"/>
        <v>2965.7950708301455</v>
      </c>
      <c r="F174" s="65">
        <f t="shared" si="0"/>
        <v>25980364.820472077</v>
      </c>
      <c r="G174" s="66">
        <f t="shared" ref="G174:G188" si="16">J174-I174-(H174*$N$4)</f>
        <v>-3600732.5257950476</v>
      </c>
      <c r="H174" s="66">
        <f t="shared" si="2"/>
        <v>84131864.424275562</v>
      </c>
      <c r="I174" s="66">
        <f t="shared" si="3"/>
        <v>2523955.9327282668</v>
      </c>
      <c r="J174" s="67">
        <f t="shared" si="4"/>
        <v>6495091.2051180191</v>
      </c>
    </row>
    <row r="175" spans="1:10" ht="13.2" x14ac:dyDescent="0.25">
      <c r="A175" s="60">
        <v>903</v>
      </c>
      <c r="B175" s="61">
        <v>53.392094040459263</v>
      </c>
      <c r="C175" s="61">
        <v>0.83921933085501854</v>
      </c>
      <c r="D175" s="61">
        <v>10475.528850738108</v>
      </c>
      <c r="E175" s="61">
        <f t="shared" si="5"/>
        <v>2914.2026719335972</v>
      </c>
      <c r="F175" s="61">
        <f t="shared" si="0"/>
        <v>25528415.406138312</v>
      </c>
      <c r="G175" s="62">
        <f t="shared" si="16"/>
        <v>-3674403.8451740057</v>
      </c>
      <c r="H175" s="62">
        <f t="shared" si="2"/>
        <v>83804230.805904865</v>
      </c>
      <c r="I175" s="62">
        <f t="shared" si="3"/>
        <v>2514126.9241771461</v>
      </c>
      <c r="J175" s="63">
        <f t="shared" si="4"/>
        <v>6382103.851534578</v>
      </c>
    </row>
    <row r="176" spans="1:10" ht="13.2" x14ac:dyDescent="0.25">
      <c r="A176" s="64">
        <v>902</v>
      </c>
      <c r="B176" s="65">
        <v>53.373296883542913</v>
      </c>
      <c r="C176" s="65">
        <v>0.83828996282527879</v>
      </c>
      <c r="D176" s="65">
        <v>10471.840848551121</v>
      </c>
      <c r="E176" s="65">
        <f t="shared" si="5"/>
        <v>2909.5618215979271</v>
      </c>
      <c r="F176" s="65">
        <f t="shared" si="0"/>
        <v>25487761.557197843</v>
      </c>
      <c r="G176" s="66">
        <f t="shared" si="16"/>
        <v>-3681026.8253096147</v>
      </c>
      <c r="H176" s="66">
        <f t="shared" si="2"/>
        <v>83774726.788408965</v>
      </c>
      <c r="I176" s="66">
        <f t="shared" si="3"/>
        <v>2513241.8036522688</v>
      </c>
      <c r="J176" s="67">
        <f t="shared" si="4"/>
        <v>6371940.3892994607</v>
      </c>
    </row>
    <row r="177" spans="1:10" ht="13.2" x14ac:dyDescent="0.25">
      <c r="A177" s="60">
        <v>901</v>
      </c>
      <c r="B177" s="61">
        <v>53.284330235101145</v>
      </c>
      <c r="C177" s="61">
        <v>0.83736059479553904</v>
      </c>
      <c r="D177" s="61">
        <v>10454.385592126844</v>
      </c>
      <c r="E177" s="61">
        <f t="shared" si="5"/>
        <v>2887.6210833880441</v>
      </c>
      <c r="F177" s="61">
        <f t="shared" si="0"/>
        <v>25295560.690479267</v>
      </c>
      <c r="G177" s="62">
        <f t="shared" si="16"/>
        <v>-3712319.9958219533</v>
      </c>
      <c r="H177" s="62">
        <f t="shared" si="2"/>
        <v>83635084.737014756</v>
      </c>
      <c r="I177" s="62">
        <f t="shared" si="3"/>
        <v>2509052.5421104426</v>
      </c>
      <c r="J177" s="63">
        <f t="shared" si="4"/>
        <v>6323890.1726198168</v>
      </c>
    </row>
    <row r="178" spans="1:10" ht="13.2" x14ac:dyDescent="0.25">
      <c r="A178" s="64">
        <v>900</v>
      </c>
      <c r="B178" s="65">
        <v>53.163969382176049</v>
      </c>
      <c r="C178" s="65">
        <v>0.83643122676579928</v>
      </c>
      <c r="D178" s="65">
        <v>10430.770792782941</v>
      </c>
      <c r="E178" s="65">
        <f t="shared" si="5"/>
        <v>2857.9709031709322</v>
      </c>
      <c r="F178" s="65">
        <f t="shared" si="0"/>
        <v>25035825.111777365</v>
      </c>
      <c r="G178" s="66">
        <f t="shared" si="16"/>
        <v>-3754583.6831272827</v>
      </c>
      <c r="H178" s="66">
        <f t="shared" si="2"/>
        <v>83446166.342263535</v>
      </c>
      <c r="I178" s="66">
        <f t="shared" si="3"/>
        <v>2503384.9902679059</v>
      </c>
      <c r="J178" s="67">
        <f t="shared" si="4"/>
        <v>6258956.2779443413</v>
      </c>
    </row>
    <row r="179" spans="1:10" ht="13.2" x14ac:dyDescent="0.25">
      <c r="A179" s="60">
        <v>899</v>
      </c>
      <c r="B179" s="61">
        <v>53.035636960087473</v>
      </c>
      <c r="C179" s="61">
        <v>0.83550185873605953</v>
      </c>
      <c r="D179" s="61">
        <v>10405.591971569162</v>
      </c>
      <c r="E179" s="61">
        <f t="shared" si="5"/>
        <v>2826.3920748921255</v>
      </c>
      <c r="F179" s="61">
        <f t="shared" si="0"/>
        <v>24759194.576055016</v>
      </c>
      <c r="G179" s="62">
        <f t="shared" si="16"/>
        <v>-3799569.6486926409</v>
      </c>
      <c r="H179" s="62">
        <f t="shared" si="2"/>
        <v>83244735.772553295</v>
      </c>
      <c r="I179" s="62">
        <f t="shared" si="3"/>
        <v>2497342.0731765986</v>
      </c>
      <c r="J179" s="63">
        <f t="shared" si="4"/>
        <v>6189798.6440137541</v>
      </c>
    </row>
    <row r="180" spans="1:10" ht="13.2" x14ac:dyDescent="0.25">
      <c r="A180" s="64">
        <v>898</v>
      </c>
      <c r="B180" s="65">
        <v>52.732028430836522</v>
      </c>
      <c r="C180" s="65">
        <v>0.83457249070631967</v>
      </c>
      <c r="D180" s="65">
        <v>10346.023978130126</v>
      </c>
      <c r="E180" s="65">
        <f t="shared" si="5"/>
        <v>2751.7660013272371</v>
      </c>
      <c r="F180" s="65">
        <f t="shared" si="0"/>
        <v>24105470.171626598</v>
      </c>
      <c r="G180" s="66">
        <f t="shared" si="16"/>
        <v>-3905815.4760982716</v>
      </c>
      <c r="H180" s="66">
        <f t="shared" si="2"/>
        <v>82768191.825041011</v>
      </c>
      <c r="I180" s="66">
        <f t="shared" si="3"/>
        <v>2483045.7547512301</v>
      </c>
      <c r="J180" s="67">
        <f t="shared" si="4"/>
        <v>6026367.5429066494</v>
      </c>
    </row>
    <row r="181" spans="1:10" ht="13.2" x14ac:dyDescent="0.25">
      <c r="A181" s="60">
        <v>897</v>
      </c>
      <c r="B181" s="61">
        <v>52.71431383269546</v>
      </c>
      <c r="C181" s="61">
        <v>0.83364312267657992</v>
      </c>
      <c r="D181" s="61">
        <v>10342.548373974849</v>
      </c>
      <c r="E181" s="61">
        <f t="shared" si="5"/>
        <v>2747.4166509600614</v>
      </c>
      <c r="F181" s="61">
        <f t="shared" si="0"/>
        <v>24067369.862410136</v>
      </c>
      <c r="G181" s="62">
        <f t="shared" si="16"/>
        <v>-3912003.9734133203</v>
      </c>
      <c r="H181" s="62">
        <f t="shared" si="2"/>
        <v>82740386.991798788</v>
      </c>
      <c r="I181" s="62">
        <f t="shared" si="3"/>
        <v>2482211.6097539635</v>
      </c>
      <c r="J181" s="63">
        <f t="shared" si="4"/>
        <v>6016842.4656025339</v>
      </c>
    </row>
    <row r="182" spans="1:10" ht="13.2" x14ac:dyDescent="0.25">
      <c r="A182" s="64">
        <v>896</v>
      </c>
      <c r="B182" s="65">
        <v>52.534117003827227</v>
      </c>
      <c r="C182" s="65">
        <v>0.83271375464684017</v>
      </c>
      <c r="D182" s="65">
        <v>10307.193756150904</v>
      </c>
      <c r="E182" s="65">
        <f t="shared" si="5"/>
        <v>2703.2233786801303</v>
      </c>
      <c r="F182" s="65">
        <f t="shared" si="0"/>
        <v>23680236.797237944</v>
      </c>
      <c r="G182" s="66">
        <f t="shared" si="16"/>
        <v>-3974846.8065953809</v>
      </c>
      <c r="H182" s="66">
        <f t="shared" si="2"/>
        <v>82457550.049207225</v>
      </c>
      <c r="I182" s="66">
        <f t="shared" si="3"/>
        <v>2473726.5014762166</v>
      </c>
      <c r="J182" s="67">
        <f t="shared" si="4"/>
        <v>5920059.199309486</v>
      </c>
    </row>
    <row r="183" spans="1:10" ht="13.2" x14ac:dyDescent="0.25">
      <c r="A183" s="60">
        <v>895</v>
      </c>
      <c r="B183" s="61">
        <v>52.53323127392018</v>
      </c>
      <c r="C183" s="61">
        <v>0.83178438661710041</v>
      </c>
      <c r="D183" s="61">
        <v>10307.01997594314</v>
      </c>
      <c r="E183" s="61">
        <f t="shared" si="5"/>
        <v>2703.0063956790791</v>
      </c>
      <c r="F183" s="61">
        <f t="shared" si="0"/>
        <v>23678336.026148733</v>
      </c>
      <c r="G183" s="62">
        <f t="shared" si="16"/>
        <v>-3975155.1703682314</v>
      </c>
      <c r="H183" s="62">
        <f t="shared" si="2"/>
        <v>82456159.807545125</v>
      </c>
      <c r="I183" s="62">
        <f t="shared" si="3"/>
        <v>2473684.7942263535</v>
      </c>
      <c r="J183" s="63">
        <f t="shared" si="4"/>
        <v>5919584.0065371832</v>
      </c>
    </row>
    <row r="184" spans="1:10" ht="13.2" x14ac:dyDescent="0.25">
      <c r="A184" s="64">
        <v>894</v>
      </c>
      <c r="B184" s="65">
        <v>52.344275560415532</v>
      </c>
      <c r="C184" s="65">
        <v>0.83085501858736055</v>
      </c>
      <c r="D184" s="65">
        <v>10269.946864953527</v>
      </c>
      <c r="E184" s="65">
        <f t="shared" si="5"/>
        <v>2656.7683706344128</v>
      </c>
      <c r="F184" s="65">
        <f t="shared" si="0"/>
        <v>23273290.926757459</v>
      </c>
      <c r="G184" s="66">
        <f t="shared" si="16"/>
        <v>-4040826.2586660213</v>
      </c>
      <c r="H184" s="66">
        <f t="shared" si="2"/>
        <v>82159574.919628218</v>
      </c>
      <c r="I184" s="66">
        <f t="shared" si="3"/>
        <v>2464787.2475888464</v>
      </c>
      <c r="J184" s="67">
        <f t="shared" si="4"/>
        <v>5818322.7316893646</v>
      </c>
    </row>
    <row r="185" spans="1:10" ht="13.2" x14ac:dyDescent="0.25">
      <c r="A185" s="60">
        <v>893</v>
      </c>
      <c r="B185" s="61">
        <v>52.339846910880262</v>
      </c>
      <c r="C185" s="61">
        <v>0.8299256505576208</v>
      </c>
      <c r="D185" s="61">
        <v>10269.077963914708</v>
      </c>
      <c r="E185" s="61">
        <f t="shared" si="5"/>
        <v>2655.6858782156983</v>
      </c>
      <c r="F185" s="61">
        <f t="shared" si="0"/>
        <v>23263808.293169517</v>
      </c>
      <c r="G185" s="62">
        <f t="shared" si="16"/>
        <v>-4042362.7720657391</v>
      </c>
      <c r="H185" s="62">
        <f t="shared" si="2"/>
        <v>82152623.711317658</v>
      </c>
      <c r="I185" s="62">
        <f t="shared" si="3"/>
        <v>2464578.7113395296</v>
      </c>
      <c r="J185" s="63">
        <f t="shared" si="4"/>
        <v>5815952.0732923793</v>
      </c>
    </row>
    <row r="186" spans="1:10" ht="13.2" x14ac:dyDescent="0.25">
      <c r="A186" s="64">
        <v>892</v>
      </c>
      <c r="B186" s="65">
        <v>52.303827227993438</v>
      </c>
      <c r="C186" s="65">
        <v>0.82899628252788105</v>
      </c>
      <c r="D186" s="65">
        <v>10262.010902132313</v>
      </c>
      <c r="E186" s="65">
        <f t="shared" si="5"/>
        <v>2646.8914583954138</v>
      </c>
      <c r="F186" s="65">
        <f t="shared" si="0"/>
        <v>23186769.175543826</v>
      </c>
      <c r="G186" s="66">
        <f t="shared" si="16"/>
        <v>-4054838.1721610646</v>
      </c>
      <c r="H186" s="66">
        <f t="shared" si="2"/>
        <v>82096087.21705851</v>
      </c>
      <c r="I186" s="66">
        <f t="shared" si="3"/>
        <v>2462882.6165117552</v>
      </c>
      <c r="J186" s="67">
        <f t="shared" si="4"/>
        <v>5796692.2938859565</v>
      </c>
    </row>
    <row r="187" spans="1:10" ht="13.2" x14ac:dyDescent="0.25">
      <c r="A187" s="60">
        <v>891</v>
      </c>
      <c r="B187" s="61">
        <v>51.633231273920174</v>
      </c>
      <c r="C187" s="61">
        <v>0.82806691449814129</v>
      </c>
      <c r="D187" s="61">
        <v>10130.439975943138</v>
      </c>
      <c r="E187" s="61">
        <f t="shared" si="5"/>
        <v>2483.3448842522707</v>
      </c>
      <c r="F187" s="61">
        <f t="shared" si="0"/>
        <v>21754101.186049893</v>
      </c>
      <c r="G187" s="62">
        <f t="shared" si="16"/>
        <v>-4286697.08039294</v>
      </c>
      <c r="H187" s="62">
        <f t="shared" si="2"/>
        <v>81043519.807545111</v>
      </c>
      <c r="I187" s="62">
        <f t="shared" si="3"/>
        <v>2431305.5942263533</v>
      </c>
      <c r="J187" s="63">
        <f t="shared" si="4"/>
        <v>5438525.2965124734</v>
      </c>
    </row>
    <row r="188" spans="1:10" ht="13.2" x14ac:dyDescent="0.25">
      <c r="A188" s="64">
        <v>890</v>
      </c>
      <c r="B188" s="65">
        <v>51.531864406779654</v>
      </c>
      <c r="C188" s="65">
        <v>0.82713754646840154</v>
      </c>
      <c r="D188" s="65">
        <v>10110.551796610169</v>
      </c>
      <c r="E188" s="65">
        <f t="shared" si="5"/>
        <v>2458.6510110284353</v>
      </c>
      <c r="F188" s="65">
        <f t="shared" si="0"/>
        <v>21537782.856609095</v>
      </c>
      <c r="G188" s="66">
        <f t="shared" si="16"/>
        <v>-4321684.0105934879</v>
      </c>
      <c r="H188" s="66">
        <f t="shared" si="2"/>
        <v>80884414.372881353</v>
      </c>
      <c r="I188" s="66">
        <f t="shared" si="3"/>
        <v>2426532.4311864404</v>
      </c>
      <c r="J188" s="67">
        <f t="shared" si="4"/>
        <v>5384445.7141522737</v>
      </c>
    </row>
    <row r="189" spans="1:10" ht="13.2" x14ac:dyDescent="0.25">
      <c r="A189" s="60">
        <v>889</v>
      </c>
      <c r="B189" s="61">
        <v>51.53107709130672</v>
      </c>
      <c r="C189" s="61">
        <v>0.82620817843866168</v>
      </c>
      <c r="D189" s="61">
        <v>10110.397325314378</v>
      </c>
      <c r="E189" s="61">
        <f t="shared" si="5"/>
        <v>2458.4594292958764</v>
      </c>
      <c r="F189" s="61">
        <f t="shared" si="0"/>
        <v>21536104.600631878</v>
      </c>
      <c r="G189" s="62">
        <f>J189-(I189-(H189*$N$4))</f>
        <v>10237016.866308872</v>
      </c>
      <c r="H189" s="62">
        <f t="shared" si="2"/>
        <v>80883178.602515027</v>
      </c>
      <c r="I189" s="62">
        <f t="shared" si="3"/>
        <v>2426495.3580754506</v>
      </c>
      <c r="J189" s="63">
        <f t="shared" si="4"/>
        <v>5384026.1501579694</v>
      </c>
    </row>
    <row r="190" spans="1:10" ht="13.2" x14ac:dyDescent="0.25">
      <c r="A190" s="64">
        <v>888</v>
      </c>
      <c r="B190" s="65">
        <v>51.44801530891197</v>
      </c>
      <c r="C190" s="65">
        <v>0.82527881040892193</v>
      </c>
      <c r="D190" s="65">
        <v>10094.100603608529</v>
      </c>
      <c r="E190" s="65">
        <f t="shared" si="5"/>
        <v>2438.2702749892815</v>
      </c>
      <c r="F190" s="65">
        <f t="shared" si="0"/>
        <v>21359247.608906105</v>
      </c>
      <c r="G190" s="66">
        <f t="shared" ref="G190:G204" si="17">J190-I190-(H190*$N$4)</f>
        <v>-4350524.6772376616</v>
      </c>
      <c r="H190" s="66">
        <f t="shared" si="2"/>
        <v>80752804.82886824</v>
      </c>
      <c r="I190" s="66">
        <f t="shared" si="3"/>
        <v>2422584.144866047</v>
      </c>
      <c r="J190" s="67">
        <f t="shared" si="4"/>
        <v>5339811.9022265263</v>
      </c>
    </row>
    <row r="191" spans="1:10" ht="13.2" x14ac:dyDescent="0.25">
      <c r="A191" s="60">
        <v>887</v>
      </c>
      <c r="B191" s="61">
        <v>51.270770913067253</v>
      </c>
      <c r="C191" s="61">
        <v>0.82434944237918217</v>
      </c>
      <c r="D191" s="61">
        <v>10059.325253143796</v>
      </c>
      <c r="E191" s="61">
        <f t="shared" si="5"/>
        <v>2395.237394744121</v>
      </c>
      <c r="F191" s="61">
        <f t="shared" si="0"/>
        <v>20982279.577958502</v>
      </c>
      <c r="G191" s="62">
        <f t="shared" si="17"/>
        <v>-4411382.3485284168</v>
      </c>
      <c r="H191" s="62">
        <f t="shared" si="2"/>
        <v>80474602.025150359</v>
      </c>
      <c r="I191" s="62">
        <f t="shared" si="3"/>
        <v>2414238.0607545106</v>
      </c>
      <c r="J191" s="63">
        <f t="shared" si="4"/>
        <v>5245569.8944896255</v>
      </c>
    </row>
    <row r="192" spans="1:10" ht="13.2" x14ac:dyDescent="0.25">
      <c r="A192" s="64">
        <v>886</v>
      </c>
      <c r="B192" s="65">
        <v>51.096675779114264</v>
      </c>
      <c r="C192" s="65">
        <v>0.82342007434944242</v>
      </c>
      <c r="D192" s="65">
        <v>10025.167787862221</v>
      </c>
      <c r="E192" s="65">
        <f t="shared" si="5"/>
        <v>2353.0167359852976</v>
      </c>
      <c r="F192" s="65">
        <f t="shared" si="0"/>
        <v>20612426.607231207</v>
      </c>
      <c r="G192" s="66">
        <f t="shared" si="17"/>
        <v>-4471054.4245399293</v>
      </c>
      <c r="H192" s="66">
        <f t="shared" si="2"/>
        <v>80201342.302897766</v>
      </c>
      <c r="I192" s="66">
        <f t="shared" si="3"/>
        <v>2406040.2690869328</v>
      </c>
      <c r="J192" s="67">
        <f t="shared" si="4"/>
        <v>5153106.6518078018</v>
      </c>
    </row>
    <row r="193" spans="1:10" ht="13.2" x14ac:dyDescent="0.25">
      <c r="A193" s="60">
        <v>885</v>
      </c>
      <c r="B193" s="61">
        <v>51.031919081465283</v>
      </c>
      <c r="C193" s="61">
        <v>0.82249070631970256</v>
      </c>
      <c r="D193" s="61">
        <v>10012.462523783488</v>
      </c>
      <c r="E193" s="61">
        <f t="shared" si="5"/>
        <v>2337.3299856799099</v>
      </c>
      <c r="F193" s="61">
        <f t="shared" si="0"/>
        <v>20475010.674556013</v>
      </c>
      <c r="G193" s="62">
        <f t="shared" si="17"/>
        <v>-4493211.3541931445</v>
      </c>
      <c r="H193" s="62">
        <f t="shared" si="2"/>
        <v>80099700.190267906</v>
      </c>
      <c r="I193" s="62">
        <f t="shared" si="3"/>
        <v>2402991.0057080369</v>
      </c>
      <c r="J193" s="63">
        <f t="shared" si="4"/>
        <v>5118752.6686390033</v>
      </c>
    </row>
    <row r="194" spans="1:10" ht="13.2" x14ac:dyDescent="0.25">
      <c r="A194" s="64">
        <v>884</v>
      </c>
      <c r="B194" s="65">
        <v>51.021782394751227</v>
      </c>
      <c r="C194" s="65">
        <v>0.82156133828996281</v>
      </c>
      <c r="D194" s="65">
        <v>10010.473705850191</v>
      </c>
      <c r="E194" s="65">
        <f t="shared" si="5"/>
        <v>2334.8772334517635</v>
      </c>
      <c r="F194" s="65">
        <f t="shared" si="0"/>
        <v>20453524.565037448</v>
      </c>
      <c r="G194" s="66">
        <f t="shared" si="17"/>
        <v>-4496673.6163568217</v>
      </c>
      <c r="H194" s="66">
        <f t="shared" si="2"/>
        <v>80083789.646801531</v>
      </c>
      <c r="I194" s="66">
        <f t="shared" si="3"/>
        <v>2402513.6894040457</v>
      </c>
      <c r="J194" s="67">
        <f t="shared" si="4"/>
        <v>5113381.141259362</v>
      </c>
    </row>
    <row r="195" spans="1:10" ht="13.2" x14ac:dyDescent="0.25">
      <c r="A195" s="60">
        <v>883</v>
      </c>
      <c r="B195" s="61">
        <v>50.819442318206669</v>
      </c>
      <c r="C195" s="61">
        <v>0.82063197026022305</v>
      </c>
      <c r="D195" s="61">
        <v>9970.7745828321476</v>
      </c>
      <c r="E195" s="61">
        <f t="shared" si="5"/>
        <v>2285.9727840461724</v>
      </c>
      <c r="F195" s="61">
        <f t="shared" si="0"/>
        <v>20025121.588244468</v>
      </c>
      <c r="G195" s="62">
        <f t="shared" si="17"/>
        <v>-4565663.2024577446</v>
      </c>
      <c r="H195" s="62">
        <f t="shared" si="2"/>
        <v>79766196.662657186</v>
      </c>
      <c r="I195" s="62">
        <f t="shared" si="3"/>
        <v>2392985.8998797154</v>
      </c>
      <c r="J195" s="63">
        <f t="shared" si="4"/>
        <v>5006280.397061117</v>
      </c>
    </row>
    <row r="196" spans="1:10" ht="13.2" x14ac:dyDescent="0.25">
      <c r="A196" s="64">
        <v>882</v>
      </c>
      <c r="B196" s="65">
        <v>50.637966101694914</v>
      </c>
      <c r="C196" s="65">
        <v>0.8197026022304833</v>
      </c>
      <c r="D196" s="65">
        <v>9935.1689491525431</v>
      </c>
      <c r="E196" s="65">
        <f t="shared" si="5"/>
        <v>2242.1606474366963</v>
      </c>
      <c r="F196" s="65">
        <f t="shared" si="0"/>
        <v>19641327.271545459</v>
      </c>
      <c r="G196" s="66">
        <f t="shared" si="17"/>
        <v>-4627430.3733000755</v>
      </c>
      <c r="H196" s="66">
        <f t="shared" si="2"/>
        <v>79481351.593220338</v>
      </c>
      <c r="I196" s="66">
        <f t="shared" si="3"/>
        <v>2384440.5477966103</v>
      </c>
      <c r="J196" s="67">
        <f t="shared" si="4"/>
        <v>4910331.8178863646</v>
      </c>
    </row>
    <row r="197" spans="1:10" ht="13.2" x14ac:dyDescent="0.25">
      <c r="A197" s="60">
        <v>881</v>
      </c>
      <c r="B197" s="61">
        <v>50.617495899398577</v>
      </c>
      <c r="C197" s="61">
        <v>0.81877323420074355</v>
      </c>
      <c r="D197" s="61">
        <v>9931.1526954620022</v>
      </c>
      <c r="E197" s="61">
        <f t="shared" si="5"/>
        <v>2237.2243133235547</v>
      </c>
      <c r="F197" s="61">
        <f t="shared" si="0"/>
        <v>19598084.984714337</v>
      </c>
      <c r="G197" s="62">
        <f t="shared" si="17"/>
        <v>-4634385.3414649367</v>
      </c>
      <c r="H197" s="62">
        <f t="shared" si="2"/>
        <v>79449221.563696012</v>
      </c>
      <c r="I197" s="62">
        <f t="shared" si="3"/>
        <v>2383476.6469108802</v>
      </c>
      <c r="J197" s="63">
        <f t="shared" si="4"/>
        <v>4899521.2461785842</v>
      </c>
    </row>
    <row r="198" spans="1:10" ht="13.2" x14ac:dyDescent="0.25">
      <c r="A198" s="64">
        <v>880</v>
      </c>
      <c r="B198" s="65">
        <v>50.463575724439586</v>
      </c>
      <c r="C198" s="65">
        <v>0.81784386617100369</v>
      </c>
      <c r="D198" s="65">
        <v>9900.953557135048</v>
      </c>
      <c r="E198" s="65">
        <f t="shared" si="5"/>
        <v>2200.1489771433444</v>
      </c>
      <c r="F198" s="65">
        <f t="shared" si="0"/>
        <v>19273305.039775696</v>
      </c>
      <c r="G198" s="66">
        <f t="shared" si="17"/>
        <v>-4686589.1549057215</v>
      </c>
      <c r="H198" s="66">
        <f t="shared" si="2"/>
        <v>79207628.457080379</v>
      </c>
      <c r="I198" s="66">
        <f t="shared" si="3"/>
        <v>2376228.8537124111</v>
      </c>
      <c r="J198" s="67">
        <f t="shared" si="4"/>
        <v>4818326.2599439239</v>
      </c>
    </row>
    <row r="199" spans="1:10" ht="13.2" x14ac:dyDescent="0.25">
      <c r="A199" s="60">
        <v>879</v>
      </c>
      <c r="B199" s="61">
        <v>50.386714051394208</v>
      </c>
      <c r="C199" s="61">
        <v>0.81691449814126393</v>
      </c>
      <c r="D199" s="61">
        <v>9885.8732968835448</v>
      </c>
      <c r="E199" s="61">
        <f t="shared" si="5"/>
        <v>2181.6560371787918</v>
      </c>
      <c r="F199" s="61">
        <f t="shared" si="0"/>
        <v>19111306.885686215</v>
      </c>
      <c r="G199" s="62">
        <f t="shared" si="17"/>
        <v>-4712611.6435866477</v>
      </c>
      <c r="H199" s="62">
        <f t="shared" si="2"/>
        <v>79086986.375068352</v>
      </c>
      <c r="I199" s="62">
        <f t="shared" si="3"/>
        <v>2372609.5912520504</v>
      </c>
      <c r="J199" s="63">
        <f t="shared" si="4"/>
        <v>4777826.7214215538</v>
      </c>
    </row>
    <row r="200" spans="1:10" ht="13.2" x14ac:dyDescent="0.25">
      <c r="A200" s="64">
        <v>878</v>
      </c>
      <c r="B200" s="65">
        <v>50.284756697648987</v>
      </c>
      <c r="C200" s="65">
        <v>0.81598513011152418</v>
      </c>
      <c r="D200" s="65">
        <v>9865.8692640787322</v>
      </c>
      <c r="E200" s="65">
        <f t="shared" si="5"/>
        <v>2157.1529561037519</v>
      </c>
      <c r="F200" s="65">
        <f t="shared" si="0"/>
        <v>18896659.895468868</v>
      </c>
      <c r="G200" s="66">
        <f t="shared" si="17"/>
        <v>-4747069.5196483657</v>
      </c>
      <c r="H200" s="66">
        <f t="shared" si="2"/>
        <v>78926954.112629861</v>
      </c>
      <c r="I200" s="66">
        <f t="shared" si="3"/>
        <v>2367808.6233788957</v>
      </c>
      <c r="J200" s="67">
        <f t="shared" si="4"/>
        <v>4724164.9738672171</v>
      </c>
    </row>
    <row r="201" spans="1:10" ht="13.2" x14ac:dyDescent="0.25">
      <c r="A201" s="60">
        <v>877</v>
      </c>
      <c r="B201" s="61">
        <v>49.679704756697646</v>
      </c>
      <c r="C201" s="61">
        <v>0.81505576208178443</v>
      </c>
      <c r="D201" s="61">
        <v>9747.1580732640796</v>
      </c>
      <c r="E201" s="61">
        <f t="shared" si="5"/>
        <v>2011.9082695726272</v>
      </c>
      <c r="F201" s="61">
        <f t="shared" si="0"/>
        <v>17624316.441456214</v>
      </c>
      <c r="G201" s="62">
        <f t="shared" si="17"/>
        <v>-4951192.6399694625</v>
      </c>
      <c r="H201" s="62">
        <f t="shared" si="2"/>
        <v>77977264.586112633</v>
      </c>
      <c r="I201" s="62">
        <f t="shared" si="3"/>
        <v>2339317.937583379</v>
      </c>
      <c r="J201" s="63">
        <f t="shared" si="4"/>
        <v>4406079.1103640534</v>
      </c>
    </row>
    <row r="202" spans="1:10" ht="13.2" x14ac:dyDescent="0.25">
      <c r="A202" s="64">
        <v>876</v>
      </c>
      <c r="B202" s="65">
        <v>49.585522143247672</v>
      </c>
      <c r="C202" s="65">
        <v>0.81412639405204457</v>
      </c>
      <c r="D202" s="65">
        <v>9728.6794445051946</v>
      </c>
      <c r="E202" s="65">
        <f t="shared" si="5"/>
        <v>1989.3251870280792</v>
      </c>
      <c r="F202" s="65">
        <f t="shared" si="0"/>
        <v>17426488.638365973</v>
      </c>
      <c r="G202" s="66">
        <f t="shared" si="17"/>
        <v>-4982910.1071334928</v>
      </c>
      <c r="H202" s="66">
        <f t="shared" si="2"/>
        <v>77829435.556041554</v>
      </c>
      <c r="I202" s="66">
        <f t="shared" si="3"/>
        <v>2334883.0666812467</v>
      </c>
      <c r="J202" s="67">
        <f t="shared" si="4"/>
        <v>4356622.1595914932</v>
      </c>
    </row>
    <row r="203" spans="1:10" ht="13.2" x14ac:dyDescent="0.25">
      <c r="A203" s="60">
        <v>875</v>
      </c>
      <c r="B203" s="61">
        <v>49.45325314379442</v>
      </c>
      <c r="C203" s="61">
        <v>0.81319702602230481</v>
      </c>
      <c r="D203" s="61">
        <v>9702.7282668124662</v>
      </c>
      <c r="E203" s="61">
        <f t="shared" si="5"/>
        <v>1957.6459380509427</v>
      </c>
      <c r="F203" s="61">
        <f t="shared" si="0"/>
        <v>17148978.41732626</v>
      </c>
      <c r="G203" s="62">
        <f t="shared" si="17"/>
        <v>-5027374.5318084015</v>
      </c>
      <c r="H203" s="62">
        <f t="shared" si="2"/>
        <v>77621826.134499729</v>
      </c>
      <c r="I203" s="62">
        <f t="shared" si="3"/>
        <v>2328654.7840349916</v>
      </c>
      <c r="J203" s="63">
        <f t="shared" si="4"/>
        <v>4287244.6043315651</v>
      </c>
    </row>
    <row r="204" spans="1:10" ht="13.2" x14ac:dyDescent="0.25">
      <c r="A204" s="64">
        <v>874</v>
      </c>
      <c r="B204" s="65">
        <v>49.430913067249861</v>
      </c>
      <c r="C204" s="65">
        <v>0.81226765799256506</v>
      </c>
      <c r="D204" s="65">
        <v>9698.3451437944223</v>
      </c>
      <c r="E204" s="65">
        <f t="shared" si="5"/>
        <v>1952.3014609136994</v>
      </c>
      <c r="F204" s="65">
        <f t="shared" si="0"/>
        <v>17102160.79760401</v>
      </c>
      <c r="G204" s="66">
        <f t="shared" si="17"/>
        <v>-5034871.1386416424</v>
      </c>
      <c r="H204" s="66">
        <f t="shared" si="2"/>
        <v>77586761.150355384</v>
      </c>
      <c r="I204" s="66">
        <f t="shared" si="3"/>
        <v>2327602.8345106612</v>
      </c>
      <c r="J204" s="67">
        <f t="shared" si="4"/>
        <v>4275540.1994010024</v>
      </c>
    </row>
    <row r="205" spans="1:10" ht="13.2" x14ac:dyDescent="0.25">
      <c r="A205" s="60">
        <v>873</v>
      </c>
      <c r="B205" s="61">
        <v>49.299234554401309</v>
      </c>
      <c r="C205" s="61">
        <v>0.81133828996282531</v>
      </c>
      <c r="D205" s="61">
        <v>9672.5098195735372</v>
      </c>
      <c r="E205" s="61">
        <f t="shared" si="5"/>
        <v>1920.8356687283185</v>
      </c>
      <c r="F205" s="61">
        <f t="shared" si="0"/>
        <v>16826520.458060071</v>
      </c>
      <c r="G205" s="62">
        <f>J205-(I205-(H205*$N$4))</f>
        <v>8849434.8279103152</v>
      </c>
      <c r="H205" s="62">
        <f t="shared" si="2"/>
        <v>77380078.556588292</v>
      </c>
      <c r="I205" s="62">
        <f t="shared" si="3"/>
        <v>2321402.3566976488</v>
      </c>
      <c r="J205" s="63">
        <f t="shared" si="4"/>
        <v>4206630.1145150177</v>
      </c>
    </row>
    <row r="206" spans="1:10" ht="13.2" x14ac:dyDescent="0.25">
      <c r="A206" s="64">
        <v>872</v>
      </c>
      <c r="B206" s="65">
        <v>49.247960634226352</v>
      </c>
      <c r="C206" s="65">
        <v>0.81040892193308545</v>
      </c>
      <c r="D206" s="65">
        <v>9662.4498764352102</v>
      </c>
      <c r="E206" s="65">
        <f t="shared" si="5"/>
        <v>1908.5973178286251</v>
      </c>
      <c r="F206" s="65">
        <f t="shared" si="0"/>
        <v>16719312.504178757</v>
      </c>
      <c r="G206" s="66">
        <f t="shared" ref="G206:G220" si="18">J206-I206-(H206*$N$4)</f>
        <v>-5096123.7553331126</v>
      </c>
      <c r="H206" s="66">
        <f t="shared" si="2"/>
        <v>77299599.011481687</v>
      </c>
      <c r="I206" s="66">
        <f t="shared" si="3"/>
        <v>2318987.9703444503</v>
      </c>
      <c r="J206" s="67">
        <f t="shared" si="4"/>
        <v>4179828.1260446892</v>
      </c>
    </row>
    <row r="207" spans="1:10" ht="13.2" x14ac:dyDescent="0.25">
      <c r="A207" s="60">
        <v>871</v>
      </c>
      <c r="B207" s="61">
        <v>49.194915254237287</v>
      </c>
      <c r="C207" s="61">
        <v>0.80947955390334569</v>
      </c>
      <c r="D207" s="61">
        <v>9652.0423728813566</v>
      </c>
      <c r="E207" s="61">
        <f t="shared" si="5"/>
        <v>1895.9506534265215</v>
      </c>
      <c r="F207" s="61">
        <f t="shared" si="0"/>
        <v>16608527.724016327</v>
      </c>
      <c r="G207" s="62">
        <f t="shared" si="18"/>
        <v>-5113828.7469620202</v>
      </c>
      <c r="H207" s="62">
        <f t="shared" si="2"/>
        <v>77216338.983050853</v>
      </c>
      <c r="I207" s="62">
        <f t="shared" si="3"/>
        <v>2316490.1694915253</v>
      </c>
      <c r="J207" s="63">
        <f t="shared" si="4"/>
        <v>4152131.9310040819</v>
      </c>
    </row>
    <row r="208" spans="1:10" ht="13.2" x14ac:dyDescent="0.25">
      <c r="A208" s="64">
        <v>870</v>
      </c>
      <c r="B208" s="65">
        <v>49.107523236741386</v>
      </c>
      <c r="C208" s="65">
        <v>0.80855018587360594</v>
      </c>
      <c r="D208" s="65">
        <v>9634.8960590486604</v>
      </c>
      <c r="E208" s="65">
        <f t="shared" si="5"/>
        <v>1875.139235335907</v>
      </c>
      <c r="F208" s="65">
        <f t="shared" si="0"/>
        <v>16426219.701542545</v>
      </c>
      <c r="G208" s="66">
        <f t="shared" si="18"/>
        <v>-5142945.2913010772</v>
      </c>
      <c r="H208" s="66">
        <f t="shared" si="2"/>
        <v>77079168.472389281</v>
      </c>
      <c r="I208" s="66">
        <f t="shared" si="3"/>
        <v>2312375.0541716781</v>
      </c>
      <c r="J208" s="67">
        <f t="shared" si="4"/>
        <v>4106554.9253856363</v>
      </c>
    </row>
    <row r="209" spans="1:10" ht="13.2" x14ac:dyDescent="0.25">
      <c r="A209" s="60">
        <v>869</v>
      </c>
      <c r="B209" s="61">
        <v>48.882744669218148</v>
      </c>
      <c r="C209" s="61">
        <v>0.80762081784386619</v>
      </c>
      <c r="D209" s="61">
        <v>9590.7945041006005</v>
      </c>
      <c r="E209" s="61">
        <f t="shared" si="5"/>
        <v>1821.6722479476689</v>
      </c>
      <c r="F209" s="61">
        <f t="shared" si="0"/>
        <v>15957848.892021582</v>
      </c>
      <c r="G209" s="62">
        <f t="shared" si="18"/>
        <v>-5217700.500931181</v>
      </c>
      <c r="H209" s="62">
        <f t="shared" si="2"/>
        <v>76726356.032804802</v>
      </c>
      <c r="I209" s="62">
        <f t="shared" si="3"/>
        <v>2301790.6809841441</v>
      </c>
      <c r="J209" s="63">
        <f t="shared" si="4"/>
        <v>3989462.2230053954</v>
      </c>
    </row>
    <row r="210" spans="1:10" ht="13.2" x14ac:dyDescent="0.25">
      <c r="A210" s="64">
        <v>868</v>
      </c>
      <c r="B210" s="65">
        <v>48.855188627665385</v>
      </c>
      <c r="C210" s="65">
        <v>0.80669144981412644</v>
      </c>
      <c r="D210" s="65">
        <v>9585.3880087479483</v>
      </c>
      <c r="E210" s="65">
        <f t="shared" si="5"/>
        <v>1815.1251629620688</v>
      </c>
      <c r="F210" s="65">
        <f t="shared" si="0"/>
        <v>15900496.427547721</v>
      </c>
      <c r="G210" s="66">
        <f t="shared" si="18"/>
        <v>-5226848.3815110996</v>
      </c>
      <c r="H210" s="66">
        <f t="shared" si="2"/>
        <v>76683104.069983587</v>
      </c>
      <c r="I210" s="66">
        <f t="shared" si="3"/>
        <v>2300493.1220995076</v>
      </c>
      <c r="J210" s="67">
        <f t="shared" si="4"/>
        <v>3975124.1068869303</v>
      </c>
    </row>
    <row r="211" spans="1:10" ht="13.2" x14ac:dyDescent="0.25">
      <c r="A211" s="60">
        <v>867</v>
      </c>
      <c r="B211" s="61">
        <v>48.632279934390375</v>
      </c>
      <c r="C211" s="61">
        <v>0.80576208178438657</v>
      </c>
      <c r="D211" s="61">
        <v>9541.6533231273934</v>
      </c>
      <c r="E211" s="61">
        <f t="shared" si="5"/>
        <v>1762.2248903457562</v>
      </c>
      <c r="F211" s="61">
        <f t="shared" si="0"/>
        <v>15437090.039428823</v>
      </c>
      <c r="G211" s="62">
        <f t="shared" si="18"/>
        <v>-5300714.680345091</v>
      </c>
      <c r="H211" s="62">
        <f t="shared" si="2"/>
        <v>76333226.585019141</v>
      </c>
      <c r="I211" s="62">
        <f t="shared" si="3"/>
        <v>2289996.7975505739</v>
      </c>
      <c r="J211" s="63">
        <f t="shared" si="4"/>
        <v>3859272.5098572057</v>
      </c>
    </row>
    <row r="212" spans="1:10" ht="13.2" x14ac:dyDescent="0.25">
      <c r="A212" s="64">
        <v>866</v>
      </c>
      <c r="B212" s="65">
        <v>48.314007654455985</v>
      </c>
      <c r="C212" s="65">
        <v>0.80483271375464682</v>
      </c>
      <c r="D212" s="65">
        <v>9479.2083018042649</v>
      </c>
      <c r="E212" s="65">
        <f t="shared" si="5"/>
        <v>1686.7801619813818</v>
      </c>
      <c r="F212" s="65">
        <f t="shared" si="0"/>
        <v>14776194.218956904</v>
      </c>
      <c r="G212" s="66">
        <f t="shared" si="18"/>
        <v>-5405991.4149928689</v>
      </c>
      <c r="H212" s="66">
        <f t="shared" si="2"/>
        <v>75833666.41443412</v>
      </c>
      <c r="I212" s="66">
        <f t="shared" si="3"/>
        <v>2275009.9924330236</v>
      </c>
      <c r="J212" s="67">
        <f t="shared" si="4"/>
        <v>3694048.5547392261</v>
      </c>
    </row>
    <row r="213" spans="1:10" ht="13.2" x14ac:dyDescent="0.25">
      <c r="A213" s="60">
        <v>865</v>
      </c>
      <c r="B213" s="61">
        <v>48.105762711864408</v>
      </c>
      <c r="C213" s="61">
        <v>0.80390334572490707</v>
      </c>
      <c r="D213" s="61">
        <v>9438.3506440677975</v>
      </c>
      <c r="E213" s="61">
        <f t="shared" si="5"/>
        <v>1637.4737785512675</v>
      </c>
      <c r="F213" s="61">
        <f t="shared" si="0"/>
        <v>14344270.300109101</v>
      </c>
      <c r="G213" s="62">
        <f t="shared" si="18"/>
        <v>-5474749.0432778103</v>
      </c>
      <c r="H213" s="62">
        <f t="shared" si="2"/>
        <v>75506805.152542382</v>
      </c>
      <c r="I213" s="62">
        <f t="shared" si="3"/>
        <v>2265204.1545762713</v>
      </c>
      <c r="J213" s="63">
        <f t="shared" si="4"/>
        <v>3586067.5750272754</v>
      </c>
    </row>
    <row r="214" spans="1:10" ht="13.2" x14ac:dyDescent="0.25">
      <c r="A214" s="64">
        <v>864</v>
      </c>
      <c r="B214" s="65">
        <v>48.05370147621651</v>
      </c>
      <c r="C214" s="65">
        <v>0.80297397769516732</v>
      </c>
      <c r="D214" s="65">
        <v>9428.1362296336811</v>
      </c>
      <c r="E214" s="65">
        <f t="shared" si="5"/>
        <v>1625.1614221190659</v>
      </c>
      <c r="F214" s="65">
        <f t="shared" si="0"/>
        <v>14236414.057763018</v>
      </c>
      <c r="G214" s="66">
        <f t="shared" si="18"/>
        <v>-5491907.2660075799</v>
      </c>
      <c r="H214" s="66">
        <f t="shared" si="2"/>
        <v>75425089.837069452</v>
      </c>
      <c r="I214" s="66">
        <f t="shared" si="3"/>
        <v>2262752.6951120836</v>
      </c>
      <c r="J214" s="67">
        <f t="shared" si="4"/>
        <v>3559103.5144407544</v>
      </c>
    </row>
    <row r="215" spans="1:10" ht="13.2" x14ac:dyDescent="0.25">
      <c r="A215" s="60">
        <v>863</v>
      </c>
      <c r="B215" s="61">
        <v>47.896533624931656</v>
      </c>
      <c r="C215" s="61">
        <v>0.80204460966542745</v>
      </c>
      <c r="D215" s="61">
        <v>9397.2998972115911</v>
      </c>
      <c r="E215" s="61">
        <f t="shared" si="5"/>
        <v>1588.0345925160757</v>
      </c>
      <c r="F215" s="61">
        <f t="shared" si="0"/>
        <v>13911183.030440824</v>
      </c>
      <c r="G215" s="62">
        <f t="shared" si="18"/>
        <v>-5543612.1437129211</v>
      </c>
      <c r="H215" s="62">
        <f t="shared" si="2"/>
        <v>75178399.177692726</v>
      </c>
      <c r="I215" s="62">
        <f t="shared" si="3"/>
        <v>2255351.9753307817</v>
      </c>
      <c r="J215" s="63">
        <f t="shared" si="4"/>
        <v>3477795.757610206</v>
      </c>
    </row>
    <row r="216" spans="1:10" ht="13.2" x14ac:dyDescent="0.25">
      <c r="A216" s="64">
        <v>862</v>
      </c>
      <c r="B216" s="65">
        <v>47.762493165664296</v>
      </c>
      <c r="C216" s="65">
        <v>0.8011152416356877</v>
      </c>
      <c r="D216" s="65">
        <v>9371.0011591033344</v>
      </c>
      <c r="E216" s="65">
        <f t="shared" si="5"/>
        <v>1556.4076714081909</v>
      </c>
      <c r="F216" s="65">
        <f t="shared" si="0"/>
        <v>13634131.201535752</v>
      </c>
      <c r="G216" s="66">
        <f t="shared" si="18"/>
        <v>-5587628.3123552622</v>
      </c>
      <c r="H216" s="66">
        <f t="shared" si="2"/>
        <v>74968009.272826672</v>
      </c>
      <c r="I216" s="66">
        <f t="shared" si="3"/>
        <v>2249040.2781847999</v>
      </c>
      <c r="J216" s="67">
        <f t="shared" si="4"/>
        <v>3408532.800383938</v>
      </c>
    </row>
    <row r="217" spans="1:10" ht="13.2" x14ac:dyDescent="0.25">
      <c r="A217" s="60">
        <v>861</v>
      </c>
      <c r="B217" s="61">
        <v>47.743105522143246</v>
      </c>
      <c r="C217" s="61">
        <v>0.80018587360594795</v>
      </c>
      <c r="D217" s="61">
        <v>9367.1973034445055</v>
      </c>
      <c r="E217" s="61">
        <f t="shared" si="5"/>
        <v>1551.8384488812053</v>
      </c>
      <c r="F217" s="61">
        <f t="shared" si="0"/>
        <v>13594104.812199358</v>
      </c>
      <c r="G217" s="62">
        <f t="shared" si="18"/>
        <v>-5593983.2082568845</v>
      </c>
      <c r="H217" s="62">
        <f t="shared" si="2"/>
        <v>74937578.427556038</v>
      </c>
      <c r="I217" s="62">
        <f t="shared" si="3"/>
        <v>2248127.352826681</v>
      </c>
      <c r="J217" s="63">
        <f t="shared" si="4"/>
        <v>3398526.2030498395</v>
      </c>
    </row>
    <row r="218" spans="1:10" ht="13.2" x14ac:dyDescent="0.25">
      <c r="A218" s="64">
        <v>860</v>
      </c>
      <c r="B218" s="65">
        <v>47.610344450519406</v>
      </c>
      <c r="C218" s="65">
        <v>0.7992565055762082</v>
      </c>
      <c r="D218" s="65">
        <v>9341.1495811919085</v>
      </c>
      <c r="E218" s="65">
        <f t="shared" si="5"/>
        <v>1520.5860237621507</v>
      </c>
      <c r="F218" s="65">
        <f t="shared" si="0"/>
        <v>13320333.56815644</v>
      </c>
      <c r="G218" s="66">
        <f t="shared" si="18"/>
        <v>-5637420.2059051227</v>
      </c>
      <c r="H218" s="66">
        <f t="shared" si="2"/>
        <v>74729196.649535269</v>
      </c>
      <c r="I218" s="66">
        <f t="shared" si="3"/>
        <v>2241875.8994860579</v>
      </c>
      <c r="J218" s="67">
        <f t="shared" si="4"/>
        <v>3330083.39203911</v>
      </c>
    </row>
    <row r="219" spans="1:10" ht="13.2" x14ac:dyDescent="0.25">
      <c r="A219" s="60">
        <v>859</v>
      </c>
      <c r="B219" s="61">
        <v>47.421979223619459</v>
      </c>
      <c r="C219" s="61">
        <v>0.79832713754646845</v>
      </c>
      <c r="D219" s="61">
        <v>9304.1923236741386</v>
      </c>
      <c r="E219" s="61">
        <f t="shared" si="5"/>
        <v>1476.2957044599534</v>
      </c>
      <c r="F219" s="61">
        <f t="shared" si="0"/>
        <v>12932350.371069191</v>
      </c>
      <c r="G219" s="62">
        <f t="shared" si="18"/>
        <v>-5698937.0379598755</v>
      </c>
      <c r="H219" s="62">
        <f t="shared" si="2"/>
        <v>74433538.589393109</v>
      </c>
      <c r="I219" s="62">
        <f t="shared" si="3"/>
        <v>2233006.157681793</v>
      </c>
      <c r="J219" s="63">
        <f t="shared" si="4"/>
        <v>3233087.5927672978</v>
      </c>
    </row>
    <row r="220" spans="1:10" ht="13.2" x14ac:dyDescent="0.25">
      <c r="A220" s="64">
        <v>858</v>
      </c>
      <c r="B220" s="65">
        <v>47.186867140513939</v>
      </c>
      <c r="C220" s="65">
        <v>0.79739776951672858</v>
      </c>
      <c r="D220" s="65">
        <v>9258.0633329688353</v>
      </c>
      <c r="E220" s="65">
        <f t="shared" si="5"/>
        <v>1421.0781022030476</v>
      </c>
      <c r="F220" s="65">
        <f t="shared" si="0"/>
        <v>12448644.175298696</v>
      </c>
      <c r="G220" s="66">
        <f t="shared" si="18"/>
        <v>-5775579.7558254059</v>
      </c>
      <c r="H220" s="66">
        <f t="shared" si="2"/>
        <v>74064506.663750678</v>
      </c>
      <c r="I220" s="66">
        <f t="shared" si="3"/>
        <v>2221935.1999125201</v>
      </c>
      <c r="J220" s="67">
        <f t="shared" si="4"/>
        <v>3112161.0438246741</v>
      </c>
    </row>
    <row r="221" spans="1:10" ht="13.2" x14ac:dyDescent="0.25">
      <c r="A221" s="60">
        <v>857</v>
      </c>
      <c r="B221" s="61">
        <v>47.067588846364131</v>
      </c>
      <c r="C221" s="61">
        <v>0.79646840148698883</v>
      </c>
      <c r="D221" s="61">
        <v>9234.6609316566428</v>
      </c>
      <c r="E221" s="61">
        <f t="shared" si="5"/>
        <v>1393.0974430133303</v>
      </c>
      <c r="F221" s="61">
        <f t="shared" si="0"/>
        <v>12203533.600796774</v>
      </c>
      <c r="G221" s="62">
        <f>J221-(I221-(H221*$N$4))</f>
        <v>7483520.6473943815</v>
      </c>
      <c r="H221" s="62">
        <f t="shared" si="2"/>
        <v>73877287.453253135</v>
      </c>
      <c r="I221" s="62">
        <f t="shared" si="3"/>
        <v>2216318.623597594</v>
      </c>
      <c r="J221" s="63">
        <f t="shared" si="4"/>
        <v>3050883.4001991935</v>
      </c>
    </row>
    <row r="222" spans="1:10" ht="13.2" x14ac:dyDescent="0.25">
      <c r="A222" s="64">
        <v>856</v>
      </c>
      <c r="B222" s="65">
        <v>46.99476216511755</v>
      </c>
      <c r="C222" s="65">
        <v>0.79553903345724908</v>
      </c>
      <c r="D222" s="65">
        <v>9220.3723367960647</v>
      </c>
      <c r="E222" s="65">
        <f t="shared" si="5"/>
        <v>1376.0334612328072</v>
      </c>
      <c r="F222" s="65">
        <f t="shared" si="0"/>
        <v>12054053.120399391</v>
      </c>
      <c r="G222" s="66">
        <f t="shared" ref="G222:G236" si="19">J222-I222-(H222*$N$4)</f>
        <v>-5838044.163224373</v>
      </c>
      <c r="H222" s="66">
        <f t="shared" si="2"/>
        <v>73762978.694368511</v>
      </c>
      <c r="I222" s="66">
        <f t="shared" si="3"/>
        <v>2212889.3608310553</v>
      </c>
      <c r="J222" s="67">
        <f t="shared" si="4"/>
        <v>3013513.2800998478</v>
      </c>
    </row>
    <row r="223" spans="1:10" ht="13.2" x14ac:dyDescent="0.25">
      <c r="A223" s="60">
        <v>855</v>
      </c>
      <c r="B223" s="61">
        <v>46.652083105522145</v>
      </c>
      <c r="C223" s="61">
        <v>0.79460966542750933</v>
      </c>
      <c r="D223" s="61">
        <v>9153.138705303445</v>
      </c>
      <c r="E223" s="61">
        <f t="shared" si="5"/>
        <v>1295.8342363064341</v>
      </c>
      <c r="F223" s="61">
        <f t="shared" si="0"/>
        <v>11351507.910044365</v>
      </c>
      <c r="G223" s="62">
        <f t="shared" si="19"/>
        <v>-5949136.1795802154</v>
      </c>
      <c r="H223" s="62">
        <f t="shared" si="2"/>
        <v>73225109.642427564</v>
      </c>
      <c r="I223" s="62">
        <f t="shared" si="3"/>
        <v>2196753.2892728266</v>
      </c>
      <c r="J223" s="63">
        <f t="shared" si="4"/>
        <v>2837876.9775110912</v>
      </c>
    </row>
    <row r="224" spans="1:10" ht="13.2" x14ac:dyDescent="0.25">
      <c r="A224" s="64">
        <v>854</v>
      </c>
      <c r="B224" s="65">
        <v>46.608091853471841</v>
      </c>
      <c r="C224" s="65">
        <v>0.79368029739776946</v>
      </c>
      <c r="D224" s="65">
        <v>9144.507621651177</v>
      </c>
      <c r="E224" s="65">
        <f t="shared" si="5"/>
        <v>1285.55073329323</v>
      </c>
      <c r="F224" s="65">
        <f t="shared" si="0"/>
        <v>11261424.423648695</v>
      </c>
      <c r="G224" s="66">
        <f t="shared" si="19"/>
        <v>-5963371.2108729556</v>
      </c>
      <c r="H224" s="66">
        <f t="shared" si="2"/>
        <v>73156060.973209411</v>
      </c>
      <c r="I224" s="66">
        <f t="shared" si="3"/>
        <v>2194681.8291962822</v>
      </c>
      <c r="J224" s="67">
        <f t="shared" si="4"/>
        <v>2815356.1059121736</v>
      </c>
    </row>
    <row r="225" spans="1:10" ht="13.2" x14ac:dyDescent="0.25">
      <c r="A225" s="60">
        <v>853</v>
      </c>
      <c r="B225" s="61">
        <v>46.383116457080369</v>
      </c>
      <c r="C225" s="61">
        <v>0.79275092936802971</v>
      </c>
      <c r="D225" s="61">
        <v>9100.3674488791676</v>
      </c>
      <c r="E225" s="61">
        <f t="shared" si="5"/>
        <v>1233.0214663466147</v>
      </c>
      <c r="F225" s="61">
        <f t="shared" si="0"/>
        <v>10801268.045196345</v>
      </c>
      <c r="G225" s="62">
        <f t="shared" si="19"/>
        <v>-6036035.7396249138</v>
      </c>
      <c r="H225" s="62">
        <f t="shared" si="2"/>
        <v>72802939.59103334</v>
      </c>
      <c r="I225" s="62">
        <f t="shared" si="3"/>
        <v>2184088.1877310001</v>
      </c>
      <c r="J225" s="63">
        <f t="shared" si="4"/>
        <v>2700317.0112990863</v>
      </c>
    </row>
    <row r="226" spans="1:10" ht="13.2" x14ac:dyDescent="0.25">
      <c r="A226" s="64">
        <v>852</v>
      </c>
      <c r="B226" s="65">
        <v>46.303499179879715</v>
      </c>
      <c r="C226" s="65">
        <v>0.79182156133828996</v>
      </c>
      <c r="D226" s="65">
        <v>9084.7465390924008</v>
      </c>
      <c r="E226" s="65">
        <f t="shared" si="5"/>
        <v>1214.45348900714</v>
      </c>
      <c r="F226" s="65">
        <f t="shared" si="0"/>
        <v>10638612.563702546</v>
      </c>
      <c r="G226" s="66">
        <f t="shared" si="19"/>
        <v>-6061703.536603068</v>
      </c>
      <c r="H226" s="66">
        <f t="shared" si="2"/>
        <v>72677972.312739208</v>
      </c>
      <c r="I226" s="66">
        <f t="shared" si="3"/>
        <v>2180339.1693821764</v>
      </c>
      <c r="J226" s="67">
        <f t="shared" si="4"/>
        <v>2659653.1409256365</v>
      </c>
    </row>
    <row r="227" spans="1:10" ht="13.2" x14ac:dyDescent="0.25">
      <c r="A227" s="60">
        <v>851</v>
      </c>
      <c r="B227" s="61">
        <v>46.231656642974301</v>
      </c>
      <c r="C227" s="61">
        <v>0.79089219330855021</v>
      </c>
      <c r="D227" s="61">
        <v>9070.6510333515598</v>
      </c>
      <c r="E227" s="61">
        <f t="shared" si="5"/>
        <v>1197.7183509179911</v>
      </c>
      <c r="F227" s="61">
        <f t="shared" si="0"/>
        <v>10492012.754041601</v>
      </c>
      <c r="G227" s="62">
        <f t="shared" si="19"/>
        <v>-6084821.8035070961</v>
      </c>
      <c r="H227" s="62">
        <f t="shared" si="2"/>
        <v>72565208.266812474</v>
      </c>
      <c r="I227" s="62">
        <f t="shared" si="3"/>
        <v>2176956.2480043741</v>
      </c>
      <c r="J227" s="63">
        <f t="shared" si="4"/>
        <v>2623003.1885104002</v>
      </c>
    </row>
    <row r="228" spans="1:10" ht="13.2" x14ac:dyDescent="0.25">
      <c r="A228" s="64">
        <v>850</v>
      </c>
      <c r="B228" s="65">
        <v>45.989458720612355</v>
      </c>
      <c r="C228" s="65">
        <v>0.78996282527881045</v>
      </c>
      <c r="D228" s="65">
        <v>9023.1318009841434</v>
      </c>
      <c r="E228" s="65">
        <f t="shared" si="5"/>
        <v>1141.3665474785641</v>
      </c>
      <c r="F228" s="65">
        <f t="shared" si="0"/>
        <v>9998370.9559122231</v>
      </c>
      <c r="G228" s="66">
        <f t="shared" si="19"/>
        <v>-6162613.789966722</v>
      </c>
      <c r="H228" s="66">
        <f t="shared" si="2"/>
        <v>72185054.407873154</v>
      </c>
      <c r="I228" s="66">
        <f t="shared" si="3"/>
        <v>2165551.6322361943</v>
      </c>
      <c r="J228" s="67">
        <f t="shared" si="4"/>
        <v>2499592.7389780558</v>
      </c>
    </row>
    <row r="229" spans="1:10" ht="13.2" x14ac:dyDescent="0.25">
      <c r="A229" s="60">
        <v>849</v>
      </c>
      <c r="B229" s="61">
        <v>45.983160196828862</v>
      </c>
      <c r="C229" s="61">
        <v>0.78903345724907059</v>
      </c>
      <c r="D229" s="61">
        <v>9021.8960306178215</v>
      </c>
      <c r="E229" s="61">
        <f t="shared" si="5"/>
        <v>1139.9028027463362</v>
      </c>
      <c r="F229" s="61">
        <f t="shared" si="0"/>
        <v>9985548.5520579051</v>
      </c>
      <c r="G229" s="62">
        <f t="shared" si="19"/>
        <v>-6164633.0513786329</v>
      </c>
      <c r="H229" s="62">
        <f t="shared" si="2"/>
        <v>72175168.244942576</v>
      </c>
      <c r="I229" s="62">
        <f t="shared" si="3"/>
        <v>2165255.0473482772</v>
      </c>
      <c r="J229" s="63">
        <f t="shared" si="4"/>
        <v>2496387.1380144763</v>
      </c>
    </row>
    <row r="230" spans="1:10" ht="13.2" x14ac:dyDescent="0.25">
      <c r="A230" s="64">
        <v>848</v>
      </c>
      <c r="B230" s="65">
        <v>45.825697102241662</v>
      </c>
      <c r="C230" s="65">
        <v>0.78810408921933084</v>
      </c>
      <c r="D230" s="65">
        <v>8991.0017714598143</v>
      </c>
      <c r="E230" s="65">
        <f t="shared" si="5"/>
        <v>1103.3522526458314</v>
      </c>
      <c r="F230" s="65">
        <f t="shared" si="0"/>
        <v>9665365.7331774831</v>
      </c>
      <c r="G230" s="66">
        <f t="shared" si="19"/>
        <v>-6215020.2673070505</v>
      </c>
      <c r="H230" s="66">
        <f t="shared" si="2"/>
        <v>71928014.171678513</v>
      </c>
      <c r="I230" s="66">
        <f t="shared" si="3"/>
        <v>2157840.4251503553</v>
      </c>
      <c r="J230" s="67">
        <f t="shared" si="4"/>
        <v>2416341.4332943708</v>
      </c>
    </row>
    <row r="231" spans="1:10" ht="13.2" x14ac:dyDescent="0.25">
      <c r="A231" s="60">
        <v>847</v>
      </c>
      <c r="B231" s="61">
        <v>45.587534171678513</v>
      </c>
      <c r="C231" s="61">
        <v>0.78717472118959109</v>
      </c>
      <c r="D231" s="61">
        <v>8944.2742044833249</v>
      </c>
      <c r="E231" s="61">
        <f t="shared" si="5"/>
        <v>1048.134686279097</v>
      </c>
      <c r="F231" s="61">
        <f t="shared" si="0"/>
        <v>9181659.8518048897</v>
      </c>
      <c r="G231" s="62">
        <f t="shared" si="19"/>
        <v>-6291088.2733527683</v>
      </c>
      <c r="H231" s="62">
        <f t="shared" si="2"/>
        <v>71554193.635866597</v>
      </c>
      <c r="I231" s="62">
        <f t="shared" si="3"/>
        <v>2146625.8090759977</v>
      </c>
      <c r="J231" s="63">
        <f t="shared" si="4"/>
        <v>2295414.9629512224</v>
      </c>
    </row>
    <row r="232" spans="1:10" ht="13.2" x14ac:dyDescent="0.25">
      <c r="A232" s="64">
        <v>846</v>
      </c>
      <c r="B232" s="65">
        <v>45.580743575724441</v>
      </c>
      <c r="C232" s="65">
        <v>0.78624535315985133</v>
      </c>
      <c r="D232" s="65">
        <v>8942.9418895571343</v>
      </c>
      <c r="E232" s="65">
        <f t="shared" si="5"/>
        <v>1046.5621584387047</v>
      </c>
      <c r="F232" s="65">
        <f t="shared" si="0"/>
        <v>9167884.5079230536</v>
      </c>
      <c r="G232" s="66">
        <f t="shared" si="19"/>
        <v>-6293253.0869940855</v>
      </c>
      <c r="H232" s="66">
        <f t="shared" si="2"/>
        <v>71543535.116457075</v>
      </c>
      <c r="I232" s="66">
        <f t="shared" si="3"/>
        <v>2146306.0534937121</v>
      </c>
      <c r="J232" s="67">
        <f t="shared" si="4"/>
        <v>2291971.1269807634</v>
      </c>
    </row>
    <row r="233" spans="1:10" ht="13.2" x14ac:dyDescent="0.25">
      <c r="A233" s="60">
        <v>845</v>
      </c>
      <c r="B233" s="61">
        <v>45.479573537452154</v>
      </c>
      <c r="C233" s="61">
        <v>0.78531598513011147</v>
      </c>
      <c r="D233" s="61">
        <v>8923.0923280481111</v>
      </c>
      <c r="E233" s="61">
        <f t="shared" si="5"/>
        <v>1023.1614439645449</v>
      </c>
      <c r="F233" s="61">
        <f t="shared" si="0"/>
        <v>8962894.2491294127</v>
      </c>
      <c r="G233" s="62">
        <f t="shared" si="19"/>
        <v>-6325445.0726438342</v>
      </c>
      <c r="H233" s="62">
        <f t="shared" si="2"/>
        <v>71384738.624384895</v>
      </c>
      <c r="I233" s="62">
        <f t="shared" si="3"/>
        <v>2141542.1587315467</v>
      </c>
      <c r="J233" s="63">
        <f t="shared" si="4"/>
        <v>2240723.5622823532</v>
      </c>
    </row>
    <row r="234" spans="1:10" ht="13.2" x14ac:dyDescent="0.25">
      <c r="A234" s="64">
        <v>844</v>
      </c>
      <c r="B234" s="65">
        <v>45.331459814106069</v>
      </c>
      <c r="C234" s="65">
        <v>0.78438661710037172</v>
      </c>
      <c r="D234" s="65">
        <v>8894.0324155276103</v>
      </c>
      <c r="E234" s="65">
        <f t="shared" si="5"/>
        <v>988.94312689811875</v>
      </c>
      <c r="F234" s="65">
        <f t="shared" si="0"/>
        <v>8663141.7916275207</v>
      </c>
      <c r="G234" s="66">
        <f t="shared" si="19"/>
        <v>-6372485.6709996257</v>
      </c>
      <c r="H234" s="66">
        <f t="shared" si="2"/>
        <v>71152259.324220881</v>
      </c>
      <c r="I234" s="66">
        <f t="shared" si="3"/>
        <v>2134567.7797266264</v>
      </c>
      <c r="J234" s="67">
        <f t="shared" si="4"/>
        <v>2165785.4479068802</v>
      </c>
    </row>
    <row r="235" spans="1:10" ht="13.2" x14ac:dyDescent="0.25">
      <c r="A235" s="60">
        <v>843</v>
      </c>
      <c r="B235" s="61">
        <v>45.155297977036632</v>
      </c>
      <c r="C235" s="61">
        <v>0.78345724907063197</v>
      </c>
      <c r="D235" s="61">
        <v>8859.4694630945869</v>
      </c>
      <c r="E235" s="61">
        <f t="shared" si="5"/>
        <v>948.29311174571069</v>
      </c>
      <c r="F235" s="61">
        <f t="shared" si="0"/>
        <v>8307047.6588924257</v>
      </c>
      <c r="G235" s="62">
        <f t="shared" si="19"/>
        <v>-6428328.7698476966</v>
      </c>
      <c r="H235" s="62">
        <f t="shared" si="2"/>
        <v>70875755.704756692</v>
      </c>
      <c r="I235" s="62">
        <f t="shared" si="3"/>
        <v>2126272.6711427006</v>
      </c>
      <c r="J235" s="63">
        <f t="shared" si="4"/>
        <v>2076761.9147231064</v>
      </c>
    </row>
    <row r="236" spans="1:10" ht="13.2" x14ac:dyDescent="0.25">
      <c r="A236" s="64">
        <v>842</v>
      </c>
      <c r="B236" s="65">
        <v>45.073023510114815</v>
      </c>
      <c r="C236" s="65">
        <v>0.78252788104089221</v>
      </c>
      <c r="D236" s="65">
        <v>8843.3272126845277</v>
      </c>
      <c r="E236" s="65">
        <f t="shared" si="5"/>
        <v>929.33046814132888</v>
      </c>
      <c r="F236" s="65">
        <f t="shared" si="0"/>
        <v>8140934.9009180414</v>
      </c>
      <c r="G236" s="66">
        <f t="shared" si="19"/>
        <v>-6454360.3989476347</v>
      </c>
      <c r="H236" s="66">
        <f t="shared" si="2"/>
        <v>70746617.701476216</v>
      </c>
      <c r="I236" s="66">
        <f t="shared" si="3"/>
        <v>2122398.5310442862</v>
      </c>
      <c r="J236" s="67">
        <f t="shared" si="4"/>
        <v>2035233.7252295103</v>
      </c>
    </row>
    <row r="237" spans="1:10" ht="13.2" x14ac:dyDescent="0.25">
      <c r="A237" s="60">
        <v>841</v>
      </c>
      <c r="B237" s="61">
        <v>44.716763258611259</v>
      </c>
      <c r="C237" s="61">
        <v>0.78159851301115246</v>
      </c>
      <c r="D237" s="61">
        <v>8773.4289513395306</v>
      </c>
      <c r="E237" s="61">
        <f t="shared" si="5"/>
        <v>847.31694123792852</v>
      </c>
      <c r="F237" s="61">
        <f t="shared" si="0"/>
        <v>7422496.4052442545</v>
      </c>
      <c r="G237" s="62">
        <f>J237-(I237-(H237*$N$4))</f>
        <v>6066869.997954037</v>
      </c>
      <c r="H237" s="62">
        <f t="shared" si="2"/>
        <v>70187431.610716239</v>
      </c>
      <c r="I237" s="62">
        <f t="shared" si="3"/>
        <v>2105622.9483214873</v>
      </c>
      <c r="J237" s="63">
        <f t="shared" si="4"/>
        <v>1855624.1013110636</v>
      </c>
    </row>
    <row r="238" spans="1:10" ht="13.2" x14ac:dyDescent="0.25">
      <c r="A238" s="64">
        <v>840</v>
      </c>
      <c r="B238" s="65">
        <v>44.677397484964459</v>
      </c>
      <c r="C238" s="65">
        <v>0.7806691449814126</v>
      </c>
      <c r="D238" s="65">
        <v>8765.7053865500275</v>
      </c>
      <c r="E238" s="65">
        <f t="shared" si="5"/>
        <v>838.26544012309262</v>
      </c>
      <c r="F238" s="65">
        <f t="shared" si="0"/>
        <v>7343205.2554782918</v>
      </c>
      <c r="G238" s="66">
        <f t="shared" ref="G238:G252" si="20">J238-I238-(H238*$N$4)</f>
        <v>-6579275.8572184537</v>
      </c>
      <c r="H238" s="66">
        <f t="shared" si="2"/>
        <v>70125643.092400223</v>
      </c>
      <c r="I238" s="66">
        <f t="shared" si="3"/>
        <v>2103769.2927720067</v>
      </c>
      <c r="J238" s="67">
        <f t="shared" si="4"/>
        <v>1835801.3138695729</v>
      </c>
    </row>
    <row r="239" spans="1:10" ht="13.2" x14ac:dyDescent="0.25">
      <c r="A239" s="60">
        <v>839</v>
      </c>
      <c r="B239" s="61">
        <v>44.550934937124111</v>
      </c>
      <c r="C239" s="61">
        <v>0.77973977695167285</v>
      </c>
      <c r="D239" s="61">
        <v>8740.8934346637507</v>
      </c>
      <c r="E239" s="61">
        <f t="shared" si="5"/>
        <v>809.22208194394238</v>
      </c>
      <c r="F239" s="61">
        <f t="shared" si="0"/>
        <v>7088785.4378289348</v>
      </c>
      <c r="G239" s="62">
        <f t="shared" si="20"/>
        <v>-6619061.3378199656</v>
      </c>
      <c r="H239" s="62">
        <f t="shared" si="2"/>
        <v>69927147.477310002</v>
      </c>
      <c r="I239" s="62">
        <f t="shared" si="3"/>
        <v>2097814.4243192999</v>
      </c>
      <c r="J239" s="63">
        <f t="shared" si="4"/>
        <v>1772196.3594572337</v>
      </c>
    </row>
    <row r="240" spans="1:10" ht="13.2" x14ac:dyDescent="0.25">
      <c r="A240" s="64">
        <v>838</v>
      </c>
      <c r="B240" s="65">
        <v>44.260612356478951</v>
      </c>
      <c r="C240" s="65">
        <v>0.77881040892193309</v>
      </c>
      <c r="D240" s="65">
        <v>8683.93214434117</v>
      </c>
      <c r="E240" s="65">
        <f t="shared" si="5"/>
        <v>742.62607522850885</v>
      </c>
      <c r="F240" s="65">
        <f t="shared" si="0"/>
        <v>6505404.4190017376</v>
      </c>
      <c r="G240" s="66">
        <f t="shared" si="20"/>
        <v>-6710223.7538170889</v>
      </c>
      <c r="H240" s="66">
        <f t="shared" si="2"/>
        <v>69471457.154729366</v>
      </c>
      <c r="I240" s="66">
        <f t="shared" si="3"/>
        <v>2084143.7146418809</v>
      </c>
      <c r="J240" s="67">
        <f t="shared" si="4"/>
        <v>1626351.1047504344</v>
      </c>
    </row>
    <row r="241" spans="1:10" ht="13.2" x14ac:dyDescent="0.25">
      <c r="A241" s="60">
        <v>837</v>
      </c>
      <c r="B241" s="61">
        <v>44.239059595407326</v>
      </c>
      <c r="C241" s="61">
        <v>0.77788104089219334</v>
      </c>
      <c r="D241" s="61">
        <v>8679.703492618919</v>
      </c>
      <c r="E241" s="61">
        <f t="shared" si="5"/>
        <v>737.68806324987656</v>
      </c>
      <c r="F241" s="61">
        <f t="shared" si="0"/>
        <v>6462147.4340689192</v>
      </c>
      <c r="G241" s="62">
        <f t="shared" si="20"/>
        <v>-6716978.4943969324</v>
      </c>
      <c r="H241" s="62">
        <f t="shared" si="2"/>
        <v>69437627.940951347</v>
      </c>
      <c r="I241" s="62">
        <f t="shared" si="3"/>
        <v>2083128.8382285403</v>
      </c>
      <c r="J241" s="63">
        <f t="shared" si="4"/>
        <v>1615536.8585172298</v>
      </c>
    </row>
    <row r="242" spans="1:10" ht="13.2" x14ac:dyDescent="0.25">
      <c r="A242" s="64">
        <v>836</v>
      </c>
      <c r="B242" s="65">
        <v>44.038983050847456</v>
      </c>
      <c r="C242" s="65">
        <v>0.77695167286245348</v>
      </c>
      <c r="D242" s="65">
        <v>8640.4484745762729</v>
      </c>
      <c r="E242" s="65">
        <f t="shared" si="5"/>
        <v>691.90270298638143</v>
      </c>
      <c r="F242" s="65">
        <f t="shared" si="0"/>
        <v>6061067.6781607009</v>
      </c>
      <c r="G242" s="66">
        <f t="shared" si="20"/>
        <v>-6779563.6160530448</v>
      </c>
      <c r="H242" s="66">
        <f t="shared" si="2"/>
        <v>69123587.796610177</v>
      </c>
      <c r="I242" s="66">
        <f t="shared" si="3"/>
        <v>2073707.6338983052</v>
      </c>
      <c r="J242" s="67">
        <f t="shared" si="4"/>
        <v>1515266.9195401752</v>
      </c>
    </row>
    <row r="243" spans="1:10" ht="13.2" x14ac:dyDescent="0.25">
      <c r="A243" s="60">
        <v>835</v>
      </c>
      <c r="B243" s="61">
        <v>43.939486057955165</v>
      </c>
      <c r="C243" s="61">
        <v>0.77602230483271373</v>
      </c>
      <c r="D243" s="61">
        <v>8620.927164570805</v>
      </c>
      <c r="E243" s="61">
        <f t="shared" si="5"/>
        <v>669.16110252926796</v>
      </c>
      <c r="F243" s="61">
        <f t="shared" si="0"/>
        <v>5861851.2581563871</v>
      </c>
      <c r="G243" s="62">
        <f t="shared" si="20"/>
        <v>-6810627.2634488754</v>
      </c>
      <c r="H243" s="62">
        <f t="shared" si="2"/>
        <v>68967417.316566437</v>
      </c>
      <c r="I243" s="62">
        <f t="shared" si="3"/>
        <v>2069022.5194969932</v>
      </c>
      <c r="J243" s="63">
        <f t="shared" si="4"/>
        <v>1465462.8145390968</v>
      </c>
    </row>
    <row r="244" spans="1:10" ht="13.2" x14ac:dyDescent="0.25">
      <c r="A244" s="64">
        <v>834</v>
      </c>
      <c r="B244" s="65">
        <v>43.910749043193</v>
      </c>
      <c r="C244" s="65">
        <v>0.77509293680297398</v>
      </c>
      <c r="D244" s="65">
        <v>8615.2889622744678</v>
      </c>
      <c r="E244" s="65">
        <f t="shared" si="5"/>
        <v>662.60066640007278</v>
      </c>
      <c r="F244" s="65">
        <f t="shared" si="0"/>
        <v>5804381.8376646368</v>
      </c>
      <c r="G244" s="66">
        <f t="shared" si="20"/>
        <v>-6819581.9443673296</v>
      </c>
      <c r="H244" s="66">
        <f t="shared" si="2"/>
        <v>68922311.698195741</v>
      </c>
      <c r="I244" s="66">
        <f t="shared" si="3"/>
        <v>2067669.3509458723</v>
      </c>
      <c r="J244" s="67">
        <f t="shared" si="4"/>
        <v>1451095.4594161592</v>
      </c>
    </row>
    <row r="245" spans="1:10" ht="13.2" x14ac:dyDescent="0.25">
      <c r="A245" s="60">
        <v>833</v>
      </c>
      <c r="B245" s="61">
        <v>43.888310552214321</v>
      </c>
      <c r="C245" s="61">
        <v>0.77416356877323422</v>
      </c>
      <c r="D245" s="61">
        <v>8610.8865303444509</v>
      </c>
      <c r="E245" s="61">
        <f t="shared" si="5"/>
        <v>657.48427129924914</v>
      </c>
      <c r="F245" s="61">
        <f t="shared" si="0"/>
        <v>5759562.2165814228</v>
      </c>
      <c r="G245" s="62">
        <f t="shared" si="20"/>
        <v>-6826560.5149853174</v>
      </c>
      <c r="H245" s="62">
        <f t="shared" si="2"/>
        <v>68887092.242755607</v>
      </c>
      <c r="I245" s="62">
        <f t="shared" si="3"/>
        <v>2066612.767282668</v>
      </c>
      <c r="J245" s="63">
        <f t="shared" si="4"/>
        <v>1439890.5541453557</v>
      </c>
    </row>
    <row r="246" spans="1:10" ht="13.2" x14ac:dyDescent="0.25">
      <c r="A246" s="64">
        <v>832</v>
      </c>
      <c r="B246" s="65">
        <v>43.705358119190812</v>
      </c>
      <c r="C246" s="65">
        <v>0.77323420074349447</v>
      </c>
      <c r="D246" s="65">
        <v>8574.991262985237</v>
      </c>
      <c r="E246" s="65">
        <f t="shared" si="5"/>
        <v>615.81773883488279</v>
      </c>
      <c r="F246" s="65">
        <f t="shared" si="0"/>
        <v>5394563.3921935735</v>
      </c>
      <c r="G246" s="66">
        <f t="shared" si="20"/>
        <v>-6883350.7644174341</v>
      </c>
      <c r="H246" s="66">
        <f t="shared" si="2"/>
        <v>68599930.103881896</v>
      </c>
      <c r="I246" s="66">
        <f t="shared" si="3"/>
        <v>2057997.9031164567</v>
      </c>
      <c r="J246" s="67">
        <f t="shared" si="4"/>
        <v>1348640.8480483934</v>
      </c>
    </row>
    <row r="247" spans="1:10" ht="13.2" x14ac:dyDescent="0.25">
      <c r="A247" s="60">
        <v>831</v>
      </c>
      <c r="B247" s="61">
        <v>43.676227446692181</v>
      </c>
      <c r="C247" s="61">
        <v>0.77230483271375461</v>
      </c>
      <c r="D247" s="61">
        <v>8569.2758250410061</v>
      </c>
      <c r="E247" s="61">
        <f t="shared" si="5"/>
        <v>609.19133657147381</v>
      </c>
      <c r="F247" s="61">
        <f t="shared" si="0"/>
        <v>5336516.1083661104</v>
      </c>
      <c r="G247" s="62">
        <f t="shared" si="20"/>
        <v>-6892375.7649478372</v>
      </c>
      <c r="H247" s="62">
        <f t="shared" si="2"/>
        <v>68554206.600328043</v>
      </c>
      <c r="I247" s="62">
        <f t="shared" si="3"/>
        <v>2056626.1980098411</v>
      </c>
      <c r="J247" s="63">
        <f t="shared" si="4"/>
        <v>1334129.0270915276</v>
      </c>
    </row>
    <row r="248" spans="1:10" ht="13.2" x14ac:dyDescent="0.25">
      <c r="A248" s="64">
        <v>830</v>
      </c>
      <c r="B248" s="65">
        <v>43.630169491525422</v>
      </c>
      <c r="C248" s="65">
        <v>0.77137546468401486</v>
      </c>
      <c r="D248" s="65">
        <v>8560.2392542372891</v>
      </c>
      <c r="E248" s="65">
        <f t="shared" si="5"/>
        <v>598.72705476716953</v>
      </c>
      <c r="F248" s="65">
        <f t="shared" si="0"/>
        <v>5244848.9997604052</v>
      </c>
      <c r="G248" s="66">
        <f t="shared" si="20"/>
        <v>-6906617.4341276959</v>
      </c>
      <c r="H248" s="66">
        <f t="shared" si="2"/>
        <v>68481914.033898309</v>
      </c>
      <c r="I248" s="66">
        <f t="shared" si="3"/>
        <v>2054457.4210169492</v>
      </c>
      <c r="J248" s="67">
        <f t="shared" si="4"/>
        <v>1311212.2499401013</v>
      </c>
    </row>
    <row r="249" spans="1:10" ht="13.2" x14ac:dyDescent="0.25">
      <c r="A249" s="60">
        <v>829</v>
      </c>
      <c r="B249" s="61">
        <v>43.459026790595949</v>
      </c>
      <c r="C249" s="61">
        <v>0.7704460966542751</v>
      </c>
      <c r="D249" s="61">
        <v>8526.6610563149261</v>
      </c>
      <c r="E249" s="61">
        <f t="shared" si="5"/>
        <v>559.8905609805704</v>
      </c>
      <c r="F249" s="61">
        <f t="shared" si="0"/>
        <v>4904641.3141897963</v>
      </c>
      <c r="G249" s="62">
        <f t="shared" si="20"/>
        <v>-6959434.28551488</v>
      </c>
      <c r="H249" s="62">
        <f t="shared" si="2"/>
        <v>68213288.450519413</v>
      </c>
      <c r="I249" s="62">
        <f t="shared" si="3"/>
        <v>2046398.6535155822</v>
      </c>
      <c r="J249" s="63">
        <f t="shared" si="4"/>
        <v>1226160.3285474491</v>
      </c>
    </row>
    <row r="250" spans="1:10" ht="13.2" x14ac:dyDescent="0.25">
      <c r="A250" s="64">
        <v>828</v>
      </c>
      <c r="B250" s="65">
        <v>43.441213778020774</v>
      </c>
      <c r="C250" s="65">
        <v>0.76951672862453535</v>
      </c>
      <c r="D250" s="65">
        <v>8523.1661432476776</v>
      </c>
      <c r="E250" s="65">
        <f t="shared" si="5"/>
        <v>555.85322181459469</v>
      </c>
      <c r="F250" s="65">
        <f t="shared" si="0"/>
        <v>4869274.2230958492</v>
      </c>
      <c r="G250" s="66">
        <f t="shared" si="20"/>
        <v>-6964920.9417438069</v>
      </c>
      <c r="H250" s="66">
        <f t="shared" si="2"/>
        <v>68185329.145981416</v>
      </c>
      <c r="I250" s="66">
        <f t="shared" si="3"/>
        <v>2045559.8743794423</v>
      </c>
      <c r="J250" s="67">
        <f t="shared" si="4"/>
        <v>1217318.5557739623</v>
      </c>
    </row>
    <row r="251" spans="1:10" ht="13.2" x14ac:dyDescent="0.25">
      <c r="A251" s="60">
        <v>827</v>
      </c>
      <c r="B251" s="61">
        <v>43.398501913613998</v>
      </c>
      <c r="C251" s="61">
        <v>0.76858736059479549</v>
      </c>
      <c r="D251" s="61">
        <v>8514.7860754510675</v>
      </c>
      <c r="E251" s="61">
        <f t="shared" si="5"/>
        <v>546.18421236339452</v>
      </c>
      <c r="F251" s="61">
        <f t="shared" si="0"/>
        <v>4784573.7003033357</v>
      </c>
      <c r="G251" s="62">
        <f t="shared" si="20"/>
        <v>-6978051.2073571896</v>
      </c>
      <c r="H251" s="62">
        <f t="shared" si="2"/>
        <v>68118288.603608534</v>
      </c>
      <c r="I251" s="62">
        <f t="shared" si="3"/>
        <v>2043548.6581082558</v>
      </c>
      <c r="J251" s="63">
        <f t="shared" si="4"/>
        <v>1196143.4250758339</v>
      </c>
    </row>
    <row r="252" spans="1:10" ht="13.2" x14ac:dyDescent="0.25">
      <c r="A252" s="64">
        <v>826</v>
      </c>
      <c r="B252" s="65">
        <v>43.288966648441772</v>
      </c>
      <c r="C252" s="65">
        <v>0.76765799256505574</v>
      </c>
      <c r="D252" s="65">
        <v>8493.2952564242769</v>
      </c>
      <c r="E252" s="65">
        <f t="shared" si="5"/>
        <v>521.41784099423057</v>
      </c>
      <c r="F252" s="65">
        <f t="shared" si="0"/>
        <v>4567620.2871094598</v>
      </c>
      <c r="G252" s="66">
        <f t="shared" si="20"/>
        <v>-7011658.3743899399</v>
      </c>
      <c r="H252" s="66">
        <f t="shared" si="2"/>
        <v>67946362.051394209</v>
      </c>
      <c r="I252" s="66">
        <f t="shared" si="3"/>
        <v>2038390.8615418263</v>
      </c>
      <c r="J252" s="67">
        <f t="shared" si="4"/>
        <v>1141905.0717773649</v>
      </c>
    </row>
    <row r="253" spans="1:10" ht="13.2" x14ac:dyDescent="0.25">
      <c r="A253" s="60">
        <v>825</v>
      </c>
      <c r="B253" s="61">
        <v>43.255112083105516</v>
      </c>
      <c r="C253" s="61">
        <v>0.76672862453531598</v>
      </c>
      <c r="D253" s="61">
        <v>8486.6529907053027</v>
      </c>
      <c r="E253" s="61">
        <f t="shared" si="5"/>
        <v>513.77244499706558</v>
      </c>
      <c r="F253" s="61">
        <f t="shared" si="0"/>
        <v>4500646.618174294</v>
      </c>
      <c r="G253" s="62">
        <f>J253-(I253-(H253*$N$4))</f>
        <v>5198755.0900821183</v>
      </c>
      <c r="H253" s="62">
        <f t="shared" si="2"/>
        <v>67893223.925642416</v>
      </c>
      <c r="I253" s="62">
        <f t="shared" si="3"/>
        <v>2036796.7177692724</v>
      </c>
      <c r="J253" s="63">
        <f t="shared" si="4"/>
        <v>1125161.6545435735</v>
      </c>
    </row>
    <row r="254" spans="1:10" ht="13.2" x14ac:dyDescent="0.25">
      <c r="A254" s="64">
        <v>824</v>
      </c>
      <c r="B254" s="65">
        <v>43.233559322033898</v>
      </c>
      <c r="C254" s="65">
        <v>0.76579925650557623</v>
      </c>
      <c r="D254" s="65">
        <v>8482.4243389830517</v>
      </c>
      <c r="E254" s="65">
        <f t="shared" si="5"/>
        <v>508.91106750596475</v>
      </c>
      <c r="F254" s="65">
        <f t="shared" si="0"/>
        <v>4458060.9513522517</v>
      </c>
      <c r="G254" s="66">
        <f t="shared" ref="G254:G268" si="21">J254-I254-(H254*$N$4)</f>
        <v>-7028612.1275856663</v>
      </c>
      <c r="H254" s="66">
        <f t="shared" si="2"/>
        <v>67859394.711864412</v>
      </c>
      <c r="I254" s="66">
        <f t="shared" si="3"/>
        <v>2035781.8413559322</v>
      </c>
      <c r="J254" s="67">
        <f t="shared" si="4"/>
        <v>1114515.2378380629</v>
      </c>
    </row>
    <row r="255" spans="1:10" ht="13.2" x14ac:dyDescent="0.25">
      <c r="A255" s="60">
        <v>823</v>
      </c>
      <c r="B255" s="61">
        <v>43.054838709677419</v>
      </c>
      <c r="C255" s="61">
        <v>0.76486988847583648</v>
      </c>
      <c r="D255" s="61">
        <v>8447.3593548387107</v>
      </c>
      <c r="E255" s="61">
        <f t="shared" si="5"/>
        <v>468.64825346290405</v>
      </c>
      <c r="F255" s="61">
        <f t="shared" si="0"/>
        <v>4105358.7003350398</v>
      </c>
      <c r="G255" s="62">
        <f t="shared" si="21"/>
        <v>-7083125.3055614009</v>
      </c>
      <c r="H255" s="62">
        <f t="shared" si="2"/>
        <v>67578874.838709682</v>
      </c>
      <c r="I255" s="62">
        <f t="shared" si="3"/>
        <v>2027366.2451612903</v>
      </c>
      <c r="J255" s="63">
        <f t="shared" si="4"/>
        <v>1026339.6750837599</v>
      </c>
    </row>
    <row r="256" spans="1:10" ht="13.2" x14ac:dyDescent="0.25">
      <c r="A256" s="64">
        <v>822</v>
      </c>
      <c r="B256" s="65">
        <v>42.959081465281578</v>
      </c>
      <c r="C256" s="65">
        <v>0.76394052044609662</v>
      </c>
      <c r="D256" s="65">
        <v>8428.5717834882453</v>
      </c>
      <c r="E256" s="65">
        <f t="shared" si="5"/>
        <v>447.10191234164535</v>
      </c>
      <c r="F256" s="65">
        <f t="shared" si="0"/>
        <v>3916612.7521128128</v>
      </c>
      <c r="G256" s="66">
        <f t="shared" si="21"/>
        <v>-7112275.7241205126</v>
      </c>
      <c r="H256" s="66">
        <f t="shared" si="2"/>
        <v>67428574.267905965</v>
      </c>
      <c r="I256" s="66">
        <f t="shared" si="3"/>
        <v>2022857.228037179</v>
      </c>
      <c r="J256" s="67">
        <f t="shared" si="4"/>
        <v>979153.18802820321</v>
      </c>
    </row>
    <row r="257" spans="1:10" ht="13.2" x14ac:dyDescent="0.25">
      <c r="A257" s="60">
        <v>821</v>
      </c>
      <c r="B257" s="61">
        <v>42.903969382176051</v>
      </c>
      <c r="C257" s="61">
        <v>0.76301115241635686</v>
      </c>
      <c r="D257" s="61">
        <v>8417.7587927829427</v>
      </c>
      <c r="E257" s="61">
        <f t="shared" si="5"/>
        <v>434.71621434509757</v>
      </c>
      <c r="F257" s="61">
        <f t="shared" si="0"/>
        <v>3808114.0376630547</v>
      </c>
      <c r="G257" s="62">
        <f t="shared" si="21"/>
        <v>-7129019.9316558596</v>
      </c>
      <c r="H257" s="62">
        <f t="shared" si="2"/>
        <v>67342070.342263535</v>
      </c>
      <c r="I257" s="62">
        <f t="shared" si="3"/>
        <v>2020262.110267906</v>
      </c>
      <c r="J257" s="63">
        <f t="shared" si="4"/>
        <v>952028.50941576366</v>
      </c>
    </row>
    <row r="258" spans="1:10" ht="13.2" x14ac:dyDescent="0.25">
      <c r="A258" s="64">
        <v>820</v>
      </c>
      <c r="B258" s="65">
        <v>42.89176599234554</v>
      </c>
      <c r="C258" s="65">
        <v>0.76208178438661711</v>
      </c>
      <c r="D258" s="65">
        <v>8415.3644876981962</v>
      </c>
      <c r="E258" s="65">
        <f t="shared" si="5"/>
        <v>431.97700471747402</v>
      </c>
      <c r="F258" s="65">
        <f t="shared" si="0"/>
        <v>3784118.5613250723</v>
      </c>
      <c r="G258" s="66">
        <f t="shared" si="21"/>
        <v>-7132720.2678589998</v>
      </c>
      <c r="H258" s="66">
        <f t="shared" si="2"/>
        <v>67322915.901585564</v>
      </c>
      <c r="I258" s="66">
        <f t="shared" si="3"/>
        <v>2019687.4770475668</v>
      </c>
      <c r="J258" s="67">
        <f t="shared" si="4"/>
        <v>946029.64033126808</v>
      </c>
    </row>
    <row r="259" spans="1:10" ht="13.2" x14ac:dyDescent="0.25">
      <c r="A259" s="60">
        <v>819</v>
      </c>
      <c r="B259" s="61">
        <v>42.783411700382722</v>
      </c>
      <c r="C259" s="61">
        <v>0.76115241635687736</v>
      </c>
      <c r="D259" s="61">
        <v>8394.1053756150905</v>
      </c>
      <c r="E259" s="61">
        <f t="shared" si="5"/>
        <v>407.68511038087689</v>
      </c>
      <c r="F259" s="61">
        <f t="shared" si="0"/>
        <v>3571321.5669364813</v>
      </c>
      <c r="G259" s="62">
        <f t="shared" si="21"/>
        <v>-7165510.7688563652</v>
      </c>
      <c r="H259" s="62">
        <f t="shared" si="2"/>
        <v>67152843.004920721</v>
      </c>
      <c r="I259" s="62">
        <f t="shared" si="3"/>
        <v>2014585.2901476217</v>
      </c>
      <c r="J259" s="63">
        <f t="shared" si="4"/>
        <v>892830.39173412032</v>
      </c>
    </row>
    <row r="260" spans="1:10" ht="13.2" x14ac:dyDescent="0.25">
      <c r="A260" s="64">
        <v>818</v>
      </c>
      <c r="B260" s="65">
        <v>42.767566976489888</v>
      </c>
      <c r="C260" s="65">
        <v>0.7602230483271375</v>
      </c>
      <c r="D260" s="65">
        <v>8390.996640787318</v>
      </c>
      <c r="E260" s="65">
        <f t="shared" si="5"/>
        <v>404.13722342130018</v>
      </c>
      <c r="F260" s="65">
        <f t="shared" si="0"/>
        <v>3540242.0771705895</v>
      </c>
      <c r="G260" s="66">
        <f t="shared" si="21"/>
        <v>-7170296.2558631776</v>
      </c>
      <c r="H260" s="66">
        <f t="shared" si="2"/>
        <v>67127973.126298547</v>
      </c>
      <c r="I260" s="66">
        <f t="shared" si="3"/>
        <v>2013839.1937889564</v>
      </c>
      <c r="J260" s="67">
        <f t="shared" si="4"/>
        <v>885060.51929264737</v>
      </c>
    </row>
    <row r="261" spans="1:10" ht="13.2" x14ac:dyDescent="0.25">
      <c r="A261" s="60">
        <v>817</v>
      </c>
      <c r="B261" s="61">
        <v>42.630082012028424</v>
      </c>
      <c r="C261" s="61">
        <v>0.75929368029739774</v>
      </c>
      <c r="D261" s="61">
        <v>8364.0220907599778</v>
      </c>
      <c r="E261" s="61">
        <f t="shared" si="5"/>
        <v>373.38974608994999</v>
      </c>
      <c r="F261" s="61">
        <f t="shared" si="0"/>
        <v>3270894.1757479617</v>
      </c>
      <c r="G261" s="62">
        <f t="shared" si="21"/>
        <v>-7211737.663192587</v>
      </c>
      <c r="H261" s="62">
        <f t="shared" si="2"/>
        <v>66912176.726079822</v>
      </c>
      <c r="I261" s="62">
        <f t="shared" si="3"/>
        <v>2007365.3017823945</v>
      </c>
      <c r="J261" s="63">
        <f t="shared" si="4"/>
        <v>817723.54393699043</v>
      </c>
    </row>
    <row r="262" spans="1:10" ht="13.2" x14ac:dyDescent="0.25">
      <c r="A262" s="64">
        <v>816</v>
      </c>
      <c r="B262" s="65">
        <v>42.595046473482775</v>
      </c>
      <c r="C262" s="65">
        <v>0.75836431226765799</v>
      </c>
      <c r="D262" s="65">
        <v>8357.1481180973205</v>
      </c>
      <c r="E262" s="65">
        <f t="shared" si="5"/>
        <v>365.56389431322589</v>
      </c>
      <c r="F262" s="65">
        <f t="shared" si="0"/>
        <v>3202339.7141838591</v>
      </c>
      <c r="G262" s="66">
        <f t="shared" si="21"/>
        <v>-7222277.2648274619</v>
      </c>
      <c r="H262" s="66">
        <f t="shared" si="2"/>
        <v>66857184.944778562</v>
      </c>
      <c r="I262" s="66">
        <f t="shared" si="3"/>
        <v>2005715.5483433567</v>
      </c>
      <c r="J262" s="67">
        <f t="shared" si="4"/>
        <v>800584.92854596477</v>
      </c>
    </row>
    <row r="263" spans="1:10" ht="13.2" x14ac:dyDescent="0.25">
      <c r="A263" s="60">
        <v>815</v>
      </c>
      <c r="B263" s="61">
        <v>42.330016402405683</v>
      </c>
      <c r="C263" s="61">
        <v>0.75743494423791824</v>
      </c>
      <c r="D263" s="61">
        <v>8305.1492181519952</v>
      </c>
      <c r="E263" s="61">
        <f t="shared" si="5"/>
        <v>306.4368923772542</v>
      </c>
      <c r="F263" s="61">
        <f t="shared" si="0"/>
        <v>2684387.1772247464</v>
      </c>
      <c r="G263" s="62">
        <f t="shared" si="21"/>
        <v>-7301846.455119729</v>
      </c>
      <c r="H263" s="62">
        <f t="shared" si="2"/>
        <v>66441193.74521596</v>
      </c>
      <c r="I263" s="62">
        <f t="shared" si="3"/>
        <v>1993235.8123564788</v>
      </c>
      <c r="J263" s="63">
        <f t="shared" si="4"/>
        <v>671096.79430618661</v>
      </c>
    </row>
    <row r="264" spans="1:10" ht="13.2" x14ac:dyDescent="0.25">
      <c r="A264" s="64">
        <v>814</v>
      </c>
      <c r="B264" s="65">
        <v>41.810289775833787</v>
      </c>
      <c r="C264" s="65">
        <v>0.75650557620817849</v>
      </c>
      <c r="D264" s="65">
        <v>8203.178854018588</v>
      </c>
      <c r="E264" s="65">
        <f t="shared" si="5"/>
        <v>190.6304007684962</v>
      </c>
      <c r="F264" s="65">
        <f t="shared" si="0"/>
        <v>1669922.3107320268</v>
      </c>
      <c r="G264" s="66">
        <f t="shared" si="21"/>
        <v>-7457571.1221748367</v>
      </c>
      <c r="H264" s="66">
        <f t="shared" si="2"/>
        <v>65625430.832148701</v>
      </c>
      <c r="I264" s="66">
        <f t="shared" si="3"/>
        <v>1968762.924964461</v>
      </c>
      <c r="J264" s="67">
        <f t="shared" si="4"/>
        <v>417480.5776830067</v>
      </c>
    </row>
    <row r="265" spans="1:10" ht="13.2" x14ac:dyDescent="0.25">
      <c r="A265" s="60">
        <v>813</v>
      </c>
      <c r="B265" s="61">
        <v>41.667195188627666</v>
      </c>
      <c r="C265" s="61">
        <v>0.75557620817843862</v>
      </c>
      <c r="D265" s="61">
        <v>8175.1036960087486</v>
      </c>
      <c r="E265" s="61">
        <f t="shared" si="5"/>
        <v>158.78492646458443</v>
      </c>
      <c r="F265" s="61">
        <f t="shared" si="0"/>
        <v>1390955.9558297596</v>
      </c>
      <c r="G265" s="62">
        <f t="shared" si="21"/>
        <v>-7500360.559210958</v>
      </c>
      <c r="H265" s="62">
        <f t="shared" si="2"/>
        <v>65400829.568069987</v>
      </c>
      <c r="I265" s="62">
        <f t="shared" si="3"/>
        <v>1962024.8870420996</v>
      </c>
      <c r="J265" s="63">
        <f t="shared" si="4"/>
        <v>347738.9889574399</v>
      </c>
    </row>
    <row r="266" spans="1:10" ht="13.2" x14ac:dyDescent="0.25">
      <c r="A266" s="64">
        <v>812</v>
      </c>
      <c r="B266" s="65">
        <v>41.667195188627666</v>
      </c>
      <c r="C266" s="65">
        <v>0.75464684014869887</v>
      </c>
      <c r="D266" s="65">
        <v>8175.1036960087486</v>
      </c>
      <c r="E266" s="65">
        <f t="shared" si="5"/>
        <v>158.78492646458443</v>
      </c>
      <c r="F266" s="65">
        <f t="shared" si="0"/>
        <v>1390955.9558297596</v>
      </c>
      <c r="G266" s="66">
        <f t="shared" si="21"/>
        <v>-7500360.559210958</v>
      </c>
      <c r="H266" s="66">
        <f t="shared" si="2"/>
        <v>65400829.568069987</v>
      </c>
      <c r="I266" s="66">
        <f t="shared" si="3"/>
        <v>1962024.8870420996</v>
      </c>
      <c r="J266" s="67">
        <f t="shared" si="4"/>
        <v>347738.9889574399</v>
      </c>
    </row>
    <row r="267" spans="1:10" ht="13.2" x14ac:dyDescent="0.25">
      <c r="A267" s="60">
        <v>811</v>
      </c>
      <c r="B267" s="61">
        <v>41.627829414980859</v>
      </c>
      <c r="C267" s="61">
        <v>0.75371747211895912</v>
      </c>
      <c r="D267" s="61">
        <v>8167.3801312192445</v>
      </c>
      <c r="E267" s="61">
        <f t="shared" si="5"/>
        <v>150.04566983705544</v>
      </c>
      <c r="F267" s="61">
        <f t="shared" si="0"/>
        <v>1314400.0677726057</v>
      </c>
      <c r="G267" s="62">
        <f t="shared" si="21"/>
        <v>-7512084.9090273231</v>
      </c>
      <c r="H267" s="62">
        <f t="shared" si="2"/>
        <v>65339041.049753956</v>
      </c>
      <c r="I267" s="62">
        <f t="shared" si="3"/>
        <v>1960171.2314926186</v>
      </c>
      <c r="J267" s="63">
        <f t="shared" si="4"/>
        <v>328600.01694315142</v>
      </c>
    </row>
    <row r="268" spans="1:10" ht="13.2" x14ac:dyDescent="0.25">
      <c r="A268" s="64">
        <v>810</v>
      </c>
      <c r="B268" s="65">
        <v>41.591120831055221</v>
      </c>
      <c r="C268" s="65">
        <v>0.75278810408921937</v>
      </c>
      <c r="D268" s="65">
        <v>8160.1779070530347</v>
      </c>
      <c r="E268" s="65">
        <f t="shared" si="5"/>
        <v>141.90635330721238</v>
      </c>
      <c r="F268" s="65">
        <f t="shared" si="0"/>
        <v>1243099.6549711805</v>
      </c>
      <c r="G268" s="66">
        <f t="shared" si="21"/>
        <v>-7522995.8770281179</v>
      </c>
      <c r="H268" s="66">
        <f t="shared" si="2"/>
        <v>65281423.256424278</v>
      </c>
      <c r="I268" s="66">
        <f t="shared" si="3"/>
        <v>1958442.6976927284</v>
      </c>
      <c r="J268" s="67">
        <f t="shared" si="4"/>
        <v>310774.91374279512</v>
      </c>
    </row>
    <row r="269" spans="1:10" ht="13.2" x14ac:dyDescent="0.25">
      <c r="A269" s="60">
        <v>809</v>
      </c>
      <c r="B269" s="61">
        <v>41.586593767085837</v>
      </c>
      <c r="C269" s="61">
        <v>0.7518587360594795</v>
      </c>
      <c r="D269" s="61">
        <v>8159.2896971022419</v>
      </c>
      <c r="E269" s="61">
        <f t="shared" si="5"/>
        <v>140.90381521684267</v>
      </c>
      <c r="F269" s="61">
        <f t="shared" si="0"/>
        <v>1234317.4212995418</v>
      </c>
      <c r="G269" s="62">
        <f>J269-(I269-(H269*$N$4))</f>
        <v>4225038.409933961</v>
      </c>
      <c r="H269" s="62">
        <f t="shared" si="2"/>
        <v>65274317.576817937</v>
      </c>
      <c r="I269" s="62">
        <f t="shared" si="3"/>
        <v>1958229.5273045381</v>
      </c>
      <c r="J269" s="63">
        <f t="shared" si="4"/>
        <v>308579.35532488546</v>
      </c>
    </row>
    <row r="270" spans="1:10" ht="13.2" x14ac:dyDescent="0.25">
      <c r="A270" s="64">
        <v>808</v>
      </c>
      <c r="B270" s="65">
        <v>41.586298523783491</v>
      </c>
      <c r="C270" s="65">
        <v>0.75092936802973975</v>
      </c>
      <c r="D270" s="65">
        <v>8159.2317703663202</v>
      </c>
      <c r="E270" s="65">
        <f t="shared" si="5"/>
        <v>140.83851305078969</v>
      </c>
      <c r="F270" s="65">
        <f t="shared" si="0"/>
        <v>1233745.3743249176</v>
      </c>
      <c r="G270" s="66">
        <f t="shared" ref="G270:G284" si="22">J270-I270-(H270*$N$4)</f>
        <v>-7524426.1559704375</v>
      </c>
      <c r="H270" s="66">
        <f t="shared" si="2"/>
        <v>65273854.162930563</v>
      </c>
      <c r="I270" s="66">
        <f t="shared" si="3"/>
        <v>1958215.6248879167</v>
      </c>
      <c r="J270" s="67">
        <f t="shared" si="4"/>
        <v>308436.34358122939</v>
      </c>
    </row>
    <row r="271" spans="1:10" ht="13.2" x14ac:dyDescent="0.25">
      <c r="A271" s="60">
        <v>807</v>
      </c>
      <c r="B271" s="61">
        <v>41.490738108255876</v>
      </c>
      <c r="C271" s="61">
        <v>0.75</v>
      </c>
      <c r="D271" s="61">
        <v>8140.4828168398035</v>
      </c>
      <c r="E271" s="61">
        <f t="shared" si="5"/>
        <v>119.72851565545973</v>
      </c>
      <c r="F271" s="61">
        <f t="shared" si="0"/>
        <v>1048821.7971418272</v>
      </c>
      <c r="G271" s="62">
        <f t="shared" si="22"/>
        <v>-7552658.054880755</v>
      </c>
      <c r="H271" s="62">
        <f t="shared" si="2"/>
        <v>65123862.534718432</v>
      </c>
      <c r="I271" s="62">
        <f t="shared" si="3"/>
        <v>1953715.876041553</v>
      </c>
      <c r="J271" s="63">
        <f t="shared" si="4"/>
        <v>262205.44928545679</v>
      </c>
    </row>
    <row r="272" spans="1:10" ht="13.2" x14ac:dyDescent="0.25">
      <c r="A272" s="64">
        <v>806</v>
      </c>
      <c r="B272" s="65">
        <v>41.417222525970473</v>
      </c>
      <c r="C272" s="65">
        <v>0.74907063197026025</v>
      </c>
      <c r="D272" s="65">
        <v>8126.0590595954081</v>
      </c>
      <c r="E272" s="65">
        <f t="shared" si="5"/>
        <v>103.5084912449408</v>
      </c>
      <c r="F272" s="65">
        <f t="shared" si="0"/>
        <v>906734.3833056814</v>
      </c>
      <c r="G272" s="66">
        <f t="shared" si="22"/>
        <v>-7574333.1013851706</v>
      </c>
      <c r="H272" s="66">
        <f t="shared" si="2"/>
        <v>65008472.476763263</v>
      </c>
      <c r="I272" s="66">
        <f t="shared" si="3"/>
        <v>1950254.1743028979</v>
      </c>
      <c r="J272" s="67">
        <f t="shared" si="4"/>
        <v>226683.59582642035</v>
      </c>
    </row>
    <row r="273" spans="1:10" ht="13.2" x14ac:dyDescent="0.25">
      <c r="A273" s="60">
        <v>805</v>
      </c>
      <c r="B273" s="61">
        <v>41.411120831055221</v>
      </c>
      <c r="C273" s="61">
        <v>0.7481412639405205</v>
      </c>
      <c r="D273" s="61">
        <v>8124.8619070530349</v>
      </c>
      <c r="E273" s="61">
        <f t="shared" si="5"/>
        <v>102.16391982537009</v>
      </c>
      <c r="F273" s="61">
        <f t="shared" si="0"/>
        <v>894955.93767024192</v>
      </c>
      <c r="G273" s="62">
        <f t="shared" si="22"/>
        <v>-7576128.4463533517</v>
      </c>
      <c r="H273" s="62">
        <f t="shared" si="2"/>
        <v>64998895.256424278</v>
      </c>
      <c r="I273" s="62">
        <f t="shared" si="3"/>
        <v>1949966.8576927283</v>
      </c>
      <c r="J273" s="63">
        <f t="shared" si="4"/>
        <v>223738.98441756048</v>
      </c>
    </row>
    <row r="274" spans="1:10" ht="13.2" x14ac:dyDescent="0.25">
      <c r="A274" s="64">
        <v>804</v>
      </c>
      <c r="B274" s="65">
        <v>41.393110989611813</v>
      </c>
      <c r="C274" s="65">
        <v>0.74721189591078063</v>
      </c>
      <c r="D274" s="65">
        <v>8121.3283761618386</v>
      </c>
      <c r="E274" s="65">
        <f t="shared" si="5"/>
        <v>98.20019140002259</v>
      </c>
      <c r="F274" s="65">
        <f t="shared" si="0"/>
        <v>860233.67666419782</v>
      </c>
      <c r="G274" s="66">
        <f t="shared" si="22"/>
        <v>-7581416.8219493162</v>
      </c>
      <c r="H274" s="66">
        <f t="shared" si="2"/>
        <v>64970627.009294711</v>
      </c>
      <c r="I274" s="66">
        <f t="shared" si="3"/>
        <v>1949118.8102788413</v>
      </c>
      <c r="J274" s="67">
        <f t="shared" si="4"/>
        <v>215058.41916604945</v>
      </c>
    </row>
    <row r="275" spans="1:10" ht="13.2" x14ac:dyDescent="0.25">
      <c r="A275" s="60">
        <v>803</v>
      </c>
      <c r="B275" s="61">
        <v>41.319989065062877</v>
      </c>
      <c r="C275" s="61">
        <v>0.74628252788104088</v>
      </c>
      <c r="D275" s="61">
        <v>8106.9818545653379</v>
      </c>
      <c r="E275" s="61">
        <f t="shared" si="5"/>
        <v>82.127020596508117</v>
      </c>
      <c r="F275" s="61">
        <f t="shared" si="0"/>
        <v>719432.70042541111</v>
      </c>
      <c r="G275" s="62">
        <f t="shared" si="22"/>
        <v>-7602844.4052763712</v>
      </c>
      <c r="H275" s="62">
        <f t="shared" si="2"/>
        <v>64855854.836522706</v>
      </c>
      <c r="I275" s="62">
        <f t="shared" si="3"/>
        <v>1945675.6450956811</v>
      </c>
      <c r="J275" s="63">
        <f t="shared" si="4"/>
        <v>179858.17510635278</v>
      </c>
    </row>
    <row r="276" spans="1:10" ht="13.2" x14ac:dyDescent="0.25">
      <c r="A276" s="64">
        <v>802</v>
      </c>
      <c r="B276" s="65">
        <v>41.204548933843633</v>
      </c>
      <c r="C276" s="65">
        <v>0.74535315985130113</v>
      </c>
      <c r="D276" s="65">
        <v>8084.33250082012</v>
      </c>
      <c r="E276" s="65">
        <f t="shared" si="5"/>
        <v>56.783319937360929</v>
      </c>
      <c r="F276" s="65">
        <f t="shared" si="0"/>
        <v>497421.88265128172</v>
      </c>
      <c r="G276" s="66">
        <f t="shared" si="22"/>
        <v>-7636603.7301244941</v>
      </c>
      <c r="H276" s="66">
        <f t="shared" si="2"/>
        <v>64674660.006560959</v>
      </c>
      <c r="I276" s="66">
        <f t="shared" si="3"/>
        <v>1940239.8001968288</v>
      </c>
      <c r="J276" s="67">
        <f t="shared" si="4"/>
        <v>124355.47066282043</v>
      </c>
    </row>
    <row r="277" spans="1:10" ht="13.2" x14ac:dyDescent="0.25">
      <c r="A277" s="60">
        <v>801</v>
      </c>
      <c r="B277" s="61">
        <v>41.098851831601969</v>
      </c>
      <c r="C277" s="61">
        <v>0.74442379182156138</v>
      </c>
      <c r="D277" s="61">
        <v>8063.5947293603067</v>
      </c>
      <c r="E277" s="61">
        <f t="shared" si="5"/>
        <v>33.607511219493368</v>
      </c>
      <c r="F277" s="61">
        <f t="shared" si="0"/>
        <v>294401.79828276188</v>
      </c>
      <c r="G277" s="62">
        <f t="shared" si="22"/>
        <v>-7667450.490615204</v>
      </c>
      <c r="H277" s="62">
        <f t="shared" si="2"/>
        <v>64508757.834882453</v>
      </c>
      <c r="I277" s="62">
        <f t="shared" si="3"/>
        <v>1935262.7350464736</v>
      </c>
      <c r="J277" s="63">
        <f t="shared" si="4"/>
        <v>73600.449570690471</v>
      </c>
    </row>
    <row r="278" spans="1:10" ht="13.2" x14ac:dyDescent="0.25">
      <c r="A278" s="64">
        <v>800</v>
      </c>
      <c r="B278" s="65">
        <v>40.866495352651725</v>
      </c>
      <c r="C278" s="65">
        <v>0.74349442379182151</v>
      </c>
      <c r="D278" s="65">
        <v>8018.0063881902697</v>
      </c>
      <c r="E278" s="65">
        <f t="shared" si="5"/>
        <v>-17.27687330208137</v>
      </c>
      <c r="F278" s="65">
        <f t="shared" si="0"/>
        <v>-151345.4101262328</v>
      </c>
      <c r="G278" s="66">
        <f t="shared" si="22"/>
        <v>-7735122.4851942174</v>
      </c>
      <c r="H278" s="66">
        <f t="shared" si="2"/>
        <v>64144051.105522156</v>
      </c>
      <c r="I278" s="66">
        <f t="shared" si="3"/>
        <v>1924321.5331656646</v>
      </c>
      <c r="J278" s="67">
        <f t="shared" si="4"/>
        <v>-37836.352531558201</v>
      </c>
    </row>
    <row r="279" spans="1:10" ht="13.2" x14ac:dyDescent="0.25">
      <c r="A279" s="60">
        <v>799</v>
      </c>
      <c r="B279" s="61">
        <v>40.751153635866594</v>
      </c>
      <c r="C279" s="61">
        <v>0.74256505576208176</v>
      </c>
      <c r="D279" s="61">
        <v>7995.3763433570257</v>
      </c>
      <c r="E279" s="61">
        <f t="shared" si="5"/>
        <v>-42.504325697505351</v>
      </c>
      <c r="F279" s="61">
        <f t="shared" si="0"/>
        <v>-372337.89311014686</v>
      </c>
      <c r="G279" s="62">
        <f t="shared" si="22"/>
        <v>-7768645.7629002808</v>
      </c>
      <c r="H279" s="62">
        <f t="shared" si="2"/>
        <v>63963010.746856205</v>
      </c>
      <c r="I279" s="62">
        <f t="shared" si="3"/>
        <v>1918890.3224056861</v>
      </c>
      <c r="J279" s="63">
        <f t="shared" si="4"/>
        <v>-93084.473277536716</v>
      </c>
    </row>
    <row r="280" spans="1:10" ht="13.2" x14ac:dyDescent="0.25">
      <c r="A280" s="64">
        <v>798</v>
      </c>
      <c r="B280" s="65">
        <v>40.690235101148161</v>
      </c>
      <c r="C280" s="65">
        <v>0.74163568773234201</v>
      </c>
      <c r="D280" s="65">
        <v>7983.4241268452697</v>
      </c>
      <c r="E280" s="65">
        <f t="shared" si="5"/>
        <v>-55.811719174348902</v>
      </c>
      <c r="F280" s="65">
        <f t="shared" si="0"/>
        <v>-488910.65996729641</v>
      </c>
      <c r="G280" s="66">
        <f t="shared" si="22"/>
        <v>-7786314.8267632835</v>
      </c>
      <c r="H280" s="66">
        <f t="shared" si="2"/>
        <v>63867393.014762156</v>
      </c>
      <c r="I280" s="66">
        <f t="shared" si="3"/>
        <v>1916021.7904428646</v>
      </c>
      <c r="J280" s="67">
        <f t="shared" si="4"/>
        <v>-122227.6649918241</v>
      </c>
    </row>
    <row r="281" spans="1:10" ht="13.2" x14ac:dyDescent="0.25">
      <c r="A281" s="60">
        <v>797</v>
      </c>
      <c r="B281" s="61">
        <v>40.637386550027337</v>
      </c>
      <c r="C281" s="61">
        <v>0.74070631970260226</v>
      </c>
      <c r="D281" s="61">
        <v>7973.0552411153649</v>
      </c>
      <c r="E281" s="61">
        <f t="shared" si="5"/>
        <v>-67.341804467872265</v>
      </c>
      <c r="F281" s="61">
        <f t="shared" si="0"/>
        <v>-589914.20713856106</v>
      </c>
      <c r="G281" s="62">
        <f t="shared" si="22"/>
        <v>-7801611.5832553906</v>
      </c>
      <c r="H281" s="62">
        <f t="shared" si="2"/>
        <v>63784441.928922921</v>
      </c>
      <c r="I281" s="62">
        <f t="shared" si="3"/>
        <v>1913533.2578676876</v>
      </c>
      <c r="J281" s="63">
        <f t="shared" si="4"/>
        <v>-147478.55178464027</v>
      </c>
    </row>
    <row r="282" spans="1:10" ht="13.2" x14ac:dyDescent="0.25">
      <c r="A282" s="64">
        <v>796</v>
      </c>
      <c r="B282" s="65">
        <v>40.599300164024058</v>
      </c>
      <c r="C282" s="65">
        <v>0.7397769516728625</v>
      </c>
      <c r="D282" s="65">
        <v>7965.5826921815205</v>
      </c>
      <c r="E282" s="65">
        <f t="shared" si="5"/>
        <v>-75.640778423210534</v>
      </c>
      <c r="F282" s="65">
        <f t="shared" si="0"/>
        <v>-662613.21898732428</v>
      </c>
      <c r="G282" s="66">
        <f t="shared" si="22"/>
        <v>-7812612.6892410899</v>
      </c>
      <c r="H282" s="66">
        <f t="shared" si="2"/>
        <v>63724661.537452161</v>
      </c>
      <c r="I282" s="66">
        <f t="shared" si="3"/>
        <v>1911739.8461235648</v>
      </c>
      <c r="J282" s="67">
        <f t="shared" si="4"/>
        <v>-165653.30474683107</v>
      </c>
    </row>
    <row r="283" spans="1:10" ht="13.2" x14ac:dyDescent="0.25">
      <c r="A283" s="60">
        <v>795</v>
      </c>
      <c r="B283" s="61">
        <v>40.479332968835429</v>
      </c>
      <c r="C283" s="61">
        <v>0.73884758364312264</v>
      </c>
      <c r="D283" s="61">
        <v>7942.0451284855108</v>
      </c>
      <c r="E283" s="61">
        <f t="shared" si="5"/>
        <v>-101.74866157487195</v>
      </c>
      <c r="F283" s="61">
        <f t="shared" si="0"/>
        <v>-891318.27539587824</v>
      </c>
      <c r="G283" s="62">
        <f t="shared" si="22"/>
        <v>-7847192.8921950608</v>
      </c>
      <c r="H283" s="62">
        <f t="shared" si="2"/>
        <v>63536361.027884088</v>
      </c>
      <c r="I283" s="62">
        <f t="shared" si="3"/>
        <v>1906090.8308365226</v>
      </c>
      <c r="J283" s="63">
        <f t="shared" si="4"/>
        <v>-222829.56884896956</v>
      </c>
    </row>
    <row r="284" spans="1:10" ht="13.2" x14ac:dyDescent="0.25">
      <c r="A284" s="64">
        <v>794</v>
      </c>
      <c r="B284" s="65">
        <v>40.459650082012026</v>
      </c>
      <c r="C284" s="65">
        <v>0.73791821561338289</v>
      </c>
      <c r="D284" s="65">
        <v>7938.1833460907601</v>
      </c>
      <c r="E284" s="65">
        <f t="shared" si="5"/>
        <v>-106.02676995269982</v>
      </c>
      <c r="F284" s="65">
        <f t="shared" si="0"/>
        <v>-928794.50478565041</v>
      </c>
      <c r="G284" s="66">
        <f t="shared" si="22"/>
        <v>-7852854.6384435417</v>
      </c>
      <c r="H284" s="66">
        <f t="shared" si="2"/>
        <v>63505466.768726081</v>
      </c>
      <c r="I284" s="66">
        <f t="shared" si="3"/>
        <v>1905164.0030617823</v>
      </c>
      <c r="J284" s="67">
        <f t="shared" si="4"/>
        <v>-232198.6261964126</v>
      </c>
    </row>
    <row r="285" spans="1:10" ht="13.2" x14ac:dyDescent="0.25">
      <c r="A285" s="60">
        <v>793</v>
      </c>
      <c r="B285" s="61">
        <v>40.459354838709672</v>
      </c>
      <c r="C285" s="61">
        <v>0.73698884758364314</v>
      </c>
      <c r="D285" s="61">
        <v>7938.1254193548384</v>
      </c>
      <c r="E285" s="61">
        <f t="shared" si="5"/>
        <v>-106.09086082548306</v>
      </c>
      <c r="F285" s="61">
        <f t="shared" si="0"/>
        <v>-929355.94083123165</v>
      </c>
      <c r="G285" s="62">
        <f>J285-(I285-(H285*$N$4))</f>
        <v>3577961.2160825147</v>
      </c>
      <c r="H285" s="62">
        <f t="shared" si="2"/>
        <v>63505003.354838707</v>
      </c>
      <c r="I285" s="62">
        <f t="shared" si="3"/>
        <v>1905150.1006451612</v>
      </c>
      <c r="J285" s="63">
        <f t="shared" si="4"/>
        <v>-232338.98520780791</v>
      </c>
    </row>
    <row r="286" spans="1:10" ht="13.2" x14ac:dyDescent="0.25">
      <c r="A286" s="64">
        <v>792</v>
      </c>
      <c r="B286" s="65">
        <v>40.179070530344447</v>
      </c>
      <c r="C286" s="65">
        <v>0.73605947955390338</v>
      </c>
      <c r="D286" s="65">
        <v>7883.1336380535813</v>
      </c>
      <c r="E286" s="65">
        <f t="shared" si="5"/>
        <v>-166.85780131544095</v>
      </c>
      <c r="F286" s="65">
        <f t="shared" si="0"/>
        <v>-1461674.3395232628</v>
      </c>
      <c r="G286" s="66">
        <f t="shared" ref="G286:G300" si="23">J286-I286-(H286*$N$4)</f>
        <v>-7933226.877412254</v>
      </c>
      <c r="H286" s="66">
        <f t="shared" si="2"/>
        <v>63065069.104428649</v>
      </c>
      <c r="I286" s="66">
        <f t="shared" si="3"/>
        <v>1891952.0731328593</v>
      </c>
      <c r="J286" s="67">
        <f t="shared" si="4"/>
        <v>-365418.5848808157</v>
      </c>
    </row>
    <row r="287" spans="1:10" ht="13.2" x14ac:dyDescent="0.25">
      <c r="A287" s="60">
        <v>791</v>
      </c>
      <c r="B287" s="61">
        <v>40.156533624931654</v>
      </c>
      <c r="C287" s="61">
        <v>0.73513011152416352</v>
      </c>
      <c r="D287" s="61">
        <v>7878.7118972115904</v>
      </c>
      <c r="E287" s="61">
        <f t="shared" si="5"/>
        <v>-171.73774299747083</v>
      </c>
      <c r="F287" s="61">
        <f t="shared" si="0"/>
        <v>-1504422.6286578444</v>
      </c>
      <c r="G287" s="62">
        <f t="shared" si="23"/>
        <v>-7939669.0784875881</v>
      </c>
      <c r="H287" s="62">
        <f t="shared" si="2"/>
        <v>63029695.177692726</v>
      </c>
      <c r="I287" s="62">
        <f t="shared" si="3"/>
        <v>1890890.8553307818</v>
      </c>
      <c r="J287" s="63">
        <f t="shared" si="4"/>
        <v>-376105.6571644611</v>
      </c>
    </row>
    <row r="288" spans="1:10" ht="13.2" x14ac:dyDescent="0.25">
      <c r="A288" s="64">
        <v>790</v>
      </c>
      <c r="B288" s="65">
        <v>40.153285948605792</v>
      </c>
      <c r="C288" s="65">
        <v>0.73420074349442377</v>
      </c>
      <c r="D288" s="65">
        <v>7878.0747031164574</v>
      </c>
      <c r="E288" s="65">
        <f t="shared" si="5"/>
        <v>-172.44007775288699</v>
      </c>
      <c r="F288" s="65">
        <f t="shared" si="0"/>
        <v>-1510575.0811152901</v>
      </c>
      <c r="G288" s="66">
        <f t="shared" si="23"/>
        <v>-7940595.4852706213</v>
      </c>
      <c r="H288" s="66">
        <f t="shared" si="2"/>
        <v>63024597.624931656</v>
      </c>
      <c r="I288" s="66">
        <f t="shared" si="3"/>
        <v>1890737.9287479497</v>
      </c>
      <c r="J288" s="67">
        <f t="shared" si="4"/>
        <v>-377643.77027882251</v>
      </c>
    </row>
    <row r="289" spans="1:10" ht="13.2" x14ac:dyDescent="0.25">
      <c r="A289" s="60">
        <v>789</v>
      </c>
      <c r="B289" s="61">
        <v>40.103685073810823</v>
      </c>
      <c r="C289" s="61">
        <v>0.73327137546468402</v>
      </c>
      <c r="D289" s="61">
        <v>7868.3430114816847</v>
      </c>
      <c r="E289" s="61">
        <f t="shared" si="5"/>
        <v>-183.15307844190954</v>
      </c>
      <c r="F289" s="61">
        <f t="shared" si="0"/>
        <v>-1604420.9671511275</v>
      </c>
      <c r="G289" s="62">
        <f t="shared" si="23"/>
        <v>-7954714.5328101991</v>
      </c>
      <c r="H289" s="62">
        <f t="shared" si="2"/>
        <v>62946744.091853477</v>
      </c>
      <c r="I289" s="62">
        <f t="shared" si="3"/>
        <v>1888402.3227556043</v>
      </c>
      <c r="J289" s="63">
        <f t="shared" si="4"/>
        <v>-401105.24178778188</v>
      </c>
    </row>
    <row r="290" spans="1:10" ht="13.2" x14ac:dyDescent="0.25">
      <c r="A290" s="64">
        <v>788</v>
      </c>
      <c r="B290" s="65">
        <v>39.906856205576815</v>
      </c>
      <c r="C290" s="65">
        <v>0.73234200743494426</v>
      </c>
      <c r="D290" s="65">
        <v>7829.7251875341699</v>
      </c>
      <c r="E290" s="65">
        <f t="shared" si="5"/>
        <v>-225.61115068160285</v>
      </c>
      <c r="F290" s="65">
        <f t="shared" si="0"/>
        <v>-1976353.6799708412</v>
      </c>
      <c r="G290" s="66">
        <f t="shared" si="23"/>
        <v>-8010624.6000255141</v>
      </c>
      <c r="H290" s="66">
        <f t="shared" si="2"/>
        <v>62637801.500273362</v>
      </c>
      <c r="I290" s="66">
        <f t="shared" si="3"/>
        <v>1879134.0450082007</v>
      </c>
      <c r="J290" s="67">
        <f t="shared" si="4"/>
        <v>-494088.41999271029</v>
      </c>
    </row>
    <row r="291" spans="1:10" ht="13.2" x14ac:dyDescent="0.25">
      <c r="A291" s="60">
        <v>787</v>
      </c>
      <c r="B291" s="61">
        <v>39.885205030071077</v>
      </c>
      <c r="C291" s="61">
        <v>0.73141263940520451</v>
      </c>
      <c r="D291" s="61">
        <v>7825.4772268999459</v>
      </c>
      <c r="E291" s="61">
        <f t="shared" si="5"/>
        <v>-230.27561674975865</v>
      </c>
      <c r="F291" s="61">
        <f t="shared" si="0"/>
        <v>-2017214.4027278856</v>
      </c>
      <c r="G291" s="62">
        <f t="shared" si="23"/>
        <v>-8016761.7385059195</v>
      </c>
      <c r="H291" s="62">
        <f t="shared" si="2"/>
        <v>62603817.815199569</v>
      </c>
      <c r="I291" s="62">
        <f t="shared" si="3"/>
        <v>1878114.5344559869</v>
      </c>
      <c r="J291" s="63">
        <f t="shared" si="4"/>
        <v>-504303.60068197141</v>
      </c>
    </row>
    <row r="292" spans="1:10" ht="13.2" x14ac:dyDescent="0.25">
      <c r="A292" s="64">
        <v>786</v>
      </c>
      <c r="B292" s="65">
        <v>39.678141060688901</v>
      </c>
      <c r="C292" s="65">
        <v>0.73048327137546465</v>
      </c>
      <c r="D292" s="65">
        <v>7784.8512761071643</v>
      </c>
      <c r="E292" s="65">
        <f t="shared" si="5"/>
        <v>-274.82823936637789</v>
      </c>
      <c r="F292" s="65">
        <f t="shared" si="0"/>
        <v>-2407495.3768494707</v>
      </c>
      <c r="G292" s="66">
        <f t="shared" si="23"/>
        <v>-8075331.0692752451</v>
      </c>
      <c r="H292" s="66">
        <f t="shared" si="2"/>
        <v>62278810.208857313</v>
      </c>
      <c r="I292" s="66">
        <f t="shared" si="3"/>
        <v>1868364.3062657192</v>
      </c>
      <c r="J292" s="67">
        <f t="shared" si="4"/>
        <v>-601873.84421236767</v>
      </c>
    </row>
    <row r="293" spans="1:10" ht="13.2" x14ac:dyDescent="0.25">
      <c r="A293" s="60">
        <v>785</v>
      </c>
      <c r="B293" s="61">
        <v>39.677550574084201</v>
      </c>
      <c r="C293" s="61">
        <v>0.7295539033457249</v>
      </c>
      <c r="D293" s="61">
        <v>7784.73542263532</v>
      </c>
      <c r="E293" s="61">
        <f t="shared" si="5"/>
        <v>-274.95512906579097</v>
      </c>
      <c r="F293" s="61">
        <f t="shared" si="0"/>
        <v>-2408606.930616329</v>
      </c>
      <c r="G293" s="62">
        <f t="shared" si="23"/>
        <v>-8075497.7383839879</v>
      </c>
      <c r="H293" s="62">
        <f t="shared" si="2"/>
        <v>62277883.381082557</v>
      </c>
      <c r="I293" s="62">
        <f t="shared" si="3"/>
        <v>1868336.5014324766</v>
      </c>
      <c r="J293" s="63">
        <f t="shared" si="4"/>
        <v>-602151.73265408224</v>
      </c>
    </row>
    <row r="294" spans="1:10" ht="13.2" x14ac:dyDescent="0.25">
      <c r="A294" s="64">
        <v>784</v>
      </c>
      <c r="B294" s="65">
        <v>39.657769272826684</v>
      </c>
      <c r="C294" s="65">
        <v>0.72862453531598514</v>
      </c>
      <c r="D294" s="65">
        <v>7780.8543313285954</v>
      </c>
      <c r="E294" s="65">
        <f t="shared" si="5"/>
        <v>-279.20052355279358</v>
      </c>
      <c r="F294" s="65">
        <f t="shared" si="0"/>
        <v>-2445796.586322472</v>
      </c>
      <c r="G294" s="66">
        <f t="shared" si="23"/>
        <v>-8081069.3046560688</v>
      </c>
      <c r="H294" s="66">
        <f t="shared" si="2"/>
        <v>62246834.65062876</v>
      </c>
      <c r="I294" s="66">
        <f t="shared" si="3"/>
        <v>1867405.0395188627</v>
      </c>
      <c r="J294" s="67">
        <f t="shared" si="4"/>
        <v>-611449.14658061799</v>
      </c>
    </row>
    <row r="295" spans="1:10" ht="13.2" x14ac:dyDescent="0.25">
      <c r="A295" s="60">
        <v>783</v>
      </c>
      <c r="B295" s="61">
        <v>39.593701476216509</v>
      </c>
      <c r="C295" s="61">
        <v>0.72769516728624539</v>
      </c>
      <c r="D295" s="61">
        <v>7768.2842296336803</v>
      </c>
      <c r="E295" s="61">
        <f t="shared" si="5"/>
        <v>-292.933009186969</v>
      </c>
      <c r="F295" s="61">
        <f t="shared" si="0"/>
        <v>-2566093.1604778483</v>
      </c>
      <c r="G295" s="62">
        <f t="shared" si="23"/>
        <v>-8099076.1505677951</v>
      </c>
      <c r="H295" s="62">
        <f t="shared" si="2"/>
        <v>62146273.837069444</v>
      </c>
      <c r="I295" s="62">
        <f t="shared" si="3"/>
        <v>1864388.2151120834</v>
      </c>
      <c r="J295" s="63">
        <f t="shared" si="4"/>
        <v>-641523.29011946206</v>
      </c>
    </row>
    <row r="296" spans="1:10" ht="13.2" x14ac:dyDescent="0.25">
      <c r="A296" s="64">
        <v>782</v>
      </c>
      <c r="B296" s="65">
        <v>39.560338983050841</v>
      </c>
      <c r="C296" s="65">
        <v>0.72676579925650553</v>
      </c>
      <c r="D296" s="65">
        <v>7761.7385084745756</v>
      </c>
      <c r="E296" s="65">
        <f t="shared" si="5"/>
        <v>-300.07490197580626</v>
      </c>
      <c r="F296" s="65">
        <f t="shared" si="0"/>
        <v>-2628656.1413080627</v>
      </c>
      <c r="G296" s="66">
        <f t="shared" si="23"/>
        <v>-8108433.003462607</v>
      </c>
      <c r="H296" s="66">
        <f t="shared" si="2"/>
        <v>62093908.067796603</v>
      </c>
      <c r="I296" s="66">
        <f t="shared" si="3"/>
        <v>1862817.2420338981</v>
      </c>
      <c r="J296" s="67">
        <f t="shared" si="4"/>
        <v>-657164.03532701568</v>
      </c>
    </row>
    <row r="297" spans="1:10" ht="13.2" x14ac:dyDescent="0.25">
      <c r="A297" s="60">
        <v>781</v>
      </c>
      <c r="B297" s="61">
        <v>39.527665390924</v>
      </c>
      <c r="C297" s="61">
        <v>0.72583643122676578</v>
      </c>
      <c r="D297" s="61">
        <v>7755.3279496992891</v>
      </c>
      <c r="E297" s="61">
        <f t="shared" si="5"/>
        <v>-307.06038539961986</v>
      </c>
      <c r="F297" s="61">
        <f t="shared" si="0"/>
        <v>-2689848.9761006697</v>
      </c>
      <c r="G297" s="62">
        <f t="shared" si="23"/>
        <v>-8117577.0757364845</v>
      </c>
      <c r="H297" s="62">
        <f t="shared" si="2"/>
        <v>62042623.597594313</v>
      </c>
      <c r="I297" s="62">
        <f t="shared" si="3"/>
        <v>1861278.7079278294</v>
      </c>
      <c r="J297" s="63">
        <f t="shared" si="4"/>
        <v>-672462.24402516743</v>
      </c>
    </row>
    <row r="298" spans="1:10" ht="13.2" x14ac:dyDescent="0.25">
      <c r="A298" s="64">
        <v>780</v>
      </c>
      <c r="B298" s="65">
        <v>39.416555494805905</v>
      </c>
      <c r="C298" s="65">
        <v>0.72490706319702602</v>
      </c>
      <c r="D298" s="65">
        <v>7733.5281880809198</v>
      </c>
      <c r="E298" s="65">
        <f t="shared" si="5"/>
        <v>-330.7848471608749</v>
      </c>
      <c r="F298" s="65">
        <f t="shared" si="0"/>
        <v>-2897675.2611292638</v>
      </c>
      <c r="G298" s="66">
        <f t="shared" si="23"/>
        <v>-8148605.8758399989</v>
      </c>
      <c r="H298" s="66">
        <f t="shared" si="2"/>
        <v>61868225.504647359</v>
      </c>
      <c r="I298" s="66">
        <f t="shared" si="3"/>
        <v>1856046.7651394207</v>
      </c>
      <c r="J298" s="67">
        <f t="shared" si="4"/>
        <v>-724418.81528231595</v>
      </c>
    </row>
    <row r="299" spans="1:10" ht="13.2" x14ac:dyDescent="0.25">
      <c r="A299" s="60">
        <v>779</v>
      </c>
      <c r="B299" s="61">
        <v>39.401202843083652</v>
      </c>
      <c r="C299" s="61">
        <v>0.72397769516728627</v>
      </c>
      <c r="D299" s="61">
        <v>7730.5159978130123</v>
      </c>
      <c r="E299" s="61">
        <f t="shared" si="5"/>
        <v>-334.05878444555691</v>
      </c>
      <c r="F299" s="61">
        <f t="shared" si="0"/>
        <v>-2926354.9517430784</v>
      </c>
      <c r="G299" s="62">
        <f t="shared" si="23"/>
        <v>-8152884.0958362613</v>
      </c>
      <c r="H299" s="62">
        <f t="shared" si="2"/>
        <v>61844127.9825041</v>
      </c>
      <c r="I299" s="62">
        <f t="shared" si="3"/>
        <v>1855323.839475123</v>
      </c>
      <c r="J299" s="63">
        <f t="shared" si="4"/>
        <v>-731588.7379357696</v>
      </c>
    </row>
    <row r="300" spans="1:10" ht="13.2" x14ac:dyDescent="0.25">
      <c r="A300" s="64">
        <v>778</v>
      </c>
      <c r="B300" s="65">
        <v>39.360951339529798</v>
      </c>
      <c r="C300" s="65">
        <v>0.72304832713754652</v>
      </c>
      <c r="D300" s="65">
        <v>7722.6186528157468</v>
      </c>
      <c r="E300" s="65">
        <f t="shared" si="5"/>
        <v>-342.63136711916849</v>
      </c>
      <c r="F300" s="65">
        <f t="shared" si="0"/>
        <v>-3001450.775963916</v>
      </c>
      <c r="G300" s="66">
        <f t="shared" si="23"/>
        <v>-8164076.6006940957</v>
      </c>
      <c r="H300" s="66">
        <f t="shared" si="2"/>
        <v>61780949.222525977</v>
      </c>
      <c r="I300" s="66">
        <f t="shared" si="3"/>
        <v>1853428.4766757793</v>
      </c>
      <c r="J300" s="67">
        <f t="shared" si="4"/>
        <v>-750362.69399097899</v>
      </c>
    </row>
    <row r="301" spans="1:10" ht="13.2" x14ac:dyDescent="0.25">
      <c r="A301" s="60">
        <v>777</v>
      </c>
      <c r="B301" s="61">
        <v>39.233996719518863</v>
      </c>
      <c r="C301" s="61">
        <v>0.72211895910780666</v>
      </c>
      <c r="D301" s="61">
        <v>7697.7101563696015</v>
      </c>
      <c r="E301" s="61">
        <f t="shared" si="5"/>
        <v>-369.63486256938091</v>
      </c>
      <c r="F301" s="61">
        <f t="shared" si="0"/>
        <v>-3238001.396107777</v>
      </c>
      <c r="G301" s="62">
        <f>J301-(I301-(H301*$N$4))</f>
        <v>2885400.5260304641</v>
      </c>
      <c r="H301" s="62">
        <f t="shared" si="2"/>
        <v>61581681.250956811</v>
      </c>
      <c r="I301" s="62">
        <f t="shared" si="3"/>
        <v>1847450.4375287043</v>
      </c>
      <c r="J301" s="63">
        <f t="shared" si="4"/>
        <v>-809500.34902694426</v>
      </c>
    </row>
    <row r="302" spans="1:10" ht="13.2" x14ac:dyDescent="0.25">
      <c r="A302" s="64">
        <v>776</v>
      </c>
      <c r="B302" s="65">
        <v>39.185872061235649</v>
      </c>
      <c r="C302" s="65">
        <v>0.72118959107806691</v>
      </c>
      <c r="D302" s="65">
        <v>7688.2680984144354</v>
      </c>
      <c r="E302" s="65">
        <f t="shared" si="5"/>
        <v>-379.85790858961184</v>
      </c>
      <c r="F302" s="65">
        <f t="shared" si="0"/>
        <v>-3327555.2792449999</v>
      </c>
      <c r="G302" s="66">
        <f t="shared" ref="G302:G316" si="24">J302-I302-(H302*$N$4)</f>
        <v>-8212626.1942891069</v>
      </c>
      <c r="H302" s="66">
        <f t="shared" si="2"/>
        <v>61506144.78731548</v>
      </c>
      <c r="I302" s="66">
        <f t="shared" si="3"/>
        <v>1845184.3436194644</v>
      </c>
      <c r="J302" s="67">
        <f t="shared" si="4"/>
        <v>-831888.81981124997</v>
      </c>
    </row>
    <row r="303" spans="1:10" ht="13.2" x14ac:dyDescent="0.25">
      <c r="A303" s="60">
        <v>775</v>
      </c>
      <c r="B303" s="61">
        <v>39.10822307271733</v>
      </c>
      <c r="C303" s="61">
        <v>0.72026022304832715</v>
      </c>
      <c r="D303" s="61">
        <v>7673.0333668671401</v>
      </c>
      <c r="E303" s="61">
        <f t="shared" si="5"/>
        <v>-396.33152397555796</v>
      </c>
      <c r="F303" s="61">
        <f t="shared" si="0"/>
        <v>-3471864.1500258879</v>
      </c>
      <c r="G303" s="62">
        <f t="shared" si="24"/>
        <v>-8234078.0696989261</v>
      </c>
      <c r="H303" s="62">
        <f t="shared" si="2"/>
        <v>61384266.934937119</v>
      </c>
      <c r="I303" s="62">
        <f t="shared" si="3"/>
        <v>1841528.0080481134</v>
      </c>
      <c r="J303" s="63">
        <f t="shared" si="4"/>
        <v>-867966.03750647197</v>
      </c>
    </row>
    <row r="304" spans="1:10" ht="13.2" x14ac:dyDescent="0.25">
      <c r="A304" s="64">
        <v>774</v>
      </c>
      <c r="B304" s="65">
        <v>39.04996172772006</v>
      </c>
      <c r="C304" s="65">
        <v>0.7193308550185874</v>
      </c>
      <c r="D304" s="65">
        <v>7661.6024909786756</v>
      </c>
      <c r="E304" s="65">
        <f t="shared" si="5"/>
        <v>-408.67602005585138</v>
      </c>
      <c r="F304" s="65">
        <f t="shared" si="0"/>
        <v>-3580001.9356892579</v>
      </c>
      <c r="G304" s="66">
        <f t="shared" si="24"/>
        <v>-8250138.8752618432</v>
      </c>
      <c r="H304" s="66">
        <f t="shared" si="2"/>
        <v>61292819.927829407</v>
      </c>
      <c r="I304" s="66">
        <f t="shared" si="3"/>
        <v>1838784.5978348821</v>
      </c>
      <c r="J304" s="67">
        <f t="shared" si="4"/>
        <v>-895000.48392231448</v>
      </c>
    </row>
    <row r="305" spans="1:12" ht="13.2" x14ac:dyDescent="0.25">
      <c r="A305" s="60">
        <v>773</v>
      </c>
      <c r="B305" s="61">
        <v>38.985303444505192</v>
      </c>
      <c r="C305" s="61">
        <v>0.71840148698884754</v>
      </c>
      <c r="D305" s="61">
        <v>7648.9165358119189</v>
      </c>
      <c r="E305" s="61">
        <f t="shared" si="5"/>
        <v>-422.35822356051784</v>
      </c>
      <c r="F305" s="61">
        <f t="shared" si="0"/>
        <v>-3699858.0383901363</v>
      </c>
      <c r="G305" s="62">
        <f t="shared" si="24"/>
        <v>-8267924.3839769764</v>
      </c>
      <c r="H305" s="62">
        <f t="shared" si="2"/>
        <v>61191332.28649535</v>
      </c>
      <c r="I305" s="62">
        <f t="shared" si="3"/>
        <v>1835739.9685948605</v>
      </c>
      <c r="J305" s="63">
        <f t="shared" si="4"/>
        <v>-924964.50959753408</v>
      </c>
    </row>
    <row r="306" spans="1:12" ht="13.2" x14ac:dyDescent="0.25">
      <c r="A306" s="64">
        <v>772</v>
      </c>
      <c r="B306" s="65">
        <v>38.972804811372335</v>
      </c>
      <c r="C306" s="65">
        <v>0.71747211895910779</v>
      </c>
      <c r="D306" s="65">
        <v>7646.4643039912526</v>
      </c>
      <c r="E306" s="65">
        <f t="shared" si="5"/>
        <v>-424.9996145272022</v>
      </c>
      <c r="F306" s="65">
        <f t="shared" si="0"/>
        <v>-3722996.6232582917</v>
      </c>
      <c r="G306" s="66">
        <f t="shared" si="24"/>
        <v>-8271354.8876461759</v>
      </c>
      <c r="H306" s="66">
        <f t="shared" si="2"/>
        <v>61171714.43193002</v>
      </c>
      <c r="I306" s="66">
        <f t="shared" si="3"/>
        <v>1835151.4329579005</v>
      </c>
      <c r="J306" s="67">
        <f t="shared" si="4"/>
        <v>-930749.15581457294</v>
      </c>
    </row>
    <row r="307" spans="1:12" ht="13.2" x14ac:dyDescent="0.25">
      <c r="A307" s="60">
        <v>771</v>
      </c>
      <c r="B307" s="61">
        <v>38.932651722252594</v>
      </c>
      <c r="C307" s="61">
        <v>0.71654275092936803</v>
      </c>
      <c r="D307" s="61">
        <v>7638.5862679059601</v>
      </c>
      <c r="E307" s="61">
        <f t="shared" si="5"/>
        <v>-433.47436059479145</v>
      </c>
      <c r="F307" s="61">
        <f t="shared" si="0"/>
        <v>-3797235.3988103732</v>
      </c>
      <c r="G307" s="62">
        <f t="shared" si="24"/>
        <v>-8282351.6668923143</v>
      </c>
      <c r="H307" s="62">
        <f t="shared" si="2"/>
        <v>61108690.143247679</v>
      </c>
      <c r="I307" s="62">
        <f t="shared" si="3"/>
        <v>1833260.7042974303</v>
      </c>
      <c r="J307" s="63">
        <f t="shared" si="4"/>
        <v>-949308.84970259329</v>
      </c>
    </row>
    <row r="308" spans="1:12" ht="13.2" x14ac:dyDescent="0.25">
      <c r="A308" s="64">
        <v>770</v>
      </c>
      <c r="B308" s="65">
        <v>38.817802077638049</v>
      </c>
      <c r="C308" s="65">
        <v>0.71561338289962828</v>
      </c>
      <c r="D308" s="65">
        <v>7616.0527676325855</v>
      </c>
      <c r="E308" s="65">
        <f t="shared" si="5"/>
        <v>-457.68321404834256</v>
      </c>
      <c r="F308" s="65">
        <f t="shared" si="0"/>
        <v>-4009304.9550634809</v>
      </c>
      <c r="G308" s="66">
        <f t="shared" si="24"/>
        <v>-8313736.8956931531</v>
      </c>
      <c r="H308" s="66">
        <f t="shared" si="2"/>
        <v>60928422.141060688</v>
      </c>
      <c r="I308" s="66">
        <f t="shared" si="3"/>
        <v>1827852.6642318205</v>
      </c>
      <c r="J308" s="67">
        <f t="shared" si="4"/>
        <v>-1002326.2387658702</v>
      </c>
    </row>
    <row r="309" spans="1:12" ht="13.2" x14ac:dyDescent="0.25">
      <c r="A309" s="60">
        <v>769</v>
      </c>
      <c r="B309" s="61">
        <v>38.550508474576269</v>
      </c>
      <c r="C309" s="61">
        <v>0.71468401486988853</v>
      </c>
      <c r="D309" s="61">
        <v>7563.6097627118634</v>
      </c>
      <c r="E309" s="61">
        <f t="shared" si="5"/>
        <v>-513.9522188633739</v>
      </c>
      <c r="F309" s="61">
        <f t="shared" si="0"/>
        <v>-4502221.4372431552</v>
      </c>
      <c r="G309" s="62">
        <f t="shared" si="24"/>
        <v>-8386620.7315141773</v>
      </c>
      <c r="H309" s="62">
        <f t="shared" si="2"/>
        <v>60508878.101694904</v>
      </c>
      <c r="I309" s="62">
        <f t="shared" si="3"/>
        <v>1815266.3430508471</v>
      </c>
      <c r="J309" s="63">
        <f t="shared" si="4"/>
        <v>-1125555.3593107888</v>
      </c>
    </row>
    <row r="310" spans="1:12" ht="13.2" x14ac:dyDescent="0.25">
      <c r="A310" s="64">
        <v>768</v>
      </c>
      <c r="B310" s="65">
        <v>38.544702022963371</v>
      </c>
      <c r="C310" s="65">
        <v>0.71375464684014867</v>
      </c>
      <c r="D310" s="65">
        <v>7562.4705369054145</v>
      </c>
      <c r="E310" s="65">
        <f t="shared" si="5"/>
        <v>-515.17296919314674</v>
      </c>
      <c r="F310" s="65">
        <f t="shared" si="0"/>
        <v>-4512915.2101319656</v>
      </c>
      <c r="G310" s="66">
        <f t="shared" si="24"/>
        <v>-8388200.5179621894</v>
      </c>
      <c r="H310" s="66">
        <f t="shared" si="2"/>
        <v>60499764.295243315</v>
      </c>
      <c r="I310" s="66">
        <f t="shared" si="3"/>
        <v>1814992.9288572995</v>
      </c>
      <c r="J310" s="67">
        <f t="shared" si="4"/>
        <v>-1128228.8025329914</v>
      </c>
    </row>
    <row r="311" spans="1:12" ht="13.2" x14ac:dyDescent="0.25">
      <c r="A311" s="60">
        <v>767</v>
      </c>
      <c r="B311" s="61">
        <v>38.383696008747947</v>
      </c>
      <c r="C311" s="61">
        <v>0.71282527881040891</v>
      </c>
      <c r="D311" s="61">
        <v>7530.8811569163472</v>
      </c>
      <c r="E311" s="61">
        <f t="shared" si="5"/>
        <v>-548.97889025022016</v>
      </c>
      <c r="F311" s="61">
        <f t="shared" si="0"/>
        <v>-4809055.0785919288</v>
      </c>
      <c r="G311" s="62">
        <f t="shared" si="24"/>
        <v>-8431909.6802876759</v>
      </c>
      <c r="H311" s="62">
        <f t="shared" si="2"/>
        <v>60247049.255330779</v>
      </c>
      <c r="I311" s="62">
        <f t="shared" si="3"/>
        <v>1807411.4776599233</v>
      </c>
      <c r="J311" s="63">
        <f t="shared" si="4"/>
        <v>-1202263.7696479822</v>
      </c>
    </row>
    <row r="312" spans="1:12" ht="13.2" x14ac:dyDescent="0.25">
      <c r="A312" s="64">
        <v>766</v>
      </c>
      <c r="B312" s="65">
        <v>38.054007654455987</v>
      </c>
      <c r="C312" s="65">
        <v>0.71189591078066916</v>
      </c>
      <c r="D312" s="65">
        <v>7466.1963018042652</v>
      </c>
      <c r="E312" s="65">
        <f t="shared" si="5"/>
        <v>-618.11233205216649</v>
      </c>
      <c r="F312" s="65">
        <f t="shared" si="0"/>
        <v>-5414664.0287769781</v>
      </c>
      <c r="G312" s="66">
        <f t="shared" si="24"/>
        <v>-8521214.4569263384</v>
      </c>
      <c r="H312" s="66">
        <f t="shared" si="2"/>
        <v>59729570.41443412</v>
      </c>
      <c r="I312" s="66">
        <f t="shared" si="3"/>
        <v>1791887.1124330235</v>
      </c>
      <c r="J312" s="67">
        <f t="shared" si="4"/>
        <v>-1353666.0071942445</v>
      </c>
      <c r="L312" s="4" t="s">
        <v>23</v>
      </c>
    </row>
    <row r="313" spans="1:12" ht="13.2" x14ac:dyDescent="0.25">
      <c r="A313" s="60">
        <v>765</v>
      </c>
      <c r="B313" s="61">
        <v>37.750202296336795</v>
      </c>
      <c r="C313" s="61">
        <v>0.71096654275092941</v>
      </c>
      <c r="D313" s="61">
        <v>7406.5896905412792</v>
      </c>
      <c r="E313" s="61">
        <f t="shared" si="5"/>
        <v>-681.73518803315108</v>
      </c>
      <c r="F313" s="61">
        <f t="shared" si="0"/>
        <v>-5972000.2471704027</v>
      </c>
      <c r="G313" s="62">
        <f t="shared" si="24"/>
        <v>-8603326.1647122279</v>
      </c>
      <c r="H313" s="62">
        <f t="shared" si="2"/>
        <v>59252717.524330236</v>
      </c>
      <c r="I313" s="62">
        <f t="shared" si="3"/>
        <v>1777581.525729907</v>
      </c>
      <c r="J313" s="63">
        <f t="shared" si="4"/>
        <v>-1493000.0617926007</v>
      </c>
    </row>
    <row r="314" spans="1:12" ht="13.2" x14ac:dyDescent="0.25">
      <c r="A314" s="64">
        <v>764</v>
      </c>
      <c r="B314" s="65">
        <v>37.707490431930012</v>
      </c>
      <c r="C314" s="65">
        <v>0.71003717472118955</v>
      </c>
      <c r="D314" s="65">
        <v>7398.2096227446682</v>
      </c>
      <c r="E314" s="65">
        <f t="shared" si="5"/>
        <v>-690.66821569366482</v>
      </c>
      <c r="F314" s="65">
        <f t="shared" si="0"/>
        <v>-6050253.5694765039</v>
      </c>
      <c r="G314" s="66">
        <f t="shared" si="24"/>
        <v>-8614844.630204007</v>
      </c>
      <c r="H314" s="66">
        <f t="shared" si="2"/>
        <v>59185676.981957346</v>
      </c>
      <c r="I314" s="66">
        <f t="shared" si="3"/>
        <v>1775570.3094587203</v>
      </c>
      <c r="J314" s="67">
        <f t="shared" si="4"/>
        <v>-1512563.392369126</v>
      </c>
    </row>
    <row r="315" spans="1:12" ht="13.2" x14ac:dyDescent="0.25">
      <c r="A315" s="60">
        <v>763</v>
      </c>
      <c r="B315" s="61">
        <v>37.637419354838705</v>
      </c>
      <c r="C315" s="61">
        <v>0.70910780669144979</v>
      </c>
      <c r="D315" s="61">
        <v>7384.4616774193546</v>
      </c>
      <c r="E315" s="61">
        <f t="shared" si="5"/>
        <v>-705.30415562874543</v>
      </c>
      <c r="F315" s="61">
        <f t="shared" si="0"/>
        <v>-6178464.4033078104</v>
      </c>
      <c r="G315" s="62">
        <f t="shared" si="24"/>
        <v>-8633699.311149532</v>
      </c>
      <c r="H315" s="62">
        <f t="shared" si="2"/>
        <v>59075693.419354834</v>
      </c>
      <c r="I315" s="62">
        <f t="shared" si="3"/>
        <v>1772270.8025806448</v>
      </c>
      <c r="J315" s="63">
        <f t="shared" si="4"/>
        <v>-1544616.1008269526</v>
      </c>
    </row>
    <row r="316" spans="1:12" ht="13.2" x14ac:dyDescent="0.25">
      <c r="A316" s="64">
        <v>762</v>
      </c>
      <c r="B316" s="65">
        <v>37.635943138326951</v>
      </c>
      <c r="C316" s="65">
        <v>0.70817843866171004</v>
      </c>
      <c r="D316" s="65">
        <v>7384.172043739748</v>
      </c>
      <c r="E316" s="65">
        <f t="shared" si="5"/>
        <v>-705.61209329553901</v>
      </c>
      <c r="F316" s="65">
        <f t="shared" si="0"/>
        <v>-6181161.9372689212</v>
      </c>
      <c r="G316" s="66">
        <f t="shared" si="24"/>
        <v>-8634095.6463073883</v>
      </c>
      <c r="H316" s="66">
        <f t="shared" si="2"/>
        <v>59073376.349917985</v>
      </c>
      <c r="I316" s="66">
        <f t="shared" si="3"/>
        <v>1772201.2904975396</v>
      </c>
      <c r="J316" s="67">
        <f t="shared" si="4"/>
        <v>-1545290.4843172303</v>
      </c>
    </row>
    <row r="317" spans="1:12" ht="13.2" x14ac:dyDescent="0.25">
      <c r="A317" s="60">
        <v>761</v>
      </c>
      <c r="B317" s="61">
        <v>37.620295243302351</v>
      </c>
      <c r="C317" s="61">
        <v>0.70724907063197029</v>
      </c>
      <c r="D317" s="61">
        <v>7381.1019267359225</v>
      </c>
      <c r="E317" s="61">
        <f t="shared" si="5"/>
        <v>-708.87195266066044</v>
      </c>
      <c r="F317" s="61">
        <f t="shared" si="0"/>
        <v>-6209718.3053073855</v>
      </c>
      <c r="G317" s="62">
        <f>J317-(I317-(H317*$N$4))</f>
        <v>1990499.3485063959</v>
      </c>
      <c r="H317" s="62">
        <f t="shared" si="2"/>
        <v>59048815.413887382</v>
      </c>
      <c r="I317" s="62">
        <f t="shared" si="3"/>
        <v>1771464.4624166214</v>
      </c>
      <c r="J317" s="63">
        <f t="shared" si="4"/>
        <v>-1552429.5763268464</v>
      </c>
    </row>
    <row r="318" spans="1:12" ht="13.2" x14ac:dyDescent="0.25">
      <c r="A318" s="64">
        <v>760</v>
      </c>
      <c r="B318" s="65">
        <v>37.587916894477857</v>
      </c>
      <c r="C318" s="65">
        <v>0.70631970260223054</v>
      </c>
      <c r="D318" s="65">
        <v>7374.7492946965558</v>
      </c>
      <c r="E318" s="65">
        <f t="shared" si="5"/>
        <v>-715.60834035296284</v>
      </c>
      <c r="F318" s="65">
        <f t="shared" si="0"/>
        <v>-6268729.0614919541</v>
      </c>
      <c r="G318" s="66">
        <f t="shared" ref="G318:G332" si="25">J318-I318-(H318*$N$4)</f>
        <v>-8646941.5882816818</v>
      </c>
      <c r="H318" s="66">
        <f t="shared" si="2"/>
        <v>58997994.357572444</v>
      </c>
      <c r="I318" s="66">
        <f t="shared" si="3"/>
        <v>1769939.8307271732</v>
      </c>
      <c r="J318" s="67">
        <f t="shared" si="4"/>
        <v>-1567182.2653729885</v>
      </c>
    </row>
    <row r="319" spans="1:12" ht="13.2" x14ac:dyDescent="0.25">
      <c r="A319" s="60">
        <v>759</v>
      </c>
      <c r="B319" s="61">
        <v>37.525325314379444</v>
      </c>
      <c r="C319" s="61">
        <v>0.70539033457249067</v>
      </c>
      <c r="D319" s="61">
        <v>7362.4688266812473</v>
      </c>
      <c r="E319" s="61">
        <f t="shared" si="5"/>
        <v>-728.61353859036444</v>
      </c>
      <c r="F319" s="61">
        <f t="shared" si="0"/>
        <v>-6382654.5980515927</v>
      </c>
      <c r="G319" s="62">
        <f t="shared" si="25"/>
        <v>-8663633.7231268957</v>
      </c>
      <c r="H319" s="62">
        <f t="shared" si="2"/>
        <v>58899750.613449976</v>
      </c>
      <c r="I319" s="62">
        <f t="shared" si="3"/>
        <v>1766992.5184034992</v>
      </c>
      <c r="J319" s="63">
        <f t="shared" si="4"/>
        <v>-1595663.6495128982</v>
      </c>
    </row>
    <row r="320" spans="1:12" ht="13.2" x14ac:dyDescent="0.25">
      <c r="A320" s="64">
        <v>758</v>
      </c>
      <c r="B320" s="65">
        <v>37.461355932203389</v>
      </c>
      <c r="C320" s="65">
        <v>0.70446096654275092</v>
      </c>
      <c r="D320" s="65">
        <v>7349.9180338983051</v>
      </c>
      <c r="E320" s="65">
        <f t="shared" si="5"/>
        <v>-741.88751831804859</v>
      </c>
      <c r="F320" s="65">
        <f t="shared" si="0"/>
        <v>-6498934.6604661057</v>
      </c>
      <c r="G320" s="66">
        <f t="shared" si="25"/>
        <v>-8680654.9776588995</v>
      </c>
      <c r="H320" s="66">
        <f t="shared" si="2"/>
        <v>58799344.271186441</v>
      </c>
      <c r="I320" s="66">
        <f t="shared" si="3"/>
        <v>1763980.3281355931</v>
      </c>
      <c r="J320" s="67">
        <f t="shared" si="4"/>
        <v>-1624733.6651165264</v>
      </c>
    </row>
    <row r="321" spans="1:10" ht="13.2" x14ac:dyDescent="0.25">
      <c r="A321" s="60">
        <v>757</v>
      </c>
      <c r="B321" s="61">
        <v>37.443838162930561</v>
      </c>
      <c r="C321" s="61">
        <v>0.70353159851301117</v>
      </c>
      <c r="D321" s="61">
        <v>7346.4810475669765</v>
      </c>
      <c r="E321" s="61">
        <f t="shared" si="5"/>
        <v>-745.51775527488405</v>
      </c>
      <c r="F321" s="61">
        <f t="shared" si="0"/>
        <v>-6530735.5362079842</v>
      </c>
      <c r="G321" s="62">
        <f t="shared" si="25"/>
        <v>-8685305.6897162944</v>
      </c>
      <c r="H321" s="62">
        <f t="shared" si="2"/>
        <v>58771848.380535811</v>
      </c>
      <c r="I321" s="62">
        <f t="shared" si="3"/>
        <v>1763155.4514160743</v>
      </c>
      <c r="J321" s="63">
        <f t="shared" si="4"/>
        <v>-1632683.8840519961</v>
      </c>
    </row>
    <row r="322" spans="1:10" ht="13.2" x14ac:dyDescent="0.25">
      <c r="A322" s="64">
        <v>756</v>
      </c>
      <c r="B322" s="65">
        <v>37.412247129579008</v>
      </c>
      <c r="C322" s="65">
        <v>0.70260223048327142</v>
      </c>
      <c r="D322" s="65">
        <v>7340.2828868234028</v>
      </c>
      <c r="E322" s="65">
        <f t="shared" si="5"/>
        <v>-752.05577799231537</v>
      </c>
      <c r="F322" s="65">
        <f t="shared" si="0"/>
        <v>-6588008.6152126817</v>
      </c>
      <c r="G322" s="66">
        <f t="shared" si="25"/>
        <v>-8693673.7251536362</v>
      </c>
      <c r="H322" s="66">
        <f t="shared" si="2"/>
        <v>58722263.094587222</v>
      </c>
      <c r="I322" s="66">
        <f t="shared" si="3"/>
        <v>1761667.8928376166</v>
      </c>
      <c r="J322" s="67">
        <f t="shared" si="4"/>
        <v>-1647002.1538031704</v>
      </c>
    </row>
    <row r="323" spans="1:10" ht="13.2" x14ac:dyDescent="0.25">
      <c r="A323" s="60">
        <v>755</v>
      </c>
      <c r="B323" s="61">
        <v>37.299070530344451</v>
      </c>
      <c r="C323" s="61">
        <v>0.70167286245353155</v>
      </c>
      <c r="D323" s="61">
        <v>7318.0776380535808</v>
      </c>
      <c r="E323" s="61">
        <f t="shared" si="5"/>
        <v>-775.4476455393351</v>
      </c>
      <c r="F323" s="61">
        <f t="shared" si="0"/>
        <v>-6792921.3749245759</v>
      </c>
      <c r="G323" s="62">
        <f t="shared" si="25"/>
        <v>-8723584.8762625828</v>
      </c>
      <c r="H323" s="62">
        <f t="shared" si="2"/>
        <v>58544621.104428649</v>
      </c>
      <c r="I323" s="62">
        <f t="shared" si="3"/>
        <v>1756338.6331328594</v>
      </c>
      <c r="J323" s="63">
        <f t="shared" si="4"/>
        <v>-1698230.343731144</v>
      </c>
    </row>
    <row r="324" spans="1:10" ht="13.2" x14ac:dyDescent="0.25">
      <c r="A324" s="64">
        <v>754</v>
      </c>
      <c r="B324" s="65">
        <v>37.252422088572992</v>
      </c>
      <c r="C324" s="65">
        <v>0.7007434944237918</v>
      </c>
      <c r="D324" s="65">
        <v>7308.9252137780204</v>
      </c>
      <c r="E324" s="65">
        <f t="shared" si="5"/>
        <v>-785.07640416380946</v>
      </c>
      <c r="F324" s="65">
        <f t="shared" si="0"/>
        <v>-6877269.3004749706</v>
      </c>
      <c r="G324" s="66">
        <f t="shared" si="25"/>
        <v>-8735885.5303456411</v>
      </c>
      <c r="H324" s="66">
        <f t="shared" si="2"/>
        <v>58471401.710224167</v>
      </c>
      <c r="I324" s="66">
        <f t="shared" si="3"/>
        <v>1754142.051306725</v>
      </c>
      <c r="J324" s="67">
        <f t="shared" si="4"/>
        <v>-1719317.3251187427</v>
      </c>
    </row>
    <row r="325" spans="1:10" ht="13.2" x14ac:dyDescent="0.25">
      <c r="A325" s="60">
        <v>753</v>
      </c>
      <c r="B325" s="61">
        <v>37.221716785128478</v>
      </c>
      <c r="C325" s="61">
        <v>0.69981412639405205</v>
      </c>
      <c r="D325" s="61">
        <v>7302.9008332422072</v>
      </c>
      <c r="E325" s="61">
        <f t="shared" si="5"/>
        <v>-791.40592293308157</v>
      </c>
      <c r="F325" s="61">
        <f t="shared" si="0"/>
        <v>-6932715.8848937945</v>
      </c>
      <c r="G325" s="62">
        <f t="shared" si="25"/>
        <v>-8743963.7711359672</v>
      </c>
      <c r="H325" s="62">
        <f t="shared" si="2"/>
        <v>58423206.665937655</v>
      </c>
      <c r="I325" s="62">
        <f t="shared" si="3"/>
        <v>1752696.1999781295</v>
      </c>
      <c r="J325" s="63">
        <f t="shared" si="4"/>
        <v>-1733178.9712234486</v>
      </c>
    </row>
    <row r="326" spans="1:10" ht="13.2" x14ac:dyDescent="0.25">
      <c r="A326" s="64">
        <v>752</v>
      </c>
      <c r="B326" s="65">
        <v>37.047818480043738</v>
      </c>
      <c r="C326" s="65">
        <v>0.6988847583643123</v>
      </c>
      <c r="D326" s="65">
        <v>7268.7819857845807</v>
      </c>
      <c r="E326" s="65">
        <f t="shared" si="5"/>
        <v>-827.2053455907585</v>
      </c>
      <c r="F326" s="65">
        <f t="shared" si="0"/>
        <v>-7246318.8273750441</v>
      </c>
      <c r="G326" s="66">
        <f t="shared" si="25"/>
        <v>-8789610.4131969586</v>
      </c>
      <c r="H326" s="66">
        <f t="shared" si="2"/>
        <v>58150255.886276647</v>
      </c>
      <c r="I326" s="66">
        <f t="shared" si="3"/>
        <v>1744507.6765882995</v>
      </c>
      <c r="J326" s="67">
        <f t="shared" si="4"/>
        <v>-1811579.706843761</v>
      </c>
    </row>
    <row r="327" spans="1:10" ht="13.2" x14ac:dyDescent="0.25">
      <c r="A327" s="60">
        <v>751</v>
      </c>
      <c r="B327" s="61">
        <v>36.853253143794426</v>
      </c>
      <c r="C327" s="61">
        <v>0.69795539033457255</v>
      </c>
      <c r="D327" s="61">
        <v>7230.6082668124673</v>
      </c>
      <c r="E327" s="61">
        <f t="shared" si="5"/>
        <v>-867.20615241330302</v>
      </c>
      <c r="F327" s="61">
        <f t="shared" si="0"/>
        <v>-7596725.8951405333</v>
      </c>
      <c r="G327" s="62">
        <f t="shared" si="25"/>
        <v>-8840565.4099251013</v>
      </c>
      <c r="H327" s="62">
        <f t="shared" si="2"/>
        <v>57844866.134499736</v>
      </c>
      <c r="I327" s="62">
        <f t="shared" si="3"/>
        <v>1735345.9840349921</v>
      </c>
      <c r="J327" s="63">
        <f t="shared" si="4"/>
        <v>-1899181.4737851333</v>
      </c>
    </row>
    <row r="328" spans="1:10" ht="13.2" x14ac:dyDescent="0.25">
      <c r="A328" s="64">
        <v>750</v>
      </c>
      <c r="B328" s="65">
        <v>36.751787862219786</v>
      </c>
      <c r="C328" s="65">
        <v>0.69702602230483268</v>
      </c>
      <c r="D328" s="65">
        <v>7210.7007785675214</v>
      </c>
      <c r="E328" s="65">
        <f t="shared" si="5"/>
        <v>-888.0387098146125</v>
      </c>
      <c r="F328" s="65">
        <f t="shared" si="0"/>
        <v>-7779219.0979760056</v>
      </c>
      <c r="G328" s="66">
        <f t="shared" si="25"/>
        <v>-8867077.5219188221</v>
      </c>
      <c r="H328" s="66">
        <f t="shared" si="2"/>
        <v>57685606.228540175</v>
      </c>
      <c r="I328" s="66">
        <f t="shared" si="3"/>
        <v>1730568.1868562051</v>
      </c>
      <c r="J328" s="67">
        <f t="shared" si="4"/>
        <v>-1944804.7744940014</v>
      </c>
    </row>
    <row r="329" spans="1:10" ht="13.2" x14ac:dyDescent="0.25">
      <c r="A329" s="60">
        <v>749</v>
      </c>
      <c r="B329" s="61">
        <v>36.735549480590485</v>
      </c>
      <c r="C329" s="61">
        <v>0.69609665427509293</v>
      </c>
      <c r="D329" s="61">
        <v>7207.5148080918525</v>
      </c>
      <c r="E329" s="61">
        <f t="shared" si="5"/>
        <v>-891.36828583681483</v>
      </c>
      <c r="F329" s="61">
        <f t="shared" si="0"/>
        <v>-7808386.1839304985</v>
      </c>
      <c r="G329" s="62">
        <f t="shared" si="25"/>
        <v>-8871310.7617508024</v>
      </c>
      <c r="H329" s="62">
        <f t="shared" si="2"/>
        <v>57660118.464734823</v>
      </c>
      <c r="I329" s="62">
        <f t="shared" si="3"/>
        <v>1729803.5539420445</v>
      </c>
      <c r="J329" s="63">
        <f t="shared" si="4"/>
        <v>-1952096.5459826246</v>
      </c>
    </row>
    <row r="330" spans="1:10" ht="13.2" x14ac:dyDescent="0.25">
      <c r="A330" s="64">
        <v>748</v>
      </c>
      <c r="B330" s="65">
        <v>36.557813012575174</v>
      </c>
      <c r="C330" s="65">
        <v>0.69516728624535318</v>
      </c>
      <c r="D330" s="65">
        <v>7172.6429130672504</v>
      </c>
      <c r="E330" s="65">
        <f t="shared" si="5"/>
        <v>-927.76339560691531</v>
      </c>
      <c r="F330" s="65">
        <f t="shared" si="0"/>
        <v>-8127207.3455165783</v>
      </c>
      <c r="G330" s="66">
        <f t="shared" si="25"/>
        <v>-8917539.0329237059</v>
      </c>
      <c r="H330" s="66">
        <f t="shared" si="2"/>
        <v>57381143.304538004</v>
      </c>
      <c r="I330" s="66">
        <f t="shared" si="3"/>
        <v>1721434.2991361402</v>
      </c>
      <c r="J330" s="67">
        <f t="shared" si="4"/>
        <v>-2031801.8363791446</v>
      </c>
    </row>
    <row r="331" spans="1:10" ht="13.2" x14ac:dyDescent="0.25">
      <c r="A331" s="60">
        <v>747</v>
      </c>
      <c r="B331" s="61">
        <v>36.392378348824494</v>
      </c>
      <c r="C331" s="61">
        <v>0.69423791821561343</v>
      </c>
      <c r="D331" s="61">
        <v>7140.184632039367</v>
      </c>
      <c r="E331" s="61">
        <f t="shared" si="5"/>
        <v>-961.59421547008571</v>
      </c>
      <c r="F331" s="61">
        <f t="shared" si="0"/>
        <v>-8423565.3275179509</v>
      </c>
      <c r="G331" s="62">
        <f t="shared" si="25"/>
        <v>-8960468.5786372796</v>
      </c>
      <c r="H331" s="62">
        <f t="shared" si="2"/>
        <v>57121477.056314938</v>
      </c>
      <c r="I331" s="62">
        <f t="shared" si="3"/>
        <v>1713644.3116894481</v>
      </c>
      <c r="J331" s="63">
        <f t="shared" si="4"/>
        <v>-2105891.3318794877</v>
      </c>
    </row>
    <row r="332" spans="1:10" ht="13.2" x14ac:dyDescent="0.25">
      <c r="A332" s="64">
        <v>746</v>
      </c>
      <c r="B332" s="65">
        <v>36.370235101148168</v>
      </c>
      <c r="C332" s="65">
        <v>0.69330855018587356</v>
      </c>
      <c r="D332" s="65">
        <v>7135.8401268452708</v>
      </c>
      <c r="E332" s="65">
        <f t="shared" si="5"/>
        <v>-966.11637701040888</v>
      </c>
      <c r="F332" s="65">
        <f t="shared" si="0"/>
        <v>-8463179.4626111817</v>
      </c>
      <c r="G332" s="66">
        <f t="shared" si="25"/>
        <v>-8966201.3874242548</v>
      </c>
      <c r="H332" s="66">
        <f t="shared" si="2"/>
        <v>57086721.014762163</v>
      </c>
      <c r="I332" s="66">
        <f t="shared" si="3"/>
        <v>1712601.6304428647</v>
      </c>
      <c r="J332" s="67">
        <f t="shared" si="4"/>
        <v>-2115794.8656527954</v>
      </c>
    </row>
    <row r="333" spans="1:10" ht="13.2" x14ac:dyDescent="0.25">
      <c r="A333" s="60">
        <v>745</v>
      </c>
      <c r="B333" s="61">
        <v>36.251645708037181</v>
      </c>
      <c r="C333" s="61">
        <v>0.69237918215613381</v>
      </c>
      <c r="D333" s="61">
        <v>7112.5728879168964</v>
      </c>
      <c r="E333" s="61">
        <f t="shared" si="5"/>
        <v>-990.30262862879806</v>
      </c>
      <c r="F333" s="61">
        <f t="shared" si="0"/>
        <v>-8675051.0267882701</v>
      </c>
      <c r="G333" s="62">
        <f>J333-(I333-(H333*$N$4))</f>
        <v>1245272.229503043</v>
      </c>
      <c r="H333" s="62">
        <f t="shared" si="2"/>
        <v>56900583.103335172</v>
      </c>
      <c r="I333" s="62">
        <f t="shared" si="3"/>
        <v>1707017.493100055</v>
      </c>
      <c r="J333" s="63">
        <f t="shared" si="4"/>
        <v>-2168762.7566970675</v>
      </c>
    </row>
    <row r="334" spans="1:10" ht="13.2" x14ac:dyDescent="0.25">
      <c r="A334" s="64">
        <v>744</v>
      </c>
      <c r="B334" s="65">
        <v>36.173406232914161</v>
      </c>
      <c r="C334" s="65">
        <v>0.69144981412639406</v>
      </c>
      <c r="D334" s="65">
        <v>7097.2223028977587</v>
      </c>
      <c r="E334" s="65">
        <f t="shared" si="5"/>
        <v>-1006.238133709074</v>
      </c>
      <c r="F334" s="65">
        <f t="shared" si="0"/>
        <v>-8814646.0512914881</v>
      </c>
      <c r="G334" s="66">
        <f t="shared" ref="G334:G348" si="26">J334-I334-(H334*$N$4)</f>
        <v>-9016994.9236047193</v>
      </c>
      <c r="H334" s="66">
        <f t="shared" si="2"/>
        <v>56777778.42318207</v>
      </c>
      <c r="I334" s="66">
        <f t="shared" si="3"/>
        <v>1703333.3526954621</v>
      </c>
      <c r="J334" s="67">
        <f t="shared" si="4"/>
        <v>-2203661.512822872</v>
      </c>
    </row>
    <row r="335" spans="1:10" ht="13.2" x14ac:dyDescent="0.25">
      <c r="A335" s="60">
        <v>743</v>
      </c>
      <c r="B335" s="61">
        <v>36.142602515035534</v>
      </c>
      <c r="C335" s="61">
        <v>0.69052044609665431</v>
      </c>
      <c r="D335" s="61">
        <v>7091.1786134499725</v>
      </c>
      <c r="E335" s="61">
        <f t="shared" si="5"/>
        <v>-1012.5036872211608</v>
      </c>
      <c r="F335" s="61">
        <f t="shared" si="0"/>
        <v>-8869532.3000573684</v>
      </c>
      <c r="G335" s="62">
        <f t="shared" si="26"/>
        <v>-9024914.5439263154</v>
      </c>
      <c r="H335" s="62">
        <f t="shared" si="2"/>
        <v>56729428.907599777</v>
      </c>
      <c r="I335" s="62">
        <f t="shared" si="3"/>
        <v>1701882.8672279932</v>
      </c>
      <c r="J335" s="63">
        <f t="shared" si="4"/>
        <v>-2217383.0750143421</v>
      </c>
    </row>
    <row r="336" spans="1:10" ht="13.2" x14ac:dyDescent="0.25">
      <c r="A336" s="64">
        <v>742</v>
      </c>
      <c r="B336" s="65">
        <v>36.083652268999451</v>
      </c>
      <c r="C336" s="65">
        <v>0.68959107806691455</v>
      </c>
      <c r="D336" s="65">
        <v>7079.6125751776926</v>
      </c>
      <c r="E336" s="65">
        <f t="shared" si="5"/>
        <v>-1024.4781915290789</v>
      </c>
      <c r="F336" s="65">
        <f t="shared" si="0"/>
        <v>-8974428.9577947315</v>
      </c>
      <c r="G336" s="66">
        <f t="shared" si="26"/>
        <v>-9040035.3116192669</v>
      </c>
      <c r="H336" s="66">
        <f t="shared" si="2"/>
        <v>56636900.601421542</v>
      </c>
      <c r="I336" s="66">
        <f t="shared" si="3"/>
        <v>1699107.0180426461</v>
      </c>
      <c r="J336" s="67">
        <f t="shared" si="4"/>
        <v>-2243607.2394486829</v>
      </c>
    </row>
    <row r="337" spans="1:10" ht="13.2" x14ac:dyDescent="0.25">
      <c r="A337" s="60">
        <v>741</v>
      </c>
      <c r="B337" s="61">
        <v>36.025292509568068</v>
      </c>
      <c r="C337" s="61">
        <v>0.68866171003717469</v>
      </c>
      <c r="D337" s="61">
        <v>7068.1623903772552</v>
      </c>
      <c r="E337" s="61">
        <f t="shared" si="5"/>
        <v>-1036.3167887321335</v>
      </c>
      <c r="F337" s="61">
        <f t="shared" si="0"/>
        <v>-9078135.0692934897</v>
      </c>
      <c r="G337" s="62">
        <f t="shared" si="26"/>
        <v>-9054969.6620855369</v>
      </c>
      <c r="H337" s="62">
        <f t="shared" si="2"/>
        <v>56545299.123018041</v>
      </c>
      <c r="I337" s="62">
        <f t="shared" si="3"/>
        <v>1696358.9736905412</v>
      </c>
      <c r="J337" s="63">
        <f t="shared" si="4"/>
        <v>-2269533.7673233724</v>
      </c>
    </row>
    <row r="338" spans="1:10" ht="13.2" x14ac:dyDescent="0.25">
      <c r="A338" s="64">
        <v>740</v>
      </c>
      <c r="B338" s="65">
        <v>36.011809732094036</v>
      </c>
      <c r="C338" s="65">
        <v>0.68773234200743494</v>
      </c>
      <c r="D338" s="65">
        <v>7065.5170694368499</v>
      </c>
      <c r="E338" s="65">
        <f t="shared" si="5"/>
        <v>-1039.0481563574033</v>
      </c>
      <c r="F338" s="65">
        <f t="shared" si="0"/>
        <v>-9102061.8496908527</v>
      </c>
      <c r="G338" s="66">
        <f t="shared" si="26"/>
        <v>-9058411.84908209</v>
      </c>
      <c r="H338" s="66">
        <f t="shared" si="2"/>
        <v>56524136.5554948</v>
      </c>
      <c r="I338" s="66">
        <f t="shared" si="3"/>
        <v>1695724.0966648438</v>
      </c>
      <c r="J338" s="67">
        <f t="shared" si="4"/>
        <v>-2275515.4624227132</v>
      </c>
    </row>
    <row r="339" spans="1:10" ht="13.2" x14ac:dyDescent="0.25">
      <c r="A339" s="60">
        <v>739</v>
      </c>
      <c r="B339" s="61">
        <v>35.856610169491525</v>
      </c>
      <c r="C339" s="61">
        <v>0.68680297397769519</v>
      </c>
      <c r="D339" s="61">
        <v>7035.0669152542378</v>
      </c>
      <c r="E339" s="61">
        <f t="shared" si="5"/>
        <v>-1070.4463404332473</v>
      </c>
      <c r="F339" s="61">
        <f t="shared" si="0"/>
        <v>-9377109.942195246</v>
      </c>
      <c r="G339" s="62">
        <f t="shared" si="26"/>
        <v>-9097941.7241928801</v>
      </c>
      <c r="H339" s="62">
        <f t="shared" si="2"/>
        <v>56280535.322033904</v>
      </c>
      <c r="I339" s="62">
        <f t="shared" si="3"/>
        <v>1688416.059661017</v>
      </c>
      <c r="J339" s="63">
        <f t="shared" si="4"/>
        <v>-2344277.4855488115</v>
      </c>
    </row>
    <row r="340" spans="1:10" ht="13.2" x14ac:dyDescent="0.25">
      <c r="A340" s="64">
        <v>738</v>
      </c>
      <c r="B340" s="65">
        <v>35.803367960634226</v>
      </c>
      <c r="C340" s="65">
        <v>0.68587360594795543</v>
      </c>
      <c r="D340" s="65">
        <v>7024.6207938764355</v>
      </c>
      <c r="E340" s="65">
        <f t="shared" si="5"/>
        <v>-1081.2031271308356</v>
      </c>
      <c r="F340" s="65">
        <f t="shared" si="0"/>
        <v>-9471339.3936661202</v>
      </c>
      <c r="G340" s="66">
        <f t="shared" si="26"/>
        <v>-9111470.8105379082</v>
      </c>
      <c r="H340" s="66">
        <f t="shared" si="2"/>
        <v>56196966.351011485</v>
      </c>
      <c r="I340" s="66">
        <f t="shared" si="3"/>
        <v>1685908.9905303444</v>
      </c>
      <c r="J340" s="67">
        <f t="shared" si="4"/>
        <v>-2367834.8484165301</v>
      </c>
    </row>
    <row r="341" spans="1:10" ht="13.2" x14ac:dyDescent="0.25">
      <c r="A341" s="60">
        <v>737</v>
      </c>
      <c r="B341" s="61">
        <v>35.69019136139967</v>
      </c>
      <c r="C341" s="61">
        <v>0.68494423791821557</v>
      </c>
      <c r="D341" s="61">
        <v>7002.4155451066163</v>
      </c>
      <c r="E341" s="61">
        <f t="shared" si="5"/>
        <v>-1104.0377997737771</v>
      </c>
      <c r="F341" s="61">
        <f t="shared" si="0"/>
        <v>-9671371.1260182876</v>
      </c>
      <c r="G341" s="62">
        <f t="shared" si="26"/>
        <v>-9140161.7048069239</v>
      </c>
      <c r="H341" s="62">
        <f t="shared" si="2"/>
        <v>56019324.360852927</v>
      </c>
      <c r="I341" s="62">
        <f t="shared" si="3"/>
        <v>1680579.7308255876</v>
      </c>
      <c r="J341" s="63">
        <f t="shared" si="4"/>
        <v>-2417842.7815045719</v>
      </c>
    </row>
    <row r="342" spans="1:10" ht="13.2" x14ac:dyDescent="0.25">
      <c r="A342" s="64">
        <v>736</v>
      </c>
      <c r="B342" s="65">
        <v>35.657124111536355</v>
      </c>
      <c r="C342" s="65">
        <v>0.68401486988847582</v>
      </c>
      <c r="D342" s="65">
        <v>6995.9277506834333</v>
      </c>
      <c r="E342" s="65">
        <f t="shared" si="5"/>
        <v>-1110.7004511098526</v>
      </c>
      <c r="F342" s="65">
        <f t="shared" si="0"/>
        <v>-9729735.951722309</v>
      </c>
      <c r="G342" s="66">
        <f t="shared" si="26"/>
        <v>-9148524.6285866722</v>
      </c>
      <c r="H342" s="66">
        <f t="shared" si="2"/>
        <v>55967422.005467467</v>
      </c>
      <c r="I342" s="66">
        <f t="shared" si="3"/>
        <v>1679022.660164024</v>
      </c>
      <c r="J342" s="67">
        <f t="shared" si="4"/>
        <v>-2432433.9879305772</v>
      </c>
    </row>
    <row r="343" spans="1:10" ht="13.2" x14ac:dyDescent="0.25">
      <c r="A343" s="60">
        <v>735</v>
      </c>
      <c r="B343" s="61">
        <v>35.575243302351012</v>
      </c>
      <c r="C343" s="61">
        <v>0.68308550185873607</v>
      </c>
      <c r="D343" s="61">
        <v>6979.8627359212687</v>
      </c>
      <c r="E343" s="61">
        <f t="shared" si="5"/>
        <v>-1127.1760494277416</v>
      </c>
      <c r="F343" s="61">
        <f t="shared" si="0"/>
        <v>-9874062.1929870173</v>
      </c>
      <c r="G343" s="62">
        <f t="shared" si="26"/>
        <v>-9169183.7747311722</v>
      </c>
      <c r="H343" s="62">
        <f t="shared" si="2"/>
        <v>55838901.887370147</v>
      </c>
      <c r="I343" s="62">
        <f t="shared" si="3"/>
        <v>1675167.0566211042</v>
      </c>
      <c r="J343" s="63">
        <f t="shared" si="4"/>
        <v>-2468515.5482467543</v>
      </c>
    </row>
    <row r="344" spans="1:10" ht="13.2" x14ac:dyDescent="0.25">
      <c r="A344" s="64">
        <v>734</v>
      </c>
      <c r="B344" s="65">
        <v>35.442580645161286</v>
      </c>
      <c r="C344" s="65">
        <v>0.68215613382899631</v>
      </c>
      <c r="D344" s="65">
        <v>6953.8343225806448</v>
      </c>
      <c r="E344" s="65">
        <f t="shared" si="5"/>
        <v>-1153.8334021241799</v>
      </c>
      <c r="F344" s="65">
        <f t="shared" si="0"/>
        <v>-10107580.602607816</v>
      </c>
      <c r="G344" s="66">
        <f t="shared" si="26"/>
        <v>-9202576.100329373</v>
      </c>
      <c r="H344" s="66">
        <f t="shared" si="2"/>
        <v>55630674.580645159</v>
      </c>
      <c r="I344" s="66">
        <f t="shared" si="3"/>
        <v>1668920.2374193547</v>
      </c>
      <c r="J344" s="67">
        <f t="shared" si="4"/>
        <v>-2526895.1506519541</v>
      </c>
    </row>
    <row r="345" spans="1:10" ht="13.2" x14ac:dyDescent="0.25">
      <c r="A345" s="60">
        <v>733</v>
      </c>
      <c r="B345" s="61">
        <v>35.430278840896662</v>
      </c>
      <c r="C345" s="61">
        <v>0.68122676579925645</v>
      </c>
      <c r="D345" s="61">
        <v>6951.4207085839262</v>
      </c>
      <c r="E345" s="61">
        <f t="shared" si="5"/>
        <v>-1156.3019729451732</v>
      </c>
      <c r="F345" s="61">
        <f t="shared" si="0"/>
        <v>-10129205.282999717</v>
      </c>
      <c r="G345" s="62">
        <f t="shared" si="26"/>
        <v>-9205665.2009904981</v>
      </c>
      <c r="H345" s="62">
        <f t="shared" si="2"/>
        <v>55611365.668671407</v>
      </c>
      <c r="I345" s="62">
        <f t="shared" si="3"/>
        <v>1668340.9700601422</v>
      </c>
      <c r="J345" s="63">
        <f t="shared" si="4"/>
        <v>-2532301.3207499292</v>
      </c>
    </row>
    <row r="346" spans="1:10" ht="13.2" x14ac:dyDescent="0.25">
      <c r="A346" s="64">
        <v>732</v>
      </c>
      <c r="B346" s="65">
        <v>35.383138326954622</v>
      </c>
      <c r="C346" s="65">
        <v>0.6802973977695167</v>
      </c>
      <c r="D346" s="65">
        <v>6942.1717397484963</v>
      </c>
      <c r="E346" s="65">
        <f t="shared" si="5"/>
        <v>-1165.7486427873084</v>
      </c>
      <c r="F346" s="65">
        <f t="shared" si="0"/>
        <v>-10211958.110816823</v>
      </c>
      <c r="G346" s="66">
        <f t="shared" si="26"/>
        <v>-9217474.3978627622</v>
      </c>
      <c r="H346" s="66">
        <f t="shared" si="2"/>
        <v>55537373.917987972</v>
      </c>
      <c r="I346" s="66">
        <f t="shared" si="3"/>
        <v>1666121.2175396392</v>
      </c>
      <c r="J346" s="67">
        <f t="shared" si="4"/>
        <v>-2552989.5277042058</v>
      </c>
    </row>
    <row r="347" spans="1:10" ht="13.2" x14ac:dyDescent="0.25">
      <c r="A347" s="60">
        <v>731</v>
      </c>
      <c r="B347" s="61">
        <v>35.309917987971566</v>
      </c>
      <c r="C347" s="61">
        <v>0.67936802973977695</v>
      </c>
      <c r="D347" s="61">
        <v>6927.8059092400217</v>
      </c>
      <c r="E347" s="61">
        <f t="shared" si="5"/>
        <v>-1180.4015228830806</v>
      </c>
      <c r="F347" s="61">
        <f t="shared" si="0"/>
        <v>-10340317.340455787</v>
      </c>
      <c r="G347" s="62">
        <f t="shared" si="26"/>
        <v>-9235773.0079843663</v>
      </c>
      <c r="H347" s="62">
        <f t="shared" si="2"/>
        <v>55422447.273920171</v>
      </c>
      <c r="I347" s="62">
        <f t="shared" si="3"/>
        <v>1662673.418217605</v>
      </c>
      <c r="J347" s="63">
        <f t="shared" si="4"/>
        <v>-2585079.3351139468</v>
      </c>
    </row>
    <row r="348" spans="1:10" ht="13.2" x14ac:dyDescent="0.25">
      <c r="A348" s="64">
        <v>730</v>
      </c>
      <c r="B348" s="65">
        <v>35.211011481683983</v>
      </c>
      <c r="C348" s="65">
        <v>0.67843866171003719</v>
      </c>
      <c r="D348" s="65">
        <v>6908.400452706398</v>
      </c>
      <c r="E348" s="65">
        <f t="shared" si="5"/>
        <v>-1200.1676756348013</v>
      </c>
      <c r="F348" s="65">
        <f t="shared" si="0"/>
        <v>-10513468.838560859</v>
      </c>
      <c r="G348" s="66">
        <f t="shared" si="26"/>
        <v>-9260431.6442383565</v>
      </c>
      <c r="H348" s="66">
        <f t="shared" si="2"/>
        <v>55267203.621651188</v>
      </c>
      <c r="I348" s="66">
        <f t="shared" si="3"/>
        <v>1658016.1086495356</v>
      </c>
      <c r="J348" s="67">
        <f t="shared" si="4"/>
        <v>-2628367.2096402147</v>
      </c>
    </row>
    <row r="349" spans="1:10" ht="13.2" x14ac:dyDescent="0.25">
      <c r="A349" s="60">
        <v>729</v>
      </c>
      <c r="B349" s="61">
        <v>35.16898851831602</v>
      </c>
      <c r="C349" s="61">
        <v>0.67750929368029744</v>
      </c>
      <c r="D349" s="61">
        <v>6900.1555472936034</v>
      </c>
      <c r="E349" s="61">
        <f t="shared" si="5"/>
        <v>-1208.5543382503251</v>
      </c>
      <c r="F349" s="61">
        <f t="shared" si="0"/>
        <v>-10586936.003072849</v>
      </c>
      <c r="G349" s="62">
        <f>J349-(I349-(H349*$N$4))</f>
        <v>665340.66193271708</v>
      </c>
      <c r="H349" s="62">
        <f t="shared" si="2"/>
        <v>55201244.378348827</v>
      </c>
      <c r="I349" s="62">
        <f t="shared" si="3"/>
        <v>1656037.3313504648</v>
      </c>
      <c r="J349" s="63">
        <f t="shared" si="4"/>
        <v>-2646734.0007682121</v>
      </c>
    </row>
    <row r="350" spans="1:10" ht="13.2" x14ac:dyDescent="0.25">
      <c r="A350" s="64">
        <v>728</v>
      </c>
      <c r="B350" s="65">
        <v>35.023630399125203</v>
      </c>
      <c r="C350" s="65">
        <v>0.67657992565055758</v>
      </c>
      <c r="D350" s="65">
        <v>6871.6362843083662</v>
      </c>
      <c r="E350" s="65">
        <f t="shared" si="5"/>
        <v>-1237.5241843868162</v>
      </c>
      <c r="F350" s="65">
        <f t="shared" si="0"/>
        <v>-10840711.85522851</v>
      </c>
      <c r="G350" s="66">
        <f t="shared" ref="G350:G364" si="27">J350-I350-(H350*$N$4)</f>
        <v>-9306948.7967431583</v>
      </c>
      <c r="H350" s="66">
        <f t="shared" si="2"/>
        <v>54973090.274466932</v>
      </c>
      <c r="I350" s="66">
        <f t="shared" si="3"/>
        <v>1649192.7082340079</v>
      </c>
      <c r="J350" s="67">
        <f t="shared" si="4"/>
        <v>-2710177.9638071274</v>
      </c>
    </row>
    <row r="351" spans="1:10" ht="13.2" x14ac:dyDescent="0.25">
      <c r="A351" s="60">
        <v>727</v>
      </c>
      <c r="B351" s="61">
        <v>34.990563149261888</v>
      </c>
      <c r="C351" s="61">
        <v>0.67565055762081783</v>
      </c>
      <c r="D351" s="61">
        <v>6865.1484898851813</v>
      </c>
      <c r="E351" s="61">
        <f t="shared" si="5"/>
        <v>-1244.1054368151676</v>
      </c>
      <c r="F351" s="61">
        <f t="shared" si="0"/>
        <v>-10898363.626500869</v>
      </c>
      <c r="G351" s="62">
        <f t="shared" si="27"/>
        <v>-9315133.4569149911</v>
      </c>
      <c r="H351" s="62">
        <f t="shared" si="2"/>
        <v>54921187.91908145</v>
      </c>
      <c r="I351" s="62">
        <f t="shared" si="3"/>
        <v>1647635.6375724433</v>
      </c>
      <c r="J351" s="63">
        <f t="shared" si="4"/>
        <v>-2724590.9066252173</v>
      </c>
    </row>
    <row r="352" spans="1:10" ht="13.2" x14ac:dyDescent="0.25">
      <c r="A352" s="64">
        <v>726</v>
      </c>
      <c r="B352" s="65">
        <v>34.933089119737559</v>
      </c>
      <c r="C352" s="65">
        <v>0.67472118959107807</v>
      </c>
      <c r="D352" s="65">
        <v>6853.8720852925098</v>
      </c>
      <c r="E352" s="65">
        <f t="shared" si="5"/>
        <v>-1255.5285604267028</v>
      </c>
      <c r="F352" s="65">
        <f t="shared" si="0"/>
        <v>-10998430.189337917</v>
      </c>
      <c r="G352" s="66">
        <f t="shared" si="27"/>
        <v>-9329324.7492152881</v>
      </c>
      <c r="H352" s="66">
        <f t="shared" si="2"/>
        <v>54830976.682340078</v>
      </c>
      <c r="I352" s="66">
        <f t="shared" si="3"/>
        <v>1644929.3004702022</v>
      </c>
      <c r="J352" s="67">
        <f t="shared" si="4"/>
        <v>-2749607.5473344792</v>
      </c>
    </row>
    <row r="353" spans="1:10" ht="13.2" x14ac:dyDescent="0.25">
      <c r="A353" s="60">
        <v>725</v>
      </c>
      <c r="B353" s="61">
        <v>34.892247129579005</v>
      </c>
      <c r="C353" s="61">
        <v>0.67379182156133832</v>
      </c>
      <c r="D353" s="61">
        <v>6845.858886823401</v>
      </c>
      <c r="E353" s="61">
        <f t="shared" si="5"/>
        <v>-1263.634849026726</v>
      </c>
      <c r="F353" s="61">
        <f t="shared" si="0"/>
        <v>-11069441.27747412</v>
      </c>
      <c r="G353" s="62">
        <f t="shared" si="27"/>
        <v>-9339384.8507189937</v>
      </c>
      <c r="H353" s="62">
        <f t="shared" si="2"/>
        <v>54766871.094587207</v>
      </c>
      <c r="I353" s="62">
        <f t="shared" si="3"/>
        <v>1643006.1328376161</v>
      </c>
      <c r="J353" s="63">
        <f t="shared" si="4"/>
        <v>-2767360.3193685301</v>
      </c>
    </row>
    <row r="354" spans="1:10" ht="13.2" x14ac:dyDescent="0.25">
      <c r="A354" s="64">
        <v>724</v>
      </c>
      <c r="B354" s="65">
        <v>34.87551667577911</v>
      </c>
      <c r="C354" s="65">
        <v>0.67286245353159846</v>
      </c>
      <c r="D354" s="65">
        <v>6842.5763717878608</v>
      </c>
      <c r="E354" s="65">
        <f t="shared" si="5"/>
        <v>-1266.9509213721092</v>
      </c>
      <c r="F354" s="65">
        <f t="shared" si="0"/>
        <v>-11098490.071219675</v>
      </c>
      <c r="G354" s="66">
        <f t="shared" si="27"/>
        <v>-9343495.8347212654</v>
      </c>
      <c r="H354" s="66">
        <f t="shared" si="2"/>
        <v>54740610.974302888</v>
      </c>
      <c r="I354" s="66">
        <f t="shared" si="3"/>
        <v>1642218.3292290866</v>
      </c>
      <c r="J354" s="67">
        <f t="shared" si="4"/>
        <v>-2774622.5178049188</v>
      </c>
    </row>
    <row r="355" spans="1:10" ht="13.2" x14ac:dyDescent="0.25">
      <c r="A355" s="60">
        <v>723</v>
      </c>
      <c r="B355" s="61">
        <v>34.793340623291421</v>
      </c>
      <c r="C355" s="61">
        <v>0.67193308550185871</v>
      </c>
      <c r="D355" s="61">
        <v>6826.4534302897773</v>
      </c>
      <c r="E355" s="61">
        <f t="shared" si="5"/>
        <v>-1283.2162122607426</v>
      </c>
      <c r="F355" s="61">
        <f t="shared" si="0"/>
        <v>-11240974.019404106</v>
      </c>
      <c r="G355" s="62">
        <f t="shared" si="27"/>
        <v>-9363638.7979292125</v>
      </c>
      <c r="H355" s="62">
        <f t="shared" si="2"/>
        <v>54611627.442318216</v>
      </c>
      <c r="I355" s="62">
        <f t="shared" si="3"/>
        <v>1638348.8232695465</v>
      </c>
      <c r="J355" s="63">
        <f t="shared" si="4"/>
        <v>-2810243.5048510265</v>
      </c>
    </row>
    <row r="356" spans="1:10" ht="13.2" x14ac:dyDescent="0.25">
      <c r="A356" s="64">
        <v>722</v>
      </c>
      <c r="B356" s="65">
        <v>34.680065609622744</v>
      </c>
      <c r="C356" s="65">
        <v>0.67100371747211895</v>
      </c>
      <c r="D356" s="65">
        <v>6804.2288726079832</v>
      </c>
      <c r="E356" s="65">
        <f t="shared" si="5"/>
        <v>-1305.6060082896133</v>
      </c>
      <c r="F356" s="65">
        <f t="shared" si="0"/>
        <v>-11437108.632617014</v>
      </c>
      <c r="G356" s="66">
        <f t="shared" si="27"/>
        <v>-9391336.8758579176</v>
      </c>
      <c r="H356" s="66">
        <f t="shared" si="2"/>
        <v>54433830.980863869</v>
      </c>
      <c r="I356" s="66">
        <f t="shared" si="3"/>
        <v>1633014.9294259159</v>
      </c>
      <c r="J356" s="67">
        <f t="shared" si="4"/>
        <v>-2859277.1581542534</v>
      </c>
    </row>
    <row r="357" spans="1:10" ht="13.2" x14ac:dyDescent="0.25">
      <c r="A357" s="60">
        <v>721</v>
      </c>
      <c r="B357" s="61">
        <v>34.282963367960633</v>
      </c>
      <c r="C357" s="61">
        <v>0.6700743494423792</v>
      </c>
      <c r="D357" s="61">
        <v>6726.3174127938773</v>
      </c>
      <c r="E357" s="61">
        <f t="shared" si="5"/>
        <v>-1383.9881228330796</v>
      </c>
      <c r="F357" s="61">
        <f t="shared" si="0"/>
        <v>-12123735.956017777</v>
      </c>
      <c r="G357" s="62">
        <f t="shared" si="27"/>
        <v>-9488198.7052865662</v>
      </c>
      <c r="H357" s="62">
        <f t="shared" si="2"/>
        <v>53810539.30235102</v>
      </c>
      <c r="I357" s="62">
        <f t="shared" si="3"/>
        <v>1614316.1790705305</v>
      </c>
      <c r="J357" s="63">
        <f t="shared" si="4"/>
        <v>-3030933.9890044443</v>
      </c>
    </row>
    <row r="358" spans="1:10" ht="13.2" x14ac:dyDescent="0.25">
      <c r="A358" s="64">
        <v>720</v>
      </c>
      <c r="B358" s="65">
        <v>34.238775287042095</v>
      </c>
      <c r="C358" s="65">
        <v>0.66914498141263945</v>
      </c>
      <c r="D358" s="65">
        <v>6717.6477113176597</v>
      </c>
      <c r="E358" s="65">
        <f t="shared" si="5"/>
        <v>-1392.6981110261941</v>
      </c>
      <c r="F358" s="65">
        <f t="shared" si="0"/>
        <v>-12200035.45258946</v>
      </c>
      <c r="G358" s="66">
        <f t="shared" si="27"/>
        <v>-9498950.6660123169</v>
      </c>
      <c r="H358" s="66">
        <f t="shared" si="2"/>
        <v>53741181.690541275</v>
      </c>
      <c r="I358" s="66">
        <f t="shared" si="3"/>
        <v>1612235.4507162382</v>
      </c>
      <c r="J358" s="67">
        <f t="shared" si="4"/>
        <v>-3050008.8631473649</v>
      </c>
    </row>
    <row r="359" spans="1:10" ht="13.2" x14ac:dyDescent="0.25">
      <c r="A359" s="60">
        <v>719</v>
      </c>
      <c r="B359" s="61">
        <v>34.194193548387098</v>
      </c>
      <c r="C359" s="61">
        <v>0.66821561338289959</v>
      </c>
      <c r="D359" s="61">
        <v>6708.9007741935484</v>
      </c>
      <c r="E359" s="61">
        <f t="shared" si="5"/>
        <v>-1401.47350008333</v>
      </c>
      <c r="F359" s="61">
        <f t="shared" si="0"/>
        <v>-12276907.860729972</v>
      </c>
      <c r="G359" s="62">
        <f t="shared" si="27"/>
        <v>-9509771.7084082998</v>
      </c>
      <c r="H359" s="62">
        <f t="shared" si="2"/>
        <v>53671206.193548389</v>
      </c>
      <c r="I359" s="62">
        <f t="shared" si="3"/>
        <v>1610136.1858064516</v>
      </c>
      <c r="J359" s="63">
        <f t="shared" si="4"/>
        <v>-3069226.965182493</v>
      </c>
    </row>
    <row r="360" spans="1:10" ht="13.2" x14ac:dyDescent="0.25">
      <c r="A360" s="64">
        <v>718</v>
      </c>
      <c r="B360" s="65">
        <v>34.150891197375614</v>
      </c>
      <c r="C360" s="65">
        <v>0.66728624535315983</v>
      </c>
      <c r="D360" s="65">
        <v>6700.4048529250949</v>
      </c>
      <c r="E360" s="65">
        <f t="shared" si="5"/>
        <v>-1409.9852130270037</v>
      </c>
      <c r="F360" s="65">
        <f t="shared" si="0"/>
        <v>-12351470.466116553</v>
      </c>
      <c r="G360" s="66">
        <f t="shared" si="27"/>
        <v>-9520256.2753372304</v>
      </c>
      <c r="H360" s="66">
        <f t="shared" si="2"/>
        <v>53603238.823400758</v>
      </c>
      <c r="I360" s="66">
        <f t="shared" si="3"/>
        <v>1608097.1647020227</v>
      </c>
      <c r="J360" s="67">
        <f t="shared" si="4"/>
        <v>-3087867.6165291383</v>
      </c>
    </row>
    <row r="361" spans="1:10" ht="13.2" x14ac:dyDescent="0.25">
      <c r="A361" s="60">
        <v>717</v>
      </c>
      <c r="B361" s="61">
        <v>34.11792236194642</v>
      </c>
      <c r="C361" s="61">
        <v>0.66635687732342008</v>
      </c>
      <c r="D361" s="61">
        <v>6693.9363674138876</v>
      </c>
      <c r="E361" s="61">
        <f t="shared" si="5"/>
        <v>-1416.4567043400284</v>
      </c>
      <c r="F361" s="61">
        <f t="shared" si="0"/>
        <v>-12408160.730018649</v>
      </c>
      <c r="G361" s="62">
        <f t="shared" si="27"/>
        <v>-9528219.0952219944</v>
      </c>
      <c r="H361" s="62">
        <f t="shared" si="2"/>
        <v>53551490.939311102</v>
      </c>
      <c r="I361" s="62">
        <f t="shared" si="3"/>
        <v>1606544.728179333</v>
      </c>
      <c r="J361" s="63">
        <f t="shared" si="4"/>
        <v>-3102040.1825046623</v>
      </c>
    </row>
    <row r="362" spans="1:10" ht="13.2" x14ac:dyDescent="0.25">
      <c r="A362" s="64">
        <v>716</v>
      </c>
      <c r="B362" s="65">
        <v>34.075899398578457</v>
      </c>
      <c r="C362" s="65">
        <v>0.66542750929368033</v>
      </c>
      <c r="D362" s="65">
        <v>6685.691462001093</v>
      </c>
      <c r="E362" s="65">
        <f t="shared" si="5"/>
        <v>-1424.6939472013241</v>
      </c>
      <c r="F362" s="65">
        <f t="shared" si="0"/>
        <v>-12480318.9774836</v>
      </c>
      <c r="G362" s="66">
        <f t="shared" si="27"/>
        <v>-9538343.5478919484</v>
      </c>
      <c r="H362" s="66">
        <f t="shared" si="2"/>
        <v>53485531.696008742</v>
      </c>
      <c r="I362" s="66">
        <f t="shared" si="3"/>
        <v>1604565.9508802623</v>
      </c>
      <c r="J362" s="67">
        <f t="shared" si="4"/>
        <v>-3120079.7443709001</v>
      </c>
    </row>
    <row r="363" spans="1:10" ht="13.2" x14ac:dyDescent="0.25">
      <c r="A363" s="60">
        <v>715</v>
      </c>
      <c r="B363" s="61">
        <v>34.059464188080916</v>
      </c>
      <c r="C363" s="61">
        <v>0.66449814126394047</v>
      </c>
      <c r="D363" s="61">
        <v>6682.4668737014754</v>
      </c>
      <c r="E363" s="61">
        <f t="shared" si="5"/>
        <v>-1427.911043427755</v>
      </c>
      <c r="F363" s="61">
        <f t="shared" si="0"/>
        <v>-12508500.740427133</v>
      </c>
      <c r="G363" s="62">
        <f t="shared" si="27"/>
        <v>-9542293.3838602006</v>
      </c>
      <c r="H363" s="62">
        <f t="shared" si="2"/>
        <v>53459734.989611804</v>
      </c>
      <c r="I363" s="62">
        <f t="shared" si="3"/>
        <v>1603792.0496883541</v>
      </c>
      <c r="J363" s="63">
        <f t="shared" si="4"/>
        <v>-3127125.1851067832</v>
      </c>
    </row>
    <row r="364" spans="1:10" ht="13.2" x14ac:dyDescent="0.25">
      <c r="A364" s="64">
        <v>714</v>
      </c>
      <c r="B364" s="65">
        <v>34.04873701476216</v>
      </c>
      <c r="C364" s="65">
        <v>0.66356877323420072</v>
      </c>
      <c r="D364" s="65">
        <v>6680.3622022963364</v>
      </c>
      <c r="E364" s="65">
        <f t="shared" si="5"/>
        <v>-1430.0078907756258</v>
      </c>
      <c r="F364" s="65">
        <f t="shared" si="0"/>
        <v>-12526869.123194482</v>
      </c>
      <c r="G364" s="66">
        <f t="shared" si="27"/>
        <v>-9544864.9950031042</v>
      </c>
      <c r="H364" s="66">
        <f t="shared" si="2"/>
        <v>53442897.618370689</v>
      </c>
      <c r="I364" s="66">
        <f t="shared" si="3"/>
        <v>1603286.9285511207</v>
      </c>
      <c r="J364" s="67">
        <f t="shared" si="4"/>
        <v>-3131717.2807986205</v>
      </c>
    </row>
    <row r="365" spans="1:10" ht="13.2" x14ac:dyDescent="0.25">
      <c r="A365" s="60">
        <v>713</v>
      </c>
      <c r="B365" s="61">
        <v>33.997955166757784</v>
      </c>
      <c r="C365" s="61">
        <v>0.66263940520446096</v>
      </c>
      <c r="D365" s="61">
        <v>6670.3988037178769</v>
      </c>
      <c r="E365" s="61">
        <f t="shared" si="5"/>
        <v>-1439.9203612015001</v>
      </c>
      <c r="F365" s="61">
        <f t="shared" si="0"/>
        <v>-12613702.364125142</v>
      </c>
      <c r="G365" s="62">
        <f>J365-(I365-(H365*$N$4))</f>
        <v>48365.834753295872</v>
      </c>
      <c r="H365" s="62">
        <f t="shared" si="2"/>
        <v>53363190.429743014</v>
      </c>
      <c r="I365" s="62">
        <f t="shared" si="3"/>
        <v>1600895.7128922904</v>
      </c>
      <c r="J365" s="63">
        <f t="shared" si="4"/>
        <v>-3153425.5910312855</v>
      </c>
    </row>
    <row r="366" spans="1:10" ht="13.2" x14ac:dyDescent="0.25">
      <c r="A366" s="64">
        <v>712</v>
      </c>
      <c r="B366" s="65">
        <v>33.854565336249316</v>
      </c>
      <c r="C366" s="65">
        <v>0.66171003717472121</v>
      </c>
      <c r="D366" s="65">
        <v>6642.2657189721158</v>
      </c>
      <c r="E366" s="65">
        <f t="shared" si="5"/>
        <v>-1467.8704240204765</v>
      </c>
      <c r="F366" s="65">
        <f t="shared" si="0"/>
        <v>-12858544.914419373</v>
      </c>
      <c r="G366" s="66">
        <f t="shared" ref="G366:G380" si="28">J366-I366-(H366*$N$4)</f>
        <v>-9591211.3188180737</v>
      </c>
      <c r="H366" s="66">
        <f t="shared" si="2"/>
        <v>53138125.751776926</v>
      </c>
      <c r="I366" s="66">
        <f t="shared" si="3"/>
        <v>1594143.7725533077</v>
      </c>
      <c r="J366" s="67">
        <f t="shared" si="4"/>
        <v>-3214636.2286048434</v>
      </c>
    </row>
    <row r="367" spans="1:10" ht="13.2" x14ac:dyDescent="0.25">
      <c r="A367" s="60">
        <v>711</v>
      </c>
      <c r="B367" s="61">
        <v>33.839311098961183</v>
      </c>
      <c r="C367" s="61">
        <v>0.66078066914498146</v>
      </c>
      <c r="D367" s="61">
        <v>6639.2728376161849</v>
      </c>
      <c r="E367" s="61">
        <f t="shared" si="5"/>
        <v>-1470.839662726291</v>
      </c>
      <c r="F367" s="61">
        <f t="shared" si="0"/>
        <v>-12884555.445482308</v>
      </c>
      <c r="G367" s="62">
        <f t="shared" si="28"/>
        <v>-9594840.7854821142</v>
      </c>
      <c r="H367" s="62">
        <f t="shared" si="2"/>
        <v>53114182.700929478</v>
      </c>
      <c r="I367" s="62">
        <f t="shared" si="3"/>
        <v>1593425.4810278842</v>
      </c>
      <c r="J367" s="63">
        <f t="shared" si="4"/>
        <v>-3221138.861370577</v>
      </c>
    </row>
    <row r="368" spans="1:10" ht="13.2" x14ac:dyDescent="0.25">
      <c r="A368" s="64">
        <v>710</v>
      </c>
      <c r="B368" s="65">
        <v>33.811459814106065</v>
      </c>
      <c r="C368" s="65">
        <v>0.6598513011152416</v>
      </c>
      <c r="D368" s="65">
        <v>6633.8084155276101</v>
      </c>
      <c r="E368" s="65">
        <f t="shared" si="5"/>
        <v>-1476.2533002229645</v>
      </c>
      <c r="F368" s="65">
        <f t="shared" si="0"/>
        <v>-12931978.909953168</v>
      </c>
      <c r="G368" s="66">
        <f t="shared" si="28"/>
        <v>-9601450.8063947968</v>
      </c>
      <c r="H368" s="66">
        <f t="shared" si="2"/>
        <v>53070467.324220881</v>
      </c>
      <c r="I368" s="66">
        <f t="shared" si="3"/>
        <v>1592114.0197266263</v>
      </c>
      <c r="J368" s="67">
        <f t="shared" si="4"/>
        <v>-3232994.7274882919</v>
      </c>
    </row>
    <row r="369" spans="1:10" ht="13.2" x14ac:dyDescent="0.25">
      <c r="A369" s="60">
        <v>709</v>
      </c>
      <c r="B369" s="61">
        <v>33.707927829414977</v>
      </c>
      <c r="C369" s="61">
        <v>0.65892193308550184</v>
      </c>
      <c r="D369" s="61">
        <v>6613.4954401312189</v>
      </c>
      <c r="E369" s="61">
        <f t="shared" si="5"/>
        <v>-1496.3491759752494</v>
      </c>
      <c r="F369" s="61">
        <f t="shared" si="0"/>
        <v>-13108018.781543184</v>
      </c>
      <c r="G369" s="62">
        <f t="shared" si="28"/>
        <v>-9625960.3179117665</v>
      </c>
      <c r="H369" s="62">
        <f t="shared" si="2"/>
        <v>52907963.521049753</v>
      </c>
      <c r="I369" s="62">
        <f t="shared" si="3"/>
        <v>1587238.9056314926</v>
      </c>
      <c r="J369" s="63">
        <f t="shared" si="4"/>
        <v>-3277004.695385796</v>
      </c>
    </row>
    <row r="370" spans="1:10" ht="13.2" x14ac:dyDescent="0.25">
      <c r="A370" s="64">
        <v>708</v>
      </c>
      <c r="B370" s="65">
        <v>33.661869874248225</v>
      </c>
      <c r="C370" s="65">
        <v>0.65799256505576209</v>
      </c>
      <c r="D370" s="65">
        <v>6604.4588693275018</v>
      </c>
      <c r="E370" s="65">
        <f t="shared" si="5"/>
        <v>-1505.2765688789216</v>
      </c>
      <c r="F370" s="65">
        <f t="shared" si="0"/>
        <v>-13186222.743379354</v>
      </c>
      <c r="G370" s="66">
        <f t="shared" si="28"/>
        <v>-9636836.2003992386</v>
      </c>
      <c r="H370" s="66">
        <f t="shared" si="2"/>
        <v>52835670.954620011</v>
      </c>
      <c r="I370" s="66">
        <f t="shared" si="3"/>
        <v>1585070.1286386002</v>
      </c>
      <c r="J370" s="67">
        <f t="shared" si="4"/>
        <v>-3296555.6858448386</v>
      </c>
    </row>
    <row r="371" spans="1:10" ht="13.2" x14ac:dyDescent="0.25">
      <c r="A371" s="60">
        <v>707</v>
      </c>
      <c r="B371" s="61">
        <v>33.653209404045924</v>
      </c>
      <c r="C371" s="61">
        <v>0.65706319702602234</v>
      </c>
      <c r="D371" s="61">
        <v>6602.7596850738109</v>
      </c>
      <c r="E371" s="61">
        <f t="shared" si="5"/>
        <v>-1506.9528552035431</v>
      </c>
      <c r="F371" s="61">
        <f t="shared" si="0"/>
        <v>-13200907.01158304</v>
      </c>
      <c r="G371" s="62">
        <f t="shared" si="28"/>
        <v>-9638876.0505666174</v>
      </c>
      <c r="H371" s="62">
        <f t="shared" si="2"/>
        <v>52822077.480590485</v>
      </c>
      <c r="I371" s="62">
        <f t="shared" si="3"/>
        <v>1584662.3244177145</v>
      </c>
      <c r="J371" s="63">
        <f t="shared" si="4"/>
        <v>-3300226.7528957599</v>
      </c>
    </row>
    <row r="372" spans="1:10" ht="13.2" x14ac:dyDescent="0.25">
      <c r="A372" s="64">
        <v>706</v>
      </c>
      <c r="B372" s="65">
        <v>33.64759978130126</v>
      </c>
      <c r="C372" s="65">
        <v>0.65613382899628248</v>
      </c>
      <c r="D372" s="65">
        <v>6601.6590770913062</v>
      </c>
      <c r="E372" s="65">
        <f t="shared" si="5"/>
        <v>-1508.0370972680923</v>
      </c>
      <c r="F372" s="65">
        <f t="shared" si="0"/>
        <v>-13210404.97206849</v>
      </c>
      <c r="G372" s="66">
        <f t="shared" si="28"/>
        <v>-9640193.9570247773</v>
      </c>
      <c r="H372" s="66">
        <f t="shared" si="2"/>
        <v>52813272.616730452</v>
      </c>
      <c r="I372" s="66">
        <f t="shared" si="3"/>
        <v>1584398.1785019136</v>
      </c>
      <c r="J372" s="67">
        <f t="shared" si="4"/>
        <v>-3302601.2430171226</v>
      </c>
    </row>
    <row r="373" spans="1:10" ht="13.2" x14ac:dyDescent="0.25">
      <c r="A373" s="60">
        <v>705</v>
      </c>
      <c r="B373" s="61">
        <v>33.610891197375615</v>
      </c>
      <c r="C373" s="61">
        <v>0.65520446096654272</v>
      </c>
      <c r="D373" s="61">
        <v>6594.4568529250955</v>
      </c>
      <c r="E373" s="61">
        <f t="shared" si="5"/>
        <v>-1515.122184888849</v>
      </c>
      <c r="F373" s="61">
        <f t="shared" si="0"/>
        <v>-13272470.339626318</v>
      </c>
      <c r="G373" s="62">
        <f t="shared" si="28"/>
        <v>-9648796.1637146715</v>
      </c>
      <c r="H373" s="62">
        <f t="shared" si="2"/>
        <v>52755654.823400766</v>
      </c>
      <c r="I373" s="62">
        <f t="shared" si="3"/>
        <v>1582669.6447020229</v>
      </c>
      <c r="J373" s="63">
        <f t="shared" si="4"/>
        <v>-3318117.5849065795</v>
      </c>
    </row>
    <row r="374" spans="1:10" ht="13.2" x14ac:dyDescent="0.25">
      <c r="A374" s="64">
        <v>704</v>
      </c>
      <c r="B374" s="65">
        <v>33.578119190814654</v>
      </c>
      <c r="C374" s="65">
        <v>0.65427509293680297</v>
      </c>
      <c r="D374" s="65">
        <v>6588.0269852378369</v>
      </c>
      <c r="E374" s="65">
        <f t="shared" si="5"/>
        <v>-1521.4385140202917</v>
      </c>
      <c r="F374" s="65">
        <f t="shared" si="0"/>
        <v>-13327801.382817755</v>
      </c>
      <c r="G374" s="66">
        <f t="shared" si="28"/>
        <v>-9656456.2515327632</v>
      </c>
      <c r="H374" s="66">
        <f t="shared" si="2"/>
        <v>52704215.881902695</v>
      </c>
      <c r="I374" s="66">
        <f t="shared" si="3"/>
        <v>1581126.4764570808</v>
      </c>
      <c r="J374" s="67">
        <f t="shared" si="4"/>
        <v>-3331950.3457044386</v>
      </c>
    </row>
    <row r="375" spans="1:10" ht="13.2" x14ac:dyDescent="0.25">
      <c r="A375" s="60">
        <v>703</v>
      </c>
      <c r="B375" s="61">
        <v>33.480590486604704</v>
      </c>
      <c r="C375" s="61">
        <v>0.65334572490706322</v>
      </c>
      <c r="D375" s="61">
        <v>6568.8918534718441</v>
      </c>
      <c r="E375" s="61">
        <f t="shared" si="5"/>
        <v>-1540.2090824022669</v>
      </c>
      <c r="F375" s="61">
        <f t="shared" si="0"/>
        <v>-13492231.561843857</v>
      </c>
      <c r="G375" s="62">
        <f t="shared" si="28"/>
        <v>-9679194.0697939359</v>
      </c>
      <c r="H375" s="62">
        <f t="shared" si="2"/>
        <v>52551134.827774756</v>
      </c>
      <c r="I375" s="62">
        <f t="shared" si="3"/>
        <v>1576534.0448332427</v>
      </c>
      <c r="J375" s="63">
        <f t="shared" si="4"/>
        <v>-3373057.8904609643</v>
      </c>
    </row>
    <row r="376" spans="1:10" ht="13.2" x14ac:dyDescent="0.25">
      <c r="A376" s="64">
        <v>702</v>
      </c>
      <c r="B376" s="65">
        <v>33.440437397484963</v>
      </c>
      <c r="C376" s="65">
        <v>0.65241635687732347</v>
      </c>
      <c r="D376" s="65">
        <v>6561.0138173865498</v>
      </c>
      <c r="E376" s="65">
        <f t="shared" si="5"/>
        <v>-1547.9260434003154</v>
      </c>
      <c r="F376" s="65">
        <f t="shared" si="0"/>
        <v>-13559832.140186762</v>
      </c>
      <c r="G376" s="66">
        <f t="shared" si="28"/>
        <v>-9688531.2997377776</v>
      </c>
      <c r="H376" s="66">
        <f t="shared" si="2"/>
        <v>52488110.539092399</v>
      </c>
      <c r="I376" s="66">
        <f t="shared" si="3"/>
        <v>1574643.3161727719</v>
      </c>
      <c r="J376" s="67">
        <f t="shared" si="4"/>
        <v>-3389958.0350466906</v>
      </c>
    </row>
    <row r="377" spans="1:10" ht="13.2" x14ac:dyDescent="0.25">
      <c r="A377" s="60">
        <v>701</v>
      </c>
      <c r="B377" s="61">
        <v>33.285926735921272</v>
      </c>
      <c r="C377" s="61">
        <v>0.6514869888475836</v>
      </c>
      <c r="D377" s="61">
        <v>6530.6988255877541</v>
      </c>
      <c r="E377" s="61">
        <f t="shared" si="5"/>
        <v>-1577.57895127042</v>
      </c>
      <c r="F377" s="61">
        <f t="shared" si="0"/>
        <v>-13819591.61312888</v>
      </c>
      <c r="G377" s="62">
        <f t="shared" si="28"/>
        <v>-9724368.7758464627</v>
      </c>
      <c r="H377" s="62">
        <f t="shared" si="2"/>
        <v>52245590.604702033</v>
      </c>
      <c r="I377" s="62">
        <f t="shared" si="3"/>
        <v>1567367.718141061</v>
      </c>
      <c r="J377" s="63">
        <f t="shared" si="4"/>
        <v>-3454897.90328222</v>
      </c>
    </row>
    <row r="378" spans="1:10" ht="13.2" x14ac:dyDescent="0.25">
      <c r="A378" s="64">
        <v>700</v>
      </c>
      <c r="B378" s="65">
        <v>33.252662657189724</v>
      </c>
      <c r="C378" s="65">
        <v>0.65055762081784385</v>
      </c>
      <c r="D378" s="65">
        <v>6524.1724133406233</v>
      </c>
      <c r="E378" s="65">
        <f t="shared" si="5"/>
        <v>-1583.9537275452662</v>
      </c>
      <c r="F378" s="65">
        <f t="shared" si="0"/>
        <v>-13875434.653296534</v>
      </c>
      <c r="G378" s="66">
        <f t="shared" si="28"/>
        <v>-9732064.1801311318</v>
      </c>
      <c r="H378" s="66">
        <f t="shared" si="2"/>
        <v>52193379.306724988</v>
      </c>
      <c r="I378" s="66">
        <f t="shared" si="3"/>
        <v>1565801.3792017496</v>
      </c>
      <c r="J378" s="67">
        <f t="shared" si="4"/>
        <v>-3468858.6633241335</v>
      </c>
    </row>
    <row r="379" spans="1:10" ht="13.2" x14ac:dyDescent="0.25">
      <c r="A379" s="60">
        <v>699</v>
      </c>
      <c r="B379" s="61">
        <v>33.199322033898305</v>
      </c>
      <c r="C379" s="61">
        <v>0.6496282527881041</v>
      </c>
      <c r="D379" s="61">
        <v>6513.706983050849</v>
      </c>
      <c r="E379" s="61">
        <f t="shared" si="5"/>
        <v>-1594.1614125723277</v>
      </c>
      <c r="F379" s="61">
        <f t="shared" si="0"/>
        <v>-13964853.974133588</v>
      </c>
      <c r="G379" s="62">
        <f t="shared" si="28"/>
        <v>-9744372.1972622126</v>
      </c>
      <c r="H379" s="62">
        <f t="shared" si="2"/>
        <v>52109655.864406794</v>
      </c>
      <c r="I379" s="62">
        <f t="shared" si="3"/>
        <v>1563289.6759322039</v>
      </c>
      <c r="J379" s="63">
        <f t="shared" si="4"/>
        <v>-3491213.4935333971</v>
      </c>
    </row>
    <row r="380" spans="1:10" ht="13.2" x14ac:dyDescent="0.25">
      <c r="A380" s="64">
        <v>698</v>
      </c>
      <c r="B380" s="65">
        <v>33.083488244942593</v>
      </c>
      <c r="C380" s="65">
        <v>0.64869888475836435</v>
      </c>
      <c r="D380" s="65">
        <v>6490.9803936577373</v>
      </c>
      <c r="E380" s="65">
        <f t="shared" si="5"/>
        <v>-1616.2966037284439</v>
      </c>
      <c r="F380" s="65">
        <f t="shared" si="0"/>
        <v>-14158758.248661168</v>
      </c>
      <c r="G380" s="66">
        <f t="shared" si="28"/>
        <v>-9771030.7400767207</v>
      </c>
      <c r="H380" s="66">
        <f t="shared" si="2"/>
        <v>51927843.149261899</v>
      </c>
      <c r="I380" s="66">
        <f t="shared" si="3"/>
        <v>1557835.294477857</v>
      </c>
      <c r="J380" s="67">
        <f t="shared" si="4"/>
        <v>-3539689.562165292</v>
      </c>
    </row>
    <row r="381" spans="1:10" ht="13.2" x14ac:dyDescent="0.25">
      <c r="A381" s="60">
        <v>697</v>
      </c>
      <c r="B381" s="61">
        <v>33.055636960087476</v>
      </c>
      <c r="C381" s="61">
        <v>0.64776951672862448</v>
      </c>
      <c r="D381" s="61">
        <v>6485.5159715691625</v>
      </c>
      <c r="E381" s="61">
        <f t="shared" si="5"/>
        <v>-1621.61121127091</v>
      </c>
      <c r="F381" s="61">
        <f t="shared" si="0"/>
        <v>-14205314.210733172</v>
      </c>
      <c r="G381" s="62">
        <f>J381-(I381-(H381*$N$4))</f>
        <v>-438280.88633009512</v>
      </c>
      <c r="H381" s="62">
        <f t="shared" si="2"/>
        <v>51884127.772553302</v>
      </c>
      <c r="I381" s="62">
        <f t="shared" si="3"/>
        <v>1556523.8331765991</v>
      </c>
      <c r="J381" s="63">
        <f t="shared" si="4"/>
        <v>-3551328.5526832929</v>
      </c>
    </row>
    <row r="382" spans="1:10" ht="13.2" x14ac:dyDescent="0.25">
      <c r="A382" s="64">
        <v>696</v>
      </c>
      <c r="B382" s="65">
        <v>32.938523783488243</v>
      </c>
      <c r="C382" s="65">
        <v>0.64684014869888473</v>
      </c>
      <c r="D382" s="65">
        <v>6462.5383663203938</v>
      </c>
      <c r="E382" s="65">
        <f t="shared" si="5"/>
        <v>-1643.9268223164149</v>
      </c>
      <c r="F382" s="65">
        <f t="shared" si="0"/>
        <v>-14400798.963491796</v>
      </c>
      <c r="G382" s="66">
        <f t="shared" ref="G382:G396" si="29">J382-I382-(H382*$N$4)</f>
        <v>-9804236.5725405272</v>
      </c>
      <c r="H382" s="66">
        <f t="shared" si="2"/>
        <v>51700306.930563152</v>
      </c>
      <c r="I382" s="66">
        <f t="shared" si="3"/>
        <v>1551009.2079168945</v>
      </c>
      <c r="J382" s="67">
        <f t="shared" si="4"/>
        <v>-3600199.7408729489</v>
      </c>
    </row>
    <row r="383" spans="1:10" ht="13.2" x14ac:dyDescent="0.25">
      <c r="A383" s="60">
        <v>695</v>
      </c>
      <c r="B383" s="61">
        <v>32.84129032258064</v>
      </c>
      <c r="C383" s="61">
        <v>0.64591078066914498</v>
      </c>
      <c r="D383" s="61">
        <v>6443.4611612903218</v>
      </c>
      <c r="E383" s="61">
        <f t="shared" si="5"/>
        <v>-1662.4278106518054</v>
      </c>
      <c r="F383" s="61">
        <f t="shared" si="0"/>
        <v>-14562867.621309817</v>
      </c>
      <c r="G383" s="62">
        <f t="shared" si="29"/>
        <v>-9826439.6201661639</v>
      </c>
      <c r="H383" s="62">
        <f t="shared" si="2"/>
        <v>51547689.290322572</v>
      </c>
      <c r="I383" s="62">
        <f t="shared" si="3"/>
        <v>1546430.6787096772</v>
      </c>
      <c r="J383" s="63">
        <f t="shared" si="4"/>
        <v>-3640716.9053274542</v>
      </c>
    </row>
    <row r="384" spans="1:10" ht="13.2" x14ac:dyDescent="0.25">
      <c r="A384" s="64">
        <v>694</v>
      </c>
      <c r="B384" s="65">
        <v>32.74317113176599</v>
      </c>
      <c r="C384" s="65">
        <v>0.64498141263940523</v>
      </c>
      <c r="D384" s="65">
        <v>6424.2101760524874</v>
      </c>
      <c r="E384" s="65">
        <f t="shared" si="5"/>
        <v>-1681.0704933821246</v>
      </c>
      <c r="F384" s="65">
        <f t="shared" si="0"/>
        <v>-14726177.522027412</v>
      </c>
      <c r="G384" s="66">
        <f t="shared" si="29"/>
        <v>-9848786.14951724</v>
      </c>
      <c r="H384" s="66">
        <f t="shared" si="2"/>
        <v>51393681.4084199</v>
      </c>
      <c r="I384" s="66">
        <f t="shared" si="3"/>
        <v>1541810.4422525968</v>
      </c>
      <c r="J384" s="67">
        <f t="shared" si="4"/>
        <v>-3681544.3805068531</v>
      </c>
    </row>
    <row r="385" spans="1:10" ht="13.2" x14ac:dyDescent="0.25">
      <c r="A385" s="60">
        <v>693</v>
      </c>
      <c r="B385" s="61">
        <v>32.706068890103879</v>
      </c>
      <c r="C385" s="61">
        <v>0.64405204460966547</v>
      </c>
      <c r="D385" s="61">
        <v>6416.9307162383811</v>
      </c>
      <c r="E385" s="61">
        <f t="shared" si="5"/>
        <v>-1688.1097851447432</v>
      </c>
      <c r="F385" s="61">
        <f t="shared" si="0"/>
        <v>-14787841.717867952</v>
      </c>
      <c r="G385" s="62">
        <f t="shared" si="29"/>
        <v>-9857213.9170558341</v>
      </c>
      <c r="H385" s="62">
        <f t="shared" si="2"/>
        <v>51335445.729907051</v>
      </c>
      <c r="I385" s="62">
        <f t="shared" si="3"/>
        <v>1540063.3718972115</v>
      </c>
      <c r="J385" s="63">
        <f t="shared" si="4"/>
        <v>-3696960.429466988</v>
      </c>
    </row>
    <row r="386" spans="1:10" ht="13.2" x14ac:dyDescent="0.25">
      <c r="A386" s="64">
        <v>692</v>
      </c>
      <c r="B386" s="65">
        <v>32.599486057955161</v>
      </c>
      <c r="C386" s="65">
        <v>0.64312267657992561</v>
      </c>
      <c r="D386" s="65">
        <v>6396.0191645708028</v>
      </c>
      <c r="E386" s="65">
        <f t="shared" si="5"/>
        <v>-1708.3022592921538</v>
      </c>
      <c r="F386" s="65">
        <f t="shared" si="0"/>
        <v>-14964727.791399268</v>
      </c>
      <c r="G386" s="66">
        <f t="shared" si="29"/>
        <v>-9881360.3458377868</v>
      </c>
      <c r="H386" s="66">
        <f t="shared" si="2"/>
        <v>51168153.316566423</v>
      </c>
      <c r="I386" s="66">
        <f t="shared" si="3"/>
        <v>1535044.5994969925</v>
      </c>
      <c r="J386" s="67">
        <f t="shared" si="4"/>
        <v>-3741181.9478498171</v>
      </c>
    </row>
    <row r="387" spans="1:10" ht="13.2" x14ac:dyDescent="0.25">
      <c r="A387" s="60">
        <v>691</v>
      </c>
      <c r="B387" s="61">
        <v>32.48365226899945</v>
      </c>
      <c r="C387" s="61">
        <v>0.64219330855018586</v>
      </c>
      <c r="D387" s="61">
        <v>6373.292575177692</v>
      </c>
      <c r="E387" s="61">
        <f t="shared" si="5"/>
        <v>-1730.2156761093959</v>
      </c>
      <c r="F387" s="61">
        <f t="shared" si="0"/>
        <v>-15156689.322718309</v>
      </c>
      <c r="G387" s="62">
        <f t="shared" si="29"/>
        <v>-9907533.2028501611</v>
      </c>
      <c r="H387" s="62">
        <f t="shared" si="2"/>
        <v>50986340.601421535</v>
      </c>
      <c r="I387" s="62">
        <f t="shared" si="3"/>
        <v>1529590.2180426461</v>
      </c>
      <c r="J387" s="63">
        <f t="shared" si="4"/>
        <v>-3789172.3306795773</v>
      </c>
    </row>
    <row r="388" spans="1:10" ht="13.2" x14ac:dyDescent="0.25">
      <c r="A388" s="64">
        <v>690</v>
      </c>
      <c r="B388" s="65">
        <v>32.359256424275557</v>
      </c>
      <c r="C388" s="65">
        <v>0.64126394052044611</v>
      </c>
      <c r="D388" s="65">
        <v>6348.8861104428643</v>
      </c>
      <c r="E388" s="65">
        <f t="shared" si="5"/>
        <v>-1753.7148373224827</v>
      </c>
      <c r="F388" s="65">
        <f t="shared" si="0"/>
        <v>-15362541.974944949</v>
      </c>
      <c r="G388" s="66">
        <f t="shared" si="29"/>
        <v>-9935566.1597613879</v>
      </c>
      <c r="H388" s="66">
        <f t="shared" si="2"/>
        <v>50791088.883542918</v>
      </c>
      <c r="I388" s="66">
        <f t="shared" si="3"/>
        <v>1523732.6665062874</v>
      </c>
      <c r="J388" s="67">
        <f t="shared" si="4"/>
        <v>-3840635.4937362373</v>
      </c>
    </row>
    <row r="389" spans="1:10" ht="13.2" x14ac:dyDescent="0.25">
      <c r="A389" s="60">
        <v>689</v>
      </c>
      <c r="B389" s="61">
        <v>32.314674685620552</v>
      </c>
      <c r="C389" s="61">
        <v>0.64033457249070636</v>
      </c>
      <c r="D389" s="61">
        <v>6340.139173318752</v>
      </c>
      <c r="E389" s="61">
        <f t="shared" si="5"/>
        <v>-1762.1244158121613</v>
      </c>
      <c r="F389" s="61">
        <f t="shared" si="0"/>
        <v>-15436209.882514535</v>
      </c>
      <c r="G389" s="62">
        <f t="shared" si="29"/>
        <v>-9945586.0770146362</v>
      </c>
      <c r="H389" s="62">
        <f t="shared" si="2"/>
        <v>50721113.386550017</v>
      </c>
      <c r="I389" s="62">
        <f t="shared" si="3"/>
        <v>1521633.4015965005</v>
      </c>
      <c r="J389" s="63">
        <f t="shared" si="4"/>
        <v>-3859052.4706286336</v>
      </c>
    </row>
    <row r="390" spans="1:10" ht="13.2" x14ac:dyDescent="0.25">
      <c r="A390" s="64">
        <v>688</v>
      </c>
      <c r="B390" s="65">
        <v>32.287217058501916</v>
      </c>
      <c r="C390" s="65">
        <v>0.63940520446096649</v>
      </c>
      <c r="D390" s="65">
        <v>6334.7519868780764</v>
      </c>
      <c r="E390" s="65">
        <f t="shared" si="5"/>
        <v>-1767.2963150623636</v>
      </c>
      <c r="F390" s="65">
        <f t="shared" si="0"/>
        <v>-15481515.719946306</v>
      </c>
      <c r="G390" s="66">
        <f t="shared" si="29"/>
        <v>-9951740.8373895288</v>
      </c>
      <c r="H390" s="66">
        <f t="shared" si="2"/>
        <v>50678015.895024613</v>
      </c>
      <c r="I390" s="66">
        <f t="shared" si="3"/>
        <v>1520340.4768507383</v>
      </c>
      <c r="J390" s="67">
        <f t="shared" si="4"/>
        <v>-3870378.9299865765</v>
      </c>
    </row>
    <row r="391" spans="1:10" ht="13.2" x14ac:dyDescent="0.25">
      <c r="A391" s="60">
        <v>687</v>
      </c>
      <c r="B391" s="61">
        <v>32.197266265718973</v>
      </c>
      <c r="C391" s="61">
        <v>0.63847583643122674</v>
      </c>
      <c r="D391" s="61">
        <v>6317.1036413340626</v>
      </c>
      <c r="E391" s="61">
        <f t="shared" si="5"/>
        <v>-1784.2147801447525</v>
      </c>
      <c r="F391" s="61">
        <f t="shared" si="0"/>
        <v>-15629721.474068031</v>
      </c>
      <c r="G391" s="62">
        <f t="shared" si="29"/>
        <v>-9971849.8641977087</v>
      </c>
      <c r="H391" s="62">
        <f t="shared" si="2"/>
        <v>50536829.1306725</v>
      </c>
      <c r="I391" s="62">
        <f t="shared" si="3"/>
        <v>1516104.873920175</v>
      </c>
      <c r="J391" s="63">
        <f t="shared" si="4"/>
        <v>-3907430.3685170077</v>
      </c>
    </row>
    <row r="392" spans="1:10" ht="13.2" x14ac:dyDescent="0.25">
      <c r="A392" s="64">
        <v>686</v>
      </c>
      <c r="B392" s="65">
        <v>31.975735374521598</v>
      </c>
      <c r="C392" s="65">
        <v>0.63754646840148699</v>
      </c>
      <c r="D392" s="65">
        <v>6273.6392804811385</v>
      </c>
      <c r="E392" s="65">
        <f t="shared" si="5"/>
        <v>-1825.8209991768267</v>
      </c>
      <c r="F392" s="65">
        <f t="shared" si="0"/>
        <v>-15994191.952789001</v>
      </c>
      <c r="G392" s="66">
        <f t="shared" si="29"/>
        <v>-10021241.697459143</v>
      </c>
      <c r="H392" s="66">
        <f t="shared" si="2"/>
        <v>50189114.243849106</v>
      </c>
      <c r="I392" s="66">
        <f t="shared" si="3"/>
        <v>1505673.4273154731</v>
      </c>
      <c r="J392" s="67">
        <f t="shared" si="4"/>
        <v>-3998547.9881972503</v>
      </c>
    </row>
    <row r="393" spans="1:10" ht="13.2" x14ac:dyDescent="0.25">
      <c r="A393" s="60">
        <v>685</v>
      </c>
      <c r="B393" s="61">
        <v>31.883422635319846</v>
      </c>
      <c r="C393" s="61">
        <v>0.63661710037174724</v>
      </c>
      <c r="D393" s="61">
        <v>6255.5275210497539</v>
      </c>
      <c r="E393" s="61">
        <f t="shared" si="5"/>
        <v>-1843.1332153247627</v>
      </c>
      <c r="F393" s="61">
        <f t="shared" si="0"/>
        <v>-16145846.966244923</v>
      </c>
      <c r="G393" s="62">
        <f t="shared" si="29"/>
        <v>-10041768.161768995</v>
      </c>
      <c r="H393" s="62">
        <f t="shared" si="2"/>
        <v>50044220.16839803</v>
      </c>
      <c r="I393" s="62">
        <f t="shared" si="3"/>
        <v>1501326.6050519408</v>
      </c>
      <c r="J393" s="63">
        <f t="shared" si="4"/>
        <v>-4036461.7415612307</v>
      </c>
    </row>
    <row r="394" spans="1:10" ht="13.2" x14ac:dyDescent="0.25">
      <c r="A394" s="64">
        <v>684</v>
      </c>
      <c r="B394" s="65">
        <v>31.802624384909784</v>
      </c>
      <c r="C394" s="65">
        <v>0.63568773234200748</v>
      </c>
      <c r="D394" s="65">
        <v>6239.6749043193004</v>
      </c>
      <c r="E394" s="65">
        <f t="shared" si="5"/>
        <v>-1858.263919211543</v>
      </c>
      <c r="F394" s="65">
        <f t="shared" si="0"/>
        <v>-16278391.932293117</v>
      </c>
      <c r="G394" s="66">
        <f t="shared" si="29"/>
        <v>-10059685.891219808</v>
      </c>
      <c r="H394" s="66">
        <f t="shared" si="2"/>
        <v>49917399.234554403</v>
      </c>
      <c r="I394" s="66">
        <f t="shared" si="3"/>
        <v>1497521.9770366321</v>
      </c>
      <c r="J394" s="67">
        <f t="shared" si="4"/>
        <v>-4069597.9830732793</v>
      </c>
    </row>
    <row r="395" spans="1:10" ht="13.2" x14ac:dyDescent="0.25">
      <c r="A395" s="60">
        <v>683</v>
      </c>
      <c r="B395" s="61">
        <v>31.750759978130127</v>
      </c>
      <c r="C395" s="61">
        <v>0.63475836431226762</v>
      </c>
      <c r="D395" s="61">
        <v>6229.4991077091299</v>
      </c>
      <c r="E395" s="61">
        <f t="shared" si="5"/>
        <v>-1867.9621342893588</v>
      </c>
      <c r="F395" s="61">
        <f t="shared" si="0"/>
        <v>-16363348.296374783</v>
      </c>
      <c r="G395" s="62">
        <f t="shared" si="29"/>
        <v>-10071156.217494462</v>
      </c>
      <c r="H395" s="62">
        <f t="shared" si="2"/>
        <v>49835992.861673042</v>
      </c>
      <c r="I395" s="62">
        <f t="shared" si="3"/>
        <v>1495079.7858501913</v>
      </c>
      <c r="J395" s="63">
        <f t="shared" si="4"/>
        <v>-4090837.0740936957</v>
      </c>
    </row>
    <row r="396" spans="1:10" ht="13.2" x14ac:dyDescent="0.25">
      <c r="A396" s="64">
        <v>682</v>
      </c>
      <c r="B396" s="65">
        <v>31.586112629852376</v>
      </c>
      <c r="C396" s="65">
        <v>0.63382899628252787</v>
      </c>
      <c r="D396" s="65">
        <v>6197.1952979770367</v>
      </c>
      <c r="E396" s="65">
        <f t="shared" si="5"/>
        <v>-1898.7047933652541</v>
      </c>
      <c r="F396" s="65">
        <f t="shared" si="0"/>
        <v>-16632653.989879627</v>
      </c>
      <c r="G396" s="66">
        <f t="shared" si="29"/>
        <v>-10107470.983527862</v>
      </c>
      <c r="H396" s="66">
        <f t="shared" si="2"/>
        <v>49577562.383816294</v>
      </c>
      <c r="I396" s="66">
        <f t="shared" si="3"/>
        <v>1487326.8715144887</v>
      </c>
      <c r="J396" s="67">
        <f t="shared" si="4"/>
        <v>-4158163.4974699067</v>
      </c>
    </row>
    <row r="397" spans="1:10" ht="13.2" x14ac:dyDescent="0.25">
      <c r="A397" s="60">
        <v>681</v>
      </c>
      <c r="B397" s="61">
        <v>31.512104975396387</v>
      </c>
      <c r="C397" s="61">
        <v>0.63289962825278812</v>
      </c>
      <c r="D397" s="61">
        <v>6182.674996172771</v>
      </c>
      <c r="E397" s="61">
        <f t="shared" si="5"/>
        <v>-1912.5031284905901</v>
      </c>
      <c r="F397" s="61">
        <f t="shared" si="0"/>
        <v>-16753527.40557757</v>
      </c>
      <c r="G397" s="62">
        <f>J397-(I397-(H397*$N$4))</f>
        <v>-1220697.8532314622</v>
      </c>
      <c r="H397" s="62">
        <f t="shared" si="2"/>
        <v>49461399.969382167</v>
      </c>
      <c r="I397" s="62">
        <f t="shared" si="3"/>
        <v>1483841.9990814649</v>
      </c>
      <c r="J397" s="63">
        <f t="shared" si="4"/>
        <v>-4188381.8513943925</v>
      </c>
    </row>
    <row r="398" spans="1:10" ht="13.2" x14ac:dyDescent="0.25">
      <c r="A398" s="64">
        <v>680</v>
      </c>
      <c r="B398" s="65">
        <v>31.38229633679606</v>
      </c>
      <c r="C398" s="65">
        <v>0.63197026022304836</v>
      </c>
      <c r="D398" s="65">
        <v>6157.2065412793863</v>
      </c>
      <c r="E398" s="65">
        <f t="shared" si="5"/>
        <v>-1936.6697571580119</v>
      </c>
      <c r="F398" s="65">
        <f t="shared" si="0"/>
        <v>-16965227.072704185</v>
      </c>
      <c r="G398" s="66">
        <f t="shared" ref="G398:G412" si="30">J398-I398-(H398*$N$4)</f>
        <v>-10152225.047804257</v>
      </c>
      <c r="H398" s="66">
        <f t="shared" si="2"/>
        <v>49257652.330235094</v>
      </c>
      <c r="I398" s="66">
        <f t="shared" si="3"/>
        <v>1477729.5699070527</v>
      </c>
      <c r="J398" s="67">
        <f t="shared" si="4"/>
        <v>-4241306.7681760462</v>
      </c>
    </row>
    <row r="399" spans="1:10" ht="13.2" x14ac:dyDescent="0.25">
      <c r="A399" s="60">
        <v>679</v>
      </c>
      <c r="B399" s="61">
        <v>31.341749589939855</v>
      </c>
      <c r="C399" s="61">
        <v>0.6310408921933085</v>
      </c>
      <c r="D399" s="61">
        <v>6149.2512695462001</v>
      </c>
      <c r="E399" s="61">
        <f t="shared" si="5"/>
        <v>-1944.2073031914535</v>
      </c>
      <c r="F399" s="61">
        <f t="shared" si="0"/>
        <v>-17031255.975957133</v>
      </c>
      <c r="G399" s="62">
        <f t="shared" si="30"/>
        <v>-10161095.212753635</v>
      </c>
      <c r="H399" s="62">
        <f t="shared" si="2"/>
        <v>49194010.156369604</v>
      </c>
      <c r="I399" s="62">
        <f t="shared" si="3"/>
        <v>1475820.3046910882</v>
      </c>
      <c r="J399" s="63">
        <f t="shared" si="4"/>
        <v>-4257813.9939892832</v>
      </c>
    </row>
    <row r="400" spans="1:10" ht="13.2" x14ac:dyDescent="0.25">
      <c r="A400" s="64">
        <v>678</v>
      </c>
      <c r="B400" s="65">
        <v>31.238611262985238</v>
      </c>
      <c r="C400" s="65">
        <v>0.63011152416356875</v>
      </c>
      <c r="D400" s="65">
        <v>6129.0155297977044</v>
      </c>
      <c r="E400" s="65">
        <f t="shared" si="5"/>
        <v>-1963.3522688642868</v>
      </c>
      <c r="F400" s="65">
        <f t="shared" si="0"/>
        <v>-17198965.875251152</v>
      </c>
      <c r="G400" s="66">
        <f t="shared" si="30"/>
        <v>-10183596.377418583</v>
      </c>
      <c r="H400" s="66">
        <f t="shared" si="2"/>
        <v>49032124.238381632</v>
      </c>
      <c r="I400" s="66">
        <f t="shared" si="3"/>
        <v>1470963.7271514488</v>
      </c>
      <c r="J400" s="67">
        <f t="shared" si="4"/>
        <v>-4299741.4688127879</v>
      </c>
    </row>
    <row r="401" spans="1:10" ht="13.2" x14ac:dyDescent="0.25">
      <c r="A401" s="60">
        <v>677</v>
      </c>
      <c r="B401" s="61">
        <v>31.219420448332421</v>
      </c>
      <c r="C401" s="61">
        <v>0.629182156133829</v>
      </c>
      <c r="D401" s="61">
        <v>6125.2502919628214</v>
      </c>
      <c r="E401" s="61">
        <f t="shared" si="5"/>
        <v>-1966.9092988449174</v>
      </c>
      <c r="F401" s="61">
        <f t="shared" si="0"/>
        <v>-17230125.457881477</v>
      </c>
      <c r="G401" s="62">
        <f t="shared" si="30"/>
        <v>-10187771.644754678</v>
      </c>
      <c r="H401" s="62">
        <f t="shared" si="2"/>
        <v>49002002.335702568</v>
      </c>
      <c r="I401" s="62">
        <f t="shared" si="3"/>
        <v>1470060.070071077</v>
      </c>
      <c r="J401" s="63">
        <f t="shared" si="4"/>
        <v>-4307531.3644703692</v>
      </c>
    </row>
    <row r="402" spans="1:10" ht="13.2" x14ac:dyDescent="0.25">
      <c r="A402" s="64">
        <v>676</v>
      </c>
      <c r="B402" s="65">
        <v>31.04542372881356</v>
      </c>
      <c r="C402" s="65">
        <v>0.62825278810408924</v>
      </c>
      <c r="D402" s="65">
        <v>6091.112135593221</v>
      </c>
      <c r="E402" s="65">
        <f t="shared" si="5"/>
        <v>-1999.1121136359438</v>
      </c>
      <c r="F402" s="65">
        <f t="shared" si="0"/>
        <v>-17512222.11545087</v>
      </c>
      <c r="G402" s="66">
        <f t="shared" si="30"/>
        <v>-10225523.17903221</v>
      </c>
      <c r="H402" s="66">
        <f t="shared" si="2"/>
        <v>48728897.084745765</v>
      </c>
      <c r="I402" s="66">
        <f t="shared" si="3"/>
        <v>1461866.9125423729</v>
      </c>
      <c r="J402" s="67">
        <f t="shared" si="4"/>
        <v>-4378055.5288627176</v>
      </c>
    </row>
    <row r="403" spans="1:10" ht="13.2" x14ac:dyDescent="0.25">
      <c r="A403" s="60">
        <v>675</v>
      </c>
      <c r="B403" s="61">
        <v>30.971022416621103</v>
      </c>
      <c r="C403" s="61">
        <v>0.62732342007434949</v>
      </c>
      <c r="D403" s="61">
        <v>6076.5145981410615</v>
      </c>
      <c r="E403" s="61">
        <f t="shared" si="5"/>
        <v>-2012.861745799293</v>
      </c>
      <c r="F403" s="61">
        <f t="shared" si="0"/>
        <v>-17632668.893201806</v>
      </c>
      <c r="G403" s="62">
        <f t="shared" si="30"/>
        <v>-10241621.23751587</v>
      </c>
      <c r="H403" s="62">
        <f t="shared" si="2"/>
        <v>48612116.785128489</v>
      </c>
      <c r="I403" s="62">
        <f t="shared" si="3"/>
        <v>1458363.5035538545</v>
      </c>
      <c r="J403" s="63">
        <f t="shared" si="4"/>
        <v>-4408167.2233004514</v>
      </c>
    </row>
    <row r="404" spans="1:10" ht="13.2" x14ac:dyDescent="0.25">
      <c r="A404" s="64">
        <v>674</v>
      </c>
      <c r="B404" s="65">
        <v>30.951241115363587</v>
      </c>
      <c r="C404" s="65">
        <v>0.62639405204460963</v>
      </c>
      <c r="D404" s="65">
        <v>6072.6335068343369</v>
      </c>
      <c r="E404" s="65">
        <f t="shared" si="5"/>
        <v>-2016.5119915264354</v>
      </c>
      <c r="F404" s="65">
        <f t="shared" si="0"/>
        <v>-17664645.045771576</v>
      </c>
      <c r="G404" s="66">
        <f t="shared" si="30"/>
        <v>-10245889.428003857</v>
      </c>
      <c r="H404" s="66">
        <f t="shared" si="2"/>
        <v>48581068.054674692</v>
      </c>
      <c r="I404" s="66">
        <f t="shared" si="3"/>
        <v>1457432.0416402407</v>
      </c>
      <c r="J404" s="67">
        <f t="shared" si="4"/>
        <v>-4416161.2614428941</v>
      </c>
    </row>
    <row r="405" spans="1:10" ht="13.2" x14ac:dyDescent="0.25">
      <c r="A405" s="60">
        <v>673</v>
      </c>
      <c r="B405" s="61">
        <v>30.927523236741386</v>
      </c>
      <c r="C405" s="61">
        <v>0.62546468401486988</v>
      </c>
      <c r="D405" s="61">
        <v>6067.9800590486593</v>
      </c>
      <c r="E405" s="61">
        <f t="shared" si="5"/>
        <v>-2020.8821671653084</v>
      </c>
      <c r="F405" s="61">
        <f t="shared" si="0"/>
        <v>-17702927.784368102</v>
      </c>
      <c r="G405" s="62">
        <f t="shared" si="30"/>
        <v>-10250992.802778738</v>
      </c>
      <c r="H405" s="62">
        <f t="shared" si="2"/>
        <v>48543840.472389273</v>
      </c>
      <c r="I405" s="62">
        <f t="shared" si="3"/>
        <v>1456315.2141716781</v>
      </c>
      <c r="J405" s="63">
        <f t="shared" si="4"/>
        <v>-4425731.9460920254</v>
      </c>
    </row>
    <row r="406" spans="1:10" ht="13.2" x14ac:dyDescent="0.25">
      <c r="A406" s="64">
        <v>672</v>
      </c>
      <c r="B406" s="65">
        <v>30.847905959540732</v>
      </c>
      <c r="C406" s="65">
        <v>0.62453531598513012</v>
      </c>
      <c r="D406" s="65">
        <v>6052.3591492618916</v>
      </c>
      <c r="E406" s="65">
        <f t="shared" si="5"/>
        <v>-2035.530399483941</v>
      </c>
      <c r="F406" s="65">
        <f t="shared" si="0"/>
        <v>-17831246.299479321</v>
      </c>
      <c r="G406" s="66">
        <f t="shared" si="30"/>
        <v>-10268076.358161245</v>
      </c>
      <c r="H406" s="66">
        <f t="shared" si="2"/>
        <v>48418873.194095135</v>
      </c>
      <c r="I406" s="66">
        <f t="shared" si="3"/>
        <v>1452566.1958228541</v>
      </c>
      <c r="J406" s="67">
        <f t="shared" si="4"/>
        <v>-4457811.5748698302</v>
      </c>
    </row>
    <row r="407" spans="1:10" ht="13.2" x14ac:dyDescent="0.25">
      <c r="A407" s="60">
        <v>671</v>
      </c>
      <c r="B407" s="61">
        <v>30.795254237288134</v>
      </c>
      <c r="C407" s="61">
        <v>0.62360594795539037</v>
      </c>
      <c r="D407" s="61">
        <v>6042.0288813559318</v>
      </c>
      <c r="E407" s="61">
        <f t="shared" si="5"/>
        <v>-2045.2030248698652</v>
      </c>
      <c r="F407" s="61">
        <f t="shared" si="0"/>
        <v>-17915978.497860022</v>
      </c>
      <c r="G407" s="62">
        <f t="shared" si="30"/>
        <v>-10279342.3505667</v>
      </c>
      <c r="H407" s="62">
        <f t="shared" si="2"/>
        <v>48336231.050847456</v>
      </c>
      <c r="I407" s="62">
        <f t="shared" si="3"/>
        <v>1450086.9315254237</v>
      </c>
      <c r="J407" s="63">
        <f t="shared" si="4"/>
        <v>-4478994.6244650055</v>
      </c>
    </row>
    <row r="408" spans="1:10" ht="13.2" x14ac:dyDescent="0.25">
      <c r="A408" s="64">
        <v>670</v>
      </c>
      <c r="B408" s="65">
        <v>30.700579551667577</v>
      </c>
      <c r="C408" s="65">
        <v>0.62267657992565051</v>
      </c>
      <c r="D408" s="65">
        <v>6023.4537080371783</v>
      </c>
      <c r="E408" s="65">
        <f t="shared" si="5"/>
        <v>-2062.5697761325659</v>
      </c>
      <c r="F408" s="65">
        <f t="shared" si="0"/>
        <v>-18068111.238921277</v>
      </c>
      <c r="G408" s="66">
        <f t="shared" si="30"/>
        <v>-10299543.369446009</v>
      </c>
      <c r="H408" s="66">
        <f t="shared" si="2"/>
        <v>48187629.664297424</v>
      </c>
      <c r="I408" s="66">
        <f t="shared" si="3"/>
        <v>1445628.8899289228</v>
      </c>
      <c r="J408" s="67">
        <f t="shared" si="4"/>
        <v>-4517027.8097303193</v>
      </c>
    </row>
    <row r="409" spans="1:10" ht="13.2" x14ac:dyDescent="0.25">
      <c r="A409" s="60">
        <v>669</v>
      </c>
      <c r="B409" s="61">
        <v>30.665740841990157</v>
      </c>
      <c r="C409" s="61">
        <v>0.62174721189591076</v>
      </c>
      <c r="D409" s="61">
        <v>6016.6183531984689</v>
      </c>
      <c r="E409" s="61">
        <f t="shared" si="5"/>
        <v>-2068.9509229127552</v>
      </c>
      <c r="F409" s="61">
        <f t="shared" si="0"/>
        <v>-18124010.084715735</v>
      </c>
      <c r="G409" s="62">
        <f t="shared" si="30"/>
        <v>-10306956.140249465</v>
      </c>
      <c r="H409" s="62">
        <f t="shared" si="2"/>
        <v>48132946.825587749</v>
      </c>
      <c r="I409" s="62">
        <f t="shared" si="3"/>
        <v>1443988.4047676325</v>
      </c>
      <c r="J409" s="63">
        <f t="shared" si="4"/>
        <v>-4531002.5211789338</v>
      </c>
    </row>
    <row r="410" spans="1:10" ht="13.2" x14ac:dyDescent="0.25">
      <c r="A410" s="64">
        <v>668</v>
      </c>
      <c r="B410" s="65">
        <v>30.625390924002186</v>
      </c>
      <c r="C410" s="65">
        <v>0.620817843866171</v>
      </c>
      <c r="D410" s="65">
        <v>6008.7016992892286</v>
      </c>
      <c r="E410" s="65">
        <f t="shared" si="5"/>
        <v>-2076.3304804136546</v>
      </c>
      <c r="F410" s="65">
        <f t="shared" si="0"/>
        <v>-18188655.008423612</v>
      </c>
      <c r="G410" s="66">
        <f t="shared" si="30"/>
        <v>-10315517.383423563</v>
      </c>
      <c r="H410" s="66">
        <f t="shared" si="2"/>
        <v>48069613.59431383</v>
      </c>
      <c r="I410" s="66">
        <f t="shared" si="3"/>
        <v>1442088.4078294148</v>
      </c>
      <c r="J410" s="67">
        <f t="shared" si="4"/>
        <v>-4547163.7521059029</v>
      </c>
    </row>
    <row r="411" spans="1:10" ht="13.2" x14ac:dyDescent="0.25">
      <c r="A411" s="60">
        <v>667</v>
      </c>
      <c r="B411" s="61">
        <v>30.601082558775285</v>
      </c>
      <c r="C411" s="61">
        <v>0.61988847583643125</v>
      </c>
      <c r="D411" s="61">
        <v>6003.9323980317113</v>
      </c>
      <c r="E411" s="61">
        <f t="shared" si="5"/>
        <v>-2080.7695651807585</v>
      </c>
      <c r="F411" s="61">
        <f t="shared" si="0"/>
        <v>-18227541.390983444</v>
      </c>
      <c r="G411" s="62">
        <f t="shared" si="30"/>
        <v>-10320660.449856304</v>
      </c>
      <c r="H411" s="62">
        <f t="shared" si="2"/>
        <v>48031459.184253693</v>
      </c>
      <c r="I411" s="62">
        <f t="shared" si="3"/>
        <v>1440943.7755276107</v>
      </c>
      <c r="J411" s="63">
        <f t="shared" si="4"/>
        <v>-4556885.3477458609</v>
      </c>
    </row>
    <row r="412" spans="1:10" ht="13.2" x14ac:dyDescent="0.25">
      <c r="A412" s="64">
        <v>666</v>
      </c>
      <c r="B412" s="65">
        <v>30.579628212137777</v>
      </c>
      <c r="C412" s="65">
        <v>0.6189591078066915</v>
      </c>
      <c r="D412" s="65">
        <v>5999.7230552214323</v>
      </c>
      <c r="E412" s="65">
        <f t="shared" si="5"/>
        <v>-2084.6815938148466</v>
      </c>
      <c r="F412" s="65">
        <f t="shared" si="0"/>
        <v>-18261810.761818055</v>
      </c>
      <c r="G412" s="66">
        <f t="shared" si="30"/>
        <v>-10325186.823467087</v>
      </c>
      <c r="H412" s="66">
        <f t="shared" si="2"/>
        <v>47997784.441771455</v>
      </c>
      <c r="I412" s="66">
        <f t="shared" si="3"/>
        <v>1439933.5332531435</v>
      </c>
      <c r="J412" s="67">
        <f t="shared" si="4"/>
        <v>-4565452.6904545138</v>
      </c>
    </row>
    <row r="413" spans="1:10" ht="13.2" x14ac:dyDescent="0.25">
      <c r="A413" s="60">
        <v>665</v>
      </c>
      <c r="B413" s="61">
        <v>30.444800437397486</v>
      </c>
      <c r="C413" s="61">
        <v>0.61802973977695164</v>
      </c>
      <c r="D413" s="61">
        <v>5973.2698458173872</v>
      </c>
      <c r="E413" s="61">
        <f t="shared" si="5"/>
        <v>-2109.2294837683216</v>
      </c>
      <c r="F413" s="61">
        <f t="shared" si="0"/>
        <v>-18476850.277810495</v>
      </c>
      <c r="G413" s="62">
        <f>J413-(I413-(H413*$N$4))</f>
        <v>-1752043.0434602778</v>
      </c>
      <c r="H413" s="62">
        <f t="shared" si="2"/>
        <v>47786158.766539097</v>
      </c>
      <c r="I413" s="62">
        <f t="shared" si="3"/>
        <v>1433584.7629961728</v>
      </c>
      <c r="J413" s="63">
        <f t="shared" si="4"/>
        <v>-4619212.5694526238</v>
      </c>
    </row>
    <row r="414" spans="1:10" ht="13.2" x14ac:dyDescent="0.25">
      <c r="A414" s="64">
        <v>664</v>
      </c>
      <c r="B414" s="65">
        <v>30.434171678512847</v>
      </c>
      <c r="C414" s="65">
        <v>0.61710037174721188</v>
      </c>
      <c r="D414" s="65">
        <v>5971.1844833242203</v>
      </c>
      <c r="E414" s="65">
        <f t="shared" si="5"/>
        <v>-2111.1617387921947</v>
      </c>
      <c r="F414" s="65">
        <f t="shared" si="0"/>
        <v>-18493776.831819627</v>
      </c>
      <c r="G414" s="66">
        <f t="shared" ref="G414:G428" si="31">J414-I414-(H414*$N$4)</f>
        <v>-10355781.311946157</v>
      </c>
      <c r="H414" s="66">
        <f t="shared" si="2"/>
        <v>47769475.866593763</v>
      </c>
      <c r="I414" s="66">
        <f t="shared" si="3"/>
        <v>1433084.2759978129</v>
      </c>
      <c r="J414" s="67">
        <f t="shared" si="4"/>
        <v>-4623444.2079549069</v>
      </c>
    </row>
    <row r="415" spans="1:10" ht="13.2" x14ac:dyDescent="0.25">
      <c r="A415" s="60">
        <v>663</v>
      </c>
      <c r="B415" s="61">
        <v>30.423346090759978</v>
      </c>
      <c r="C415" s="61">
        <v>0.61617100371747213</v>
      </c>
      <c r="D415" s="61">
        <v>5969.0605030071074</v>
      </c>
      <c r="E415" s="61">
        <f t="shared" si="5"/>
        <v>-2113.1268153774045</v>
      </c>
      <c r="F415" s="61">
        <f t="shared" si="0"/>
        <v>-18510990.902706064</v>
      </c>
      <c r="G415" s="62">
        <f t="shared" si="31"/>
        <v>-10358045.808563339</v>
      </c>
      <c r="H415" s="62">
        <f t="shared" si="2"/>
        <v>47752484.024056859</v>
      </c>
      <c r="I415" s="62">
        <f t="shared" si="3"/>
        <v>1432574.5207217056</v>
      </c>
      <c r="J415" s="63">
        <f t="shared" si="4"/>
        <v>-4627747.7256765161</v>
      </c>
    </row>
    <row r="416" spans="1:10" ht="13.2" x14ac:dyDescent="0.25">
      <c r="A416" s="64">
        <v>662</v>
      </c>
      <c r="B416" s="65">
        <v>30.26096227446692</v>
      </c>
      <c r="C416" s="65">
        <v>0.61524163568773238</v>
      </c>
      <c r="D416" s="65">
        <v>5937.2007982504101</v>
      </c>
      <c r="E416" s="65">
        <f t="shared" si="5"/>
        <v>-2142.5585500690004</v>
      </c>
      <c r="F416" s="65">
        <f t="shared" si="0"/>
        <v>-18768812.898604441</v>
      </c>
      <c r="G416" s="66">
        <f t="shared" si="31"/>
        <v>-10391915.990971504</v>
      </c>
      <c r="H416" s="66">
        <f t="shared" si="2"/>
        <v>47497606.386003278</v>
      </c>
      <c r="I416" s="66">
        <f t="shared" si="3"/>
        <v>1424928.1915800984</v>
      </c>
      <c r="J416" s="67">
        <f t="shared" si="4"/>
        <v>-4692203.2246511104</v>
      </c>
    </row>
    <row r="417" spans="1:10" ht="13.2" x14ac:dyDescent="0.25">
      <c r="A417" s="60">
        <v>661</v>
      </c>
      <c r="B417" s="61">
        <v>30.220513942044832</v>
      </c>
      <c r="C417" s="61">
        <v>0.61431226765799252</v>
      </c>
      <c r="D417" s="61">
        <v>5929.264835429196</v>
      </c>
      <c r="E417" s="61">
        <f t="shared" si="5"/>
        <v>-2149.8786644742559</v>
      </c>
      <c r="F417" s="61">
        <f t="shared" si="0"/>
        <v>-18832937.100794483</v>
      </c>
      <c r="G417" s="62">
        <f t="shared" si="31"/>
        <v>-10400328.517210647</v>
      </c>
      <c r="H417" s="62">
        <f t="shared" si="2"/>
        <v>47434118.68343357</v>
      </c>
      <c r="I417" s="62">
        <f t="shared" si="3"/>
        <v>1423023.5605030071</v>
      </c>
      <c r="J417" s="63">
        <f t="shared" si="4"/>
        <v>-4708234.2751986207</v>
      </c>
    </row>
    <row r="418" spans="1:10" ht="13.2" x14ac:dyDescent="0.25">
      <c r="A418" s="64">
        <v>660</v>
      </c>
      <c r="B418" s="65">
        <v>30.217364680153089</v>
      </c>
      <c r="C418" s="65">
        <v>0.61338289962825276</v>
      </c>
      <c r="D418" s="65">
        <v>5928.6469502460368</v>
      </c>
      <c r="E418" s="65">
        <f t="shared" si="5"/>
        <v>-2150.4477390249162</v>
      </c>
      <c r="F418" s="65">
        <f t="shared" si="0"/>
        <v>-18837922.193858266</v>
      </c>
      <c r="G418" s="66">
        <f t="shared" si="31"/>
        <v>-10400981.620700762</v>
      </c>
      <c r="H418" s="66">
        <f t="shared" si="2"/>
        <v>47429175.601968296</v>
      </c>
      <c r="I418" s="66">
        <f t="shared" si="3"/>
        <v>1422875.2680590488</v>
      </c>
      <c r="J418" s="67">
        <f t="shared" si="4"/>
        <v>-4709480.5484645665</v>
      </c>
    </row>
    <row r="419" spans="1:10" ht="13.2" x14ac:dyDescent="0.25">
      <c r="A419" s="60">
        <v>659</v>
      </c>
      <c r="B419" s="61">
        <v>30.128102788408963</v>
      </c>
      <c r="C419" s="61">
        <v>0.61245353159851301</v>
      </c>
      <c r="D419" s="61">
        <v>5911.1337670858393</v>
      </c>
      <c r="E419" s="61">
        <f t="shared" si="5"/>
        <v>-2166.5530315314363</v>
      </c>
      <c r="F419" s="61">
        <f t="shared" si="0"/>
        <v>-18979004.556215383</v>
      </c>
      <c r="G419" s="62">
        <f t="shared" si="31"/>
        <v>-10419439.555456251</v>
      </c>
      <c r="H419" s="62">
        <f t="shared" si="2"/>
        <v>47289070.136686713</v>
      </c>
      <c r="I419" s="62">
        <f t="shared" si="3"/>
        <v>1418672.1041006013</v>
      </c>
      <c r="J419" s="63">
        <f t="shared" si="4"/>
        <v>-4744751.1390538458</v>
      </c>
    </row>
    <row r="420" spans="1:10" ht="13.2" x14ac:dyDescent="0.25">
      <c r="A420" s="64">
        <v>658</v>
      </c>
      <c r="B420" s="65">
        <v>29.993570256971022</v>
      </c>
      <c r="C420" s="65">
        <v>0.61152416356877326</v>
      </c>
      <c r="D420" s="65">
        <v>5884.7384844177141</v>
      </c>
      <c r="E420" s="65">
        <f t="shared" si="5"/>
        <v>-2190.7895921969639</v>
      </c>
      <c r="F420" s="65">
        <f t="shared" si="0"/>
        <v>-19191316.827645402</v>
      </c>
      <c r="G420" s="66">
        <f t="shared" si="31"/>
        <v>-10447178.151952356</v>
      </c>
      <c r="H420" s="66">
        <f t="shared" si="2"/>
        <v>47077907.875341713</v>
      </c>
      <c r="I420" s="66">
        <f t="shared" si="3"/>
        <v>1412337.2362602514</v>
      </c>
      <c r="J420" s="67">
        <f t="shared" si="4"/>
        <v>-4797829.2069113506</v>
      </c>
    </row>
    <row r="421" spans="1:10" ht="13.2" x14ac:dyDescent="0.25">
      <c r="A421" s="60">
        <v>657</v>
      </c>
      <c r="B421" s="61">
        <v>29.84575177692728</v>
      </c>
      <c r="C421" s="61">
        <v>0.61059479553903351</v>
      </c>
      <c r="D421" s="61">
        <v>5855.7364986331322</v>
      </c>
      <c r="E421" s="61">
        <f t="shared" si="5"/>
        <v>-2217.3792380858949</v>
      </c>
      <c r="F421" s="61">
        <f t="shared" si="0"/>
        <v>-19424242.125632439</v>
      </c>
      <c r="G421" s="62">
        <f t="shared" si="31"/>
        <v>-10477567.570095915</v>
      </c>
      <c r="H421" s="62">
        <f t="shared" si="2"/>
        <v>46845891.989065059</v>
      </c>
      <c r="I421" s="62">
        <f t="shared" si="3"/>
        <v>1405376.7596719516</v>
      </c>
      <c r="J421" s="63">
        <f t="shared" si="4"/>
        <v>-4856060.5314081097</v>
      </c>
    </row>
    <row r="422" spans="1:10" ht="13.2" x14ac:dyDescent="0.25">
      <c r="A422" s="64">
        <v>656</v>
      </c>
      <c r="B422" s="65">
        <v>29.830497539639147</v>
      </c>
      <c r="C422" s="65">
        <v>0.60966542750929364</v>
      </c>
      <c r="D422" s="65">
        <v>5852.7436172772013</v>
      </c>
      <c r="E422" s="65">
        <f t="shared" si="5"/>
        <v>-2220.1190040111665</v>
      </c>
      <c r="F422" s="65">
        <f t="shared" si="0"/>
        <v>-19448242.475137819</v>
      </c>
      <c r="G422" s="66">
        <f t="shared" si="31"/>
        <v>-10480694.491370566</v>
      </c>
      <c r="H422" s="66">
        <f t="shared" si="2"/>
        <v>46821948.93821761</v>
      </c>
      <c r="I422" s="66">
        <f t="shared" si="3"/>
        <v>1404658.4681465284</v>
      </c>
      <c r="J422" s="67">
        <f t="shared" si="4"/>
        <v>-4862060.6187844547</v>
      </c>
    </row>
    <row r="423" spans="1:10" ht="13.2" x14ac:dyDescent="0.25">
      <c r="A423" s="60">
        <v>655</v>
      </c>
      <c r="B423" s="61">
        <v>29.821935483870966</v>
      </c>
      <c r="C423" s="61">
        <v>0.60873605947955389</v>
      </c>
      <c r="D423" s="61">
        <v>5851.0637419354834</v>
      </c>
      <c r="E423" s="61">
        <f t="shared" si="5"/>
        <v>-2221.6544662775045</v>
      </c>
      <c r="F423" s="61">
        <f t="shared" si="0"/>
        <v>-19461693.124590937</v>
      </c>
      <c r="G423" s="62">
        <f t="shared" si="31"/>
        <v>-10482444.473405797</v>
      </c>
      <c r="H423" s="62">
        <f t="shared" si="2"/>
        <v>46808509.935483865</v>
      </c>
      <c r="I423" s="62">
        <f t="shared" si="3"/>
        <v>1404255.2980645159</v>
      </c>
      <c r="J423" s="63">
        <f t="shared" si="4"/>
        <v>-4865423.2811477343</v>
      </c>
    </row>
    <row r="424" spans="1:10" ht="13.2" x14ac:dyDescent="0.25">
      <c r="A424" s="64">
        <v>654</v>
      </c>
      <c r="B424" s="65">
        <v>29.714762165117548</v>
      </c>
      <c r="C424" s="65">
        <v>0.60780669144981414</v>
      </c>
      <c r="D424" s="65">
        <v>5830.0363367960626</v>
      </c>
      <c r="E424" s="65">
        <f t="shared" si="5"/>
        <v>-2240.8449047969389</v>
      </c>
      <c r="F424" s="65">
        <f t="shared" si="0"/>
        <v>-19629801.366021186</v>
      </c>
      <c r="G424" s="66">
        <f t="shared" si="31"/>
        <v>-10504285.224829517</v>
      </c>
      <c r="H424" s="66">
        <f t="shared" si="2"/>
        <v>46640290.694368504</v>
      </c>
      <c r="I424" s="66">
        <f t="shared" si="3"/>
        <v>1399208.720831055</v>
      </c>
      <c r="J424" s="67">
        <f t="shared" si="4"/>
        <v>-4907450.3415052965</v>
      </c>
    </row>
    <row r="425" spans="1:10" ht="13.2" x14ac:dyDescent="0.25">
      <c r="A425" s="60">
        <v>653</v>
      </c>
      <c r="B425" s="61">
        <v>29.703444505194092</v>
      </c>
      <c r="C425" s="61">
        <v>0.60687732342007439</v>
      </c>
      <c r="D425" s="61">
        <v>5827.8158119190812</v>
      </c>
      <c r="E425" s="61">
        <f t="shared" si="5"/>
        <v>-2242.868347772664</v>
      </c>
      <c r="F425" s="61">
        <f t="shared" si="0"/>
        <v>-19647526.726488534</v>
      </c>
      <c r="G425" s="62">
        <f t="shared" si="31"/>
        <v>-10506584.861064451</v>
      </c>
      <c r="H425" s="62">
        <f t="shared" si="2"/>
        <v>46622526.495352648</v>
      </c>
      <c r="I425" s="62">
        <f t="shared" si="3"/>
        <v>1398675.7948605793</v>
      </c>
      <c r="J425" s="63">
        <f t="shared" si="4"/>
        <v>-4911881.6816221336</v>
      </c>
    </row>
    <row r="426" spans="1:10" ht="13.2" x14ac:dyDescent="0.25">
      <c r="A426" s="64">
        <v>652</v>
      </c>
      <c r="B426" s="65">
        <v>29.691930016402406</v>
      </c>
      <c r="C426" s="65">
        <v>0.60594795539033453</v>
      </c>
      <c r="D426" s="65">
        <v>5825.5566692181519</v>
      </c>
      <c r="E426" s="65">
        <f t="shared" si="5"/>
        <v>-2244.9238316985097</v>
      </c>
      <c r="F426" s="65">
        <f t="shared" si="0"/>
        <v>-19665532.765678942</v>
      </c>
      <c r="G426" s="66">
        <f t="shared" si="31"/>
        <v>-10508917.593869161</v>
      </c>
      <c r="H426" s="66">
        <f t="shared" si="2"/>
        <v>46604453.353745215</v>
      </c>
      <c r="I426" s="66">
        <f t="shared" si="3"/>
        <v>1398133.6006123563</v>
      </c>
      <c r="J426" s="67">
        <f t="shared" si="4"/>
        <v>-4916383.1914197356</v>
      </c>
    </row>
    <row r="427" spans="1:10" ht="13.2" x14ac:dyDescent="0.25">
      <c r="A427" s="60">
        <v>651</v>
      </c>
      <c r="B427" s="61">
        <v>29.641640240568616</v>
      </c>
      <c r="C427" s="61">
        <v>0.60501858736059477</v>
      </c>
      <c r="D427" s="61">
        <v>5815.689815199562</v>
      </c>
      <c r="E427" s="61">
        <f t="shared" si="5"/>
        <v>-2253.8874467572195</v>
      </c>
      <c r="F427" s="61">
        <f t="shared" si="0"/>
        <v>-19744054.033593245</v>
      </c>
      <c r="G427" s="62">
        <f t="shared" si="31"/>
        <v>-10519075.73098989</v>
      </c>
      <c r="H427" s="62">
        <f t="shared" si="2"/>
        <v>46525518.521596499</v>
      </c>
      <c r="I427" s="62">
        <f t="shared" si="3"/>
        <v>1395765.555647895</v>
      </c>
      <c r="J427" s="63">
        <f t="shared" si="4"/>
        <v>-4936013.5083983112</v>
      </c>
    </row>
    <row r="428" spans="1:10" ht="13.2" x14ac:dyDescent="0.25">
      <c r="A428" s="64">
        <v>650</v>
      </c>
      <c r="B428" s="65">
        <v>29.499234554401312</v>
      </c>
      <c r="C428" s="65">
        <v>0.60408921933085502</v>
      </c>
      <c r="D428" s="65">
        <v>5787.7498195735379</v>
      </c>
      <c r="E428" s="65">
        <f t="shared" si="5"/>
        <v>-2279.2307885146538</v>
      </c>
      <c r="F428" s="65">
        <f t="shared" si="0"/>
        <v>-19966061.707388368</v>
      </c>
      <c r="G428" s="66">
        <f t="shared" si="31"/>
        <v>-10547755.253637688</v>
      </c>
      <c r="H428" s="66">
        <f t="shared" si="2"/>
        <v>46301998.556588307</v>
      </c>
      <c r="I428" s="66">
        <f t="shared" si="3"/>
        <v>1389059.9566976491</v>
      </c>
      <c r="J428" s="67">
        <f t="shared" si="4"/>
        <v>-4991515.4268470919</v>
      </c>
    </row>
    <row r="429" spans="1:10" ht="13.2" x14ac:dyDescent="0.25">
      <c r="A429" s="60">
        <v>649</v>
      </c>
      <c r="B429" s="61">
        <v>29.381038819026788</v>
      </c>
      <c r="C429" s="61">
        <v>0.60315985130111527</v>
      </c>
      <c r="D429" s="61">
        <v>5764.5598162930564</v>
      </c>
      <c r="E429" s="61">
        <f t="shared" si="5"/>
        <v>-2300.2332589578036</v>
      </c>
      <c r="F429" s="61">
        <f t="shared" si="0"/>
        <v>-20150043.34847036</v>
      </c>
      <c r="G429" s="62">
        <f>J429-(I429-(H429*$N$4))</f>
        <v>-2270522.1252969229</v>
      </c>
      <c r="H429" s="62">
        <f t="shared" si="2"/>
        <v>46116478.530344449</v>
      </c>
      <c r="I429" s="62">
        <f t="shared" si="3"/>
        <v>1383494.3559103333</v>
      </c>
      <c r="J429" s="63">
        <f t="shared" si="4"/>
        <v>-5037510.83711759</v>
      </c>
    </row>
    <row r="430" spans="1:10" ht="13.2" x14ac:dyDescent="0.25">
      <c r="A430" s="64">
        <v>648</v>
      </c>
      <c r="B430" s="65">
        <v>29.373952979770365</v>
      </c>
      <c r="C430" s="65">
        <v>0.60223048327137552</v>
      </c>
      <c r="D430" s="65">
        <v>5763.169574630946</v>
      </c>
      <c r="E430" s="65">
        <f t="shared" si="5"/>
        <v>-2301.4904198660133</v>
      </c>
      <c r="F430" s="65">
        <f t="shared" si="0"/>
        <v>-20161056.078026276</v>
      </c>
      <c r="G430" s="66">
        <f t="shared" ref="G430:G444" si="32">J430-I430-(H430*$N$4)</f>
        <v>-10572906.811152278</v>
      </c>
      <c r="H430" s="66">
        <f t="shared" si="2"/>
        <v>46105356.597047567</v>
      </c>
      <c r="I430" s="66">
        <f t="shared" si="3"/>
        <v>1383160.6979114269</v>
      </c>
      <c r="J430" s="67">
        <f t="shared" si="4"/>
        <v>-5040264.019506569</v>
      </c>
    </row>
    <row r="431" spans="1:10" ht="13.2" x14ac:dyDescent="0.25">
      <c r="A431" s="60">
        <v>647</v>
      </c>
      <c r="B431" s="61">
        <v>29.37119737561509</v>
      </c>
      <c r="C431" s="61">
        <v>0.60130111524163565</v>
      </c>
      <c r="D431" s="61">
        <v>5762.6289250956816</v>
      </c>
      <c r="E431" s="61">
        <f t="shared" si="5"/>
        <v>-2301.9785620811708</v>
      </c>
      <c r="F431" s="61">
        <f t="shared" si="0"/>
        <v>-20165332.203831058</v>
      </c>
      <c r="G431" s="62">
        <f t="shared" si="32"/>
        <v>-10573456.819049619</v>
      </c>
      <c r="H431" s="62">
        <f t="shared" si="2"/>
        <v>46101031.400765449</v>
      </c>
      <c r="I431" s="62">
        <f t="shared" si="3"/>
        <v>1383030.9420229634</v>
      </c>
      <c r="J431" s="63">
        <f t="shared" si="4"/>
        <v>-5041333.0509577645</v>
      </c>
    </row>
    <row r="432" spans="1:10" ht="13.2" x14ac:dyDescent="0.25">
      <c r="A432" s="64">
        <v>646</v>
      </c>
      <c r="B432" s="65">
        <v>29.358206670311645</v>
      </c>
      <c r="C432" s="65">
        <v>0.6003717472118959</v>
      </c>
      <c r="D432" s="65">
        <v>5760.0801487151448</v>
      </c>
      <c r="E432" s="65">
        <f t="shared" si="5"/>
        <v>-2304.2762508257069</v>
      </c>
      <c r="F432" s="65">
        <f t="shared" si="0"/>
        <v>-20185459.957233191</v>
      </c>
      <c r="G432" s="66">
        <f t="shared" si="32"/>
        <v>-10576041.932074837</v>
      </c>
      <c r="H432" s="66">
        <f t="shared" si="2"/>
        <v>46080641.18972116</v>
      </c>
      <c r="I432" s="66">
        <f t="shared" si="3"/>
        <v>1382419.2356916347</v>
      </c>
      <c r="J432" s="67">
        <f t="shared" si="4"/>
        <v>-5046364.9893082976</v>
      </c>
    </row>
    <row r="433" spans="1:10" ht="13.2" x14ac:dyDescent="0.25">
      <c r="A433" s="60">
        <v>645</v>
      </c>
      <c r="B433" s="61">
        <v>29.259693821760525</v>
      </c>
      <c r="C433" s="61">
        <v>0.59944237918215615</v>
      </c>
      <c r="D433" s="61">
        <v>5740.7519278294149</v>
      </c>
      <c r="E433" s="61">
        <f t="shared" si="5"/>
        <v>-2321.6734459259201</v>
      </c>
      <c r="F433" s="61">
        <f t="shared" si="0"/>
        <v>-20337859.386311058</v>
      </c>
      <c r="G433" s="62">
        <f t="shared" si="32"/>
        <v>-10595586.697294002</v>
      </c>
      <c r="H433" s="62">
        <f t="shared" si="2"/>
        <v>45926015.422635317</v>
      </c>
      <c r="I433" s="62">
        <f t="shared" si="3"/>
        <v>1377780.4626790595</v>
      </c>
      <c r="J433" s="63">
        <f t="shared" si="4"/>
        <v>-5084464.8465777645</v>
      </c>
    </row>
    <row r="434" spans="1:10" ht="13.2" x14ac:dyDescent="0.25">
      <c r="A434" s="64">
        <v>644</v>
      </c>
      <c r="B434" s="65">
        <v>29.236074357572445</v>
      </c>
      <c r="C434" s="65">
        <v>0.5985130111524164</v>
      </c>
      <c r="D434" s="65">
        <v>5736.1177889557139</v>
      </c>
      <c r="E434" s="65">
        <f t="shared" si="5"/>
        <v>-2325.8381413635307</v>
      </c>
      <c r="F434" s="65">
        <f t="shared" si="0"/>
        <v>-20374342.11834453</v>
      </c>
      <c r="G434" s="66">
        <f t="shared" si="32"/>
        <v>-10600258.606983617</v>
      </c>
      <c r="H434" s="66">
        <f t="shared" si="2"/>
        <v>45888942.311645709</v>
      </c>
      <c r="I434" s="66">
        <f t="shared" si="3"/>
        <v>1376668.2693493713</v>
      </c>
      <c r="J434" s="67">
        <f t="shared" si="4"/>
        <v>-5093585.5295861326</v>
      </c>
    </row>
    <row r="435" spans="1:10" ht="13.2" x14ac:dyDescent="0.25">
      <c r="A435" s="60">
        <v>643</v>
      </c>
      <c r="B435" s="61">
        <v>29.157539639147075</v>
      </c>
      <c r="C435" s="61">
        <v>0.59758364312267653</v>
      </c>
      <c r="D435" s="61">
        <v>5720.7092772006563</v>
      </c>
      <c r="E435" s="61">
        <f t="shared" si="5"/>
        <v>-2339.6642734262705</v>
      </c>
      <c r="F435" s="61">
        <f t="shared" si="0"/>
        <v>-20495459.03521413</v>
      </c>
      <c r="G435" s="62">
        <f t="shared" si="32"/>
        <v>-10615745.664916161</v>
      </c>
      <c r="H435" s="62">
        <f t="shared" si="2"/>
        <v>45765674.217605248</v>
      </c>
      <c r="I435" s="62">
        <f t="shared" si="3"/>
        <v>1372970.2265281575</v>
      </c>
      <c r="J435" s="63">
        <f t="shared" si="4"/>
        <v>-5123864.7588035325</v>
      </c>
    </row>
    <row r="436" spans="1:10" ht="13.2" x14ac:dyDescent="0.25">
      <c r="A436" s="64">
        <v>642</v>
      </c>
      <c r="B436" s="65">
        <v>29.048496446145435</v>
      </c>
      <c r="C436" s="65">
        <v>0.59665427509293678</v>
      </c>
      <c r="D436" s="65">
        <v>5699.3150027337351</v>
      </c>
      <c r="E436" s="65">
        <f t="shared" si="5"/>
        <v>-2358.83163456578</v>
      </c>
      <c r="F436" s="65">
        <f t="shared" si="0"/>
        <v>-20663365.118796229</v>
      </c>
      <c r="G436" s="66">
        <f t="shared" si="32"/>
        <v>-10637183.682323443</v>
      </c>
      <c r="H436" s="66">
        <f t="shared" si="2"/>
        <v>45594520.021869883</v>
      </c>
      <c r="I436" s="66">
        <f t="shared" si="3"/>
        <v>1367835.6006560964</v>
      </c>
      <c r="J436" s="67">
        <f t="shared" si="4"/>
        <v>-5165841.2796990573</v>
      </c>
    </row>
    <row r="437" spans="1:10" ht="13.2" x14ac:dyDescent="0.25">
      <c r="A437" s="60">
        <v>641</v>
      </c>
      <c r="B437" s="61">
        <v>29.038655002733734</v>
      </c>
      <c r="C437" s="61">
        <v>0.59572490706319703</v>
      </c>
      <c r="D437" s="61">
        <v>5697.3841115363584</v>
      </c>
      <c r="E437" s="61">
        <f t="shared" si="5"/>
        <v>-2360.5588490429873</v>
      </c>
      <c r="F437" s="61">
        <f t="shared" si="0"/>
        <v>-20678495.51761657</v>
      </c>
      <c r="G437" s="62">
        <f t="shared" si="32"/>
        <v>-10639112.626479046</v>
      </c>
      <c r="H437" s="62">
        <f t="shared" si="2"/>
        <v>45579072.892290868</v>
      </c>
      <c r="I437" s="62">
        <f t="shared" si="3"/>
        <v>1367372.186768726</v>
      </c>
      <c r="J437" s="63">
        <f t="shared" si="4"/>
        <v>-5169623.8794041425</v>
      </c>
    </row>
    <row r="438" spans="1:10" ht="13.2" x14ac:dyDescent="0.25">
      <c r="A438" s="64">
        <v>640</v>
      </c>
      <c r="B438" s="65">
        <v>29.005095680699835</v>
      </c>
      <c r="C438" s="65">
        <v>0.59479553903345728</v>
      </c>
      <c r="D438" s="65">
        <v>5690.7997725533078</v>
      </c>
      <c r="E438" s="65">
        <f t="shared" si="5"/>
        <v>-2366.439471499039</v>
      </c>
      <c r="F438" s="65">
        <f t="shared" si="0"/>
        <v>-20730009.77033158</v>
      </c>
      <c r="G438" s="66">
        <f t="shared" si="32"/>
        <v>-10645670.224234071</v>
      </c>
      <c r="H438" s="66">
        <f t="shared" si="2"/>
        <v>45526398.180426463</v>
      </c>
      <c r="I438" s="66">
        <f t="shared" si="3"/>
        <v>1365791.9454127939</v>
      </c>
      <c r="J438" s="67">
        <f t="shared" si="4"/>
        <v>-5182502.442582895</v>
      </c>
    </row>
    <row r="439" spans="1:10" ht="13.2" x14ac:dyDescent="0.25">
      <c r="A439" s="60">
        <v>639</v>
      </c>
      <c r="B439" s="61">
        <v>28.990530344450519</v>
      </c>
      <c r="C439" s="61">
        <v>0.59386617100371752</v>
      </c>
      <c r="D439" s="61">
        <v>5687.9420535811923</v>
      </c>
      <c r="E439" s="61">
        <f t="shared" si="5"/>
        <v>-2368.9877813073517</v>
      </c>
      <c r="F439" s="61">
        <f t="shared" si="0"/>
        <v>-20752332.964252401</v>
      </c>
      <c r="G439" s="62">
        <f t="shared" si="32"/>
        <v>-10648507.612501044</v>
      </c>
      <c r="H439" s="62">
        <f t="shared" si="2"/>
        <v>45503536.428649537</v>
      </c>
      <c r="I439" s="62">
        <f t="shared" si="3"/>
        <v>1365106.0928594861</v>
      </c>
      <c r="J439" s="63">
        <f t="shared" si="4"/>
        <v>-5188083.2410631003</v>
      </c>
    </row>
    <row r="440" spans="1:10" ht="13.2" x14ac:dyDescent="0.25">
      <c r="A440" s="64">
        <v>638</v>
      </c>
      <c r="B440" s="65">
        <v>28.961006014215418</v>
      </c>
      <c r="C440" s="65">
        <v>0.59293680297397766</v>
      </c>
      <c r="D440" s="65">
        <v>5682.149379989065</v>
      </c>
      <c r="E440" s="65">
        <f t="shared" si="5"/>
        <v>-2374.1451988735766</v>
      </c>
      <c r="F440" s="65">
        <f t="shared" si="0"/>
        <v>-20797511.942132529</v>
      </c>
      <c r="G440" s="66">
        <f t="shared" si="32"/>
        <v>-10654241.390322635</v>
      </c>
      <c r="H440" s="66">
        <f t="shared" si="2"/>
        <v>45457195.039912522</v>
      </c>
      <c r="I440" s="66">
        <f t="shared" si="3"/>
        <v>1363715.8511973757</v>
      </c>
      <c r="J440" s="67">
        <f t="shared" si="4"/>
        <v>-5199377.9855331322</v>
      </c>
    </row>
    <row r="441" spans="1:10" ht="13.2" x14ac:dyDescent="0.25">
      <c r="A441" s="60">
        <v>637</v>
      </c>
      <c r="B441" s="61">
        <v>28.941618370694368</v>
      </c>
      <c r="C441" s="61">
        <v>0.59200743494423791</v>
      </c>
      <c r="D441" s="61">
        <v>5678.3455243302342</v>
      </c>
      <c r="E441" s="61">
        <f t="shared" si="5"/>
        <v>-2377.5266003026395</v>
      </c>
      <c r="F441" s="61">
        <f t="shared" si="0"/>
        <v>-20827133.018651124</v>
      </c>
      <c r="G441" s="62">
        <f t="shared" si="32"/>
        <v>-10657994.958019806</v>
      </c>
      <c r="H441" s="62">
        <f t="shared" si="2"/>
        <v>45426764.194641873</v>
      </c>
      <c r="I441" s="62">
        <f t="shared" si="3"/>
        <v>1362802.9258392563</v>
      </c>
      <c r="J441" s="63">
        <f t="shared" si="4"/>
        <v>-5206783.254662781</v>
      </c>
    </row>
    <row r="442" spans="1:10" ht="13.2" x14ac:dyDescent="0.25">
      <c r="A442" s="64">
        <v>636</v>
      </c>
      <c r="B442" s="65">
        <v>28.88532531437944</v>
      </c>
      <c r="C442" s="65">
        <v>0.59107806691449816</v>
      </c>
      <c r="D442" s="65">
        <v>5667.3008266812458</v>
      </c>
      <c r="E442" s="65">
        <f t="shared" si="5"/>
        <v>-2387.3292826955612</v>
      </c>
      <c r="F442" s="65">
        <f t="shared" si="0"/>
        <v>-20913004.516413115</v>
      </c>
      <c r="G442" s="66">
        <f t="shared" si="32"/>
        <v>-10668859.922717275</v>
      </c>
      <c r="H442" s="66">
        <f t="shared" si="2"/>
        <v>45338406.613449968</v>
      </c>
      <c r="I442" s="66">
        <f t="shared" si="3"/>
        <v>1360152.1984034991</v>
      </c>
      <c r="J442" s="67">
        <f t="shared" si="4"/>
        <v>-5228251.1291032787</v>
      </c>
    </row>
    <row r="443" spans="1:10" ht="13.2" x14ac:dyDescent="0.25">
      <c r="A443" s="60">
        <v>635</v>
      </c>
      <c r="B443" s="61">
        <v>28.876369600874792</v>
      </c>
      <c r="C443" s="61">
        <v>0.5901486988847584</v>
      </c>
      <c r="D443" s="61">
        <v>5665.5437156916341</v>
      </c>
      <c r="E443" s="61">
        <f t="shared" si="5"/>
        <v>-2388.886350844813</v>
      </c>
      <c r="F443" s="61">
        <f t="shared" si="0"/>
        <v>-20926644.433400564</v>
      </c>
      <c r="G443" s="62">
        <f t="shared" si="32"/>
        <v>-10670583.07541411</v>
      </c>
      <c r="H443" s="62">
        <f t="shared" si="2"/>
        <v>45324349.725533076</v>
      </c>
      <c r="I443" s="62">
        <f t="shared" si="3"/>
        <v>1359730.4917659923</v>
      </c>
      <c r="J443" s="63">
        <f t="shared" si="4"/>
        <v>-5231661.108350141</v>
      </c>
    </row>
    <row r="444" spans="1:10" ht="13.2" x14ac:dyDescent="0.25">
      <c r="A444" s="64">
        <v>634</v>
      </c>
      <c r="B444" s="65">
        <v>28.853143794423183</v>
      </c>
      <c r="C444" s="65">
        <v>0.58921933085501854</v>
      </c>
      <c r="D444" s="65">
        <v>5660.9868124658287</v>
      </c>
      <c r="E444" s="65">
        <f t="shared" si="5"/>
        <v>-2392.9181090892057</v>
      </c>
      <c r="F444" s="65">
        <f t="shared" si="0"/>
        <v>-20961962.635621443</v>
      </c>
      <c r="G444" s="66">
        <f t="shared" si="32"/>
        <v>-10675037.998872556</v>
      </c>
      <c r="H444" s="66">
        <f t="shared" si="2"/>
        <v>45287894.499726631</v>
      </c>
      <c r="I444" s="66">
        <f t="shared" si="3"/>
        <v>1358636.834991799</v>
      </c>
      <c r="J444" s="67">
        <f t="shared" si="4"/>
        <v>-5240490.6589053608</v>
      </c>
    </row>
    <row r="445" spans="1:10" ht="13.2" x14ac:dyDescent="0.25">
      <c r="A445" s="60">
        <v>633</v>
      </c>
      <c r="B445" s="61">
        <v>28.850092946965557</v>
      </c>
      <c r="C445" s="61">
        <v>0.58828996282527879</v>
      </c>
      <c r="D445" s="61">
        <v>5660.3882361946426</v>
      </c>
      <c r="E445" s="61">
        <f t="shared" si="5"/>
        <v>-2393.4468700053417</v>
      </c>
      <c r="F445" s="61">
        <f t="shared" si="0"/>
        <v>-20966594.581246793</v>
      </c>
      <c r="G445" s="62">
        <f>J445-(I445-(H445*$N$4))</f>
        <v>-2524662.2919382704</v>
      </c>
      <c r="H445" s="62">
        <f t="shared" si="2"/>
        <v>45283105.889557138</v>
      </c>
      <c r="I445" s="62">
        <f t="shared" si="3"/>
        <v>1358493.1766867142</v>
      </c>
      <c r="J445" s="63">
        <f t="shared" si="4"/>
        <v>-5241648.6453116983</v>
      </c>
    </row>
    <row r="446" spans="1:10" ht="13.2" x14ac:dyDescent="0.25">
      <c r="A446" s="64">
        <v>632</v>
      </c>
      <c r="B446" s="65">
        <v>28.794587206123566</v>
      </c>
      <c r="C446" s="65">
        <v>0.58736059479553904</v>
      </c>
      <c r="D446" s="65">
        <v>5649.4980098414444</v>
      </c>
      <c r="E446" s="65">
        <f t="shared" si="5"/>
        <v>-2403.0517257759598</v>
      </c>
      <c r="F446" s="65">
        <f t="shared" si="0"/>
        <v>-21050733.117797405</v>
      </c>
      <c r="G446" s="66">
        <f t="shared" ref="G446:G460" si="33">J446-I446-(H446*$N$4)</f>
        <v>-10686201.368897136</v>
      </c>
      <c r="H446" s="66">
        <f t="shared" si="2"/>
        <v>45195984.078731552</v>
      </c>
      <c r="I446" s="66">
        <f t="shared" si="3"/>
        <v>1355879.5223619465</v>
      </c>
      <c r="J446" s="67">
        <f t="shared" si="4"/>
        <v>-5262683.2794493511</v>
      </c>
    </row>
    <row r="447" spans="1:10" ht="13.2" x14ac:dyDescent="0.25">
      <c r="A447" s="60">
        <v>631</v>
      </c>
      <c r="B447" s="61">
        <v>28.788288682340074</v>
      </c>
      <c r="C447" s="61">
        <v>0.58643122676579928</v>
      </c>
      <c r="D447" s="61">
        <v>5648.2622394751224</v>
      </c>
      <c r="E447" s="61">
        <f t="shared" si="5"/>
        <v>-2404.139915759315</v>
      </c>
      <c r="F447" s="61">
        <f t="shared" si="0"/>
        <v>-21060265.662051599</v>
      </c>
      <c r="G447" s="62">
        <f t="shared" si="33"/>
        <v>-10687398.165409017</v>
      </c>
      <c r="H447" s="62">
        <f t="shared" si="2"/>
        <v>45186097.915800981</v>
      </c>
      <c r="I447" s="62">
        <f t="shared" si="3"/>
        <v>1355582.9374740294</v>
      </c>
      <c r="J447" s="63">
        <f t="shared" si="4"/>
        <v>-5265066.4155128999</v>
      </c>
    </row>
    <row r="448" spans="1:10" ht="13.2" x14ac:dyDescent="0.25">
      <c r="A448" s="64">
        <v>630</v>
      </c>
      <c r="B448" s="65">
        <v>28.775494805904867</v>
      </c>
      <c r="C448" s="65">
        <v>0.58550185873605953</v>
      </c>
      <c r="D448" s="65">
        <v>5645.7520809185353</v>
      </c>
      <c r="E448" s="65">
        <f t="shared" si="5"/>
        <v>-2406.3468023713331</v>
      </c>
      <c r="F448" s="65">
        <f t="shared" si="0"/>
        <v>-21079597.988772877</v>
      </c>
      <c r="G448" s="66">
        <f t="shared" si="33"/>
        <v>-10689821.494875014</v>
      </c>
      <c r="H448" s="66">
        <f t="shared" si="2"/>
        <v>45166016.647348285</v>
      </c>
      <c r="I448" s="66">
        <f t="shared" si="3"/>
        <v>1354980.4994204484</v>
      </c>
      <c r="J448" s="67">
        <f t="shared" si="4"/>
        <v>-5269899.4971932191</v>
      </c>
    </row>
    <row r="449" spans="1:10" ht="13.2" x14ac:dyDescent="0.25">
      <c r="A449" s="60">
        <v>629</v>
      </c>
      <c r="B449" s="61">
        <v>28.721858939311097</v>
      </c>
      <c r="C449" s="61">
        <v>0.58457249070631967</v>
      </c>
      <c r="D449" s="61">
        <v>5635.2287238928366</v>
      </c>
      <c r="E449" s="61">
        <f t="shared" si="5"/>
        <v>-2415.5840799835751</v>
      </c>
      <c r="F449" s="61">
        <f t="shared" si="0"/>
        <v>-21160516.540656116</v>
      </c>
      <c r="G449" s="62">
        <f t="shared" si="33"/>
        <v>-10699948.710101152</v>
      </c>
      <c r="H449" s="62">
        <f t="shared" si="2"/>
        <v>45081829.791142695</v>
      </c>
      <c r="I449" s="62">
        <f t="shared" si="3"/>
        <v>1352454.8937342807</v>
      </c>
      <c r="J449" s="63">
        <f t="shared" si="4"/>
        <v>-5290129.135164029</v>
      </c>
    </row>
    <row r="450" spans="1:10" ht="13.2" x14ac:dyDescent="0.25">
      <c r="A450" s="64">
        <v>628</v>
      </c>
      <c r="B450" s="65">
        <v>28.686429743028974</v>
      </c>
      <c r="C450" s="65">
        <v>0.58364312267657992</v>
      </c>
      <c r="D450" s="65">
        <v>5628.2775155822847</v>
      </c>
      <c r="E450" s="65">
        <f t="shared" si="5"/>
        <v>-2421.6760776014657</v>
      </c>
      <c r="F450" s="65">
        <f t="shared" si="0"/>
        <v>-21213882.439788841</v>
      </c>
      <c r="G450" s="66">
        <f t="shared" si="33"/>
        <v>-10706617.024906203</v>
      </c>
      <c r="H450" s="66">
        <f t="shared" si="2"/>
        <v>45026220.124658279</v>
      </c>
      <c r="I450" s="66">
        <f t="shared" si="3"/>
        <v>1350786.6037397482</v>
      </c>
      <c r="J450" s="67">
        <f t="shared" si="4"/>
        <v>-5303470.6099472102</v>
      </c>
    </row>
    <row r="451" spans="1:10" ht="13.2" x14ac:dyDescent="0.25">
      <c r="A451" s="60">
        <v>627</v>
      </c>
      <c r="B451" s="61">
        <v>28.632597047566978</v>
      </c>
      <c r="C451" s="61">
        <v>0.58271375464684017</v>
      </c>
      <c r="D451" s="61">
        <v>5617.7155407326418</v>
      </c>
      <c r="E451" s="61">
        <f t="shared" si="5"/>
        <v>-2430.9178055949033</v>
      </c>
      <c r="F451" s="61">
        <f t="shared" si="0"/>
        <v>-21294839.977011353</v>
      </c>
      <c r="G451" s="62">
        <f t="shared" si="33"/>
        <v>-10716716.913356174</v>
      </c>
      <c r="H451" s="62">
        <f t="shared" si="2"/>
        <v>44941724.325861134</v>
      </c>
      <c r="I451" s="62">
        <f t="shared" si="3"/>
        <v>1348251.7297758339</v>
      </c>
      <c r="J451" s="63">
        <f t="shared" si="4"/>
        <v>-5323709.9942528382</v>
      </c>
    </row>
    <row r="452" spans="1:10" ht="13.2" x14ac:dyDescent="0.25">
      <c r="A452" s="64">
        <v>626</v>
      </c>
      <c r="B452" s="65">
        <v>28.5088901038819</v>
      </c>
      <c r="C452" s="65">
        <v>0.58178438661710041</v>
      </c>
      <c r="D452" s="65">
        <v>5593.4442383816286</v>
      </c>
      <c r="E452" s="65">
        <f t="shared" si="5"/>
        <v>-2452.1213596933721</v>
      </c>
      <c r="F452" s="65">
        <f t="shared" si="0"/>
        <v>-21480583.11091394</v>
      </c>
      <c r="G452" s="66">
        <f t="shared" si="33"/>
        <v>-10739852.246574849</v>
      </c>
      <c r="H452" s="66">
        <f t="shared" si="2"/>
        <v>44747553.907053031</v>
      </c>
      <c r="I452" s="66">
        <f t="shared" si="3"/>
        <v>1342426.617211591</v>
      </c>
      <c r="J452" s="67">
        <f t="shared" si="4"/>
        <v>-5370145.7777284849</v>
      </c>
    </row>
    <row r="453" spans="1:10" ht="13.2" x14ac:dyDescent="0.25">
      <c r="A453" s="60">
        <v>625</v>
      </c>
      <c r="B453" s="61">
        <v>28.41864406779661</v>
      </c>
      <c r="C453" s="61">
        <v>0.58085501858736055</v>
      </c>
      <c r="D453" s="61">
        <v>5575.7379661016948</v>
      </c>
      <c r="E453" s="61">
        <f t="shared" si="5"/>
        <v>-2467.5649810081654</v>
      </c>
      <c r="F453" s="61">
        <f t="shared" si="0"/>
        <v>-21615869.233631529</v>
      </c>
      <c r="G453" s="62">
        <f t="shared" si="33"/>
        <v>-10756675.755865509</v>
      </c>
      <c r="H453" s="62">
        <f t="shared" si="2"/>
        <v>44605903.728813559</v>
      </c>
      <c r="I453" s="62">
        <f t="shared" si="3"/>
        <v>1338177.1118644066</v>
      </c>
      <c r="J453" s="63">
        <f t="shared" si="4"/>
        <v>-5403967.3084078822</v>
      </c>
    </row>
    <row r="454" spans="1:10" ht="13.2" x14ac:dyDescent="0.25">
      <c r="A454" s="64">
        <v>624</v>
      </c>
      <c r="B454" s="65">
        <v>28.388922908693274</v>
      </c>
      <c r="C454" s="65">
        <v>0.5799256505576208</v>
      </c>
      <c r="D454" s="65">
        <v>5569.9066746856206</v>
      </c>
      <c r="E454" s="65">
        <f t="shared" si="5"/>
        <v>-2472.6429736260666</v>
      </c>
      <c r="F454" s="65">
        <f t="shared" si="0"/>
        <v>-21660352.448964342</v>
      </c>
      <c r="G454" s="66">
        <f t="shared" si="33"/>
        <v>-10762198.519939281</v>
      </c>
      <c r="H454" s="66">
        <f t="shared" si="2"/>
        <v>44559253.397484966</v>
      </c>
      <c r="I454" s="66">
        <f t="shared" si="3"/>
        <v>1336777.6019245489</v>
      </c>
      <c r="J454" s="67">
        <f t="shared" si="4"/>
        <v>-5415088.1122410856</v>
      </c>
    </row>
    <row r="455" spans="1:10" ht="13.2" x14ac:dyDescent="0.25">
      <c r="A455" s="60">
        <v>623</v>
      </c>
      <c r="B455" s="61">
        <v>28.340010934937126</v>
      </c>
      <c r="C455" s="61">
        <v>0.57899628252788105</v>
      </c>
      <c r="D455" s="61">
        <v>5560.3101454346643</v>
      </c>
      <c r="E455" s="61">
        <f t="shared" si="5"/>
        <v>-2480.9864244757596</v>
      </c>
      <c r="F455" s="61">
        <f t="shared" si="0"/>
        <v>-21733441.078407656</v>
      </c>
      <c r="G455" s="62">
        <f t="shared" si="33"/>
        <v>-10771258.009219192</v>
      </c>
      <c r="H455" s="62">
        <f t="shared" si="2"/>
        <v>44482481.163477316</v>
      </c>
      <c r="I455" s="62">
        <f t="shared" si="3"/>
        <v>1334474.4349043195</v>
      </c>
      <c r="J455" s="63">
        <f t="shared" si="4"/>
        <v>-5433360.2696019141</v>
      </c>
    </row>
    <row r="456" spans="1:10" ht="13.2" x14ac:dyDescent="0.25">
      <c r="A456" s="64">
        <v>622</v>
      </c>
      <c r="B456" s="65">
        <v>28.26226353198469</v>
      </c>
      <c r="C456" s="65">
        <v>0.57806691449814129</v>
      </c>
      <c r="D456" s="65">
        <v>5545.0561049753969</v>
      </c>
      <c r="E456" s="65">
        <f t="shared" si="5"/>
        <v>-2494.2273852461644</v>
      </c>
      <c r="F456" s="65">
        <f t="shared" si="0"/>
        <v>-21849431.894756403</v>
      </c>
      <c r="G456" s="66">
        <f t="shared" si="33"/>
        <v>-10785611.834465481</v>
      </c>
      <c r="H456" s="66">
        <f t="shared" si="2"/>
        <v>44360448.839803174</v>
      </c>
      <c r="I456" s="66">
        <f t="shared" si="3"/>
        <v>1330813.4651940952</v>
      </c>
      <c r="J456" s="67">
        <f t="shared" si="4"/>
        <v>-5462357.9736891007</v>
      </c>
    </row>
    <row r="457" spans="1:10" ht="13.2" x14ac:dyDescent="0.25">
      <c r="A457" s="60">
        <v>621</v>
      </c>
      <c r="B457" s="61">
        <v>28.121235647895023</v>
      </c>
      <c r="C457" s="61">
        <v>0.57713754646840154</v>
      </c>
      <c r="D457" s="61">
        <v>5517.3864341170047</v>
      </c>
      <c r="E457" s="61">
        <f t="shared" si="5"/>
        <v>-2518.2069094798549</v>
      </c>
      <c r="F457" s="61">
        <f t="shared" si="0"/>
        <v>-22059492.527043529</v>
      </c>
      <c r="G457" s="62">
        <f t="shared" si="33"/>
        <v>-10811564.108513206</v>
      </c>
      <c r="H457" s="62">
        <f t="shared" si="2"/>
        <v>44139091.472936034</v>
      </c>
      <c r="I457" s="62">
        <f t="shared" si="3"/>
        <v>1324172.744188081</v>
      </c>
      <c r="J457" s="63">
        <f t="shared" si="4"/>
        <v>-5514873.1317608822</v>
      </c>
    </row>
    <row r="458" spans="1:10" ht="13.2" x14ac:dyDescent="0.25">
      <c r="A458" s="64">
        <v>620</v>
      </c>
      <c r="B458" s="65">
        <v>27.87401858939311</v>
      </c>
      <c r="C458" s="65">
        <v>0.57620817843866168</v>
      </c>
      <c r="D458" s="65">
        <v>5468.8824472389279</v>
      </c>
      <c r="E458" s="65">
        <f t="shared" si="5"/>
        <v>-2560.1745784236182</v>
      </c>
      <c r="F458" s="65">
        <f t="shared" si="0"/>
        <v>-22427129.306990895</v>
      </c>
      <c r="G458" s="66">
        <f t="shared" si="33"/>
        <v>-10856909.476097094</v>
      </c>
      <c r="H458" s="66">
        <f t="shared" si="2"/>
        <v>43751059.577911422</v>
      </c>
      <c r="I458" s="66">
        <f t="shared" si="3"/>
        <v>1312531.7873373425</v>
      </c>
      <c r="J458" s="67">
        <f t="shared" si="4"/>
        <v>-5606782.3267477239</v>
      </c>
    </row>
    <row r="459" spans="1:10" ht="13.2" x14ac:dyDescent="0.25">
      <c r="A459" s="60">
        <v>619</v>
      </c>
      <c r="B459" s="61">
        <v>27.72</v>
      </c>
      <c r="C459" s="61">
        <v>0.57527881040892193</v>
      </c>
      <c r="D459" s="61">
        <v>5438.6639999999998</v>
      </c>
      <c r="E459" s="61">
        <f t="shared" si="5"/>
        <v>-2586.2787110524132</v>
      </c>
      <c r="F459" s="61">
        <f t="shared" si="0"/>
        <v>-22655801.50881914</v>
      </c>
      <c r="G459" s="62">
        <f t="shared" si="33"/>
        <v>-10885067.817204785</v>
      </c>
      <c r="H459" s="62">
        <f t="shared" si="2"/>
        <v>43509312</v>
      </c>
      <c r="I459" s="62">
        <f t="shared" si="3"/>
        <v>1305279.3599999999</v>
      </c>
      <c r="J459" s="63">
        <f t="shared" si="4"/>
        <v>-5663950.3772047851</v>
      </c>
    </row>
    <row r="460" spans="1:10" ht="13.2" x14ac:dyDescent="0.25">
      <c r="A460" s="64">
        <v>618</v>
      </c>
      <c r="B460" s="65">
        <v>27.680338983050849</v>
      </c>
      <c r="C460" s="65">
        <v>0.57434944237918217</v>
      </c>
      <c r="D460" s="65">
        <v>5430.8825084745777</v>
      </c>
      <c r="E460" s="65">
        <f t="shared" si="5"/>
        <v>-2592.9898858996175</v>
      </c>
      <c r="F460" s="65">
        <f t="shared" si="0"/>
        <v>-22714591.40048065</v>
      </c>
      <c r="G460" s="66">
        <f t="shared" si="33"/>
        <v>-10892295.058255756</v>
      </c>
      <c r="H460" s="66">
        <f t="shared" si="2"/>
        <v>43447060.067796618</v>
      </c>
      <c r="I460" s="66">
        <f t="shared" si="3"/>
        <v>1303411.8020338984</v>
      </c>
      <c r="J460" s="67">
        <f t="shared" si="4"/>
        <v>-5678647.8501201626</v>
      </c>
    </row>
    <row r="461" spans="1:10" ht="13.2" x14ac:dyDescent="0.25">
      <c r="A461" s="60">
        <v>617</v>
      </c>
      <c r="B461" s="61">
        <v>27.648157463094584</v>
      </c>
      <c r="C461" s="61">
        <v>0.57342007434944242</v>
      </c>
      <c r="D461" s="61">
        <v>5424.568494259157</v>
      </c>
      <c r="E461" s="61">
        <f t="shared" si="5"/>
        <v>-2598.4266276938438</v>
      </c>
      <c r="F461" s="61">
        <f t="shared" si="0"/>
        <v>-22762217.258598074</v>
      </c>
      <c r="G461" s="62">
        <f>J461-(I461-(H461*$N$4))</f>
        <v>-3086761.4374051229</v>
      </c>
      <c r="H461" s="62">
        <f t="shared" si="2"/>
        <v>43396547.954073258</v>
      </c>
      <c r="I461" s="62">
        <f t="shared" si="3"/>
        <v>1301896.4386221976</v>
      </c>
      <c r="J461" s="63">
        <f t="shared" si="4"/>
        <v>-5690554.3146495186</v>
      </c>
    </row>
    <row r="462" spans="1:10" ht="13.2" x14ac:dyDescent="0.25">
      <c r="A462" s="64">
        <v>616</v>
      </c>
      <c r="B462" s="65">
        <v>27.594423182066702</v>
      </c>
      <c r="C462" s="65">
        <v>0.57249070631970256</v>
      </c>
      <c r="D462" s="65">
        <v>5414.0258283214871</v>
      </c>
      <c r="E462" s="65">
        <f t="shared" si="5"/>
        <v>-2607.4897931142386</v>
      </c>
      <c r="F462" s="65">
        <f t="shared" si="0"/>
        <v>-22841610.587680731</v>
      </c>
      <c r="G462" s="66">
        <f t="shared" ref="G462:G476" si="34">J462-I462-(H462*$N$4)</f>
        <v>-10907867.44210881</v>
      </c>
      <c r="H462" s="66">
        <f t="shared" si="2"/>
        <v>43312206.626571894</v>
      </c>
      <c r="I462" s="66">
        <f t="shared" si="3"/>
        <v>1299366.1987971568</v>
      </c>
      <c r="J462" s="67">
        <f t="shared" si="4"/>
        <v>-5710402.6469201827</v>
      </c>
    </row>
    <row r="463" spans="1:10" ht="13.2" x14ac:dyDescent="0.25">
      <c r="A463" s="60">
        <v>615</v>
      </c>
      <c r="B463" s="61">
        <v>27.496992892290869</v>
      </c>
      <c r="C463" s="61">
        <v>0.57156133828996281</v>
      </c>
      <c r="D463" s="61">
        <v>5394.9100054674691</v>
      </c>
      <c r="E463" s="61">
        <f t="shared" si="5"/>
        <v>-2623.8963566882958</v>
      </c>
      <c r="F463" s="61">
        <f t="shared" si="0"/>
        <v>-22985332.08458947</v>
      </c>
      <c r="G463" s="62">
        <f t="shared" si="34"/>
        <v>-10925446.626396136</v>
      </c>
      <c r="H463" s="62">
        <f t="shared" si="2"/>
        <v>43159280.043739751</v>
      </c>
      <c r="I463" s="62">
        <f t="shared" si="3"/>
        <v>1294778.4013121924</v>
      </c>
      <c r="J463" s="63">
        <f t="shared" si="4"/>
        <v>-5746333.0211473675</v>
      </c>
    </row>
    <row r="464" spans="1:10" ht="13.2" x14ac:dyDescent="0.25">
      <c r="A464" s="64">
        <v>614</v>
      </c>
      <c r="B464" s="65">
        <v>27.441585565882995</v>
      </c>
      <c r="C464" s="65">
        <v>0.57063197026022305</v>
      </c>
      <c r="D464" s="65">
        <v>5384.0390880262439</v>
      </c>
      <c r="E464" s="65">
        <f t="shared" si="5"/>
        <v>-2633.2113993284534</v>
      </c>
      <c r="F464" s="65">
        <f t="shared" si="0"/>
        <v>-23066931.858117253</v>
      </c>
      <c r="G464" s="66">
        <f t="shared" si="34"/>
        <v>-10935410.489034507</v>
      </c>
      <c r="H464" s="66">
        <f t="shared" si="2"/>
        <v>43072312.704209954</v>
      </c>
      <c r="I464" s="66">
        <f t="shared" si="3"/>
        <v>1292169.3811262986</v>
      </c>
      <c r="J464" s="67">
        <f t="shared" si="4"/>
        <v>-5766732.9645293131</v>
      </c>
    </row>
    <row r="465" spans="1:10" ht="13.2" x14ac:dyDescent="0.25">
      <c r="A465" s="60">
        <v>613</v>
      </c>
      <c r="B465" s="61">
        <v>27.43489338436304</v>
      </c>
      <c r="C465" s="61">
        <v>0.5697026022304833</v>
      </c>
      <c r="D465" s="61">
        <v>5382.7260820120291</v>
      </c>
      <c r="E465" s="61">
        <f t="shared" si="5"/>
        <v>-2634.3346540088296</v>
      </c>
      <c r="F465" s="61">
        <f t="shared" si="0"/>
        <v>-23076771.569117349</v>
      </c>
      <c r="G465" s="62">
        <f t="shared" si="34"/>
        <v>-10936609.931010885</v>
      </c>
      <c r="H465" s="62">
        <f t="shared" si="2"/>
        <v>43061808.656096235</v>
      </c>
      <c r="I465" s="62">
        <f t="shared" si="3"/>
        <v>1291854.259682887</v>
      </c>
      <c r="J465" s="63">
        <f t="shared" si="4"/>
        <v>-5769192.8922793372</v>
      </c>
    </row>
    <row r="466" spans="1:10" ht="13.2" x14ac:dyDescent="0.25">
      <c r="A466" s="64">
        <v>612</v>
      </c>
      <c r="B466" s="65">
        <v>27.34966648441771</v>
      </c>
      <c r="C466" s="65">
        <v>0.56877323420074355</v>
      </c>
      <c r="D466" s="65">
        <v>5366.0045642427549</v>
      </c>
      <c r="E466" s="65">
        <f t="shared" si="5"/>
        <v>-2648.6163220664162</v>
      </c>
      <c r="F466" s="65">
        <f t="shared" si="0"/>
        <v>-23201878.981301803</v>
      </c>
      <c r="G466" s="66">
        <f t="shared" si="34"/>
        <v>-10951834.126998495</v>
      </c>
      <c r="H466" s="66">
        <f t="shared" si="2"/>
        <v>42928036.513942041</v>
      </c>
      <c r="I466" s="66">
        <f t="shared" si="3"/>
        <v>1287841.0954182611</v>
      </c>
      <c r="J466" s="67">
        <f t="shared" si="4"/>
        <v>-5800469.7453254508</v>
      </c>
    </row>
    <row r="467" spans="1:10" ht="13.2" x14ac:dyDescent="0.25">
      <c r="A467" s="60">
        <v>611</v>
      </c>
      <c r="B467" s="61">
        <v>27.296817933296882</v>
      </c>
      <c r="C467" s="61">
        <v>0.56784386617100369</v>
      </c>
      <c r="D467" s="61">
        <v>5355.6356785128492</v>
      </c>
      <c r="E467" s="61">
        <f t="shared" si="5"/>
        <v>-2657.4578208184503</v>
      </c>
      <c r="F467" s="61">
        <f t="shared" si="0"/>
        <v>-23279330.510369625</v>
      </c>
      <c r="G467" s="62">
        <f t="shared" si="34"/>
        <v>-10961242.878964741</v>
      </c>
      <c r="H467" s="62">
        <f t="shared" si="2"/>
        <v>42845085.428102791</v>
      </c>
      <c r="I467" s="62">
        <f t="shared" si="3"/>
        <v>1285352.5628430836</v>
      </c>
      <c r="J467" s="63">
        <f t="shared" si="4"/>
        <v>-5819832.6275924062</v>
      </c>
    </row>
    <row r="468" spans="1:10" ht="13.2" x14ac:dyDescent="0.25">
      <c r="A468" s="64">
        <v>610</v>
      </c>
      <c r="B468" s="65">
        <v>27.248594860579551</v>
      </c>
      <c r="C468" s="65">
        <v>0.56691449814126393</v>
      </c>
      <c r="D468" s="65">
        <v>5346.1743116457083</v>
      </c>
      <c r="E468" s="65">
        <f t="shared" si="5"/>
        <v>-2665.5122929841577</v>
      </c>
      <c r="F468" s="65">
        <f t="shared" si="0"/>
        <v>-23349887.686541222</v>
      </c>
      <c r="G468" s="66">
        <f t="shared" si="34"/>
        <v>-10969799.260815185</v>
      </c>
      <c r="H468" s="66">
        <f t="shared" si="2"/>
        <v>42769394.493165664</v>
      </c>
      <c r="I468" s="66">
        <f t="shared" si="3"/>
        <v>1283081.83479497</v>
      </c>
      <c r="J468" s="67">
        <f t="shared" si="4"/>
        <v>-5837471.9216353055</v>
      </c>
    </row>
    <row r="469" spans="1:10" ht="13.2" x14ac:dyDescent="0.25">
      <c r="A469" s="60">
        <v>609</v>
      </c>
      <c r="B469" s="61">
        <v>27.200765445598687</v>
      </c>
      <c r="C469" s="61">
        <v>0.56598513011152418</v>
      </c>
      <c r="D469" s="61">
        <v>5336.7901804264629</v>
      </c>
      <c r="E469" s="61">
        <f t="shared" si="5"/>
        <v>-2673.487932389362</v>
      </c>
      <c r="F469" s="61">
        <f t="shared" si="0"/>
        <v>-23419754.287730809</v>
      </c>
      <c r="G469" s="62">
        <f t="shared" si="34"/>
        <v>-10978257.145142106</v>
      </c>
      <c r="H469" s="62">
        <f t="shared" si="2"/>
        <v>42694321.4434117</v>
      </c>
      <c r="I469" s="62">
        <f t="shared" si="3"/>
        <v>1280829.643302351</v>
      </c>
      <c r="J469" s="63">
        <f t="shared" si="4"/>
        <v>-5854938.5719327023</v>
      </c>
    </row>
    <row r="470" spans="1:10" ht="13.2" x14ac:dyDescent="0.25">
      <c r="A470" s="64">
        <v>608</v>
      </c>
      <c r="B470" s="65">
        <v>27.167206123564789</v>
      </c>
      <c r="C470" s="65">
        <v>0.56505576208178443</v>
      </c>
      <c r="D470" s="65">
        <v>5330.2058414434123</v>
      </c>
      <c r="E470" s="65">
        <f t="shared" si="5"/>
        <v>-2679.0748296863185</v>
      </c>
      <c r="F470" s="65">
        <f t="shared" si="0"/>
        <v>-23468695.508052152</v>
      </c>
      <c r="G470" s="66">
        <f t="shared" si="34"/>
        <v>-10984171.484798713</v>
      </c>
      <c r="H470" s="66">
        <f t="shared" si="2"/>
        <v>42641646.731547296</v>
      </c>
      <c r="I470" s="66">
        <f t="shared" si="3"/>
        <v>1279249.4019464189</v>
      </c>
      <c r="J470" s="67">
        <f t="shared" si="4"/>
        <v>-5867173.8770130379</v>
      </c>
    </row>
    <row r="471" spans="1:10" ht="13.2" x14ac:dyDescent="0.25">
      <c r="A471" s="60">
        <v>607</v>
      </c>
      <c r="B471" s="61">
        <v>27.133449972662657</v>
      </c>
      <c r="C471" s="61">
        <v>0.56412639405204457</v>
      </c>
      <c r="D471" s="61">
        <v>5323.5828846364129</v>
      </c>
      <c r="E471" s="61">
        <f t="shared" si="5"/>
        <v>-2684.6852619628798</v>
      </c>
      <c r="F471" s="61">
        <f t="shared" si="0"/>
        <v>-23517842.894794829</v>
      </c>
      <c r="G471" s="62">
        <f t="shared" si="34"/>
        <v>-10990100.292949663</v>
      </c>
      <c r="H471" s="62">
        <f t="shared" si="2"/>
        <v>42588663.077091306</v>
      </c>
      <c r="I471" s="62">
        <f t="shared" si="3"/>
        <v>1277659.892312739</v>
      </c>
      <c r="J471" s="63">
        <f t="shared" si="4"/>
        <v>-5879460.7236987073</v>
      </c>
    </row>
    <row r="472" spans="1:10" ht="13.2" x14ac:dyDescent="0.25">
      <c r="A472" s="64">
        <v>606</v>
      </c>
      <c r="B472" s="65">
        <v>27.090738108255877</v>
      </c>
      <c r="C472" s="65">
        <v>0.56319702602230481</v>
      </c>
      <c r="D472" s="65">
        <v>5315.2028168398028</v>
      </c>
      <c r="E472" s="65">
        <f t="shared" si="5"/>
        <v>-2691.7724940213511</v>
      </c>
      <c r="F472" s="65">
        <f t="shared" si="0"/>
        <v>-23579927.047627036</v>
      </c>
      <c r="G472" s="66">
        <f t="shared" si="34"/>
        <v>-10997576.466072969</v>
      </c>
      <c r="H472" s="66">
        <f t="shared" si="2"/>
        <v>42521622.534718424</v>
      </c>
      <c r="I472" s="66">
        <f t="shared" si="3"/>
        <v>1275648.6760415526</v>
      </c>
      <c r="J472" s="67">
        <f t="shared" si="4"/>
        <v>-5894981.7619067589</v>
      </c>
    </row>
    <row r="473" spans="1:10" ht="13.2" x14ac:dyDescent="0.25">
      <c r="A473" s="60">
        <v>605</v>
      </c>
      <c r="B473" s="61">
        <v>27.070858392564244</v>
      </c>
      <c r="C473" s="61">
        <v>0.56226765799256506</v>
      </c>
      <c r="D473" s="61">
        <v>5311.3024166211044</v>
      </c>
      <c r="E473" s="61">
        <f t="shared" si="5"/>
        <v>-2695.0657222729196</v>
      </c>
      <c r="F473" s="61">
        <f t="shared" si="0"/>
        <v>-23608775.727110777</v>
      </c>
      <c r="G473" s="62">
        <f t="shared" si="34"/>
        <v>-11001044.251733955</v>
      </c>
      <c r="H473" s="62">
        <f t="shared" si="2"/>
        <v>42490419.332968839</v>
      </c>
      <c r="I473" s="62">
        <f t="shared" si="3"/>
        <v>1274712.5799890652</v>
      </c>
      <c r="J473" s="63">
        <f t="shared" si="4"/>
        <v>-5902193.9317776943</v>
      </c>
    </row>
    <row r="474" spans="1:10" ht="13.2" x14ac:dyDescent="0.25">
      <c r="A474" s="64">
        <v>604</v>
      </c>
      <c r="B474" s="65">
        <v>27.063280481137234</v>
      </c>
      <c r="C474" s="65">
        <v>0.56133828996282531</v>
      </c>
      <c r="D474" s="65">
        <v>5309.8156303991245</v>
      </c>
      <c r="E474" s="65">
        <f t="shared" si="5"/>
        <v>-2696.3189890975809</v>
      </c>
      <c r="F474" s="65">
        <f t="shared" si="0"/>
        <v>-23619754.344494808</v>
      </c>
      <c r="G474" s="66">
        <f t="shared" si="34"/>
        <v>-11002361.591306861</v>
      </c>
      <c r="H474" s="66">
        <f t="shared" si="2"/>
        <v>42478525.043192998</v>
      </c>
      <c r="I474" s="66">
        <f t="shared" si="3"/>
        <v>1274355.7512957898</v>
      </c>
      <c r="J474" s="67">
        <f t="shared" si="4"/>
        <v>-5904938.5861237021</v>
      </c>
    </row>
    <row r="475" spans="1:10" ht="13.2" x14ac:dyDescent="0.25">
      <c r="A475" s="60">
        <v>603</v>
      </c>
      <c r="B475" s="61">
        <v>27.053242208857299</v>
      </c>
      <c r="C475" s="61">
        <v>0.56040892193308545</v>
      </c>
      <c r="D475" s="61">
        <v>5307.8461213778028</v>
      </c>
      <c r="E475" s="61">
        <f t="shared" si="5"/>
        <v>-2697.9764151373643</v>
      </c>
      <c r="F475" s="61">
        <f t="shared" si="0"/>
        <v>-23634273.396603312</v>
      </c>
      <c r="G475" s="62">
        <f t="shared" si="34"/>
        <v>-11004100.625673519</v>
      </c>
      <c r="H475" s="62">
        <f t="shared" si="2"/>
        <v>42462768.97102242</v>
      </c>
      <c r="I475" s="62">
        <f t="shared" si="3"/>
        <v>1273883.0691306726</v>
      </c>
      <c r="J475" s="63">
        <f t="shared" si="4"/>
        <v>-5908568.3491508281</v>
      </c>
    </row>
    <row r="476" spans="1:10" ht="13.2" x14ac:dyDescent="0.25">
      <c r="A476" s="64">
        <v>602</v>
      </c>
      <c r="B476" s="65">
        <v>27.039365773646804</v>
      </c>
      <c r="C476" s="65">
        <v>0.55947955390334569</v>
      </c>
      <c r="D476" s="65">
        <v>5305.1235647895037</v>
      </c>
      <c r="E476" s="65">
        <f t="shared" si="5"/>
        <v>-2700.2637675126639</v>
      </c>
      <c r="F476" s="65">
        <f t="shared" si="0"/>
        <v>-23654310.603410933</v>
      </c>
      <c r="G476" s="66">
        <f t="shared" si="34"/>
        <v>-11006496.273050657</v>
      </c>
      <c r="H476" s="66">
        <f t="shared" si="2"/>
        <v>42440988.518316031</v>
      </c>
      <c r="I476" s="66">
        <f t="shared" si="3"/>
        <v>1273229.6555494808</v>
      </c>
      <c r="J476" s="67">
        <f t="shared" si="4"/>
        <v>-5913577.6508527333</v>
      </c>
    </row>
    <row r="477" spans="1:10" ht="13.2" x14ac:dyDescent="0.25">
      <c r="A477" s="60">
        <v>601</v>
      </c>
      <c r="B477" s="61">
        <v>27.025095680699835</v>
      </c>
      <c r="C477" s="61">
        <v>0.55855018587360594</v>
      </c>
      <c r="D477" s="61">
        <v>5302.3237725533081</v>
      </c>
      <c r="E477" s="61">
        <f t="shared" si="5"/>
        <v>-2702.61210626096</v>
      </c>
      <c r="F477" s="61">
        <f t="shared" si="0"/>
        <v>-23674882.05084601</v>
      </c>
      <c r="G477" s="62">
        <f>J477-(I477-(H477*$N$4))</f>
        <v>-3373605.1018859148</v>
      </c>
      <c r="H477" s="62">
        <f t="shared" si="2"/>
        <v>42418590.180426463</v>
      </c>
      <c r="I477" s="62">
        <f t="shared" si="3"/>
        <v>1272557.7054127939</v>
      </c>
      <c r="J477" s="63">
        <f t="shared" si="4"/>
        <v>-5918720.5127115026</v>
      </c>
    </row>
    <row r="478" spans="1:10" ht="13.2" x14ac:dyDescent="0.25">
      <c r="A478" s="64">
        <v>600</v>
      </c>
      <c r="B478" s="65">
        <v>26.975986878075449</v>
      </c>
      <c r="C478" s="65">
        <v>0.55762081784386619</v>
      </c>
      <c r="D478" s="65">
        <v>5292.688625478404</v>
      </c>
      <c r="E478" s="65">
        <f t="shared" si="5"/>
        <v>-2710.6801987465442</v>
      </c>
      <c r="F478" s="65">
        <f t="shared" si="0"/>
        <v>-23745558.541019727</v>
      </c>
      <c r="G478" s="66">
        <f t="shared" ref="G478:G492" si="35">J478-I478-(H478*$N$4)</f>
        <v>-11017370.715714199</v>
      </c>
      <c r="H478" s="66">
        <f t="shared" si="2"/>
        <v>42341509.003827229</v>
      </c>
      <c r="I478" s="66">
        <f t="shared" si="3"/>
        <v>1270245.2701148167</v>
      </c>
      <c r="J478" s="67">
        <f t="shared" si="4"/>
        <v>-5936389.6352549316</v>
      </c>
    </row>
    <row r="479" spans="1:10" ht="13.2" x14ac:dyDescent="0.25">
      <c r="A479" s="60">
        <v>599</v>
      </c>
      <c r="B479" s="61">
        <v>26.967031164570802</v>
      </c>
      <c r="C479" s="61">
        <v>0.55669144981412644</v>
      </c>
      <c r="D479" s="61">
        <v>5290.9315144887923</v>
      </c>
      <c r="E479" s="61">
        <f t="shared" si="5"/>
        <v>-2712.1490847457594</v>
      </c>
      <c r="F479" s="61">
        <f t="shared" si="0"/>
        <v>-23758425.982372854</v>
      </c>
      <c r="G479" s="62">
        <f t="shared" si="35"/>
        <v>-11018900.749502454</v>
      </c>
      <c r="H479" s="62">
        <f t="shared" si="2"/>
        <v>42327452.115910336</v>
      </c>
      <c r="I479" s="62">
        <f t="shared" si="3"/>
        <v>1269823.5634773101</v>
      </c>
      <c r="J479" s="63">
        <f t="shared" si="4"/>
        <v>-5939606.4955932135</v>
      </c>
    </row>
    <row r="480" spans="1:10" ht="13.2" x14ac:dyDescent="0.25">
      <c r="A480" s="64">
        <v>598</v>
      </c>
      <c r="B480" s="65">
        <v>26.951481683980315</v>
      </c>
      <c r="C480" s="65">
        <v>0.55576208178438657</v>
      </c>
      <c r="D480" s="65">
        <v>5287.880706396938</v>
      </c>
      <c r="E480" s="65">
        <f t="shared" si="5"/>
        <v>-2714.6952052536453</v>
      </c>
      <c r="F480" s="65">
        <f t="shared" si="0"/>
        <v>-23780729.998021934</v>
      </c>
      <c r="G480" s="66">
        <f t="shared" si="35"/>
        <v>-11021547.977646545</v>
      </c>
      <c r="H480" s="66">
        <f t="shared" si="2"/>
        <v>42303045.651175506</v>
      </c>
      <c r="I480" s="66">
        <f t="shared" si="3"/>
        <v>1269091.3695352653</v>
      </c>
      <c r="J480" s="67">
        <f t="shared" si="4"/>
        <v>-5945182.4995054835</v>
      </c>
    </row>
    <row r="481" spans="1:10" ht="13.2" x14ac:dyDescent="0.25">
      <c r="A481" s="60">
        <v>597</v>
      </c>
      <c r="B481" s="61">
        <v>26.924614543466372</v>
      </c>
      <c r="C481" s="61">
        <v>0.55483271375464682</v>
      </c>
      <c r="D481" s="61">
        <v>5282.609373428103</v>
      </c>
      <c r="E481" s="61">
        <f t="shared" si="5"/>
        <v>-2719.0871662262853</v>
      </c>
      <c r="F481" s="61">
        <f t="shared" si="0"/>
        <v>-23819203.576142259</v>
      </c>
      <c r="G481" s="62">
        <f t="shared" si="35"/>
        <v>-11026105.892526543</v>
      </c>
      <c r="H481" s="62">
        <f t="shared" si="2"/>
        <v>42260874.987424821</v>
      </c>
      <c r="I481" s="62">
        <f t="shared" si="3"/>
        <v>1267826.2496227445</v>
      </c>
      <c r="J481" s="63">
        <f t="shared" si="4"/>
        <v>-5954800.8940355647</v>
      </c>
    </row>
    <row r="482" spans="1:10" ht="13.2" x14ac:dyDescent="0.25">
      <c r="A482" s="64">
        <v>596</v>
      </c>
      <c r="B482" s="65">
        <v>26.899518862766538</v>
      </c>
      <c r="C482" s="65">
        <v>0.55390334572490707</v>
      </c>
      <c r="D482" s="65">
        <v>5277.6856008747955</v>
      </c>
      <c r="E482" s="65">
        <f t="shared" si="5"/>
        <v>-2723.1826833593805</v>
      </c>
      <c r="F482" s="65">
        <f t="shared" si="0"/>
        <v>-23855080.306228172</v>
      </c>
      <c r="G482" s="66">
        <f t="shared" si="35"/>
        <v>-11030348.253396846</v>
      </c>
      <c r="H482" s="66">
        <f t="shared" si="2"/>
        <v>42221484.806998365</v>
      </c>
      <c r="I482" s="66">
        <f t="shared" si="3"/>
        <v>1266644.5442099508</v>
      </c>
      <c r="J482" s="67">
        <f t="shared" si="4"/>
        <v>-5963770.076557043</v>
      </c>
    </row>
    <row r="483" spans="1:10" ht="13.2" x14ac:dyDescent="0.25">
      <c r="A483" s="60">
        <v>595</v>
      </c>
      <c r="B483" s="61">
        <v>26.792739201749587</v>
      </c>
      <c r="C483" s="61">
        <v>0.55297397769516732</v>
      </c>
      <c r="D483" s="61">
        <v>5256.7354313832693</v>
      </c>
      <c r="E483" s="61">
        <f t="shared" si="5"/>
        <v>-2740.579501612799</v>
      </c>
      <c r="F483" s="61">
        <f t="shared" si="0"/>
        <v>-24007476.434128117</v>
      </c>
      <c r="G483" s="62">
        <f t="shared" si="35"/>
        <v>-11048335.122659966</v>
      </c>
      <c r="H483" s="62">
        <f t="shared" si="2"/>
        <v>42053883.451066151</v>
      </c>
      <c r="I483" s="62">
        <f t="shared" si="3"/>
        <v>1261616.5035319845</v>
      </c>
      <c r="J483" s="63">
        <f t="shared" si="4"/>
        <v>-6001869.1085320292</v>
      </c>
    </row>
    <row r="484" spans="1:10" ht="13.2" x14ac:dyDescent="0.25">
      <c r="A484" s="64">
        <v>594</v>
      </c>
      <c r="B484" s="65">
        <v>26.773154729360304</v>
      </c>
      <c r="C484" s="65">
        <v>0.55204460966542745</v>
      </c>
      <c r="D484" s="65">
        <v>5252.8929579004916</v>
      </c>
      <c r="E484" s="65">
        <f t="shared" si="5"/>
        <v>-2743.7648978457337</v>
      </c>
      <c r="F484" s="65">
        <f t="shared" si="0"/>
        <v>-24035380.50512863</v>
      </c>
      <c r="G484" s="66">
        <f t="shared" si="35"/>
        <v>-11051622.365866629</v>
      </c>
      <c r="H484" s="66">
        <f t="shared" si="2"/>
        <v>42023143.663203932</v>
      </c>
      <c r="I484" s="66">
        <f t="shared" si="3"/>
        <v>1260694.309896118</v>
      </c>
      <c r="J484" s="67">
        <f t="shared" si="4"/>
        <v>-6008845.1262821574</v>
      </c>
    </row>
    <row r="485" spans="1:10" ht="13.2" x14ac:dyDescent="0.25">
      <c r="A485" s="60">
        <v>593</v>
      </c>
      <c r="B485" s="61">
        <v>26.771875341716783</v>
      </c>
      <c r="C485" s="61">
        <v>0.5511152416356877</v>
      </c>
      <c r="D485" s="61">
        <v>5252.6419420448328</v>
      </c>
      <c r="E485" s="61">
        <f t="shared" si="5"/>
        <v>-2743.9726391277636</v>
      </c>
      <c r="F485" s="61">
        <f t="shared" si="0"/>
        <v>-24037200.31875921</v>
      </c>
      <c r="G485" s="62">
        <f t="shared" si="35"/>
        <v>-11051836.344052842</v>
      </c>
      <c r="H485" s="62">
        <f t="shared" si="2"/>
        <v>42021135.536358662</v>
      </c>
      <c r="I485" s="62">
        <f t="shared" si="3"/>
        <v>1260634.0660907598</v>
      </c>
      <c r="J485" s="63">
        <f t="shared" si="4"/>
        <v>-6009300.0796898026</v>
      </c>
    </row>
    <row r="486" spans="1:10" ht="13.2" x14ac:dyDescent="0.25">
      <c r="A486" s="64">
        <v>592</v>
      </c>
      <c r="B486" s="65">
        <v>26.752487698195733</v>
      </c>
      <c r="C486" s="65">
        <v>0.55018587360594795</v>
      </c>
      <c r="D486" s="65">
        <v>5248.8380863860029</v>
      </c>
      <c r="E486" s="65">
        <f t="shared" si="5"/>
        <v>-2747.1154157826891</v>
      </c>
      <c r="F486" s="65">
        <f t="shared" si="0"/>
        <v>-24064731.042256355</v>
      </c>
      <c r="G486" s="66">
        <f t="shared" si="35"/>
        <v>-11055067.32349465</v>
      </c>
      <c r="H486" s="66">
        <f t="shared" si="2"/>
        <v>41990704.691088021</v>
      </c>
      <c r="I486" s="66">
        <f t="shared" si="3"/>
        <v>1259721.1407326406</v>
      </c>
      <c r="J486" s="67">
        <f t="shared" si="4"/>
        <v>-6016182.7605640888</v>
      </c>
    </row>
    <row r="487" spans="1:10" ht="13.2" x14ac:dyDescent="0.25">
      <c r="A487" s="60">
        <v>591</v>
      </c>
      <c r="B487" s="61">
        <v>26.722569710224164</v>
      </c>
      <c r="C487" s="61">
        <v>0.5492565055762082</v>
      </c>
      <c r="D487" s="61">
        <v>5242.9681771459809</v>
      </c>
      <c r="E487" s="61">
        <f t="shared" si="5"/>
        <v>-2751.9569998445104</v>
      </c>
      <c r="F487" s="61">
        <f t="shared" si="0"/>
        <v>-24107143.318637908</v>
      </c>
      <c r="G487" s="62">
        <f t="shared" si="35"/>
        <v>-11060035.279719619</v>
      </c>
      <c r="H487" s="62">
        <f t="shared" si="2"/>
        <v>41943745.41716785</v>
      </c>
      <c r="I487" s="62">
        <f t="shared" si="3"/>
        <v>1258312.3625150356</v>
      </c>
      <c r="J487" s="63">
        <f t="shared" si="4"/>
        <v>-6026785.8296594769</v>
      </c>
    </row>
    <row r="488" spans="1:10" ht="13.2" x14ac:dyDescent="0.25">
      <c r="A488" s="64">
        <v>590</v>
      </c>
      <c r="B488" s="65">
        <v>26.700426462547842</v>
      </c>
      <c r="C488" s="65">
        <v>0.54832713754646845</v>
      </c>
      <c r="D488" s="65">
        <v>5238.6236719518874</v>
      </c>
      <c r="E488" s="65">
        <f t="shared" si="5"/>
        <v>-2755.5343526344423</v>
      </c>
      <c r="F488" s="65">
        <f t="shared" si="0"/>
        <v>-24138480.929077715</v>
      </c>
      <c r="G488" s="66">
        <f t="shared" si="35"/>
        <v>-11063698.957343239</v>
      </c>
      <c r="H488" s="66">
        <f t="shared" si="2"/>
        <v>41908989.375615098</v>
      </c>
      <c r="I488" s="66">
        <f t="shared" si="3"/>
        <v>1257269.6812684529</v>
      </c>
      <c r="J488" s="67">
        <f t="shared" si="4"/>
        <v>-6034620.2322694287</v>
      </c>
    </row>
    <row r="489" spans="1:10" ht="13.2" x14ac:dyDescent="0.25">
      <c r="A489" s="60">
        <v>589</v>
      </c>
      <c r="B489" s="61">
        <v>26.596992892290871</v>
      </c>
      <c r="C489" s="61">
        <v>0.54739776951672858</v>
      </c>
      <c r="D489" s="61">
        <v>5218.3300054674683</v>
      </c>
      <c r="E489" s="61">
        <f t="shared" si="5"/>
        <v>-2772.2162745726105</v>
      </c>
      <c r="F489" s="61">
        <f t="shared" si="0"/>
        <v>-24284614.565256067</v>
      </c>
      <c r="G489" s="62">
        <f t="shared" si="35"/>
        <v>-11080750.446562786</v>
      </c>
      <c r="H489" s="62">
        <f t="shared" si="2"/>
        <v>41746640.043739744</v>
      </c>
      <c r="I489" s="62">
        <f t="shared" si="3"/>
        <v>1252399.2013121923</v>
      </c>
      <c r="J489" s="63">
        <f t="shared" si="4"/>
        <v>-6071153.6413140167</v>
      </c>
    </row>
    <row r="490" spans="1:10" ht="13.2" x14ac:dyDescent="0.25">
      <c r="A490" s="64">
        <v>588</v>
      </c>
      <c r="B490" s="65">
        <v>26.581443411700381</v>
      </c>
      <c r="C490" s="65">
        <v>0.54646840148698883</v>
      </c>
      <c r="D490" s="65">
        <v>5215.2791973756148</v>
      </c>
      <c r="E490" s="65">
        <f t="shared" si="5"/>
        <v>-2774.7198652279139</v>
      </c>
      <c r="F490" s="65">
        <f t="shared" si="0"/>
        <v>-24306546.019396525</v>
      </c>
      <c r="G490" s="66">
        <f t="shared" si="35"/>
        <v>-11083304.534329722</v>
      </c>
      <c r="H490" s="66">
        <f t="shared" si="2"/>
        <v>41722233.579004921</v>
      </c>
      <c r="I490" s="66">
        <f t="shared" si="3"/>
        <v>1251667.0073701476</v>
      </c>
      <c r="J490" s="67">
        <f t="shared" si="4"/>
        <v>-6076636.5048491312</v>
      </c>
    </row>
    <row r="491" spans="1:10" ht="13.2" x14ac:dyDescent="0.25">
      <c r="A491" s="60">
        <v>587</v>
      </c>
      <c r="B491" s="61">
        <v>26.515112083105521</v>
      </c>
      <c r="C491" s="61">
        <v>0.54553903345724908</v>
      </c>
      <c r="D491" s="61">
        <v>5202.2649907053037</v>
      </c>
      <c r="E491" s="61">
        <f t="shared" si="5"/>
        <v>-2785.3815968077274</v>
      </c>
      <c r="F491" s="61">
        <f t="shared" si="0"/>
        <v>-24399942.788035695</v>
      </c>
      <c r="G491" s="62">
        <f t="shared" si="35"/>
        <v>-11094160.088086015</v>
      </c>
      <c r="H491" s="62">
        <f t="shared" si="2"/>
        <v>41618119.925642431</v>
      </c>
      <c r="I491" s="62">
        <f t="shared" si="3"/>
        <v>1248543.597769273</v>
      </c>
      <c r="J491" s="63">
        <f t="shared" si="4"/>
        <v>-6099985.6970089236</v>
      </c>
    </row>
    <row r="492" spans="1:10" ht="13.2" x14ac:dyDescent="0.25">
      <c r="A492" s="64">
        <v>586</v>
      </c>
      <c r="B492" s="65">
        <v>26.470136686714049</v>
      </c>
      <c r="C492" s="65">
        <v>0.54460966542750933</v>
      </c>
      <c r="D492" s="65">
        <v>5193.4408179332968</v>
      </c>
      <c r="E492" s="65">
        <f t="shared" si="5"/>
        <v>-2792.5983923833464</v>
      </c>
      <c r="F492" s="65">
        <f t="shared" si="0"/>
        <v>-24463161.917278115</v>
      </c>
      <c r="G492" s="66">
        <f t="shared" si="35"/>
        <v>-11101493.664535493</v>
      </c>
      <c r="H492" s="66">
        <f t="shared" si="2"/>
        <v>41547526.543466374</v>
      </c>
      <c r="I492" s="66">
        <f t="shared" si="3"/>
        <v>1246425.7963039912</v>
      </c>
      <c r="J492" s="67">
        <f t="shared" si="4"/>
        <v>-6115790.4793195287</v>
      </c>
    </row>
    <row r="493" spans="1:10" ht="13.2" x14ac:dyDescent="0.25">
      <c r="A493" s="60">
        <v>585</v>
      </c>
      <c r="B493" s="61">
        <v>26.390519409513395</v>
      </c>
      <c r="C493" s="61">
        <v>0.54368029739776946</v>
      </c>
      <c r="D493" s="61">
        <v>5177.8199081465282</v>
      </c>
      <c r="E493" s="61">
        <f t="shared" si="5"/>
        <v>-2805.352081275239</v>
      </c>
      <c r="F493" s="61">
        <f t="shared" si="0"/>
        <v>-24574884.231971093</v>
      </c>
      <c r="G493" s="62">
        <f>J493-(I493-(H493*$N$4))</f>
        <v>-3658367.5020824391</v>
      </c>
      <c r="H493" s="62">
        <f t="shared" si="2"/>
        <v>41422559.265172228</v>
      </c>
      <c r="I493" s="62">
        <f t="shared" si="3"/>
        <v>1242676.7779551668</v>
      </c>
      <c r="J493" s="63">
        <f t="shared" si="4"/>
        <v>-6143721.0579927731</v>
      </c>
    </row>
    <row r="494" spans="1:10" ht="13.2" x14ac:dyDescent="0.25">
      <c r="A494" s="64">
        <v>584</v>
      </c>
      <c r="B494" s="65">
        <v>26.377823947512301</v>
      </c>
      <c r="C494" s="65">
        <v>0.54275092936802971</v>
      </c>
      <c r="D494" s="65">
        <v>5175.3290585019131</v>
      </c>
      <c r="E494" s="65">
        <f t="shared" si="5"/>
        <v>-2807.3822626305619</v>
      </c>
      <c r="F494" s="65">
        <f t="shared" si="0"/>
        <v>-24592668.62064372</v>
      </c>
      <c r="G494" s="66">
        <f t="shared" ref="G494:G508" si="36">J494-I494-(H494*$N$4)</f>
        <v>-11116483.051322766</v>
      </c>
      <c r="H494" s="66">
        <f t="shared" si="2"/>
        <v>41402632.468015306</v>
      </c>
      <c r="I494" s="66">
        <f t="shared" si="3"/>
        <v>1242078.9740404591</v>
      </c>
      <c r="J494" s="67">
        <f t="shared" si="4"/>
        <v>-6148167.15516093</v>
      </c>
    </row>
    <row r="495" spans="1:10" ht="13.2" x14ac:dyDescent="0.25">
      <c r="A495" s="60">
        <v>583</v>
      </c>
      <c r="B495" s="61">
        <v>26.352531437944233</v>
      </c>
      <c r="C495" s="61">
        <v>0.54182156133828996</v>
      </c>
      <c r="D495" s="61">
        <v>5170.3666681246577</v>
      </c>
      <c r="E495" s="61">
        <f t="shared" si="5"/>
        <v>-2811.4199696707915</v>
      </c>
      <c r="F495" s="61">
        <f t="shared" si="0"/>
        <v>-24628038.934316136</v>
      </c>
      <c r="G495" s="62">
        <f t="shared" si="36"/>
        <v>-11120561.734978706</v>
      </c>
      <c r="H495" s="62">
        <f t="shared" si="2"/>
        <v>41362933.344997264</v>
      </c>
      <c r="I495" s="62">
        <f t="shared" si="3"/>
        <v>1240888.0003499179</v>
      </c>
      <c r="J495" s="63">
        <f t="shared" si="4"/>
        <v>-6157009.733579034</v>
      </c>
    </row>
    <row r="496" spans="1:10" ht="13.2" x14ac:dyDescent="0.25">
      <c r="A496" s="64">
        <v>582</v>
      </c>
      <c r="B496" s="65">
        <v>26.309032258064516</v>
      </c>
      <c r="C496" s="65">
        <v>0.54089219330855021</v>
      </c>
      <c r="D496" s="65">
        <v>5161.8321290322583</v>
      </c>
      <c r="E496" s="65">
        <f t="shared" si="5"/>
        <v>-2818.3522997514206</v>
      </c>
      <c r="F496" s="65">
        <f t="shared" si="0"/>
        <v>-24688766.145822443</v>
      </c>
      <c r="G496" s="66">
        <f t="shared" si="36"/>
        <v>-11127550.380326578</v>
      </c>
      <c r="H496" s="66">
        <f t="shared" si="2"/>
        <v>41294657.032258064</v>
      </c>
      <c r="I496" s="66">
        <f t="shared" si="3"/>
        <v>1238839.7109677419</v>
      </c>
      <c r="J496" s="67">
        <f t="shared" si="4"/>
        <v>-6172191.5364556108</v>
      </c>
    </row>
    <row r="497" spans="1:10" ht="13.2" x14ac:dyDescent="0.25">
      <c r="A497" s="60">
        <v>581</v>
      </c>
      <c r="B497" s="61">
        <v>26.277638053581192</v>
      </c>
      <c r="C497" s="61">
        <v>0.53996282527881045</v>
      </c>
      <c r="D497" s="61">
        <v>5155.6725861126297</v>
      </c>
      <c r="E497" s="61">
        <f t="shared" si="5"/>
        <v>-2823.3469105296508</v>
      </c>
      <c r="F497" s="61">
        <f t="shared" si="0"/>
        <v>-24732518.936239745</v>
      </c>
      <c r="G497" s="62">
        <f t="shared" si="36"/>
        <v>-11132575.416728061</v>
      </c>
      <c r="H497" s="62">
        <f t="shared" si="2"/>
        <v>41245380.688901037</v>
      </c>
      <c r="I497" s="62">
        <f t="shared" si="3"/>
        <v>1237361.4206670311</v>
      </c>
      <c r="J497" s="63">
        <f t="shared" si="4"/>
        <v>-6183129.7340599364</v>
      </c>
    </row>
    <row r="498" spans="1:10" ht="13.2" x14ac:dyDescent="0.25">
      <c r="A498" s="64">
        <v>580</v>
      </c>
      <c r="B498" s="65">
        <v>26.227545106615633</v>
      </c>
      <c r="C498" s="65">
        <v>0.53903345724907059</v>
      </c>
      <c r="D498" s="65">
        <v>5145.8443499179875</v>
      </c>
      <c r="E498" s="65">
        <f t="shared" si="5"/>
        <v>-2831.3026667801464</v>
      </c>
      <c r="F498" s="65">
        <f t="shared" si="0"/>
        <v>-24802211.360994086</v>
      </c>
      <c r="G498" s="66">
        <f t="shared" si="36"/>
        <v>-11140563.416169789</v>
      </c>
      <c r="H498" s="66">
        <f t="shared" si="2"/>
        <v>41166754.799343899</v>
      </c>
      <c r="I498" s="66">
        <f t="shared" si="3"/>
        <v>1235002.6439803168</v>
      </c>
      <c r="J498" s="67">
        <f t="shared" si="4"/>
        <v>-6200552.8402485214</v>
      </c>
    </row>
    <row r="499" spans="1:10" ht="13.2" x14ac:dyDescent="0.25">
      <c r="A499" s="60">
        <v>579</v>
      </c>
      <c r="B499" s="61">
        <v>26.223116457080373</v>
      </c>
      <c r="C499" s="61">
        <v>0.53810408921933084</v>
      </c>
      <c r="D499" s="61">
        <v>5144.9754488791705</v>
      </c>
      <c r="E499" s="61">
        <f t="shared" si="5"/>
        <v>-2832.0048131121644</v>
      </c>
      <c r="F499" s="61">
        <f t="shared" si="0"/>
        <v>-24808362.162862562</v>
      </c>
      <c r="G499" s="62">
        <f t="shared" si="36"/>
        <v>-11141266.971639644</v>
      </c>
      <c r="H499" s="62">
        <f t="shared" si="2"/>
        <v>41159803.591033362</v>
      </c>
      <c r="I499" s="62">
        <f t="shared" si="3"/>
        <v>1234794.1077310008</v>
      </c>
      <c r="J499" s="63">
        <f t="shared" si="4"/>
        <v>-6202090.5407156404</v>
      </c>
    </row>
    <row r="500" spans="1:10" ht="13.2" x14ac:dyDescent="0.25">
      <c r="A500" s="64">
        <v>578</v>
      </c>
      <c r="B500" s="65">
        <v>26.018414434117002</v>
      </c>
      <c r="C500" s="65">
        <v>0.53717472118959109</v>
      </c>
      <c r="D500" s="65">
        <v>5104.8129119737559</v>
      </c>
      <c r="E500" s="65">
        <f t="shared" si="5"/>
        <v>-2864.4035882366065</v>
      </c>
      <c r="F500" s="65">
        <f t="shared" si="0"/>
        <v>-25092175.432952676</v>
      </c>
      <c r="G500" s="66">
        <f t="shared" si="36"/>
        <v>-11173664.253732976</v>
      </c>
      <c r="H500" s="66">
        <f t="shared" si="2"/>
        <v>40838503.295790046</v>
      </c>
      <c r="I500" s="66">
        <f t="shared" si="3"/>
        <v>1225155.0988737014</v>
      </c>
      <c r="J500" s="67">
        <f t="shared" si="4"/>
        <v>-6273043.858238169</v>
      </c>
    </row>
    <row r="501" spans="1:10" ht="13.2" x14ac:dyDescent="0.25">
      <c r="A501" s="60">
        <v>577</v>
      </c>
      <c r="B501" s="61">
        <v>25.9686167304538</v>
      </c>
      <c r="C501" s="61">
        <v>0.53624535315985133</v>
      </c>
      <c r="D501" s="61">
        <v>5095.0426025150355</v>
      </c>
      <c r="E501" s="61">
        <f t="shared" si="5"/>
        <v>-2872.2715930191171</v>
      </c>
      <c r="F501" s="61">
        <f t="shared" si="0"/>
        <v>-25161099.154847465</v>
      </c>
      <c r="G501" s="62">
        <f t="shared" si="36"/>
        <v>-11181515.687126299</v>
      </c>
      <c r="H501" s="62">
        <f t="shared" si="2"/>
        <v>40760340.820120282</v>
      </c>
      <c r="I501" s="62">
        <f t="shared" si="3"/>
        <v>1222810.2246036085</v>
      </c>
      <c r="J501" s="63">
        <f t="shared" si="4"/>
        <v>-6290274.7887118664</v>
      </c>
    </row>
    <row r="502" spans="1:10" ht="13.2" x14ac:dyDescent="0.25">
      <c r="A502" s="64">
        <v>576</v>
      </c>
      <c r="B502" s="65">
        <v>25.935943138326955</v>
      </c>
      <c r="C502" s="65">
        <v>0.53531598513011147</v>
      </c>
      <c r="D502" s="65">
        <v>5088.632043739749</v>
      </c>
      <c r="E502" s="65">
        <f t="shared" si="5"/>
        <v>-2877.4250626665362</v>
      </c>
      <c r="F502" s="65">
        <f t="shared" si="0"/>
        <v>-25206243.548958857</v>
      </c>
      <c r="G502" s="66">
        <f t="shared" si="36"/>
        <v>-11186647.649229873</v>
      </c>
      <c r="H502" s="66">
        <f t="shared" si="2"/>
        <v>40709056.349917993</v>
      </c>
      <c r="I502" s="66">
        <f t="shared" si="3"/>
        <v>1221271.6904975397</v>
      </c>
      <c r="J502" s="67">
        <f t="shared" si="4"/>
        <v>-6301560.8872397142</v>
      </c>
    </row>
    <row r="503" spans="1:10" ht="13.2" x14ac:dyDescent="0.25">
      <c r="A503" s="60">
        <v>575</v>
      </c>
      <c r="B503" s="61">
        <v>25.891459814106067</v>
      </c>
      <c r="C503" s="61">
        <v>0.53438661710037172</v>
      </c>
      <c r="D503" s="61">
        <v>5079.9044155276115</v>
      </c>
      <c r="E503" s="61">
        <f t="shared" si="5"/>
        <v>-2884.4290654185629</v>
      </c>
      <c r="F503" s="61">
        <f t="shared" si="0"/>
        <v>-25267598.613066614</v>
      </c>
      <c r="G503" s="62">
        <f t="shared" si="36"/>
        <v>-11193607.89217316</v>
      </c>
      <c r="H503" s="62">
        <f t="shared" si="2"/>
        <v>40639235.324220888</v>
      </c>
      <c r="I503" s="62">
        <f t="shared" si="3"/>
        <v>1219177.0597266266</v>
      </c>
      <c r="J503" s="63">
        <f t="shared" si="4"/>
        <v>-6316899.6532666534</v>
      </c>
    </row>
    <row r="504" spans="1:10" ht="13.2" x14ac:dyDescent="0.25">
      <c r="A504" s="64">
        <v>574</v>
      </c>
      <c r="B504" s="65">
        <v>25.807709130672499</v>
      </c>
      <c r="C504" s="65">
        <v>0.53345724907063197</v>
      </c>
      <c r="D504" s="65">
        <v>5063.4725314379448</v>
      </c>
      <c r="E504" s="65">
        <f t="shared" si="5"/>
        <v>-2897.5928982115861</v>
      </c>
      <c r="F504" s="65">
        <f t="shared" si="0"/>
        <v>-25382913.788333494</v>
      </c>
      <c r="G504" s="66">
        <f t="shared" si="36"/>
        <v>-11206662.0772638</v>
      </c>
      <c r="H504" s="66">
        <f t="shared" si="2"/>
        <v>40507780.251503557</v>
      </c>
      <c r="I504" s="66">
        <f t="shared" si="3"/>
        <v>1215233.4075451067</v>
      </c>
      <c r="J504" s="67">
        <f t="shared" si="4"/>
        <v>-6345728.4470833736</v>
      </c>
    </row>
    <row r="505" spans="1:10" ht="13.2" x14ac:dyDescent="0.25">
      <c r="A505" s="60">
        <v>573</v>
      </c>
      <c r="B505" s="61">
        <v>25.671109896118097</v>
      </c>
      <c r="C505" s="61">
        <v>0.53252788104089221</v>
      </c>
      <c r="D505" s="61">
        <v>5036.6717616183714</v>
      </c>
      <c r="E505" s="61">
        <f t="shared" si="5"/>
        <v>-2919.0260417336522</v>
      </c>
      <c r="F505" s="61">
        <f t="shared" si="0"/>
        <v>-25570668.125586793</v>
      </c>
      <c r="G505" s="62">
        <f t="shared" si="36"/>
        <v>-11227871.922550336</v>
      </c>
      <c r="H505" s="62">
        <f t="shared" si="2"/>
        <v>40293374.092946969</v>
      </c>
      <c r="I505" s="62">
        <f t="shared" si="3"/>
        <v>1208801.2227884091</v>
      </c>
      <c r="J505" s="63">
        <f t="shared" si="4"/>
        <v>-6392667.0313966982</v>
      </c>
    </row>
    <row r="506" spans="1:10" ht="13.2" x14ac:dyDescent="0.25">
      <c r="A506" s="64">
        <v>572</v>
      </c>
      <c r="B506" s="65">
        <v>25.580765445598686</v>
      </c>
      <c r="C506" s="65">
        <v>0.53159851301115246</v>
      </c>
      <c r="D506" s="65">
        <v>5018.9461804264629</v>
      </c>
      <c r="E506" s="65">
        <f t="shared" si="5"/>
        <v>-2933.176854227936</v>
      </c>
      <c r="F506" s="65">
        <f t="shared" si="0"/>
        <v>-25694629.243036721</v>
      </c>
      <c r="G506" s="66">
        <f t="shared" si="36"/>
        <v>-11241845.643968584</v>
      </c>
      <c r="H506" s="66">
        <f t="shared" si="2"/>
        <v>40151569.4434117</v>
      </c>
      <c r="I506" s="66">
        <f t="shared" si="3"/>
        <v>1204547.0833023509</v>
      </c>
      <c r="J506" s="67">
        <f t="shared" si="4"/>
        <v>-6423657.3107591802</v>
      </c>
    </row>
    <row r="507" spans="1:10" ht="13.2" x14ac:dyDescent="0.25">
      <c r="A507" s="60">
        <v>571</v>
      </c>
      <c r="B507" s="61">
        <v>25.570924002186988</v>
      </c>
      <c r="C507" s="61">
        <v>0.5306691449814126</v>
      </c>
      <c r="D507" s="61">
        <v>5017.0152892290871</v>
      </c>
      <c r="E507" s="61">
        <f t="shared" si="5"/>
        <v>-2934.7156453076291</v>
      </c>
      <c r="F507" s="61">
        <f t="shared" si="0"/>
        <v>-25708109.052894831</v>
      </c>
      <c r="G507" s="62">
        <f t="shared" si="36"/>
        <v>-11243361.940883633</v>
      </c>
      <c r="H507" s="62">
        <f t="shared" si="2"/>
        <v>40136122.3138327</v>
      </c>
      <c r="I507" s="62">
        <f t="shared" si="3"/>
        <v>1204083.669414981</v>
      </c>
      <c r="J507" s="63">
        <f t="shared" si="4"/>
        <v>-6427027.2632237077</v>
      </c>
    </row>
    <row r="508" spans="1:10" ht="13.2" x14ac:dyDescent="0.25">
      <c r="A508" s="64">
        <v>570</v>
      </c>
      <c r="B508" s="65">
        <v>25.562558775287041</v>
      </c>
      <c r="C508" s="65">
        <v>0.52973977695167285</v>
      </c>
      <c r="D508" s="65">
        <v>5015.3740317113179</v>
      </c>
      <c r="E508" s="65">
        <f t="shared" si="5"/>
        <v>-2936.0213297269697</v>
      </c>
      <c r="F508" s="65">
        <f t="shared" si="0"/>
        <v>-25719546.848408256</v>
      </c>
      <c r="G508" s="66">
        <f t="shared" si="36"/>
        <v>-11244645.78254493</v>
      </c>
      <c r="H508" s="66">
        <f t="shared" si="2"/>
        <v>40122992.253690541</v>
      </c>
      <c r="I508" s="66">
        <f t="shared" si="3"/>
        <v>1203689.7676107162</v>
      </c>
      <c r="J508" s="67">
        <f t="shared" si="4"/>
        <v>-6429886.7121020639</v>
      </c>
    </row>
    <row r="509" spans="1:10" ht="13.2" x14ac:dyDescent="0.25">
      <c r="A509" s="60">
        <v>569</v>
      </c>
      <c r="B509" s="61">
        <v>25.541202843083653</v>
      </c>
      <c r="C509" s="61">
        <v>0.52881040892193309</v>
      </c>
      <c r="D509" s="61">
        <v>5011.1839978130138</v>
      </c>
      <c r="E509" s="61">
        <f t="shared" si="5"/>
        <v>-2939.3488241192567</v>
      </c>
      <c r="F509" s="61">
        <f t="shared" si="0"/>
        <v>-25748695.699284688</v>
      </c>
      <c r="G509" s="62">
        <f>J509-(I509-(H509*$N$4))</f>
        <v>-4031805.6058709258</v>
      </c>
      <c r="H509" s="62">
        <f t="shared" si="2"/>
        <v>40089471.982504107</v>
      </c>
      <c r="I509" s="62">
        <f t="shared" si="3"/>
        <v>1202684.1594751233</v>
      </c>
      <c r="J509" s="63">
        <f t="shared" si="4"/>
        <v>-6437173.9248211719</v>
      </c>
    </row>
    <row r="510" spans="1:10" ht="13.2" x14ac:dyDescent="0.25">
      <c r="A510" s="64">
        <v>568</v>
      </c>
      <c r="B510" s="65">
        <v>25.430585019136139</v>
      </c>
      <c r="C510" s="65">
        <v>0.52788104089219334</v>
      </c>
      <c r="D510" s="65">
        <v>4989.4807807545103</v>
      </c>
      <c r="E510" s="65">
        <f t="shared" si="5"/>
        <v>-2956.5540696126614</v>
      </c>
      <c r="F510" s="65">
        <f t="shared" si="0"/>
        <v>-25899413.649806913</v>
      </c>
      <c r="G510" s="66">
        <f t="shared" ref="G510:G524" si="37">J510-I510-(H510*$N$4)</f>
        <v>-11264754.961976059</v>
      </c>
      <c r="H510" s="66">
        <f t="shared" si="2"/>
        <v>39915846.246036083</v>
      </c>
      <c r="I510" s="66">
        <f t="shared" si="3"/>
        <v>1197475.3873810824</v>
      </c>
      <c r="J510" s="67">
        <f t="shared" si="4"/>
        <v>-6474853.4124517282</v>
      </c>
    </row>
    <row r="511" spans="1:10" ht="13.2" x14ac:dyDescent="0.25">
      <c r="A511" s="60">
        <v>567</v>
      </c>
      <c r="B511" s="61">
        <v>25.403619464188079</v>
      </c>
      <c r="C511" s="61">
        <v>0.52695167286245348</v>
      </c>
      <c r="D511" s="61">
        <v>4984.1901388737015</v>
      </c>
      <c r="E511" s="61">
        <f t="shared" si="5"/>
        <v>-2960.7408554504946</v>
      </c>
      <c r="F511" s="61">
        <f t="shared" si="0"/>
        <v>-25936089.893746331</v>
      </c>
      <c r="G511" s="62">
        <f t="shared" si="37"/>
        <v>-11268845.006755337</v>
      </c>
      <c r="H511" s="62">
        <f t="shared" si="2"/>
        <v>39873521.110989615</v>
      </c>
      <c r="I511" s="62">
        <f t="shared" si="3"/>
        <v>1196205.6333296883</v>
      </c>
      <c r="J511" s="63">
        <f t="shared" si="4"/>
        <v>-6484022.4734365828</v>
      </c>
    </row>
    <row r="512" spans="1:10" ht="13.2" x14ac:dyDescent="0.25">
      <c r="A512" s="64">
        <v>566</v>
      </c>
      <c r="B512" s="65">
        <v>25.401848004373974</v>
      </c>
      <c r="C512" s="65">
        <v>0.52602230483271373</v>
      </c>
      <c r="D512" s="65">
        <v>4983.8425784581732</v>
      </c>
      <c r="E512" s="65">
        <f t="shared" si="5"/>
        <v>-2961.0154152583004</v>
      </c>
      <c r="F512" s="65">
        <f t="shared" si="0"/>
        <v>-25938495.037662715</v>
      </c>
      <c r="G512" s="66">
        <f t="shared" si="37"/>
        <v>-11269112.634735525</v>
      </c>
      <c r="H512" s="66">
        <f t="shared" si="2"/>
        <v>39870740.627665386</v>
      </c>
      <c r="I512" s="66">
        <f t="shared" si="3"/>
        <v>1196122.2188299615</v>
      </c>
      <c r="J512" s="67">
        <f t="shared" si="4"/>
        <v>-6484623.7594156787</v>
      </c>
    </row>
    <row r="513" spans="1:10" ht="13.2" x14ac:dyDescent="0.25">
      <c r="A513" s="60">
        <v>565</v>
      </c>
      <c r="B513" s="61">
        <v>25.395746309458719</v>
      </c>
      <c r="C513" s="61">
        <v>0.52509293680297398</v>
      </c>
      <c r="D513" s="61">
        <v>4982.6454259158008</v>
      </c>
      <c r="E513" s="61">
        <f t="shared" si="5"/>
        <v>-2961.9594523700134</v>
      </c>
      <c r="F513" s="61">
        <f t="shared" si="0"/>
        <v>-25946764.802761316</v>
      </c>
      <c r="G513" s="62">
        <f t="shared" si="37"/>
        <v>-11270030.809569497</v>
      </c>
      <c r="H513" s="62">
        <f t="shared" si="2"/>
        <v>39861163.407326408</v>
      </c>
      <c r="I513" s="62">
        <f t="shared" si="3"/>
        <v>1195834.9022197921</v>
      </c>
      <c r="J513" s="63">
        <f t="shared" si="4"/>
        <v>-6486691.2006903291</v>
      </c>
    </row>
    <row r="514" spans="1:10" ht="13.2" x14ac:dyDescent="0.25">
      <c r="A514" s="64">
        <v>564</v>
      </c>
      <c r="B514" s="65">
        <v>25.322033898305083</v>
      </c>
      <c r="C514" s="65">
        <v>0.52416356877323422</v>
      </c>
      <c r="D514" s="65">
        <v>4968.1830508474577</v>
      </c>
      <c r="E514" s="65">
        <f t="shared" si="5"/>
        <v>-2973.3438684321759</v>
      </c>
      <c r="F514" s="65">
        <f t="shared" si="0"/>
        <v>-26046492.287465863</v>
      </c>
      <c r="G514" s="66">
        <f t="shared" si="37"/>
        <v>-11281078.800680025</v>
      </c>
      <c r="H514" s="66">
        <f t="shared" si="2"/>
        <v>39745464.406779662</v>
      </c>
      <c r="I514" s="66">
        <f t="shared" si="3"/>
        <v>1192363.9322033897</v>
      </c>
      <c r="J514" s="67">
        <f t="shared" si="4"/>
        <v>-6511623.0718664657</v>
      </c>
    </row>
    <row r="515" spans="1:10" ht="13.2" x14ac:dyDescent="0.25">
      <c r="A515" s="60">
        <v>563</v>
      </c>
      <c r="B515" s="61">
        <v>25.242022963367962</v>
      </c>
      <c r="C515" s="61">
        <v>0.52323420074349447</v>
      </c>
      <c r="D515" s="61">
        <v>4952.4849054127944</v>
      </c>
      <c r="E515" s="61">
        <f t="shared" si="5"/>
        <v>-2985.6791676561606</v>
      </c>
      <c r="F515" s="61">
        <f t="shared" si="0"/>
        <v>-26154549.508667968</v>
      </c>
      <c r="G515" s="62">
        <f t="shared" si="37"/>
        <v>-11293022.886363273</v>
      </c>
      <c r="H515" s="62">
        <f t="shared" si="2"/>
        <v>39619879.243302353</v>
      </c>
      <c r="I515" s="62">
        <f t="shared" si="3"/>
        <v>1188596.3772990706</v>
      </c>
      <c r="J515" s="63">
        <f t="shared" si="4"/>
        <v>-6538637.3771669921</v>
      </c>
    </row>
    <row r="516" spans="1:10" ht="13.2" x14ac:dyDescent="0.25">
      <c r="A516" s="64">
        <v>562</v>
      </c>
      <c r="B516" s="65">
        <v>25.182875888463641</v>
      </c>
      <c r="C516" s="65">
        <v>0.52230483271375461</v>
      </c>
      <c r="D516" s="65">
        <v>4940.8802493165667</v>
      </c>
      <c r="E516" s="65">
        <f t="shared" si="5"/>
        <v>-2994.7817045940938</v>
      </c>
      <c r="F516" s="65">
        <f t="shared" si="0"/>
        <v>-26234287.732244261</v>
      </c>
      <c r="G516" s="66">
        <f t="shared" si="37"/>
        <v>-11301816.97240497</v>
      </c>
      <c r="H516" s="66">
        <f t="shared" si="2"/>
        <v>39527041.994532533</v>
      </c>
      <c r="I516" s="66">
        <f t="shared" si="3"/>
        <v>1185811.2598359759</v>
      </c>
      <c r="J516" s="67">
        <f t="shared" si="4"/>
        <v>-6558571.9330610652</v>
      </c>
    </row>
    <row r="517" spans="1:10" ht="13.2" x14ac:dyDescent="0.25">
      <c r="A517" s="60">
        <v>561</v>
      </c>
      <c r="B517" s="61">
        <v>25.17697102241662</v>
      </c>
      <c r="C517" s="61">
        <v>0.52137546468401486</v>
      </c>
      <c r="D517" s="61">
        <v>4939.7217145981404</v>
      </c>
      <c r="E517" s="61">
        <f t="shared" si="5"/>
        <v>-2995.6888286649805</v>
      </c>
      <c r="F517" s="61">
        <f t="shared" si="0"/>
        <v>-26242234.139105227</v>
      </c>
      <c r="G517" s="62">
        <f t="shared" si="37"/>
        <v>-11302691.38079052</v>
      </c>
      <c r="H517" s="62">
        <f t="shared" si="2"/>
        <v>39517773.716785125</v>
      </c>
      <c r="I517" s="62">
        <f t="shared" si="3"/>
        <v>1185533.2115035537</v>
      </c>
      <c r="J517" s="63">
        <f t="shared" si="4"/>
        <v>-6560558.5347763067</v>
      </c>
    </row>
    <row r="518" spans="1:10" ht="13.2" x14ac:dyDescent="0.25">
      <c r="A518" s="64">
        <v>560</v>
      </c>
      <c r="B518" s="65">
        <v>25.164570803717879</v>
      </c>
      <c r="C518" s="65">
        <v>0.5204460966542751</v>
      </c>
      <c r="D518" s="65">
        <v>4937.2887916894479</v>
      </c>
      <c r="E518" s="65">
        <f t="shared" si="5"/>
        <v>-2997.5903975926853</v>
      </c>
      <c r="F518" s="65">
        <f t="shared" si="0"/>
        <v>-26258891.882911924</v>
      </c>
      <c r="G518" s="66">
        <f t="shared" si="37"/>
        <v>-11304520.210749852</v>
      </c>
      <c r="H518" s="66">
        <f t="shared" si="2"/>
        <v>39498310.333515584</v>
      </c>
      <c r="I518" s="66">
        <f t="shared" si="3"/>
        <v>1184949.3100054674</v>
      </c>
      <c r="J518" s="67">
        <f t="shared" si="4"/>
        <v>-6564722.9707279811</v>
      </c>
    </row>
    <row r="519" spans="1:10" ht="13.2" x14ac:dyDescent="0.25">
      <c r="A519" s="60">
        <v>559</v>
      </c>
      <c r="B519" s="61">
        <v>25.134455986878073</v>
      </c>
      <c r="C519" s="61">
        <v>0.51951672862453535</v>
      </c>
      <c r="D519" s="61">
        <v>4931.380264625479</v>
      </c>
      <c r="E519" s="61">
        <f t="shared" si="5"/>
        <v>-3002.2002567657355</v>
      </c>
      <c r="F519" s="61">
        <f t="shared" si="0"/>
        <v>-26299274.249267839</v>
      </c>
      <c r="G519" s="62">
        <f t="shared" si="37"/>
        <v>-11308943.61635742</v>
      </c>
      <c r="H519" s="62">
        <f t="shared" si="2"/>
        <v>39451042.117003828</v>
      </c>
      <c r="I519" s="62">
        <f t="shared" si="3"/>
        <v>1183531.2635101147</v>
      </c>
      <c r="J519" s="63">
        <f t="shared" si="4"/>
        <v>-6574818.5623169597</v>
      </c>
    </row>
    <row r="520" spans="1:10" ht="13.2" x14ac:dyDescent="0.25">
      <c r="A520" s="64">
        <v>558</v>
      </c>
      <c r="B520" s="65">
        <v>25.105423728813555</v>
      </c>
      <c r="C520" s="65">
        <v>0.51858736059479549</v>
      </c>
      <c r="D520" s="65">
        <v>4925.6841355932193</v>
      </c>
      <c r="E520" s="65">
        <f t="shared" si="5"/>
        <v>-3006.6364613466217</v>
      </c>
      <c r="F520" s="65">
        <f t="shared" si="0"/>
        <v>-26338135.401396409</v>
      </c>
      <c r="G520" s="66">
        <f t="shared" si="37"/>
        <v>-11313190.620518593</v>
      </c>
      <c r="H520" s="66">
        <f t="shared" si="2"/>
        <v>39405473.084745757</v>
      </c>
      <c r="I520" s="66">
        <f t="shared" si="3"/>
        <v>1182164.1925423727</v>
      </c>
      <c r="J520" s="67">
        <f t="shared" si="4"/>
        <v>-6584533.8503491022</v>
      </c>
    </row>
    <row r="521" spans="1:10" ht="13.2" x14ac:dyDescent="0.25">
      <c r="A521" s="60">
        <v>557</v>
      </c>
      <c r="B521" s="61">
        <v>25.07580098414434</v>
      </c>
      <c r="C521" s="61">
        <v>0.51765799256505574</v>
      </c>
      <c r="D521" s="61">
        <v>4919.8721530891198</v>
      </c>
      <c r="E521" s="61">
        <f t="shared" si="5"/>
        <v>-3011.1547916111936</v>
      </c>
      <c r="F521" s="61">
        <f t="shared" si="0"/>
        <v>-26377715.974514056</v>
      </c>
      <c r="G521" s="62">
        <f t="shared" si="37"/>
        <v>-11317506.26059407</v>
      </c>
      <c r="H521" s="62">
        <f t="shared" si="2"/>
        <v>39358977.22471296</v>
      </c>
      <c r="I521" s="62">
        <f t="shared" si="3"/>
        <v>1180769.3167413888</v>
      </c>
      <c r="J521" s="63">
        <f t="shared" si="4"/>
        <v>-6594428.993628514</v>
      </c>
    </row>
    <row r="522" spans="1:10" ht="13.2" x14ac:dyDescent="0.25">
      <c r="A522" s="64">
        <v>556</v>
      </c>
      <c r="B522" s="65">
        <v>24.995888463641332</v>
      </c>
      <c r="C522" s="65">
        <v>0.51672862453531598</v>
      </c>
      <c r="D522" s="65">
        <v>4904.1933165664295</v>
      </c>
      <c r="E522" s="65">
        <f t="shared" si="5"/>
        <v>-3023.3219184666268</v>
      </c>
      <c r="F522" s="65">
        <f t="shared" si="0"/>
        <v>-26484300.005767651</v>
      </c>
      <c r="G522" s="66">
        <f t="shared" si="37"/>
        <v>-11329100.585345684</v>
      </c>
      <c r="H522" s="66">
        <f t="shared" si="2"/>
        <v>39233546.532531433</v>
      </c>
      <c r="I522" s="66">
        <f t="shared" si="3"/>
        <v>1177006.395975943</v>
      </c>
      <c r="J522" s="67">
        <f t="shared" si="4"/>
        <v>-6621075.0014419127</v>
      </c>
    </row>
    <row r="523" spans="1:10" ht="13.2" x14ac:dyDescent="0.25">
      <c r="A523" s="60">
        <v>555</v>
      </c>
      <c r="B523" s="61">
        <v>24.958392564242754</v>
      </c>
      <c r="C523" s="61">
        <v>0.51579925650557623</v>
      </c>
      <c r="D523" s="61">
        <v>4896.8366211044286</v>
      </c>
      <c r="E523" s="61">
        <f t="shared" si="5"/>
        <v>-3029.0206226186506</v>
      </c>
      <c r="F523" s="61">
        <f t="shared" si="0"/>
        <v>-26534220.654139377</v>
      </c>
      <c r="G523" s="62">
        <f t="shared" si="37"/>
        <v>-11334518.319795096</v>
      </c>
      <c r="H523" s="62">
        <f t="shared" si="2"/>
        <v>39174692.968835428</v>
      </c>
      <c r="I523" s="62">
        <f t="shared" si="3"/>
        <v>1175240.7890650628</v>
      </c>
      <c r="J523" s="63">
        <f t="shared" si="4"/>
        <v>-6633555.1635348443</v>
      </c>
    </row>
    <row r="524" spans="1:10" ht="13.2" x14ac:dyDescent="0.25">
      <c r="A524" s="64">
        <v>554</v>
      </c>
      <c r="B524" s="65">
        <v>24.954455986878074</v>
      </c>
      <c r="C524" s="65">
        <v>0.51486988847583648</v>
      </c>
      <c r="D524" s="65">
        <v>4896.0642646254782</v>
      </c>
      <c r="E524" s="65">
        <f t="shared" si="5"/>
        <v>-3029.6178350633409</v>
      </c>
      <c r="F524" s="65">
        <f t="shared" si="0"/>
        <v>-26539452.235154863</v>
      </c>
      <c r="G524" s="66">
        <f t="shared" si="37"/>
        <v>-11335084.752829175</v>
      </c>
      <c r="H524" s="66">
        <f t="shared" si="2"/>
        <v>39168514.117003828</v>
      </c>
      <c r="I524" s="66">
        <f t="shared" si="3"/>
        <v>1175055.4235101149</v>
      </c>
      <c r="J524" s="67">
        <f t="shared" si="4"/>
        <v>-6634863.0587887159</v>
      </c>
    </row>
    <row r="525" spans="1:10" ht="13.2" x14ac:dyDescent="0.25">
      <c r="A525" s="60">
        <v>553</v>
      </c>
      <c r="B525" s="61">
        <v>24.948551120831056</v>
      </c>
      <c r="C525" s="61">
        <v>0.51394052044609662</v>
      </c>
      <c r="D525" s="61">
        <v>4894.9057299070537</v>
      </c>
      <c r="E525" s="61">
        <f t="shared" si="5"/>
        <v>-3030.5120386726826</v>
      </c>
      <c r="F525" s="61">
        <f t="shared" si="0"/>
        <v>-26547285.458772697</v>
      </c>
      <c r="G525" s="62">
        <f>J525-(I525-(H525*$N$4))</f>
        <v>-4287266.6143377889</v>
      </c>
      <c r="H525" s="62">
        <f t="shared" si="2"/>
        <v>39159245.839256428</v>
      </c>
      <c r="I525" s="62">
        <f t="shared" si="3"/>
        <v>1174777.3751776929</v>
      </c>
      <c r="J525" s="63">
        <f t="shared" si="4"/>
        <v>-6636821.3646931741</v>
      </c>
    </row>
    <row r="526" spans="1:10" ht="13.2" x14ac:dyDescent="0.25">
      <c r="A526" s="64">
        <v>552</v>
      </c>
      <c r="B526" s="65">
        <v>24.892356478950244</v>
      </c>
      <c r="C526" s="65">
        <v>0.51301115241635686</v>
      </c>
      <c r="D526" s="65">
        <v>4883.8803411700383</v>
      </c>
      <c r="E526" s="65">
        <f t="shared" si="5"/>
        <v>-3039.0065063892121</v>
      </c>
      <c r="F526" s="65">
        <f t="shared" si="0"/>
        <v>-26621696.995969497</v>
      </c>
      <c r="G526" s="66">
        <f t="shared" ref="G526:G540" si="38">J526-I526-(H526*$N$4)</f>
        <v>-11343949.37651561</v>
      </c>
      <c r="H526" s="66">
        <f t="shared" si="2"/>
        <v>39071042.729360305</v>
      </c>
      <c r="I526" s="66">
        <f t="shared" si="3"/>
        <v>1172131.281880809</v>
      </c>
      <c r="J526" s="67">
        <f t="shared" si="4"/>
        <v>-6655424.2489923742</v>
      </c>
    </row>
    <row r="527" spans="1:10" ht="13.2" x14ac:dyDescent="0.25">
      <c r="A527" s="60">
        <v>551</v>
      </c>
      <c r="B527" s="61">
        <v>24.859486057955166</v>
      </c>
      <c r="C527" s="61">
        <v>0.51208178438661711</v>
      </c>
      <c r="D527" s="61">
        <v>4877.431164570804</v>
      </c>
      <c r="E527" s="61">
        <f t="shared" si="5"/>
        <v>-3043.9662588389019</v>
      </c>
      <c r="F527" s="61">
        <f t="shared" si="0"/>
        <v>-26665144.427428782</v>
      </c>
      <c r="G527" s="62">
        <f t="shared" si="38"/>
        <v>-11348620.024845168</v>
      </c>
      <c r="H527" s="62">
        <f t="shared" si="2"/>
        <v>39019449.31656643</v>
      </c>
      <c r="I527" s="62">
        <f t="shared" si="3"/>
        <v>1170583.4794969929</v>
      </c>
      <c r="J527" s="63">
        <f t="shared" si="4"/>
        <v>-6666286.1068571955</v>
      </c>
    </row>
    <row r="528" spans="1:10" ht="13.2" x14ac:dyDescent="0.25">
      <c r="A528" s="64">
        <v>550</v>
      </c>
      <c r="B528" s="65">
        <v>24.826812465828322</v>
      </c>
      <c r="C528" s="65">
        <v>0.51115241635687736</v>
      </c>
      <c r="D528" s="65">
        <v>4871.0206057955174</v>
      </c>
      <c r="E528" s="65">
        <f t="shared" si="5"/>
        <v>-3048.8873755195586</v>
      </c>
      <c r="F528" s="65">
        <f t="shared" si="0"/>
        <v>-26708253.409551334</v>
      </c>
      <c r="G528" s="66">
        <f t="shared" si="38"/>
        <v>-11353243.13395153</v>
      </c>
      <c r="H528" s="66">
        <f t="shared" si="2"/>
        <v>38968164.846364141</v>
      </c>
      <c r="I528" s="66">
        <f t="shared" si="3"/>
        <v>1169044.9453909241</v>
      </c>
      <c r="J528" s="67">
        <f t="shared" si="4"/>
        <v>-6677063.3523878334</v>
      </c>
    </row>
    <row r="529" spans="1:10" ht="13.2" x14ac:dyDescent="0.25">
      <c r="A529" s="60">
        <v>549</v>
      </c>
      <c r="B529" s="61">
        <v>24.82484417714598</v>
      </c>
      <c r="C529" s="61">
        <v>0.5102230483271375</v>
      </c>
      <c r="D529" s="61">
        <v>4870.6344275560414</v>
      </c>
      <c r="E529" s="61">
        <f t="shared" si="5"/>
        <v>-3049.1832899790829</v>
      </c>
      <c r="F529" s="61">
        <f t="shared" si="0"/>
        <v>-26710845.620216768</v>
      </c>
      <c r="G529" s="62">
        <f t="shared" si="38"/>
        <v>-11353520.455507992</v>
      </c>
      <c r="H529" s="62">
        <f t="shared" si="2"/>
        <v>38965075.420448333</v>
      </c>
      <c r="I529" s="62">
        <f t="shared" si="3"/>
        <v>1168952.2626134499</v>
      </c>
      <c r="J529" s="63">
        <f t="shared" si="4"/>
        <v>-6677711.4050541921</v>
      </c>
    </row>
    <row r="530" spans="1:10" ht="13.2" x14ac:dyDescent="0.25">
      <c r="A530" s="64">
        <v>548</v>
      </c>
      <c r="B530" s="65">
        <v>24.764417714598139</v>
      </c>
      <c r="C530" s="65">
        <v>0.50929368029739774</v>
      </c>
      <c r="D530" s="65">
        <v>4858.7787556041549</v>
      </c>
      <c r="E530" s="65">
        <f t="shared" si="5"/>
        <v>-3058.2513364627284</v>
      </c>
      <c r="F530" s="65">
        <f t="shared" si="0"/>
        <v>-26790281.707413502</v>
      </c>
      <c r="G530" s="66">
        <f t="shared" si="38"/>
        <v>-11361998.032233363</v>
      </c>
      <c r="H530" s="66">
        <f t="shared" si="2"/>
        <v>38870230.044833235</v>
      </c>
      <c r="I530" s="66">
        <f t="shared" si="3"/>
        <v>1166106.9013449971</v>
      </c>
      <c r="J530" s="67">
        <f t="shared" si="4"/>
        <v>-6697570.4268533755</v>
      </c>
    </row>
    <row r="531" spans="1:10" ht="13.2" x14ac:dyDescent="0.25">
      <c r="A531" s="60">
        <v>547</v>
      </c>
      <c r="B531" s="61">
        <v>24.753985784581737</v>
      </c>
      <c r="C531" s="61">
        <v>0.50836431226765799</v>
      </c>
      <c r="D531" s="61">
        <v>4856.7320109349366</v>
      </c>
      <c r="E531" s="61">
        <f t="shared" si="5"/>
        <v>-3059.8139765610208</v>
      </c>
      <c r="F531" s="61">
        <f t="shared" si="0"/>
        <v>-26803970.434674542</v>
      </c>
      <c r="G531" s="62">
        <f t="shared" si="38"/>
        <v>-11363455.339166176</v>
      </c>
      <c r="H531" s="62">
        <f t="shared" si="2"/>
        <v>38853856.087479495</v>
      </c>
      <c r="I531" s="62">
        <f t="shared" si="3"/>
        <v>1165615.6826243848</v>
      </c>
      <c r="J531" s="63">
        <f t="shared" si="4"/>
        <v>-6700992.6086686356</v>
      </c>
    </row>
    <row r="532" spans="1:10" ht="13.2" x14ac:dyDescent="0.25">
      <c r="A532" s="64">
        <v>546</v>
      </c>
      <c r="B532" s="65">
        <v>24.680667031164568</v>
      </c>
      <c r="C532" s="65">
        <v>0.50743494423791824</v>
      </c>
      <c r="D532" s="65">
        <v>4842.3468715144891</v>
      </c>
      <c r="E532" s="65">
        <f t="shared" si="5"/>
        <v>-3070.7766292792057</v>
      </c>
      <c r="F532" s="65">
        <f t="shared" si="0"/>
        <v>-26900003.272485841</v>
      </c>
      <c r="G532" s="66">
        <f t="shared" si="38"/>
        <v>-11373653.81477537</v>
      </c>
      <c r="H532" s="66">
        <f t="shared" si="2"/>
        <v>38738774.972115912</v>
      </c>
      <c r="I532" s="66">
        <f t="shared" si="3"/>
        <v>1162163.2491634772</v>
      </c>
      <c r="J532" s="67">
        <f t="shared" si="4"/>
        <v>-6725000.8181214603</v>
      </c>
    </row>
    <row r="533" spans="1:10" ht="13.2" x14ac:dyDescent="0.25">
      <c r="A533" s="60">
        <v>545</v>
      </c>
      <c r="B533" s="61">
        <v>24.670727173318753</v>
      </c>
      <c r="C533" s="61">
        <v>0.50650557620817849</v>
      </c>
      <c r="D533" s="61">
        <v>4840.3966714051394</v>
      </c>
      <c r="E533" s="61">
        <f t="shared" si="5"/>
        <v>-3072.2601225779999</v>
      </c>
      <c r="F533" s="61">
        <f t="shared" si="0"/>
        <v>-26912998.67378328</v>
      </c>
      <c r="G533" s="62">
        <f t="shared" si="38"/>
        <v>-11375030.472994754</v>
      </c>
      <c r="H533" s="62">
        <f t="shared" si="2"/>
        <v>38723173.371241115</v>
      </c>
      <c r="I533" s="62">
        <f t="shared" si="3"/>
        <v>1161695.2011372333</v>
      </c>
      <c r="J533" s="63">
        <f t="shared" si="4"/>
        <v>-6728249.66844582</v>
      </c>
    </row>
    <row r="534" spans="1:10" ht="13.2" x14ac:dyDescent="0.25">
      <c r="A534" s="64">
        <v>544</v>
      </c>
      <c r="B534" s="65">
        <v>24.628212137780206</v>
      </c>
      <c r="C534" s="65">
        <v>0.50557620817843862</v>
      </c>
      <c r="D534" s="65">
        <v>4832.0552214324771</v>
      </c>
      <c r="E534" s="65">
        <f t="shared" si="5"/>
        <v>-3078.5937328267592</v>
      </c>
      <c r="F534" s="65">
        <f t="shared" si="0"/>
        <v>-26968481.09956241</v>
      </c>
      <c r="G534" s="66">
        <f t="shared" si="38"/>
        <v>-11380893.287465781</v>
      </c>
      <c r="H534" s="66">
        <f t="shared" si="2"/>
        <v>38656441.771459818</v>
      </c>
      <c r="I534" s="66">
        <f t="shared" si="3"/>
        <v>1159693.2531437946</v>
      </c>
      <c r="J534" s="67">
        <f t="shared" si="4"/>
        <v>-6742120.2748906026</v>
      </c>
    </row>
    <row r="535" spans="1:10" ht="13.2" x14ac:dyDescent="0.25">
      <c r="A535" s="60">
        <v>543</v>
      </c>
      <c r="B535" s="61">
        <v>24.563455440131218</v>
      </c>
      <c r="C535" s="61">
        <v>0.50464684014869887</v>
      </c>
      <c r="D535" s="61">
        <v>4819.3499573537447</v>
      </c>
      <c r="E535" s="61">
        <f t="shared" si="5"/>
        <v>-3088.2230477488838</v>
      </c>
      <c r="F535" s="61">
        <f t="shared" si="0"/>
        <v>-27052833.898280218</v>
      </c>
      <c r="G535" s="62">
        <f t="shared" si="38"/>
        <v>-11389784.433629651</v>
      </c>
      <c r="H535" s="62">
        <f t="shared" si="2"/>
        <v>38554799.658829957</v>
      </c>
      <c r="I535" s="62">
        <f t="shared" si="3"/>
        <v>1156643.9897648988</v>
      </c>
      <c r="J535" s="63">
        <f t="shared" si="4"/>
        <v>-6763208.4745700546</v>
      </c>
    </row>
    <row r="536" spans="1:10" ht="13.2" x14ac:dyDescent="0.25">
      <c r="A536" s="64">
        <v>542</v>
      </c>
      <c r="B536" s="65">
        <v>24.547905959540731</v>
      </c>
      <c r="C536" s="65">
        <v>0.50371747211895912</v>
      </c>
      <c r="D536" s="65">
        <v>4816.2991492618921</v>
      </c>
      <c r="E536" s="65">
        <f t="shared" si="5"/>
        <v>-3090.5310010823114</v>
      </c>
      <c r="F536" s="65">
        <f t="shared" si="0"/>
        <v>-27073051.569481045</v>
      </c>
      <c r="G536" s="66">
        <f t="shared" si="38"/>
        <v>-11391910.075661678</v>
      </c>
      <c r="H536" s="66">
        <f t="shared" si="2"/>
        <v>38530393.194095135</v>
      </c>
      <c r="I536" s="66">
        <f t="shared" si="3"/>
        <v>1155911.7958228539</v>
      </c>
      <c r="J536" s="67">
        <f t="shared" si="4"/>
        <v>-6768262.8923702613</v>
      </c>
    </row>
    <row r="537" spans="1:10" ht="13.2" x14ac:dyDescent="0.25">
      <c r="A537" s="60">
        <v>541</v>
      </c>
      <c r="B537" s="61">
        <v>24.540524876981955</v>
      </c>
      <c r="C537" s="61">
        <v>0.50278810408921937</v>
      </c>
      <c r="D537" s="61">
        <v>4814.8509808638601</v>
      </c>
      <c r="E537" s="61">
        <f t="shared" si="5"/>
        <v>-3091.624529728595</v>
      </c>
      <c r="F537" s="61">
        <f t="shared" si="0"/>
        <v>-27082630.880422492</v>
      </c>
      <c r="G537" s="62">
        <f t="shared" si="38"/>
        <v>-11392914.661734927</v>
      </c>
      <c r="H537" s="62">
        <f t="shared" si="2"/>
        <v>38518807.846910879</v>
      </c>
      <c r="I537" s="62">
        <f t="shared" si="3"/>
        <v>1155564.2354073264</v>
      </c>
      <c r="J537" s="63">
        <f t="shared" si="4"/>
        <v>-6770657.7201056229</v>
      </c>
    </row>
    <row r="538" spans="1:10" ht="13.2" x14ac:dyDescent="0.25">
      <c r="A538" s="64">
        <v>540</v>
      </c>
      <c r="B538" s="65">
        <v>24.480492072170584</v>
      </c>
      <c r="C538" s="65">
        <v>0.5018587360594795</v>
      </c>
      <c r="D538" s="65">
        <v>4803.0725445598691</v>
      </c>
      <c r="E538" s="65">
        <f t="shared" si="5"/>
        <v>-3100.5021429651533</v>
      </c>
      <c r="F538" s="65">
        <f t="shared" si="0"/>
        <v>-27160398.772374742</v>
      </c>
      <c r="G538" s="66">
        <f t="shared" si="38"/>
        <v>-11401049.33587116</v>
      </c>
      <c r="H538" s="66">
        <f t="shared" si="2"/>
        <v>38424580.356478952</v>
      </c>
      <c r="I538" s="66">
        <f t="shared" si="3"/>
        <v>1152737.4106943684</v>
      </c>
      <c r="J538" s="67">
        <f t="shared" si="4"/>
        <v>-6790099.6930936854</v>
      </c>
    </row>
    <row r="539" spans="1:10" ht="13.2" x14ac:dyDescent="0.25">
      <c r="A539" s="60">
        <v>539</v>
      </c>
      <c r="B539" s="61">
        <v>24.477933296883542</v>
      </c>
      <c r="C539" s="61">
        <v>0.50092936802973975</v>
      </c>
      <c r="D539" s="61">
        <v>4802.5705128485506</v>
      </c>
      <c r="E539" s="61">
        <f t="shared" si="5"/>
        <v>-3100.8798331791982</v>
      </c>
      <c r="F539" s="61">
        <f t="shared" si="0"/>
        <v>-27163707.338649776</v>
      </c>
      <c r="G539" s="62">
        <f t="shared" si="38"/>
        <v>-11401394.526997052</v>
      </c>
      <c r="H539" s="62">
        <f t="shared" si="2"/>
        <v>38420564.102788404</v>
      </c>
      <c r="I539" s="62">
        <f t="shared" si="3"/>
        <v>1152616.923083652</v>
      </c>
      <c r="J539" s="63">
        <f t="shared" si="4"/>
        <v>-6790926.834662444</v>
      </c>
    </row>
    <row r="540" spans="1:10" ht="13.2" x14ac:dyDescent="0.25">
      <c r="A540" s="64">
        <v>538</v>
      </c>
      <c r="B540" s="65">
        <v>24.440634226353197</v>
      </c>
      <c r="C540" s="65">
        <v>0.5</v>
      </c>
      <c r="D540" s="65">
        <v>4795.2524352104974</v>
      </c>
      <c r="E540" s="65">
        <f t="shared" si="5"/>
        <v>-3106.3751925951342</v>
      </c>
      <c r="F540" s="65">
        <f t="shared" si="0"/>
        <v>-27211846.687133376</v>
      </c>
      <c r="G540" s="66">
        <f t="shared" si="38"/>
        <v>-11406404.009585422</v>
      </c>
      <c r="H540" s="66">
        <f t="shared" si="2"/>
        <v>38362019.481683977</v>
      </c>
      <c r="I540" s="66">
        <f t="shared" si="3"/>
        <v>1150860.5844505192</v>
      </c>
      <c r="J540" s="67">
        <f t="shared" si="4"/>
        <v>-6802961.6717833439</v>
      </c>
    </row>
    <row r="541" spans="1:10" ht="13.2" x14ac:dyDescent="0.25">
      <c r="A541" s="60">
        <v>537</v>
      </c>
      <c r="B541" s="61">
        <v>24.424395844723893</v>
      </c>
      <c r="C541" s="61">
        <v>0.49907063197026025</v>
      </c>
      <c r="D541" s="61">
        <v>4792.0664647348285</v>
      </c>
      <c r="E541" s="61">
        <f t="shared" si="5"/>
        <v>-3108.7631899823341</v>
      </c>
      <c r="F541" s="61">
        <f t="shared" si="0"/>
        <v>-27232765.544245247</v>
      </c>
      <c r="G541" s="62">
        <f>J541-(I541-(H541*$N$4))</f>
        <v>-4507999.4829885941</v>
      </c>
      <c r="H541" s="62">
        <f t="shared" si="2"/>
        <v>38336531.717878625</v>
      </c>
      <c r="I541" s="62">
        <f t="shared" si="3"/>
        <v>1150095.9515363588</v>
      </c>
      <c r="J541" s="63">
        <f t="shared" si="4"/>
        <v>-6808191.3860613117</v>
      </c>
    </row>
    <row r="542" spans="1:10" ht="13.2" x14ac:dyDescent="0.25">
      <c r="A542" s="64">
        <v>536</v>
      </c>
      <c r="B542" s="65">
        <v>24.395265172225258</v>
      </c>
      <c r="C542" s="65">
        <v>0.49814126394052044</v>
      </c>
      <c r="D542" s="65">
        <v>4786.3510267905967</v>
      </c>
      <c r="E542" s="65">
        <f t="shared" si="5"/>
        <v>-3113.0391449499052</v>
      </c>
      <c r="F542" s="65">
        <f t="shared" si="0"/>
        <v>-27270222.909761168</v>
      </c>
      <c r="G542" s="66">
        <f t="shared" ref="G542:G556" si="39">J542-I542-(H542*$N$4)</f>
        <v>-11412452.713159265</v>
      </c>
      <c r="H542" s="66">
        <f t="shared" si="2"/>
        <v>38290808.214324772</v>
      </c>
      <c r="I542" s="66">
        <f t="shared" si="3"/>
        <v>1148724.246429743</v>
      </c>
      <c r="J542" s="67">
        <f t="shared" si="4"/>
        <v>-6817555.727440292</v>
      </c>
    </row>
    <row r="543" spans="1:10" ht="13.2" x14ac:dyDescent="0.25">
      <c r="A543" s="60">
        <v>535</v>
      </c>
      <c r="B543" s="61">
        <v>24.359442318206668</v>
      </c>
      <c r="C543" s="61">
        <v>0.49721189591078069</v>
      </c>
      <c r="D543" s="61">
        <v>4779.3225828321483</v>
      </c>
      <c r="E543" s="61">
        <f t="shared" si="5"/>
        <v>-3118.2876158798431</v>
      </c>
      <c r="F543" s="61">
        <f t="shared" si="0"/>
        <v>-27316199.515107427</v>
      </c>
      <c r="G543" s="62">
        <f t="shared" si="39"/>
        <v>-11417199.558295719</v>
      </c>
      <c r="H543" s="62">
        <f t="shared" si="2"/>
        <v>38234580.662657186</v>
      </c>
      <c r="I543" s="62">
        <f t="shared" si="3"/>
        <v>1147037.4198797157</v>
      </c>
      <c r="J543" s="63">
        <f t="shared" si="4"/>
        <v>-6829049.8787768567</v>
      </c>
    </row>
    <row r="544" spans="1:10" ht="13.2" x14ac:dyDescent="0.25">
      <c r="A544" s="64">
        <v>534</v>
      </c>
      <c r="B544" s="65">
        <v>24.284253690541277</v>
      </c>
      <c r="C544" s="65">
        <v>0.49628252788104088</v>
      </c>
      <c r="D544" s="65">
        <v>4764.5705740841986</v>
      </c>
      <c r="E544" s="65">
        <f t="shared" si="5"/>
        <v>-3129.2830722142817</v>
      </c>
      <c r="F544" s="65">
        <f t="shared" si="0"/>
        <v>-27412519.712597106</v>
      </c>
      <c r="G544" s="66">
        <f t="shared" si="39"/>
        <v>-11427117.679270107</v>
      </c>
      <c r="H544" s="66">
        <f t="shared" si="2"/>
        <v>38116564.592673592</v>
      </c>
      <c r="I544" s="66">
        <f t="shared" si="3"/>
        <v>1143496.9377802077</v>
      </c>
      <c r="J544" s="67">
        <f t="shared" si="4"/>
        <v>-6853129.9281492764</v>
      </c>
    </row>
    <row r="545" spans="1:10" ht="13.2" x14ac:dyDescent="0.25">
      <c r="A545" s="60">
        <v>533</v>
      </c>
      <c r="B545" s="61">
        <v>24.270180426462549</v>
      </c>
      <c r="C545" s="61">
        <v>0.49535315985130113</v>
      </c>
      <c r="D545" s="61">
        <v>4761.8093996719526</v>
      </c>
      <c r="E545" s="61">
        <f t="shared" si="5"/>
        <v>-3131.3372730665146</v>
      </c>
      <c r="F545" s="61">
        <f t="shared" si="0"/>
        <v>-27430514.512062669</v>
      </c>
      <c r="G545" s="62">
        <f t="shared" si="39"/>
        <v>-11428965.651700743</v>
      </c>
      <c r="H545" s="62">
        <f t="shared" si="2"/>
        <v>38094475.197375618</v>
      </c>
      <c r="I545" s="62">
        <f t="shared" si="3"/>
        <v>1142834.2559212686</v>
      </c>
      <c r="J545" s="63">
        <f t="shared" si="4"/>
        <v>-6857628.6280156672</v>
      </c>
    </row>
    <row r="546" spans="1:10" ht="13.2" x14ac:dyDescent="0.25">
      <c r="A546" s="64">
        <v>532</v>
      </c>
      <c r="B546" s="65">
        <v>24.156216511755058</v>
      </c>
      <c r="C546" s="65">
        <v>0.49442379182156132</v>
      </c>
      <c r="D546" s="65">
        <v>4739.4496796063431</v>
      </c>
      <c r="E546" s="65">
        <f t="shared" si="5"/>
        <v>-3147.9408198438587</v>
      </c>
      <c r="F546" s="65">
        <f t="shared" si="0"/>
        <v>-27575961.581832204</v>
      </c>
      <c r="G546" s="66">
        <f t="shared" si="39"/>
        <v>-11443862.08788014</v>
      </c>
      <c r="H546" s="66">
        <f t="shared" si="2"/>
        <v>37915597.436850742</v>
      </c>
      <c r="I546" s="66">
        <f t="shared" si="3"/>
        <v>1137467.9231055223</v>
      </c>
      <c r="J546" s="67">
        <f t="shared" si="4"/>
        <v>-6893990.395458051</v>
      </c>
    </row>
    <row r="547" spans="1:10" ht="13.2" x14ac:dyDescent="0.25">
      <c r="A547" s="60">
        <v>531</v>
      </c>
      <c r="B547" s="61">
        <v>24.135155822854017</v>
      </c>
      <c r="C547" s="61">
        <v>0.49349442379182157</v>
      </c>
      <c r="D547" s="61">
        <v>4735.3175724439579</v>
      </c>
      <c r="E547" s="61">
        <f t="shared" si="5"/>
        <v>-3151.0034178568717</v>
      </c>
      <c r="F547" s="61">
        <f t="shared" si="0"/>
        <v>-27602789.940426197</v>
      </c>
      <c r="G547" s="62">
        <f t="shared" si="39"/>
        <v>-11446602.354652749</v>
      </c>
      <c r="H547" s="62">
        <f t="shared" si="2"/>
        <v>37882540.579551667</v>
      </c>
      <c r="I547" s="62">
        <f t="shared" si="3"/>
        <v>1136476.21738655</v>
      </c>
      <c r="J547" s="63">
        <f t="shared" si="4"/>
        <v>-6900697.4851065492</v>
      </c>
    </row>
    <row r="548" spans="1:10" ht="13.2" x14ac:dyDescent="0.25">
      <c r="A548" s="64">
        <v>530</v>
      </c>
      <c r="B548" s="65">
        <v>24.133581191908146</v>
      </c>
      <c r="C548" s="65">
        <v>0.49256505576208176</v>
      </c>
      <c r="D548" s="65">
        <v>4735.0086298523784</v>
      </c>
      <c r="E548" s="65">
        <f t="shared" si="5"/>
        <v>-3151.2319664655124</v>
      </c>
      <c r="F548" s="65">
        <f t="shared" si="0"/>
        <v>-27604792.02623789</v>
      </c>
      <c r="G548" s="66">
        <f t="shared" si="39"/>
        <v>-11446806.291217756</v>
      </c>
      <c r="H548" s="66">
        <f t="shared" si="2"/>
        <v>37880069.03881903</v>
      </c>
      <c r="I548" s="66">
        <f t="shared" si="3"/>
        <v>1136402.0711645707</v>
      </c>
      <c r="J548" s="67">
        <f t="shared" si="4"/>
        <v>-6901198.0065594725</v>
      </c>
    </row>
    <row r="549" spans="1:10" ht="13.2" x14ac:dyDescent="0.25">
      <c r="A549" s="60">
        <v>529</v>
      </c>
      <c r="B549" s="61">
        <v>24.067643521049753</v>
      </c>
      <c r="C549" s="61">
        <v>0.49163568773234201</v>
      </c>
      <c r="D549" s="61">
        <v>4722.071658829962</v>
      </c>
      <c r="E549" s="61">
        <f t="shared" si="5"/>
        <v>-3160.7844046414507</v>
      </c>
      <c r="F549" s="61">
        <f t="shared" si="0"/>
        <v>-27688471.384659108</v>
      </c>
      <c r="G549" s="62">
        <f t="shared" si="39"/>
        <v>-11455306.63864154</v>
      </c>
      <c r="H549" s="62">
        <f t="shared" si="2"/>
        <v>37776573.270639695</v>
      </c>
      <c r="I549" s="62">
        <f t="shared" si="3"/>
        <v>1133297.1981191908</v>
      </c>
      <c r="J549" s="63">
        <f t="shared" si="4"/>
        <v>-6922117.8461647769</v>
      </c>
    </row>
    <row r="550" spans="1:10" ht="13.2" x14ac:dyDescent="0.25">
      <c r="A550" s="64">
        <v>528</v>
      </c>
      <c r="B550" s="65">
        <v>24.062525970475669</v>
      </c>
      <c r="C550" s="65">
        <v>0.49070631970260226</v>
      </c>
      <c r="D550" s="65">
        <v>4721.0675954073258</v>
      </c>
      <c r="E550" s="65">
        <f t="shared" si="5"/>
        <v>-3161.5243881862002</v>
      </c>
      <c r="F550" s="65">
        <f t="shared" si="0"/>
        <v>-27694953.640511114</v>
      </c>
      <c r="G550" s="66">
        <f t="shared" si="39"/>
        <v>-11455963.301718811</v>
      </c>
      <c r="H550" s="66">
        <f t="shared" si="2"/>
        <v>37768540.763258606</v>
      </c>
      <c r="I550" s="66">
        <f t="shared" si="3"/>
        <v>1133056.2228977582</v>
      </c>
      <c r="J550" s="67">
        <f t="shared" si="4"/>
        <v>-6923738.4101277785</v>
      </c>
    </row>
    <row r="551" spans="1:10" ht="13.2" x14ac:dyDescent="0.25">
      <c r="A551" s="60">
        <v>527</v>
      </c>
      <c r="B551" s="61">
        <v>24.023061782394752</v>
      </c>
      <c r="C551" s="61">
        <v>0.48977695167286245</v>
      </c>
      <c r="D551" s="61">
        <v>4713.3247217058506</v>
      </c>
      <c r="E551" s="61">
        <f t="shared" si="5"/>
        <v>-3167.2200057835216</v>
      </c>
      <c r="F551" s="61">
        <f t="shared" si="0"/>
        <v>-27744847.250663649</v>
      </c>
      <c r="G551" s="62">
        <f t="shared" si="39"/>
        <v>-11461003.545503529</v>
      </c>
      <c r="H551" s="62">
        <f t="shared" si="2"/>
        <v>37706597.773646802</v>
      </c>
      <c r="I551" s="62">
        <f t="shared" si="3"/>
        <v>1131197.9332094041</v>
      </c>
      <c r="J551" s="63">
        <f t="shared" si="4"/>
        <v>-6936211.8126659123</v>
      </c>
    </row>
    <row r="552" spans="1:10" ht="13.2" x14ac:dyDescent="0.25">
      <c r="A552" s="64">
        <v>526</v>
      </c>
      <c r="B552" s="65">
        <v>24.020404592673589</v>
      </c>
      <c r="C552" s="65">
        <v>0.4888475836431227</v>
      </c>
      <c r="D552" s="65">
        <v>4712.8033810825582</v>
      </c>
      <c r="E552" s="65">
        <f t="shared" si="5"/>
        <v>-3167.6027744567568</v>
      </c>
      <c r="F552" s="65">
        <f t="shared" si="0"/>
        <v>-27748200.304241192</v>
      </c>
      <c r="G552" s="66">
        <f t="shared" si="39"/>
        <v>-11461341.321899554</v>
      </c>
      <c r="H552" s="66">
        <f t="shared" si="2"/>
        <v>37702427.048660465</v>
      </c>
      <c r="I552" s="66">
        <f t="shared" si="3"/>
        <v>1131072.811459814</v>
      </c>
      <c r="J552" s="67">
        <f t="shared" si="4"/>
        <v>-6937050.0760602979</v>
      </c>
    </row>
    <row r="553" spans="1:10" ht="13.2" x14ac:dyDescent="0.25">
      <c r="A553" s="60">
        <v>525</v>
      </c>
      <c r="B553" s="61">
        <v>23.92326954620011</v>
      </c>
      <c r="C553" s="61">
        <v>0.48791821561338289</v>
      </c>
      <c r="D553" s="61">
        <v>4693.7454849644619</v>
      </c>
      <c r="E553" s="61">
        <f t="shared" si="5"/>
        <v>-3181.5685282570535</v>
      </c>
      <c r="F553" s="61">
        <f t="shared" si="0"/>
        <v>-27870540.307531785</v>
      </c>
      <c r="G553" s="62">
        <f t="shared" si="39"/>
        <v>-11473630.742448829</v>
      </c>
      <c r="H553" s="62">
        <f t="shared" si="2"/>
        <v>37549963.879715696</v>
      </c>
      <c r="I553" s="62">
        <f t="shared" si="3"/>
        <v>1126498.9163914709</v>
      </c>
      <c r="J553" s="63">
        <f t="shared" si="4"/>
        <v>-6967635.0768829463</v>
      </c>
    </row>
    <row r="554" spans="1:10" ht="13.2" x14ac:dyDescent="0.25">
      <c r="A554" s="64">
        <v>524</v>
      </c>
      <c r="B554" s="65">
        <v>23.917364680153089</v>
      </c>
      <c r="C554" s="65">
        <v>0.48698884758364314</v>
      </c>
      <c r="D554" s="65">
        <v>4692.5869502460364</v>
      </c>
      <c r="E554" s="65">
        <f t="shared" si="5"/>
        <v>-3182.4158951932995</v>
      </c>
      <c r="F554" s="65">
        <f t="shared" si="0"/>
        <v>-27877963.241893306</v>
      </c>
      <c r="G554" s="66">
        <f t="shared" si="39"/>
        <v>-11474374.28270952</v>
      </c>
      <c r="H554" s="66">
        <f t="shared" si="2"/>
        <v>37540695.601968288</v>
      </c>
      <c r="I554" s="66">
        <f t="shared" si="3"/>
        <v>1126220.8680590487</v>
      </c>
      <c r="J554" s="67">
        <f t="shared" si="4"/>
        <v>-6969490.8104733266</v>
      </c>
    </row>
    <row r="555" spans="1:10" ht="13.2" x14ac:dyDescent="0.25">
      <c r="A555" s="60">
        <v>523</v>
      </c>
      <c r="B555" s="61">
        <v>23.916380535811918</v>
      </c>
      <c r="C555" s="61">
        <v>0.48605947955390333</v>
      </c>
      <c r="D555" s="61">
        <v>4692.3938611262984</v>
      </c>
      <c r="E555" s="61">
        <f t="shared" si="5"/>
        <v>-3182.5568538397256</v>
      </c>
      <c r="F555" s="61">
        <f t="shared" si="0"/>
        <v>-27879198.039635997</v>
      </c>
      <c r="G555" s="62">
        <f t="shared" si="39"/>
        <v>-11474497.616590245</v>
      </c>
      <c r="H555" s="62">
        <f t="shared" si="2"/>
        <v>37539150.889010385</v>
      </c>
      <c r="I555" s="62">
        <f t="shared" si="3"/>
        <v>1126174.5266703116</v>
      </c>
      <c r="J555" s="63">
        <f t="shared" si="4"/>
        <v>-6969799.5099089993</v>
      </c>
    </row>
    <row r="556" spans="1:10" ht="13.2" x14ac:dyDescent="0.25">
      <c r="A556" s="64">
        <v>522</v>
      </c>
      <c r="B556" s="65">
        <v>23.898961180973206</v>
      </c>
      <c r="C556" s="65">
        <v>0.48513011152416358</v>
      </c>
      <c r="D556" s="65">
        <v>4688.9761837069427</v>
      </c>
      <c r="E556" s="65">
        <f t="shared" si="5"/>
        <v>-3185.0470574612636</v>
      </c>
      <c r="F556" s="65">
        <f t="shared" si="0"/>
        <v>-27901012.223360673</v>
      </c>
      <c r="G556" s="66">
        <f t="shared" si="39"/>
        <v>-11476670.192198833</v>
      </c>
      <c r="H556" s="66">
        <f t="shared" si="2"/>
        <v>37511809.469655544</v>
      </c>
      <c r="I556" s="66">
        <f t="shared" si="3"/>
        <v>1125354.2840896663</v>
      </c>
      <c r="J556" s="67">
        <f t="shared" si="4"/>
        <v>-6975253.0558401681</v>
      </c>
    </row>
    <row r="557" spans="1:10" ht="13.2" x14ac:dyDescent="0.25">
      <c r="A557" s="60">
        <v>521</v>
      </c>
      <c r="B557" s="61">
        <v>23.837747402952434</v>
      </c>
      <c r="C557" s="61">
        <v>0.48420074349442377</v>
      </c>
      <c r="D557" s="61">
        <v>4676.9660404592678</v>
      </c>
      <c r="E557" s="61">
        <f t="shared" si="5"/>
        <v>-3193.7811997394288</v>
      </c>
      <c r="F557" s="61">
        <f t="shared" si="0"/>
        <v>-27977523.309717394</v>
      </c>
      <c r="G557" s="62">
        <f>J557-(I557-(H557*$N$4))</f>
        <v>-4749437.1280089002</v>
      </c>
      <c r="H557" s="62">
        <f t="shared" si="2"/>
        <v>37415728.323674142</v>
      </c>
      <c r="I557" s="62">
        <f t="shared" si="3"/>
        <v>1122471.8497102242</v>
      </c>
      <c r="J557" s="63">
        <f t="shared" si="4"/>
        <v>-6994380.8274293486</v>
      </c>
    </row>
    <row r="558" spans="1:10" ht="13.2" x14ac:dyDescent="0.25">
      <c r="A558" s="64">
        <v>520</v>
      </c>
      <c r="B558" s="65">
        <v>23.71531984691088</v>
      </c>
      <c r="C558" s="65">
        <v>0.48327137546468402</v>
      </c>
      <c r="D558" s="65">
        <v>4652.9457539639143</v>
      </c>
      <c r="E558" s="65">
        <f t="shared" si="5"/>
        <v>-3211.2159987662608</v>
      </c>
      <c r="F558" s="65">
        <f t="shared" si="0"/>
        <v>-28130252.149192449</v>
      </c>
      <c r="G558" s="66">
        <f t="shared" ref="G558:G572" si="40">J558-I558-(H558*$N$4)</f>
        <v>-11499390.961103471</v>
      </c>
      <c r="H558" s="66">
        <f t="shared" si="2"/>
        <v>37223566.031711318</v>
      </c>
      <c r="I558" s="66">
        <f t="shared" si="3"/>
        <v>1116706.9809513395</v>
      </c>
      <c r="J558" s="67">
        <f t="shared" si="4"/>
        <v>-7032563.0372981122</v>
      </c>
    </row>
    <row r="559" spans="1:10" ht="13.2" x14ac:dyDescent="0.25">
      <c r="A559" s="60">
        <v>519</v>
      </c>
      <c r="B559" s="61">
        <v>23.580098414434119</v>
      </c>
      <c r="C559" s="61">
        <v>0.48234200743494426</v>
      </c>
      <c r="D559" s="61">
        <v>4626.4153089119745</v>
      </c>
      <c r="E559" s="61">
        <f t="shared" si="5"/>
        <v>-3230.4357775004496</v>
      </c>
      <c r="F559" s="61">
        <f t="shared" si="0"/>
        <v>-28298617.410903938</v>
      </c>
      <c r="G559" s="62">
        <f t="shared" si="40"/>
        <v>-11516013.04928148</v>
      </c>
      <c r="H559" s="62">
        <f t="shared" si="2"/>
        <v>37011322.471295796</v>
      </c>
      <c r="I559" s="62">
        <f t="shared" si="3"/>
        <v>1110339.6741388738</v>
      </c>
      <c r="J559" s="63">
        <f t="shared" si="4"/>
        <v>-7074654.3527259845</v>
      </c>
    </row>
    <row r="560" spans="1:10" ht="13.2" x14ac:dyDescent="0.25">
      <c r="A560" s="64">
        <v>518</v>
      </c>
      <c r="B560" s="65">
        <v>23.554313832695463</v>
      </c>
      <c r="C560" s="65">
        <v>0.48141263940520446</v>
      </c>
      <c r="D560" s="65">
        <v>4621.3563739748506</v>
      </c>
      <c r="E560" s="65">
        <f t="shared" si="5"/>
        <v>-3234.0936319438347</v>
      </c>
      <c r="F560" s="65">
        <f t="shared" si="0"/>
        <v>-28330660.21582799</v>
      </c>
      <c r="G560" s="66">
        <f t="shared" si="40"/>
        <v>-11519167.172972854</v>
      </c>
      <c r="H560" s="66">
        <f t="shared" si="2"/>
        <v>36970850.991798803</v>
      </c>
      <c r="I560" s="66">
        <f t="shared" si="3"/>
        <v>1109125.5297539642</v>
      </c>
      <c r="J560" s="67">
        <f t="shared" si="4"/>
        <v>-7082665.0539569976</v>
      </c>
    </row>
    <row r="561" spans="1:10" ht="13.2" x14ac:dyDescent="0.25">
      <c r="A561" s="60">
        <v>517</v>
      </c>
      <c r="B561" s="61">
        <v>23.531088026243847</v>
      </c>
      <c r="C561" s="61">
        <v>0.4804832713754647</v>
      </c>
      <c r="D561" s="61">
        <v>4616.7994707490425</v>
      </c>
      <c r="E561" s="61">
        <f t="shared" si="5"/>
        <v>-3237.3821406379238</v>
      </c>
      <c r="F561" s="61">
        <f t="shared" si="0"/>
        <v>-28359467.551988211</v>
      </c>
      <c r="G561" s="62">
        <f t="shared" si="40"/>
        <v>-11521994.379916133</v>
      </c>
      <c r="H561" s="62">
        <f t="shared" si="2"/>
        <v>36934395.765992343</v>
      </c>
      <c r="I561" s="62">
        <f t="shared" si="3"/>
        <v>1108031.8729797702</v>
      </c>
      <c r="J561" s="63">
        <f t="shared" si="4"/>
        <v>-7089866.8879970526</v>
      </c>
    </row>
    <row r="562" spans="1:10" ht="13.2" x14ac:dyDescent="0.25">
      <c r="A562" s="64">
        <v>516</v>
      </c>
      <c r="B562" s="65">
        <v>23.456489885183156</v>
      </c>
      <c r="C562" s="65">
        <v>0.4795539033457249</v>
      </c>
      <c r="D562" s="65">
        <v>4602.1633154729352</v>
      </c>
      <c r="E562" s="65">
        <f t="shared" si="5"/>
        <v>-3247.9239811016628</v>
      </c>
      <c r="F562" s="65">
        <f t="shared" si="0"/>
        <v>-28451814.074450564</v>
      </c>
      <c r="G562" s="66">
        <f t="shared" si="40"/>
        <v>-11531030.301466659</v>
      </c>
      <c r="H562" s="66">
        <f t="shared" si="2"/>
        <v>36817306.523783483</v>
      </c>
      <c r="I562" s="66">
        <f t="shared" si="3"/>
        <v>1104519.1957135045</v>
      </c>
      <c r="J562" s="67">
        <f t="shared" si="4"/>
        <v>-7112953.5186126409</v>
      </c>
    </row>
    <row r="563" spans="1:10" ht="13.2" x14ac:dyDescent="0.25">
      <c r="A563" s="60">
        <v>515</v>
      </c>
      <c r="B563" s="61">
        <v>23.39065062875888</v>
      </c>
      <c r="C563" s="61">
        <v>0.47862453531598514</v>
      </c>
      <c r="D563" s="61">
        <v>4589.2456533624927</v>
      </c>
      <c r="E563" s="61">
        <f t="shared" si="5"/>
        <v>-3257.2100514013164</v>
      </c>
      <c r="F563" s="61">
        <f t="shared" si="0"/>
        <v>-28533160.050275531</v>
      </c>
      <c r="G563" s="62">
        <f t="shared" si="40"/>
        <v>-11538965.839796875</v>
      </c>
      <c r="H563" s="62">
        <f t="shared" si="2"/>
        <v>36713965.226899944</v>
      </c>
      <c r="I563" s="62">
        <f t="shared" si="3"/>
        <v>1101418.9568069982</v>
      </c>
      <c r="J563" s="63">
        <f t="shared" si="4"/>
        <v>-7133290.0125688827</v>
      </c>
    </row>
    <row r="564" spans="1:10" ht="13.2" x14ac:dyDescent="0.25">
      <c r="A564" s="64">
        <v>514</v>
      </c>
      <c r="B564" s="65">
        <v>23.359846910880261</v>
      </c>
      <c r="C564" s="65">
        <v>0.47769516728624534</v>
      </c>
      <c r="D564" s="65">
        <v>4583.2019639147074</v>
      </c>
      <c r="E564" s="65">
        <f t="shared" si="5"/>
        <v>-3261.5462300757495</v>
      </c>
      <c r="F564" s="65">
        <f t="shared" si="0"/>
        <v>-28571144.975463565</v>
      </c>
      <c r="G564" s="66">
        <f t="shared" si="40"/>
        <v>-11542660.12922401</v>
      </c>
      <c r="H564" s="66">
        <f t="shared" si="2"/>
        <v>36665615.711317658</v>
      </c>
      <c r="I564" s="66">
        <f t="shared" si="3"/>
        <v>1099968.4713395296</v>
      </c>
      <c r="J564" s="67">
        <f t="shared" si="4"/>
        <v>-7142786.2438658914</v>
      </c>
    </row>
    <row r="565" spans="1:10" ht="13.2" x14ac:dyDescent="0.25">
      <c r="A565" s="60">
        <v>513</v>
      </c>
      <c r="B565" s="61">
        <v>23.339573537452157</v>
      </c>
      <c r="C565" s="61">
        <v>0.47676579925650558</v>
      </c>
      <c r="D565" s="61">
        <v>4579.2243280481134</v>
      </c>
      <c r="E565" s="61">
        <f t="shared" si="5"/>
        <v>-3264.3945278779897</v>
      </c>
      <c r="F565" s="61">
        <f t="shared" si="0"/>
        <v>-28596096.06421119</v>
      </c>
      <c r="G565" s="62">
        <f t="shared" si="40"/>
        <v>-11545079.370978987</v>
      </c>
      <c r="H565" s="62">
        <f t="shared" si="2"/>
        <v>36633794.62438491</v>
      </c>
      <c r="I565" s="62">
        <f t="shared" si="3"/>
        <v>1099013.8387315474</v>
      </c>
      <c r="J565" s="63">
        <f t="shared" si="4"/>
        <v>-7149024.0160527974</v>
      </c>
    </row>
    <row r="566" spans="1:10" ht="13.2" x14ac:dyDescent="0.25">
      <c r="A566" s="64">
        <v>512</v>
      </c>
      <c r="B566" s="65">
        <v>23.333176599234552</v>
      </c>
      <c r="C566" s="65">
        <v>0.47583643122676578</v>
      </c>
      <c r="D566" s="65">
        <v>4577.9692487698185</v>
      </c>
      <c r="E566" s="65">
        <f t="shared" si="5"/>
        <v>-3265.2915129755816</v>
      </c>
      <c r="F566" s="65">
        <f t="shared" si="0"/>
        <v>-28603953.653666094</v>
      </c>
      <c r="G566" s="66">
        <f t="shared" si="40"/>
        <v>-11545838.892235549</v>
      </c>
      <c r="H566" s="66">
        <f t="shared" si="2"/>
        <v>36623753.99015855</v>
      </c>
      <c r="I566" s="66">
        <f t="shared" si="3"/>
        <v>1098712.6197047564</v>
      </c>
      <c r="J566" s="67">
        <f t="shared" si="4"/>
        <v>-7150988.4134165235</v>
      </c>
    </row>
    <row r="567" spans="1:10" ht="13.2" x14ac:dyDescent="0.25">
      <c r="A567" s="60">
        <v>511</v>
      </c>
      <c r="B567" s="61">
        <v>23.319989065062874</v>
      </c>
      <c r="C567" s="61">
        <v>0.47490706319702602</v>
      </c>
      <c r="D567" s="61">
        <v>4575.3818545653357</v>
      </c>
      <c r="E567" s="61">
        <f t="shared" si="5"/>
        <v>-3267.1370752915113</v>
      </c>
      <c r="F567" s="61">
        <f t="shared" si="0"/>
        <v>-28620120.779553637</v>
      </c>
      <c r="G567" s="62">
        <f t="shared" si="40"/>
        <v>-11547396.775271131</v>
      </c>
      <c r="H567" s="62">
        <f t="shared" si="2"/>
        <v>36603054.836522684</v>
      </c>
      <c r="I567" s="62">
        <f t="shared" si="3"/>
        <v>1098091.6450956804</v>
      </c>
      <c r="J567" s="63">
        <f t="shared" si="4"/>
        <v>-7155030.1948884092</v>
      </c>
    </row>
    <row r="568" spans="1:10" ht="13.2" x14ac:dyDescent="0.25">
      <c r="A568" s="64">
        <v>510</v>
      </c>
      <c r="B568" s="65">
        <v>23.289480590486605</v>
      </c>
      <c r="C568" s="65">
        <v>0.47397769516728627</v>
      </c>
      <c r="D568" s="65">
        <v>4569.3960918534722</v>
      </c>
      <c r="E568" s="65">
        <f t="shared" si="5"/>
        <v>-3271.3983152889905</v>
      </c>
      <c r="F568" s="65">
        <f t="shared" si="0"/>
        <v>-28657449.241931558</v>
      </c>
      <c r="G568" s="66">
        <f t="shared" si="40"/>
        <v>-11550982.558662223</v>
      </c>
      <c r="H568" s="66">
        <f t="shared" si="2"/>
        <v>36555168.734827779</v>
      </c>
      <c r="I568" s="66">
        <f t="shared" si="3"/>
        <v>1096655.0620448333</v>
      </c>
      <c r="J568" s="67">
        <f t="shared" si="4"/>
        <v>-7164362.3104828894</v>
      </c>
    </row>
    <row r="569" spans="1:10" ht="13.2" x14ac:dyDescent="0.25">
      <c r="A569" s="60">
        <v>509</v>
      </c>
      <c r="B569" s="61">
        <v>23.27609622744669</v>
      </c>
      <c r="C569" s="61">
        <v>0.47304832713754646</v>
      </c>
      <c r="D569" s="61">
        <v>4566.7700798250407</v>
      </c>
      <c r="E569" s="61">
        <f t="shared" si="5"/>
        <v>-3273.2641017162541</v>
      </c>
      <c r="F569" s="61">
        <f t="shared" si="0"/>
        <v>-28673793.531034388</v>
      </c>
      <c r="G569" s="62">
        <f t="shared" si="40"/>
        <v>-11552547.659390636</v>
      </c>
      <c r="H569" s="62">
        <f t="shared" si="2"/>
        <v>36534160.638600327</v>
      </c>
      <c r="I569" s="62">
        <f t="shared" si="3"/>
        <v>1096024.8191580097</v>
      </c>
      <c r="J569" s="63">
        <f t="shared" si="4"/>
        <v>-7168448.3827585969</v>
      </c>
    </row>
    <row r="570" spans="1:10" ht="13.2" x14ac:dyDescent="0.25">
      <c r="A570" s="64">
        <v>508</v>
      </c>
      <c r="B570" s="65">
        <v>23.26468015308912</v>
      </c>
      <c r="C570" s="65">
        <v>0.47211895910780671</v>
      </c>
      <c r="D570" s="65">
        <v>4564.5302460360863</v>
      </c>
      <c r="E570" s="65">
        <f t="shared" si="5"/>
        <v>-3274.8523853416932</v>
      </c>
      <c r="F570" s="65">
        <f t="shared" si="0"/>
        <v>-28687706.89559323</v>
      </c>
      <c r="G570" s="66">
        <f t="shared" si="40"/>
        <v>-11553875.760092949</v>
      </c>
      <c r="H570" s="66">
        <f t="shared" si="2"/>
        <v>36516241.96828869</v>
      </c>
      <c r="I570" s="66">
        <f t="shared" si="3"/>
        <v>1095487.2590486608</v>
      </c>
      <c r="J570" s="67">
        <f t="shared" si="4"/>
        <v>-7171926.7238983074</v>
      </c>
    </row>
    <row r="571" spans="1:10" ht="13.2" x14ac:dyDescent="0.25">
      <c r="A571" s="60">
        <v>507</v>
      </c>
      <c r="B571" s="61">
        <v>23.235155822854018</v>
      </c>
      <c r="C571" s="61">
        <v>0.47118959107806691</v>
      </c>
      <c r="D571" s="61">
        <v>4558.7375724439589</v>
      </c>
      <c r="E571" s="61">
        <f t="shared" si="5"/>
        <v>-3278.9519401190214</v>
      </c>
      <c r="F571" s="61">
        <f t="shared" si="0"/>
        <v>-28723618.995442629</v>
      </c>
      <c r="G571" s="62">
        <f t="shared" si="40"/>
        <v>-11557292.818406858</v>
      </c>
      <c r="H571" s="62">
        <f t="shared" si="2"/>
        <v>36469900.579551674</v>
      </c>
      <c r="I571" s="62">
        <f t="shared" si="3"/>
        <v>1094097.0173865501</v>
      </c>
      <c r="J571" s="63">
        <f t="shared" si="4"/>
        <v>-7180904.7488606572</v>
      </c>
    </row>
    <row r="572" spans="1:10" ht="13.2" x14ac:dyDescent="0.25">
      <c r="A572" s="64">
        <v>506</v>
      </c>
      <c r="B572" s="65">
        <v>23.195691634773102</v>
      </c>
      <c r="C572" s="65">
        <v>0.47026022304832715</v>
      </c>
      <c r="D572" s="65">
        <v>4550.9946987424828</v>
      </c>
      <c r="E572" s="65">
        <f t="shared" si="5"/>
        <v>-3284.4208843691345</v>
      </c>
      <c r="F572" s="65">
        <f t="shared" si="0"/>
        <v>-28771526.94707362</v>
      </c>
      <c r="G572" s="66">
        <f t="shared" si="40"/>
        <v>-11561836.647561189</v>
      </c>
      <c r="H572" s="66">
        <f t="shared" si="2"/>
        <v>36407957.589939862</v>
      </c>
      <c r="I572" s="66">
        <f t="shared" si="3"/>
        <v>1092238.7276981957</v>
      </c>
      <c r="J572" s="67">
        <f t="shared" si="4"/>
        <v>-7192881.736768405</v>
      </c>
    </row>
    <row r="573" spans="1:10" ht="13.2" x14ac:dyDescent="0.25">
      <c r="A573" s="60">
        <v>505</v>
      </c>
      <c r="B573" s="61">
        <v>23.125325314379442</v>
      </c>
      <c r="C573" s="61">
        <v>0.46933085501858735</v>
      </c>
      <c r="D573" s="61">
        <v>4537.1888266812466</v>
      </c>
      <c r="E573" s="61">
        <f t="shared" si="5"/>
        <v>-3294.1529977134169</v>
      </c>
      <c r="F573" s="61">
        <f t="shared" si="0"/>
        <v>-28856780.259969536</v>
      </c>
      <c r="G573" s="62">
        <f>J573-(I573-(H573*$N$4))</f>
        <v>-5036344.4281853857</v>
      </c>
      <c r="H573" s="62">
        <f t="shared" si="2"/>
        <v>36297510.613449976</v>
      </c>
      <c r="I573" s="62">
        <f t="shared" si="3"/>
        <v>1088925.3184034992</v>
      </c>
      <c r="J573" s="63">
        <f t="shared" si="4"/>
        <v>-7214195.0649923841</v>
      </c>
    </row>
    <row r="574" spans="1:10" ht="13.2" x14ac:dyDescent="0.25">
      <c r="A574" s="64">
        <v>504</v>
      </c>
      <c r="B574" s="65">
        <v>23.096489885183157</v>
      </c>
      <c r="C574" s="65">
        <v>0.46840148698884759</v>
      </c>
      <c r="D574" s="65">
        <v>4531.5313154729356</v>
      </c>
      <c r="E574" s="65">
        <f t="shared" si="5"/>
        <v>-3298.1332356174053</v>
      </c>
      <c r="F574" s="65">
        <f t="shared" si="0"/>
        <v>-28891647.144008469</v>
      </c>
      <c r="G574" s="66">
        <f t="shared" ref="G574:G588" si="41">J574-I574-(H574*$N$4)</f>
        <v>-11573181.848856136</v>
      </c>
      <c r="H574" s="66">
        <f t="shared" si="2"/>
        <v>36252250.523783483</v>
      </c>
      <c r="I574" s="66">
        <f t="shared" si="3"/>
        <v>1087567.5157135045</v>
      </c>
      <c r="J574" s="67">
        <f t="shared" si="4"/>
        <v>-7222911.7860021172</v>
      </c>
    </row>
    <row r="575" spans="1:10" ht="13.2" x14ac:dyDescent="0.25">
      <c r="A575" s="60">
        <v>503</v>
      </c>
      <c r="B575" s="61">
        <v>23.0446254784035</v>
      </c>
      <c r="C575" s="61">
        <v>0.46747211895910779</v>
      </c>
      <c r="D575" s="61">
        <v>4521.355518862767</v>
      </c>
      <c r="E575" s="61">
        <f t="shared" si="5"/>
        <v>-3305.2780444826303</v>
      </c>
      <c r="F575" s="61">
        <f t="shared" si="0"/>
        <v>-28954235.66966784</v>
      </c>
      <c r="G575" s="62">
        <f t="shared" si="41"/>
        <v>-11579060.215525217</v>
      </c>
      <c r="H575" s="62">
        <f t="shared" si="2"/>
        <v>36170844.150902137</v>
      </c>
      <c r="I575" s="62">
        <f t="shared" si="3"/>
        <v>1085125.3245270641</v>
      </c>
      <c r="J575" s="63">
        <f t="shared" si="4"/>
        <v>-7238558.91741696</v>
      </c>
    </row>
    <row r="576" spans="1:10" ht="13.2" x14ac:dyDescent="0.25">
      <c r="A576" s="64">
        <v>502</v>
      </c>
      <c r="B576" s="65">
        <v>23.002504100601421</v>
      </c>
      <c r="C576" s="65">
        <v>0.46654275092936803</v>
      </c>
      <c r="D576" s="65">
        <v>4513.0913045379993</v>
      </c>
      <c r="E576" s="65">
        <f t="shared" si="5"/>
        <v>-3311.0691389072354</v>
      </c>
      <c r="F576" s="65">
        <f t="shared" si="0"/>
        <v>-29004965.656827383</v>
      </c>
      <c r="G576" s="66">
        <f t="shared" si="41"/>
        <v>-11583809.066563325</v>
      </c>
      <c r="H576" s="66">
        <f t="shared" si="2"/>
        <v>36104730.436303996</v>
      </c>
      <c r="I576" s="66">
        <f t="shared" si="3"/>
        <v>1083141.9130891198</v>
      </c>
      <c r="J576" s="67">
        <f t="shared" si="4"/>
        <v>-7251241.4142068457</v>
      </c>
    </row>
    <row r="577" spans="1:10" ht="13.2" x14ac:dyDescent="0.25">
      <c r="A577" s="60">
        <v>501</v>
      </c>
      <c r="B577" s="61">
        <v>22.9821323127392</v>
      </c>
      <c r="C577" s="61">
        <v>0.46561338289962823</v>
      </c>
      <c r="D577" s="61">
        <v>4509.0943597594314</v>
      </c>
      <c r="E577" s="61">
        <f t="shared" si="5"/>
        <v>-3313.8644000093473</v>
      </c>
      <c r="F577" s="61">
        <f t="shared" si="0"/>
        <v>-29029452.144081879</v>
      </c>
      <c r="G577" s="62">
        <f t="shared" si="41"/>
        <v>-11586093.621389523</v>
      </c>
      <c r="H577" s="62">
        <f t="shared" si="2"/>
        <v>36072754.878075451</v>
      </c>
      <c r="I577" s="62">
        <f t="shared" si="3"/>
        <v>1082182.6463422636</v>
      </c>
      <c r="J577" s="63">
        <f t="shared" si="4"/>
        <v>-7257363.0360204699</v>
      </c>
    </row>
    <row r="578" spans="1:10" ht="13.2" x14ac:dyDescent="0.25">
      <c r="A578" s="64">
        <v>500</v>
      </c>
      <c r="B578" s="65">
        <v>22.920328048113724</v>
      </c>
      <c r="C578" s="65">
        <v>0.46468401486988847</v>
      </c>
      <c r="D578" s="65">
        <v>4496.9683630399122</v>
      </c>
      <c r="E578" s="65">
        <f t="shared" si="5"/>
        <v>-3322.3278047829149</v>
      </c>
      <c r="F578" s="65">
        <f t="shared" si="0"/>
        <v>-29103591.569898333</v>
      </c>
      <c r="G578" s="66">
        <f t="shared" si="41"/>
        <v>-11592987.520992899</v>
      </c>
      <c r="H578" s="66">
        <f t="shared" si="2"/>
        <v>35975746.904319301</v>
      </c>
      <c r="I578" s="66">
        <f t="shared" si="3"/>
        <v>1079272.407129579</v>
      </c>
      <c r="J578" s="67">
        <f t="shared" si="4"/>
        <v>-7275897.8924745834</v>
      </c>
    </row>
    <row r="579" spans="1:10" ht="13.2" x14ac:dyDescent="0.25">
      <c r="A579" s="60">
        <v>499</v>
      </c>
      <c r="B579" s="61">
        <v>22.886571897211589</v>
      </c>
      <c r="C579" s="61">
        <v>0.46375464684014872</v>
      </c>
      <c r="D579" s="61">
        <v>4490.3454062329138</v>
      </c>
      <c r="E579" s="61">
        <f t="shared" si="5"/>
        <v>-3326.9411004398344</v>
      </c>
      <c r="F579" s="61">
        <f t="shared" si="0"/>
        <v>-29144004.039852947</v>
      </c>
      <c r="G579" s="62">
        <f t="shared" si="41"/>
        <v>-11596732.599946834</v>
      </c>
      <c r="H579" s="62">
        <f t="shared" si="2"/>
        <v>35922763.249863312</v>
      </c>
      <c r="I579" s="62">
        <f t="shared" si="3"/>
        <v>1077682.8974958993</v>
      </c>
      <c r="J579" s="63">
        <f t="shared" si="4"/>
        <v>-7286001.0099632367</v>
      </c>
    </row>
    <row r="580" spans="1:10" ht="13.2" x14ac:dyDescent="0.25">
      <c r="A580" s="64">
        <v>498</v>
      </c>
      <c r="B580" s="65">
        <v>22.816402405686169</v>
      </c>
      <c r="C580" s="65">
        <v>0.46282527881040891</v>
      </c>
      <c r="D580" s="65">
        <v>4476.5781519956272</v>
      </c>
      <c r="E580" s="65">
        <f t="shared" si="5"/>
        <v>-3336.5116452070188</v>
      </c>
      <c r="F580" s="65">
        <f t="shared" si="0"/>
        <v>-29227842.012013488</v>
      </c>
      <c r="G580" s="66">
        <f t="shared" si="41"/>
        <v>-11604475.528919173</v>
      </c>
      <c r="H580" s="66">
        <f t="shared" si="2"/>
        <v>35812625.215965018</v>
      </c>
      <c r="I580" s="66">
        <f t="shared" si="3"/>
        <v>1074378.7564789504</v>
      </c>
      <c r="J580" s="67">
        <f t="shared" si="4"/>
        <v>-7306960.5030033719</v>
      </c>
    </row>
    <row r="581" spans="1:10" ht="13.2" x14ac:dyDescent="0.25">
      <c r="A581" s="60">
        <v>497</v>
      </c>
      <c r="B581" s="61">
        <v>22.771427009294698</v>
      </c>
      <c r="C581" s="61">
        <v>0.46189591078066916</v>
      </c>
      <c r="D581" s="61">
        <v>4467.7539792236203</v>
      </c>
      <c r="E581" s="61">
        <f t="shared" si="5"/>
        <v>-3342.6336200902001</v>
      </c>
      <c r="F581" s="61">
        <f t="shared" si="0"/>
        <v>-29281470.511990152</v>
      </c>
      <c r="G581" s="62">
        <f t="shared" si="41"/>
        <v>-11609411.448052213</v>
      </c>
      <c r="H581" s="62">
        <f t="shared" si="2"/>
        <v>35742031.833788961</v>
      </c>
      <c r="I581" s="62">
        <f t="shared" si="3"/>
        <v>1072260.9550136689</v>
      </c>
      <c r="J581" s="63">
        <f t="shared" si="4"/>
        <v>-7320367.6279975381</v>
      </c>
    </row>
    <row r="582" spans="1:10" ht="13.2" x14ac:dyDescent="0.25">
      <c r="A582" s="64">
        <v>496</v>
      </c>
      <c r="B582" s="65">
        <v>22.51141607435757</v>
      </c>
      <c r="C582" s="65">
        <v>0.46096654275092935</v>
      </c>
      <c r="D582" s="65">
        <v>4416.7398337889554</v>
      </c>
      <c r="E582" s="65">
        <f t="shared" si="5"/>
        <v>-3377.9547523846477</v>
      </c>
      <c r="F582" s="65">
        <f t="shared" si="0"/>
        <v>-29590883.630889513</v>
      </c>
      <c r="G582" s="66">
        <f t="shared" si="41"/>
        <v>-11637791.148159776</v>
      </c>
      <c r="H582" s="66">
        <f t="shared" si="2"/>
        <v>35333918.670311645</v>
      </c>
      <c r="I582" s="66">
        <f t="shared" si="3"/>
        <v>1060017.5601093492</v>
      </c>
      <c r="J582" s="67">
        <f t="shared" si="4"/>
        <v>-7397720.9077223781</v>
      </c>
    </row>
    <row r="583" spans="1:10" ht="13.2" x14ac:dyDescent="0.25">
      <c r="A583" s="60">
        <v>495</v>
      </c>
      <c r="B583" s="61">
        <v>22.502558775287042</v>
      </c>
      <c r="C583" s="61">
        <v>0.4600371747211896</v>
      </c>
      <c r="D583" s="61">
        <v>4415.0020317113176</v>
      </c>
      <c r="E583" s="61">
        <f t="shared" si="5"/>
        <v>-3379.1555477793722</v>
      </c>
      <c r="F583" s="61">
        <f t="shared" si="0"/>
        <v>-29601402.598547302</v>
      </c>
      <c r="G583" s="62">
        <f t="shared" si="41"/>
        <v>-11638752.600079691</v>
      </c>
      <c r="H583" s="62">
        <f t="shared" si="2"/>
        <v>35320016.253690541</v>
      </c>
      <c r="I583" s="62">
        <f t="shared" si="3"/>
        <v>1059600.4876107161</v>
      </c>
      <c r="J583" s="63">
        <f t="shared" si="4"/>
        <v>-7400350.6496368255</v>
      </c>
    </row>
    <row r="584" spans="1:10" ht="13.2" x14ac:dyDescent="0.25">
      <c r="A584" s="64">
        <v>494</v>
      </c>
      <c r="B584" s="65">
        <v>22.450792782941498</v>
      </c>
      <c r="C584" s="65">
        <v>0.45910780669144979</v>
      </c>
      <c r="D584" s="65">
        <v>4404.845544013122</v>
      </c>
      <c r="E584" s="65">
        <f t="shared" si="5"/>
        <v>-3386.1593710805441</v>
      </c>
      <c r="F584" s="65">
        <f t="shared" si="0"/>
        <v>-29662756.090665564</v>
      </c>
      <c r="G584" s="66">
        <f t="shared" si="41"/>
        <v>-11644340.744918989</v>
      </c>
      <c r="H584" s="66">
        <f t="shared" si="2"/>
        <v>35238764.352104977</v>
      </c>
      <c r="I584" s="66">
        <f t="shared" si="3"/>
        <v>1057162.9305631493</v>
      </c>
      <c r="J584" s="67">
        <f t="shared" si="4"/>
        <v>-7415689.022666391</v>
      </c>
    </row>
    <row r="585" spans="1:10" ht="13.2" x14ac:dyDescent="0.25">
      <c r="A585" s="60">
        <v>493</v>
      </c>
      <c r="B585" s="61">
        <v>22.400699835975942</v>
      </c>
      <c r="C585" s="61">
        <v>0.45817843866171004</v>
      </c>
      <c r="D585" s="61">
        <v>4395.0173078184798</v>
      </c>
      <c r="E585" s="61">
        <f t="shared" si="5"/>
        <v>-3392.9231340007418</v>
      </c>
      <c r="F585" s="61">
        <f t="shared" si="0"/>
        <v>-29722006.653846495</v>
      </c>
      <c r="G585" s="62">
        <f t="shared" si="41"/>
        <v>-11649718.278967364</v>
      </c>
      <c r="H585" s="62">
        <f t="shared" si="2"/>
        <v>35160138.462547839</v>
      </c>
      <c r="I585" s="62">
        <f t="shared" si="3"/>
        <v>1054804.153876435</v>
      </c>
      <c r="J585" s="63">
        <f t="shared" si="4"/>
        <v>-7430501.6634616237</v>
      </c>
    </row>
    <row r="586" spans="1:10" ht="13.2" x14ac:dyDescent="0.25">
      <c r="A586" s="64">
        <v>492</v>
      </c>
      <c r="B586" s="65">
        <v>22.397353745215963</v>
      </c>
      <c r="C586" s="65">
        <v>0.45724907063197023</v>
      </c>
      <c r="D586" s="65">
        <v>4394.3608048113729</v>
      </c>
      <c r="E586" s="65">
        <f t="shared" si="5"/>
        <v>-3393.3740222184483</v>
      </c>
      <c r="F586" s="65">
        <f t="shared" si="0"/>
        <v>-29725956.434633609</v>
      </c>
      <c r="G586" s="66">
        <f t="shared" si="41"/>
        <v>-11650075.481277321</v>
      </c>
      <c r="H586" s="66">
        <f t="shared" si="2"/>
        <v>35154886.438490979</v>
      </c>
      <c r="I586" s="66">
        <f t="shared" si="3"/>
        <v>1054646.5931547293</v>
      </c>
      <c r="J586" s="67">
        <f t="shared" si="4"/>
        <v>-7431489.1086584022</v>
      </c>
    </row>
    <row r="587" spans="1:10" ht="13.2" x14ac:dyDescent="0.25">
      <c r="A587" s="60">
        <v>491</v>
      </c>
      <c r="B587" s="61">
        <v>22.298840896664846</v>
      </c>
      <c r="C587" s="61">
        <v>0.45631970260223048</v>
      </c>
      <c r="D587" s="61">
        <v>4375.0325839256429</v>
      </c>
      <c r="E587" s="61">
        <f t="shared" si="5"/>
        <v>-3406.6217572586211</v>
      </c>
      <c r="F587" s="61">
        <f t="shared" si="0"/>
        <v>-29842006.593585521</v>
      </c>
      <c r="G587" s="62">
        <f t="shared" si="41"/>
        <v>-11660532.928964997</v>
      </c>
      <c r="H587" s="62">
        <f t="shared" si="2"/>
        <v>35000260.671405144</v>
      </c>
      <c r="I587" s="62">
        <f t="shared" si="3"/>
        <v>1050007.8201421543</v>
      </c>
      <c r="J587" s="63">
        <f t="shared" si="4"/>
        <v>-7460501.6483963802</v>
      </c>
    </row>
    <row r="588" spans="1:10" ht="13.2" x14ac:dyDescent="0.25">
      <c r="A588" s="64">
        <v>490</v>
      </c>
      <c r="B588" s="65">
        <v>22.272761071623837</v>
      </c>
      <c r="C588" s="65">
        <v>0.45539033457249073</v>
      </c>
      <c r="D588" s="65">
        <v>4369.9157222525973</v>
      </c>
      <c r="E588" s="65">
        <f t="shared" si="5"/>
        <v>-3410.1217667301466</v>
      </c>
      <c r="F588" s="65">
        <f t="shared" si="0"/>
        <v>-29872666.676556084</v>
      </c>
      <c r="G588" s="66">
        <f t="shared" si="41"/>
        <v>-11663285.762501514</v>
      </c>
      <c r="H588" s="66">
        <f t="shared" si="2"/>
        <v>34959325.778020777</v>
      </c>
      <c r="I588" s="66">
        <f t="shared" si="3"/>
        <v>1048779.7733406234</v>
      </c>
      <c r="J588" s="67">
        <f t="shared" si="4"/>
        <v>-7468166.6691390211</v>
      </c>
    </row>
    <row r="589" spans="1:10" ht="13.2" x14ac:dyDescent="0.25">
      <c r="A589" s="60">
        <v>489</v>
      </c>
      <c r="B589" s="61">
        <v>22.255243302351012</v>
      </c>
      <c r="C589" s="61">
        <v>0.45446096654275092</v>
      </c>
      <c r="D589" s="61">
        <v>4366.4787359212696</v>
      </c>
      <c r="E589" s="61">
        <f t="shared" si="5"/>
        <v>-3412.4679251505559</v>
      </c>
      <c r="F589" s="61">
        <f t="shared" si="0"/>
        <v>-29893219.02431887</v>
      </c>
      <c r="G589" s="62">
        <f>J589-(I589-(H589*$N$4))</f>
        <v>-5377394.9628375079</v>
      </c>
      <c r="H589" s="62">
        <f t="shared" si="2"/>
        <v>34931829.887370154</v>
      </c>
      <c r="I589" s="62">
        <f t="shared" si="3"/>
        <v>1047954.8966211046</v>
      </c>
      <c r="J589" s="63">
        <f t="shared" si="4"/>
        <v>-7473304.7560797175</v>
      </c>
    </row>
    <row r="590" spans="1:10" ht="13.2" x14ac:dyDescent="0.25">
      <c r="A590" s="64">
        <v>488</v>
      </c>
      <c r="B590" s="65">
        <v>22.192454893384362</v>
      </c>
      <c r="C590" s="65">
        <v>0.45353159851301117</v>
      </c>
      <c r="D590" s="65">
        <v>4354.1596500820115</v>
      </c>
      <c r="E590" s="65">
        <f t="shared" si="5"/>
        <v>-3420.8600161544373</v>
      </c>
      <c r="F590" s="65">
        <f t="shared" si="0"/>
        <v>-29966733.741512869</v>
      </c>
      <c r="G590" s="66">
        <f t="shared" ref="G590:G604" si="42">J590-I590-(H590*$N$4)</f>
        <v>-11671676.699456949</v>
      </c>
      <c r="H590" s="66">
        <f t="shared" si="2"/>
        <v>34833277.200656094</v>
      </c>
      <c r="I590" s="66">
        <f t="shared" si="3"/>
        <v>1044998.3160196828</v>
      </c>
      <c r="J590" s="67">
        <f t="shared" si="4"/>
        <v>-7491683.4353782171</v>
      </c>
    </row>
    <row r="591" spans="1:10" ht="13.2" x14ac:dyDescent="0.25">
      <c r="A591" s="60">
        <v>487</v>
      </c>
      <c r="B591" s="61">
        <v>22.173756150902129</v>
      </c>
      <c r="C591" s="61">
        <v>0.45260223048327136</v>
      </c>
      <c r="D591" s="61">
        <v>4350.4909568069979</v>
      </c>
      <c r="E591" s="61">
        <f t="shared" si="5"/>
        <v>-3423.3541138595233</v>
      </c>
      <c r="F591" s="61">
        <f t="shared" si="0"/>
        <v>-29988582.037409425</v>
      </c>
      <c r="G591" s="62">
        <f t="shared" si="42"/>
        <v>-11673616.827887073</v>
      </c>
      <c r="H591" s="62">
        <f t="shared" si="2"/>
        <v>34803927.654455982</v>
      </c>
      <c r="I591" s="62">
        <f t="shared" si="3"/>
        <v>1044117.8296336795</v>
      </c>
      <c r="J591" s="63">
        <f t="shared" si="4"/>
        <v>-7497145.5093523562</v>
      </c>
    </row>
    <row r="592" spans="1:10" ht="13.2" x14ac:dyDescent="0.25">
      <c r="A592" s="64">
        <v>486</v>
      </c>
      <c r="B592" s="65">
        <v>22.143444505194093</v>
      </c>
      <c r="C592" s="65">
        <v>0.45167286245353161</v>
      </c>
      <c r="D592" s="65">
        <v>4344.5438119190812</v>
      </c>
      <c r="E592" s="65">
        <f t="shared" si="5"/>
        <v>-3427.3888868782774</v>
      </c>
      <c r="F592" s="65">
        <f t="shared" si="0"/>
        <v>-30023926.649053708</v>
      </c>
      <c r="G592" s="66">
        <f t="shared" si="42"/>
        <v>-11676743.721705746</v>
      </c>
      <c r="H592" s="66">
        <f t="shared" si="2"/>
        <v>34756350.495352648</v>
      </c>
      <c r="I592" s="66">
        <f t="shared" si="3"/>
        <v>1042690.5148605794</v>
      </c>
      <c r="J592" s="67">
        <f t="shared" si="4"/>
        <v>-7505981.6622634269</v>
      </c>
    </row>
    <row r="593" spans="1:10" ht="13.2" x14ac:dyDescent="0.25">
      <c r="A593" s="60">
        <v>485</v>
      </c>
      <c r="B593" s="61">
        <v>22.113034445051941</v>
      </c>
      <c r="C593" s="61">
        <v>0.4507434944237918</v>
      </c>
      <c r="D593" s="61">
        <v>4338.5773581191916</v>
      </c>
      <c r="E593" s="61">
        <f t="shared" si="5"/>
        <v>-3431.4284422623105</v>
      </c>
      <c r="F593" s="61">
        <f t="shared" si="0"/>
        <v>-30059313.154217843</v>
      </c>
      <c r="G593" s="62">
        <f t="shared" si="42"/>
        <v>-11679862.552348886</v>
      </c>
      <c r="H593" s="62">
        <f t="shared" si="2"/>
        <v>34708618.864953533</v>
      </c>
      <c r="I593" s="62">
        <f t="shared" si="3"/>
        <v>1041258.565948606</v>
      </c>
      <c r="J593" s="63">
        <f t="shared" si="4"/>
        <v>-7514828.2885544607</v>
      </c>
    </row>
    <row r="594" spans="1:10" ht="13.2" x14ac:dyDescent="0.25">
      <c r="A594" s="64">
        <v>484</v>
      </c>
      <c r="B594" s="65">
        <v>22.064417714598139</v>
      </c>
      <c r="C594" s="65">
        <v>0.44981412639405205</v>
      </c>
      <c r="D594" s="65">
        <v>4329.0387556041551</v>
      </c>
      <c r="E594" s="65">
        <f t="shared" si="5"/>
        <v>-3437.8732043705181</v>
      </c>
      <c r="F594" s="65">
        <f t="shared" si="0"/>
        <v>-30115769.270285737</v>
      </c>
      <c r="G594" s="66">
        <f t="shared" si="42"/>
        <v>-11684819.522951424</v>
      </c>
      <c r="H594" s="66">
        <f t="shared" si="2"/>
        <v>34632310.044833243</v>
      </c>
      <c r="I594" s="66">
        <f t="shared" si="3"/>
        <v>1038969.3013449972</v>
      </c>
      <c r="J594" s="67">
        <f t="shared" si="4"/>
        <v>-7528942.3175714342</v>
      </c>
    </row>
    <row r="595" spans="1:10" ht="13.2" x14ac:dyDescent="0.25">
      <c r="A595" s="60">
        <v>483</v>
      </c>
      <c r="B595" s="61">
        <v>22.023674138873698</v>
      </c>
      <c r="C595" s="61">
        <v>0.44888475836431224</v>
      </c>
      <c r="D595" s="61">
        <v>4321.0448660470202</v>
      </c>
      <c r="E595" s="61">
        <f t="shared" si="5"/>
        <v>-3443.263136409274</v>
      </c>
      <c r="F595" s="61">
        <f t="shared" si="0"/>
        <v>-30162985.074945241</v>
      </c>
      <c r="G595" s="62">
        <f t="shared" si="42"/>
        <v>-11688949.340141449</v>
      </c>
      <c r="H595" s="62">
        <f t="shared" si="2"/>
        <v>34568358.928376161</v>
      </c>
      <c r="I595" s="62">
        <f t="shared" si="3"/>
        <v>1037050.7678512848</v>
      </c>
      <c r="J595" s="63">
        <f t="shared" si="4"/>
        <v>-7540746.2687363103</v>
      </c>
    </row>
    <row r="596" spans="1:10" ht="13.2" x14ac:dyDescent="0.25">
      <c r="A596" s="64">
        <v>482</v>
      </c>
      <c r="B596" s="65">
        <v>22.019245489338434</v>
      </c>
      <c r="C596" s="65">
        <v>0.44795539033457249</v>
      </c>
      <c r="D596" s="65">
        <v>4320.1759650082013</v>
      </c>
      <c r="E596" s="65">
        <f t="shared" si="5"/>
        <v>-3443.8477872941298</v>
      </c>
      <c r="F596" s="65">
        <f t="shared" si="0"/>
        <v>-30168106.616696578</v>
      </c>
      <c r="G596" s="66">
        <f t="shared" si="42"/>
        <v>-11689395.580582017</v>
      </c>
      <c r="H596" s="66">
        <f t="shared" si="2"/>
        <v>34561407.720065609</v>
      </c>
      <c r="I596" s="66">
        <f t="shared" si="3"/>
        <v>1036842.2316019682</v>
      </c>
      <c r="J596" s="67">
        <f t="shared" si="4"/>
        <v>-7542026.6541741444</v>
      </c>
    </row>
    <row r="597" spans="1:10" ht="13.2" x14ac:dyDescent="0.25">
      <c r="A597" s="60">
        <v>481</v>
      </c>
      <c r="B597" s="61">
        <v>21.991197375615091</v>
      </c>
      <c r="C597" s="61">
        <v>0.44702602230483274</v>
      </c>
      <c r="D597" s="61">
        <v>4314.6729250956814</v>
      </c>
      <c r="E597" s="61">
        <f t="shared" si="5"/>
        <v>-3447.5429047075086</v>
      </c>
      <c r="F597" s="61">
        <f t="shared" si="0"/>
        <v>-30200475.845237777</v>
      </c>
      <c r="G597" s="62">
        <f t="shared" si="42"/>
        <v>-11692204.969401298</v>
      </c>
      <c r="H597" s="62">
        <f t="shared" si="2"/>
        <v>34517383.400765449</v>
      </c>
      <c r="I597" s="62">
        <f t="shared" si="3"/>
        <v>1035521.5020229635</v>
      </c>
      <c r="J597" s="63">
        <f t="shared" si="4"/>
        <v>-7550118.9613094442</v>
      </c>
    </row>
    <row r="598" spans="1:10" ht="13.2" x14ac:dyDescent="0.25">
      <c r="A598" s="64">
        <v>480</v>
      </c>
      <c r="B598" s="65">
        <v>21.961180973209405</v>
      </c>
      <c r="C598" s="65">
        <v>0.44609665427509293</v>
      </c>
      <c r="D598" s="65">
        <v>4308.7837069436855</v>
      </c>
      <c r="E598" s="65">
        <f t="shared" si="5"/>
        <v>-3451.4891187294315</v>
      </c>
      <c r="F598" s="65">
        <f t="shared" si="0"/>
        <v>-30235044.680069823</v>
      </c>
      <c r="G598" s="66">
        <f t="shared" si="42"/>
        <v>-11695193.528683394</v>
      </c>
      <c r="H598" s="66">
        <f t="shared" si="2"/>
        <v>34470269.655549482</v>
      </c>
      <c r="I598" s="66">
        <f t="shared" si="3"/>
        <v>1034108.0896664844</v>
      </c>
      <c r="J598" s="67">
        <f t="shared" si="4"/>
        <v>-7558761.1700174557</v>
      </c>
    </row>
    <row r="599" spans="1:10" ht="13.2" x14ac:dyDescent="0.25">
      <c r="A599" s="60">
        <v>479</v>
      </c>
      <c r="B599" s="61">
        <v>21.935494805904867</v>
      </c>
      <c r="C599" s="61">
        <v>0.44516728624535318</v>
      </c>
      <c r="D599" s="61">
        <v>4303.7440809185346</v>
      </c>
      <c r="E599" s="61">
        <f t="shared" si="5"/>
        <v>-3454.8590173587031</v>
      </c>
      <c r="F599" s="61">
        <f t="shared" si="0"/>
        <v>-30264564.992062237</v>
      </c>
      <c r="G599" s="62">
        <f t="shared" si="42"/>
        <v>-11697735.565697353</v>
      </c>
      <c r="H599" s="62">
        <f t="shared" si="2"/>
        <v>34429952.647348277</v>
      </c>
      <c r="I599" s="62">
        <f t="shared" si="3"/>
        <v>1032898.5794204483</v>
      </c>
      <c r="J599" s="63">
        <f t="shared" si="4"/>
        <v>-7566141.2480155593</v>
      </c>
    </row>
    <row r="600" spans="1:10" ht="13.2" x14ac:dyDescent="0.25">
      <c r="A600" s="64">
        <v>478</v>
      </c>
      <c r="B600" s="65">
        <v>21.921323127392018</v>
      </c>
      <c r="C600" s="65">
        <v>0.44423791821561337</v>
      </c>
      <c r="D600" s="65">
        <v>4300.9635975943129</v>
      </c>
      <c r="E600" s="65">
        <f t="shared" si="5"/>
        <v>-3456.7143956363902</v>
      </c>
      <c r="F600" s="65">
        <f t="shared" si="0"/>
        <v>-30280818.105774779</v>
      </c>
      <c r="G600" s="66">
        <f t="shared" si="42"/>
        <v>-11699129.580134235</v>
      </c>
      <c r="H600" s="66">
        <f t="shared" si="2"/>
        <v>34407708.780754507</v>
      </c>
      <c r="I600" s="66">
        <f t="shared" si="3"/>
        <v>1032231.2634226352</v>
      </c>
      <c r="J600" s="67">
        <f t="shared" si="4"/>
        <v>-7570204.5264436947</v>
      </c>
    </row>
    <row r="601" spans="1:10" ht="13.2" x14ac:dyDescent="0.25">
      <c r="A601" s="60">
        <v>477</v>
      </c>
      <c r="B601" s="61">
        <v>21.830585019136141</v>
      </c>
      <c r="C601" s="61">
        <v>0.44330855018587362</v>
      </c>
      <c r="D601" s="61">
        <v>4283.1607807545115</v>
      </c>
      <c r="E601" s="61">
        <f t="shared" si="5"/>
        <v>-3468.5691523889159</v>
      </c>
      <c r="F601" s="61">
        <f t="shared" si="0"/>
        <v>-30384665.774926901</v>
      </c>
      <c r="G601" s="62">
        <f t="shared" si="42"/>
        <v>-11708000.793256056</v>
      </c>
      <c r="H601" s="62">
        <f t="shared" si="2"/>
        <v>34265286.24603609</v>
      </c>
      <c r="I601" s="62">
        <f t="shared" si="3"/>
        <v>1027958.5873810827</v>
      </c>
      <c r="J601" s="63">
        <f t="shared" si="4"/>
        <v>-7596166.4437317252</v>
      </c>
    </row>
    <row r="602" spans="1:10" ht="13.2" x14ac:dyDescent="0.25">
      <c r="A602" s="64">
        <v>476</v>
      </c>
      <c r="B602" s="65">
        <v>21.817594313832696</v>
      </c>
      <c r="C602" s="65">
        <v>0.44237918215613381</v>
      </c>
      <c r="D602" s="65">
        <v>4280.6120043739747</v>
      </c>
      <c r="E602" s="65">
        <f t="shared" si="5"/>
        <v>-3470.26280955628</v>
      </c>
      <c r="F602" s="65">
        <f t="shared" si="0"/>
        <v>-30399502.211713012</v>
      </c>
      <c r="G602" s="66">
        <f t="shared" si="42"/>
        <v>-11709263.077127269</v>
      </c>
      <c r="H602" s="66">
        <f t="shared" si="2"/>
        <v>34244896.034991801</v>
      </c>
      <c r="I602" s="66">
        <f t="shared" si="3"/>
        <v>1027346.881049754</v>
      </c>
      <c r="J602" s="67">
        <f t="shared" si="4"/>
        <v>-7599875.5529282531</v>
      </c>
    </row>
    <row r="603" spans="1:10" ht="13.2" x14ac:dyDescent="0.25">
      <c r="A603" s="60">
        <v>475</v>
      </c>
      <c r="B603" s="61">
        <v>21.797616183706943</v>
      </c>
      <c r="C603" s="61">
        <v>0.44144981412639406</v>
      </c>
      <c r="D603" s="61">
        <v>4276.6922952433024</v>
      </c>
      <c r="E603" s="61">
        <f t="shared" si="5"/>
        <v>-3472.8619847093792</v>
      </c>
      <c r="F603" s="61">
        <f t="shared" si="0"/>
        <v>-30422270.98605416</v>
      </c>
      <c r="G603" s="62">
        <f t="shared" si="42"/>
        <v>-11711192.34994711</v>
      </c>
      <c r="H603" s="62">
        <f t="shared" si="2"/>
        <v>34213538.361946419</v>
      </c>
      <c r="I603" s="62">
        <f t="shared" si="3"/>
        <v>1026406.1508583925</v>
      </c>
      <c r="J603" s="63">
        <f t="shared" si="4"/>
        <v>-7605567.7465135399</v>
      </c>
    </row>
    <row r="604" spans="1:10" ht="13.2" x14ac:dyDescent="0.25">
      <c r="A604" s="64">
        <v>474</v>
      </c>
      <c r="B604" s="65">
        <v>21.796632039365772</v>
      </c>
      <c r="C604" s="65">
        <v>0.44052044609665425</v>
      </c>
      <c r="D604" s="65">
        <v>4276.4992061235644</v>
      </c>
      <c r="E604" s="65">
        <f t="shared" si="5"/>
        <v>-3472.9897537179791</v>
      </c>
      <c r="F604" s="65">
        <f t="shared" si="0"/>
        <v>-30423390.242569499</v>
      </c>
      <c r="G604" s="66">
        <f t="shared" si="42"/>
        <v>-11711286.798520997</v>
      </c>
      <c r="H604" s="66">
        <f t="shared" si="2"/>
        <v>34211993.648988515</v>
      </c>
      <c r="I604" s="66">
        <f t="shared" si="3"/>
        <v>1026359.8094696554</v>
      </c>
      <c r="J604" s="67">
        <f t="shared" si="4"/>
        <v>-7605847.5606423747</v>
      </c>
    </row>
    <row r="605" spans="1:10" ht="13.2" x14ac:dyDescent="0.25">
      <c r="A605" s="60">
        <v>473</v>
      </c>
      <c r="B605" s="61">
        <v>21.7950574084199</v>
      </c>
      <c r="C605" s="61">
        <v>0.4395910780669145</v>
      </c>
      <c r="D605" s="61">
        <v>4276.1902635319848</v>
      </c>
      <c r="E605" s="61">
        <f t="shared" si="5"/>
        <v>-3473.1937534496865</v>
      </c>
      <c r="F605" s="61">
        <f t="shared" si="0"/>
        <v>-30425177.280219253</v>
      </c>
      <c r="G605" s="62">
        <f>J605-(I605-(H605*$N$4))</f>
        <v>-5553722.9935594611</v>
      </c>
      <c r="H605" s="62">
        <f t="shared" si="2"/>
        <v>34209522.108255878</v>
      </c>
      <c r="I605" s="62">
        <f t="shared" si="3"/>
        <v>1026285.6632476763</v>
      </c>
      <c r="J605" s="63">
        <f t="shared" si="4"/>
        <v>-7606294.3200548133</v>
      </c>
    </row>
    <row r="606" spans="1:10" ht="13.2" x14ac:dyDescent="0.25">
      <c r="A606" s="64">
        <v>472</v>
      </c>
      <c r="B606" s="65">
        <v>21.764942591580098</v>
      </c>
      <c r="C606" s="65">
        <v>0.43866171003717475</v>
      </c>
      <c r="D606" s="65">
        <v>4270.281736468015</v>
      </c>
      <c r="E606" s="65">
        <f t="shared" si="5"/>
        <v>-3477.0870115243656</v>
      </c>
      <c r="F606" s="65">
        <f t="shared" si="0"/>
        <v>-30459282.220953446</v>
      </c>
      <c r="G606" s="66">
        <f t="shared" ref="G606:G620" si="43">J606-I606-(H606*$N$4)</f>
        <v>-11714291.022247657</v>
      </c>
      <c r="H606" s="66">
        <f t="shared" si="2"/>
        <v>34162253.891744122</v>
      </c>
      <c r="I606" s="66">
        <f t="shared" si="3"/>
        <v>1024867.6167523236</v>
      </c>
      <c r="J606" s="67">
        <f t="shared" si="4"/>
        <v>-7614820.5552383615</v>
      </c>
    </row>
    <row r="607" spans="1:10" ht="13.2" x14ac:dyDescent="0.25">
      <c r="A607" s="60">
        <v>471</v>
      </c>
      <c r="B607" s="61">
        <v>21.70805904866047</v>
      </c>
      <c r="C607" s="61">
        <v>0.43773234200743494</v>
      </c>
      <c r="D607" s="61">
        <v>4259.1211853471841</v>
      </c>
      <c r="E607" s="61">
        <f t="shared" si="5"/>
        <v>-3484.425385054094</v>
      </c>
      <c r="F607" s="61">
        <f t="shared" si="0"/>
        <v>-30523566.373073865</v>
      </c>
      <c r="G607" s="62">
        <f t="shared" si="43"/>
        <v>-11719647.931201763</v>
      </c>
      <c r="H607" s="62">
        <f t="shared" si="2"/>
        <v>34072969.482777476</v>
      </c>
      <c r="I607" s="62">
        <f t="shared" si="3"/>
        <v>1022189.0844833242</v>
      </c>
      <c r="J607" s="63">
        <f t="shared" si="4"/>
        <v>-7630891.5932684662</v>
      </c>
    </row>
    <row r="608" spans="1:10" ht="13.2" x14ac:dyDescent="0.25">
      <c r="A608" s="64">
        <v>470</v>
      </c>
      <c r="B608" s="65">
        <v>21.707271733187532</v>
      </c>
      <c r="C608" s="65">
        <v>0.43680297397769519</v>
      </c>
      <c r="D608" s="65">
        <v>4258.9667140513939</v>
      </c>
      <c r="E608" s="65">
        <f t="shared" si="5"/>
        <v>-3484.5267388968709</v>
      </c>
      <c r="F608" s="65">
        <f t="shared" si="0"/>
        <v>-30524454.232736588</v>
      </c>
      <c r="G608" s="66">
        <f t="shared" si="43"/>
        <v>-11719721.603673486</v>
      </c>
      <c r="H608" s="66">
        <f t="shared" si="2"/>
        <v>34071733.71241115</v>
      </c>
      <c r="I608" s="66">
        <f t="shared" si="3"/>
        <v>1022152.0113723344</v>
      </c>
      <c r="J608" s="67">
        <f t="shared" si="4"/>
        <v>-7631113.5581841469</v>
      </c>
    </row>
    <row r="609" spans="1:10" ht="13.2" x14ac:dyDescent="0.25">
      <c r="A609" s="60">
        <v>469</v>
      </c>
      <c r="B609" s="61">
        <v>21.604330235101148</v>
      </c>
      <c r="C609" s="61">
        <v>0.43587360594795538</v>
      </c>
      <c r="D609" s="61">
        <v>4238.7695921268451</v>
      </c>
      <c r="E609" s="61">
        <f t="shared" si="5"/>
        <v>-3497.7505980008159</v>
      </c>
      <c r="F609" s="61">
        <f t="shared" si="0"/>
        <v>-30640295.238487147</v>
      </c>
      <c r="G609" s="62">
        <f t="shared" si="43"/>
        <v>-11729292.618063558</v>
      </c>
      <c r="H609" s="62">
        <f t="shared" si="2"/>
        <v>33910156.737014763</v>
      </c>
      <c r="I609" s="62">
        <f t="shared" si="3"/>
        <v>1017304.7021104428</v>
      </c>
      <c r="J609" s="63">
        <f t="shared" si="4"/>
        <v>-7660073.8096217867</v>
      </c>
    </row>
    <row r="610" spans="1:10" ht="13.2" x14ac:dyDescent="0.25">
      <c r="A610" s="64">
        <v>468</v>
      </c>
      <c r="B610" s="65">
        <v>21.591930016402408</v>
      </c>
      <c r="C610" s="65">
        <v>0.43494423791821563</v>
      </c>
      <c r="D610" s="65">
        <v>4236.3366692181517</v>
      </c>
      <c r="E610" s="65">
        <f t="shared" si="5"/>
        <v>-3499.3401377822393</v>
      </c>
      <c r="F610" s="65">
        <f t="shared" si="0"/>
        <v>-30654219.606972415</v>
      </c>
      <c r="G610" s="66">
        <f t="shared" si="43"/>
        <v>-11730438.104192529</v>
      </c>
      <c r="H610" s="66">
        <f t="shared" si="2"/>
        <v>33890693.353745215</v>
      </c>
      <c r="I610" s="66">
        <f t="shared" si="3"/>
        <v>1016720.8006123564</v>
      </c>
      <c r="J610" s="67">
        <f t="shared" si="4"/>
        <v>-7663554.9017431038</v>
      </c>
    </row>
    <row r="611" spans="1:10" ht="13.2" x14ac:dyDescent="0.25">
      <c r="A611" s="60">
        <v>467</v>
      </c>
      <c r="B611" s="61">
        <v>21.575593220338984</v>
      </c>
      <c r="C611" s="61">
        <v>0.43401486988847582</v>
      </c>
      <c r="D611" s="61">
        <v>4233.1313898305089</v>
      </c>
      <c r="E611" s="61">
        <f t="shared" si="5"/>
        <v>-3501.4298250410047</v>
      </c>
      <c r="F611" s="61">
        <f t="shared" si="0"/>
        <v>-30672525.267359201</v>
      </c>
      <c r="G611" s="62">
        <f t="shared" si="43"/>
        <v>-11731937.451077089</v>
      </c>
      <c r="H611" s="62">
        <f t="shared" si="2"/>
        <v>33865051.118644074</v>
      </c>
      <c r="I611" s="62">
        <f t="shared" si="3"/>
        <v>1015951.5335593221</v>
      </c>
      <c r="J611" s="63">
        <f t="shared" si="4"/>
        <v>-7668131.3168398002</v>
      </c>
    </row>
    <row r="612" spans="1:10" ht="13.2" x14ac:dyDescent="0.25">
      <c r="A612" s="64">
        <v>466</v>
      </c>
      <c r="B612" s="65">
        <v>21.56260251503554</v>
      </c>
      <c r="C612" s="65">
        <v>0.43308550185873607</v>
      </c>
      <c r="D612" s="65">
        <v>4230.582613449973</v>
      </c>
      <c r="E612" s="65">
        <f t="shared" si="5"/>
        <v>-3503.0879509391229</v>
      </c>
      <c r="F612" s="65">
        <f t="shared" si="0"/>
        <v>-30687050.450226717</v>
      </c>
      <c r="G612" s="66">
        <f t="shared" si="43"/>
        <v>-11733121.921468653</v>
      </c>
      <c r="H612" s="66">
        <f t="shared" si="2"/>
        <v>33844660.907599784</v>
      </c>
      <c r="I612" s="66">
        <f t="shared" si="3"/>
        <v>1015339.8272279935</v>
      </c>
      <c r="J612" s="67">
        <f t="shared" si="4"/>
        <v>-7671762.6125566792</v>
      </c>
    </row>
    <row r="613" spans="1:10" ht="13.2" x14ac:dyDescent="0.25">
      <c r="A613" s="60">
        <v>465</v>
      </c>
      <c r="B613" s="61">
        <v>21.561913613996719</v>
      </c>
      <c r="C613" s="61">
        <v>0.43215613382899626</v>
      </c>
      <c r="D613" s="61">
        <v>4230.4474510661566</v>
      </c>
      <c r="E613" s="61">
        <f t="shared" si="5"/>
        <v>-3503.1756934345649</v>
      </c>
      <c r="F613" s="61">
        <f t="shared" si="0"/>
        <v>-30687819.074486788</v>
      </c>
      <c r="G613" s="62">
        <f t="shared" si="43"/>
        <v>-11733184.321645208</v>
      </c>
      <c r="H613" s="62">
        <f t="shared" si="2"/>
        <v>33843579.608529255</v>
      </c>
      <c r="I613" s="62">
        <f t="shared" si="3"/>
        <v>1015307.3882558777</v>
      </c>
      <c r="J613" s="63">
        <f t="shared" si="4"/>
        <v>-7671954.7686216971</v>
      </c>
    </row>
    <row r="614" spans="1:10" ht="13.2" x14ac:dyDescent="0.25">
      <c r="A614" s="64">
        <v>464</v>
      </c>
      <c r="B614" s="65">
        <v>21.504931656642974</v>
      </c>
      <c r="C614" s="65">
        <v>0.43122676579925651</v>
      </c>
      <c r="D614" s="65">
        <v>4219.2675910333519</v>
      </c>
      <c r="E614" s="65">
        <f t="shared" si="5"/>
        <v>-3510.4176659651084</v>
      </c>
      <c r="F614" s="65">
        <f t="shared" si="0"/>
        <v>-30751258.753854346</v>
      </c>
      <c r="G614" s="66">
        <f t="shared" si="43"/>
        <v>-11738311.575855603</v>
      </c>
      <c r="H614" s="66">
        <f t="shared" si="2"/>
        <v>33754140.728266813</v>
      </c>
      <c r="I614" s="66">
        <f t="shared" si="3"/>
        <v>1012624.2218480044</v>
      </c>
      <c r="J614" s="67">
        <f t="shared" si="4"/>
        <v>-7687814.6884635864</v>
      </c>
    </row>
    <row r="615" spans="1:10" ht="13.2" x14ac:dyDescent="0.25">
      <c r="A615" s="60">
        <v>463</v>
      </c>
      <c r="B615" s="61">
        <v>21.457594313832693</v>
      </c>
      <c r="C615" s="61">
        <v>0.43029739776951675</v>
      </c>
      <c r="D615" s="61">
        <v>4209.9800043739751</v>
      </c>
      <c r="E615" s="61">
        <f t="shared" si="5"/>
        <v>-3516.4209341078563</v>
      </c>
      <c r="F615" s="61">
        <f t="shared" si="0"/>
        <v>-30803847.382784821</v>
      </c>
      <c r="G615" s="62">
        <f t="shared" si="43"/>
        <v>-11742542.649895221</v>
      </c>
      <c r="H615" s="62">
        <f t="shared" si="2"/>
        <v>33679840.034991801</v>
      </c>
      <c r="I615" s="62">
        <f t="shared" si="3"/>
        <v>1010395.2010497539</v>
      </c>
      <c r="J615" s="63">
        <f t="shared" si="4"/>
        <v>-7700961.8456962053</v>
      </c>
    </row>
    <row r="616" spans="1:10" ht="13.2" x14ac:dyDescent="0.25">
      <c r="A616" s="64">
        <v>462</v>
      </c>
      <c r="B616" s="65">
        <v>21.440765445598689</v>
      </c>
      <c r="C616" s="65">
        <v>0.42936802973977695</v>
      </c>
      <c r="D616" s="65">
        <v>4206.6781804264638</v>
      </c>
      <c r="E616" s="65">
        <f t="shared" si="5"/>
        <v>-3518.5505491818089</v>
      </c>
      <c r="F616" s="65">
        <f t="shared" si="0"/>
        <v>-30822502.810832646</v>
      </c>
      <c r="G616" s="66">
        <f t="shared" si="43"/>
        <v>-11744036.755917566</v>
      </c>
      <c r="H616" s="66">
        <f t="shared" si="2"/>
        <v>33653425.443411708</v>
      </c>
      <c r="I616" s="66">
        <f t="shared" si="3"/>
        <v>1009602.7633023512</v>
      </c>
      <c r="J616" s="67">
        <f t="shared" si="4"/>
        <v>-7705625.7027081614</v>
      </c>
    </row>
    <row r="617" spans="1:10" ht="13.2" x14ac:dyDescent="0.25">
      <c r="A617" s="60">
        <v>461</v>
      </c>
      <c r="B617" s="61">
        <v>21.416653909240022</v>
      </c>
      <c r="C617" s="61">
        <v>0.42843866171003719</v>
      </c>
      <c r="D617" s="61">
        <v>4201.9474969928924</v>
      </c>
      <c r="E617" s="61">
        <f t="shared" si="5"/>
        <v>-3521.5951572466306</v>
      </c>
      <c r="F617" s="61">
        <f t="shared" si="0"/>
        <v>-30849173.577480484</v>
      </c>
      <c r="G617" s="62">
        <f t="shared" si="43"/>
        <v>-11746162.991483297</v>
      </c>
      <c r="H617" s="62">
        <f t="shared" si="2"/>
        <v>33615579.975943141</v>
      </c>
      <c r="I617" s="62">
        <f t="shared" si="3"/>
        <v>1008467.3992782942</v>
      </c>
      <c r="J617" s="63">
        <f t="shared" si="4"/>
        <v>-7712293.394370121</v>
      </c>
    </row>
    <row r="618" spans="1:10" ht="13.2" x14ac:dyDescent="0.25">
      <c r="A618" s="64">
        <v>460</v>
      </c>
      <c r="B618" s="65">
        <v>21.322274466921815</v>
      </c>
      <c r="C618" s="65">
        <v>0.42750929368029739</v>
      </c>
      <c r="D618" s="65">
        <v>4183.4302504100597</v>
      </c>
      <c r="E618" s="65">
        <f t="shared" si="5"/>
        <v>-3533.4868090948994</v>
      </c>
      <c r="F618" s="65">
        <f t="shared" si="0"/>
        <v>-30953344.44767132</v>
      </c>
      <c r="G618" s="66">
        <f t="shared" si="43"/>
        <v>-11754429.152311485</v>
      </c>
      <c r="H618" s="66">
        <f t="shared" si="2"/>
        <v>33467442.003280476</v>
      </c>
      <c r="I618" s="66">
        <f t="shared" si="3"/>
        <v>1004023.2600984143</v>
      </c>
      <c r="J618" s="67">
        <f t="shared" si="4"/>
        <v>-7738336.1119178301</v>
      </c>
    </row>
    <row r="619" spans="1:10" ht="13.2" x14ac:dyDescent="0.25">
      <c r="A619" s="60">
        <v>459</v>
      </c>
      <c r="B619" s="61">
        <v>21.298261344997265</v>
      </c>
      <c r="C619" s="61">
        <v>0.42657992565055763</v>
      </c>
      <c r="D619" s="61">
        <v>4178.718875888464</v>
      </c>
      <c r="E619" s="61">
        <f t="shared" si="5"/>
        <v>-3536.505854385457</v>
      </c>
      <c r="F619" s="61">
        <f t="shared" si="0"/>
        <v>-30979791.284416601</v>
      </c>
      <c r="G619" s="62">
        <f t="shared" si="43"/>
        <v>-11756517.941957075</v>
      </c>
      <c r="H619" s="62">
        <f t="shared" si="2"/>
        <v>33429751.007107712</v>
      </c>
      <c r="I619" s="62">
        <f t="shared" si="3"/>
        <v>1002892.5302132313</v>
      </c>
      <c r="J619" s="63">
        <f t="shared" si="4"/>
        <v>-7744947.8211041503</v>
      </c>
    </row>
    <row r="620" spans="1:10" ht="13.2" x14ac:dyDescent="0.25">
      <c r="A620" s="64">
        <v>458</v>
      </c>
      <c r="B620" s="65">
        <v>21.283892837616182</v>
      </c>
      <c r="C620" s="65">
        <v>0.42565055762081783</v>
      </c>
      <c r="D620" s="65">
        <v>4175.8997747402955</v>
      </c>
      <c r="E620" s="65">
        <f t="shared" si="5"/>
        <v>-3538.3084023314977</v>
      </c>
      <c r="F620" s="65">
        <f t="shared" si="0"/>
        <v>-30995581.604423918</v>
      </c>
      <c r="G620" s="66">
        <f t="shared" si="43"/>
        <v>-11757759.184856663</v>
      </c>
      <c r="H620" s="66">
        <f t="shared" si="2"/>
        <v>33407198.197922364</v>
      </c>
      <c r="I620" s="66">
        <f t="shared" si="3"/>
        <v>1002215.9459376709</v>
      </c>
      <c r="J620" s="67">
        <f t="shared" si="4"/>
        <v>-7748895.4011059795</v>
      </c>
    </row>
    <row r="621" spans="1:10" ht="13.2" x14ac:dyDescent="0.25">
      <c r="A621" s="60">
        <v>457</v>
      </c>
      <c r="B621" s="61">
        <v>21.275429196282122</v>
      </c>
      <c r="C621" s="61">
        <v>0.42472118959107807</v>
      </c>
      <c r="D621" s="61">
        <v>4174.2392083105524</v>
      </c>
      <c r="E621" s="61">
        <f t="shared" si="5"/>
        <v>-3539.3678622330021</v>
      </c>
      <c r="F621" s="61">
        <f t="shared" si="0"/>
        <v>-31004862.473161098</v>
      </c>
      <c r="G621" s="62">
        <f>J621-(I621-(H621*$N$4))</f>
        <v>-5747580.7983012097</v>
      </c>
      <c r="H621" s="62">
        <f t="shared" si="2"/>
        <v>33393913.666484419</v>
      </c>
      <c r="I621" s="62">
        <f t="shared" si="3"/>
        <v>1001817.4099945326</v>
      </c>
      <c r="J621" s="63">
        <f t="shared" si="4"/>
        <v>-7751215.6182902744</v>
      </c>
    </row>
    <row r="622" spans="1:10" ht="13.2" x14ac:dyDescent="0.25">
      <c r="A622" s="64">
        <v>456</v>
      </c>
      <c r="B622" s="65">
        <v>21.272476763258613</v>
      </c>
      <c r="C622" s="65">
        <v>0.42379182156133827</v>
      </c>
      <c r="D622" s="65">
        <v>4173.6599409513401</v>
      </c>
      <c r="E622" s="65">
        <f t="shared" si="5"/>
        <v>-3539.7366337395638</v>
      </c>
      <c r="F622" s="65">
        <f t="shared" si="0"/>
        <v>-31008092.91155858</v>
      </c>
      <c r="G622" s="66">
        <f t="shared" ref="G622:G636" si="44">J622-I622-(H622*$N$4)</f>
        <v>-11758736.771202929</v>
      </c>
      <c r="H622" s="66">
        <f t="shared" si="2"/>
        <v>33389279.527610719</v>
      </c>
      <c r="I622" s="66">
        <f t="shared" si="3"/>
        <v>1001678.3858283216</v>
      </c>
      <c r="J622" s="67">
        <f t="shared" si="4"/>
        <v>-7752023.2278896449</v>
      </c>
    </row>
    <row r="623" spans="1:10" ht="13.2" x14ac:dyDescent="0.25">
      <c r="A623" s="60">
        <v>455</v>
      </c>
      <c r="B623" s="61">
        <v>21.236850738108256</v>
      </c>
      <c r="C623" s="61">
        <v>0.42286245353159851</v>
      </c>
      <c r="D623" s="61">
        <v>4166.6701148168404</v>
      </c>
      <c r="E623" s="61">
        <f t="shared" si="5"/>
        <v>-3544.1767324039974</v>
      </c>
      <c r="F623" s="61">
        <f t="shared" si="0"/>
        <v>-31046988.175859019</v>
      </c>
      <c r="G623" s="62">
        <f t="shared" si="44"/>
        <v>-11761750.354188923</v>
      </c>
      <c r="H623" s="62">
        <f t="shared" si="2"/>
        <v>33333360.918534722</v>
      </c>
      <c r="I623" s="62">
        <f t="shared" si="3"/>
        <v>1000000.8275560417</v>
      </c>
      <c r="J623" s="63">
        <f t="shared" si="4"/>
        <v>-7761747.0439647548</v>
      </c>
    </row>
    <row r="624" spans="1:10" ht="13.2" x14ac:dyDescent="0.25">
      <c r="A624" s="64">
        <v>454</v>
      </c>
      <c r="B624" s="65">
        <v>21.188332422088571</v>
      </c>
      <c r="C624" s="65">
        <v>0.42193308550185876</v>
      </c>
      <c r="D624" s="65">
        <v>4157.1508212137778</v>
      </c>
      <c r="E624" s="65">
        <f t="shared" si="5"/>
        <v>-3550.2103367137452</v>
      </c>
      <c r="F624" s="65">
        <f t="shared" si="0"/>
        <v>-31099842.549612407</v>
      </c>
      <c r="G624" s="66">
        <f t="shared" si="44"/>
        <v>-11765825.425768327</v>
      </c>
      <c r="H624" s="66">
        <f t="shared" si="2"/>
        <v>33257206.569710221</v>
      </c>
      <c r="I624" s="66">
        <f t="shared" si="3"/>
        <v>997716.19709130656</v>
      </c>
      <c r="J624" s="67">
        <f t="shared" si="4"/>
        <v>-7774960.6374031017</v>
      </c>
    </row>
    <row r="625" spans="1:10" ht="13.2" x14ac:dyDescent="0.25">
      <c r="A625" s="60">
        <v>453</v>
      </c>
      <c r="B625" s="61">
        <v>21.184199015855658</v>
      </c>
      <c r="C625" s="61">
        <v>0.42100371747211895</v>
      </c>
      <c r="D625" s="61">
        <v>4156.3398469108806</v>
      </c>
      <c r="E625" s="61">
        <f t="shared" si="5"/>
        <v>-3550.7232252017761</v>
      </c>
      <c r="F625" s="61">
        <f t="shared" si="0"/>
        <v>-31104335.452767558</v>
      </c>
      <c r="G625" s="62">
        <f t="shared" si="44"/>
        <v>-11766170.116226334</v>
      </c>
      <c r="H625" s="62">
        <f t="shared" si="2"/>
        <v>33250718.775287043</v>
      </c>
      <c r="I625" s="62">
        <f t="shared" si="3"/>
        <v>997521.56325861125</v>
      </c>
      <c r="J625" s="63">
        <f t="shared" si="4"/>
        <v>-7776083.8631918896</v>
      </c>
    </row>
    <row r="626" spans="1:10" ht="13.2" x14ac:dyDescent="0.25">
      <c r="A626" s="64">
        <v>452</v>
      </c>
      <c r="B626" s="65">
        <v>21.146703116457079</v>
      </c>
      <c r="C626" s="65">
        <v>0.4200743494423792</v>
      </c>
      <c r="D626" s="65">
        <v>4148.9831514488797</v>
      </c>
      <c r="E626" s="65">
        <f t="shared" si="5"/>
        <v>-3555.3656008697117</v>
      </c>
      <c r="F626" s="65">
        <f t="shared" si="0"/>
        <v>-31145002.663618676</v>
      </c>
      <c r="G626" s="66">
        <f t="shared" si="44"/>
        <v>-11769274.491295595</v>
      </c>
      <c r="H626" s="66">
        <f t="shared" si="2"/>
        <v>33191865.211591039</v>
      </c>
      <c r="I626" s="66">
        <f t="shared" si="3"/>
        <v>995755.95634773117</v>
      </c>
      <c r="J626" s="67">
        <f t="shared" si="4"/>
        <v>-7786250.6659046691</v>
      </c>
    </row>
    <row r="627" spans="1:10" ht="13.2" x14ac:dyDescent="0.25">
      <c r="A627" s="60">
        <v>451</v>
      </c>
      <c r="B627" s="61">
        <v>21.112651722252597</v>
      </c>
      <c r="C627" s="61">
        <v>0.41914498141263939</v>
      </c>
      <c r="D627" s="61">
        <v>4142.3022679059604</v>
      </c>
      <c r="E627" s="61">
        <f t="shared" si="5"/>
        <v>-3559.5721980819121</v>
      </c>
      <c r="F627" s="61">
        <f t="shared" si="0"/>
        <v>-31181852.45519755</v>
      </c>
      <c r="G627" s="62">
        <f t="shared" si="44"/>
        <v>-11772073.29098911</v>
      </c>
      <c r="H627" s="62">
        <f t="shared" si="2"/>
        <v>33138418.143247683</v>
      </c>
      <c r="I627" s="62">
        <f t="shared" si="3"/>
        <v>994152.54429743043</v>
      </c>
      <c r="J627" s="63">
        <f t="shared" si="4"/>
        <v>-7795463.1137993876</v>
      </c>
    </row>
    <row r="628" spans="1:10" ht="13.2" x14ac:dyDescent="0.25">
      <c r="A628" s="64">
        <v>450</v>
      </c>
      <c r="B628" s="65">
        <v>21.10438490978677</v>
      </c>
      <c r="C628" s="65">
        <v>0.41821561338289964</v>
      </c>
      <c r="D628" s="65">
        <v>4140.6803193001651</v>
      </c>
      <c r="E628" s="65">
        <f t="shared" si="5"/>
        <v>-3560.5911918156644</v>
      </c>
      <c r="F628" s="65">
        <f t="shared" si="0"/>
        <v>-31190778.840305224</v>
      </c>
      <c r="G628" s="66">
        <f t="shared" si="44"/>
        <v>-11772747.816604463</v>
      </c>
      <c r="H628" s="66">
        <f t="shared" si="2"/>
        <v>33125442.554401319</v>
      </c>
      <c r="I628" s="66">
        <f t="shared" si="3"/>
        <v>993763.27663203957</v>
      </c>
      <c r="J628" s="67">
        <f t="shared" si="4"/>
        <v>-7797694.710076306</v>
      </c>
    </row>
    <row r="629" spans="1:10" ht="13.2" x14ac:dyDescent="0.25">
      <c r="A629" s="60">
        <v>449</v>
      </c>
      <c r="B629" s="61">
        <v>21.09641334062329</v>
      </c>
      <c r="C629" s="61">
        <v>0.41728624535315983</v>
      </c>
      <c r="D629" s="61">
        <v>4139.1162974302897</v>
      </c>
      <c r="E629" s="61">
        <f t="shared" si="5"/>
        <v>-3561.5716125881841</v>
      </c>
      <c r="F629" s="61">
        <f t="shared" si="0"/>
        <v>-31199367.326272491</v>
      </c>
      <c r="G629" s="62">
        <f t="shared" si="44"/>
        <v>-11773393.477101201</v>
      </c>
      <c r="H629" s="62">
        <f t="shared" si="2"/>
        <v>33112930.379442319</v>
      </c>
      <c r="I629" s="62">
        <f t="shared" si="3"/>
        <v>993387.91138326959</v>
      </c>
      <c r="J629" s="63">
        <f t="shared" si="4"/>
        <v>-7799841.8315681228</v>
      </c>
    </row>
    <row r="630" spans="1:10" ht="13.2" x14ac:dyDescent="0.25">
      <c r="A630" s="64">
        <v>448</v>
      </c>
      <c r="B630" s="65">
        <v>21.048977583378896</v>
      </c>
      <c r="C630" s="65">
        <v>0.41635687732342008</v>
      </c>
      <c r="D630" s="65">
        <v>4129.80940185894</v>
      </c>
      <c r="E630" s="65">
        <f t="shared" si="5"/>
        <v>-3567.3927470858775</v>
      </c>
      <c r="F630" s="65">
        <f t="shared" si="0"/>
        <v>-31250360.464472286</v>
      </c>
      <c r="G630" s="66">
        <f t="shared" si="44"/>
        <v>-11777207.141902654</v>
      </c>
      <c r="H630" s="66">
        <f t="shared" si="2"/>
        <v>33038475.214871518</v>
      </c>
      <c r="I630" s="66">
        <f t="shared" si="3"/>
        <v>991154.25644614547</v>
      </c>
      <c r="J630" s="67">
        <f t="shared" si="4"/>
        <v>-7812590.1161180716</v>
      </c>
    </row>
    <row r="631" spans="1:10" ht="13.2" x14ac:dyDescent="0.25">
      <c r="A631" s="60">
        <v>447</v>
      </c>
      <c r="B631" s="61">
        <v>21.020831055221432</v>
      </c>
      <c r="C631" s="61">
        <v>0.41542750929368027</v>
      </c>
      <c r="D631" s="61">
        <v>4124.2870530344453</v>
      </c>
      <c r="E631" s="61">
        <f t="shared" si="5"/>
        <v>-3570.83908280674</v>
      </c>
      <c r="F631" s="61">
        <f t="shared" si="0"/>
        <v>-31280550.365387041</v>
      </c>
      <c r="G631" s="62">
        <f t="shared" si="44"/>
        <v>-11779453.162259826</v>
      </c>
      <c r="H631" s="62">
        <f t="shared" si="2"/>
        <v>32994296.424275562</v>
      </c>
      <c r="I631" s="62">
        <f t="shared" si="3"/>
        <v>989828.89272826677</v>
      </c>
      <c r="J631" s="63">
        <f t="shared" si="4"/>
        <v>-7820137.5913467603</v>
      </c>
    </row>
    <row r="632" spans="1:10" ht="13.2" x14ac:dyDescent="0.25">
      <c r="A632" s="64">
        <v>446</v>
      </c>
      <c r="B632" s="65">
        <v>21.006068890103879</v>
      </c>
      <c r="C632" s="65">
        <v>0.41449814126394052</v>
      </c>
      <c r="D632" s="65">
        <v>4121.3907162383821</v>
      </c>
      <c r="E632" s="65">
        <f t="shared" si="5"/>
        <v>-3572.6425638972255</v>
      </c>
      <c r="F632" s="65">
        <f t="shared" si="0"/>
        <v>-31296348.859739698</v>
      </c>
      <c r="G632" s="66">
        <f t="shared" si="44"/>
        <v>-11780622.302523771</v>
      </c>
      <c r="H632" s="66">
        <f t="shared" si="2"/>
        <v>32971125.729907058</v>
      </c>
      <c r="I632" s="66">
        <f t="shared" si="3"/>
        <v>989133.77189721167</v>
      </c>
      <c r="J632" s="67">
        <f t="shared" si="4"/>
        <v>-7824087.2149349246</v>
      </c>
    </row>
    <row r="633" spans="1:10" ht="13.2" x14ac:dyDescent="0.25">
      <c r="A633" s="60">
        <v>445</v>
      </c>
      <c r="B633" s="61">
        <v>20.986189174412246</v>
      </c>
      <c r="C633" s="61">
        <v>0.41356877323420077</v>
      </c>
      <c r="D633" s="61">
        <v>4117.4903160196836</v>
      </c>
      <c r="E633" s="61">
        <f t="shared" si="5"/>
        <v>-3575.0658144048462</v>
      </c>
      <c r="F633" s="61">
        <f t="shared" si="0"/>
        <v>-31317576.534186453</v>
      </c>
      <c r="G633" s="62">
        <f t="shared" si="44"/>
        <v>-11782184.836925508</v>
      </c>
      <c r="H633" s="62">
        <f t="shared" si="2"/>
        <v>32939922.528157469</v>
      </c>
      <c r="I633" s="62">
        <f t="shared" si="3"/>
        <v>988197.67584472406</v>
      </c>
      <c r="J633" s="63">
        <f t="shared" si="4"/>
        <v>-7829394.1335466132</v>
      </c>
    </row>
    <row r="634" spans="1:10" ht="13.2" x14ac:dyDescent="0.25">
      <c r="A634" s="64">
        <v>444</v>
      </c>
      <c r="B634" s="65">
        <v>20.923597594313833</v>
      </c>
      <c r="C634" s="65">
        <v>0.41263940520446096</v>
      </c>
      <c r="D634" s="65">
        <v>4105.2098480043742</v>
      </c>
      <c r="E634" s="65">
        <f t="shared" si="5"/>
        <v>-3582.6783350054143</v>
      </c>
      <c r="F634" s="65">
        <f t="shared" si="0"/>
        <v>-31384262.214647431</v>
      </c>
      <c r="G634" s="66">
        <f t="shared" si="44"/>
        <v>-11787067.007746056</v>
      </c>
      <c r="H634" s="66">
        <f t="shared" si="2"/>
        <v>32841678.784034993</v>
      </c>
      <c r="I634" s="66">
        <f t="shared" si="3"/>
        <v>985250.36352104973</v>
      </c>
      <c r="J634" s="67">
        <f t="shared" si="4"/>
        <v>-7846065.5536618577</v>
      </c>
    </row>
    <row r="635" spans="1:10" ht="13.2" x14ac:dyDescent="0.25">
      <c r="A635" s="60">
        <v>443</v>
      </c>
      <c r="B635" s="61">
        <v>20.919267359212682</v>
      </c>
      <c r="C635" s="61">
        <v>0.41171003717472121</v>
      </c>
      <c r="D635" s="61">
        <v>4104.3602558775283</v>
      </c>
      <c r="E635" s="61">
        <f t="shared" si="5"/>
        <v>-3583.203802998366</v>
      </c>
      <c r="F635" s="61">
        <f t="shared" si="0"/>
        <v>-31388865.314265683</v>
      </c>
      <c r="G635" s="62">
        <f t="shared" si="44"/>
        <v>-11787402.174208848</v>
      </c>
      <c r="H635" s="62">
        <f t="shared" si="2"/>
        <v>32834882.047020227</v>
      </c>
      <c r="I635" s="62">
        <f t="shared" si="3"/>
        <v>985046.46141060675</v>
      </c>
      <c r="J635" s="63">
        <f t="shared" si="4"/>
        <v>-7847216.3285664208</v>
      </c>
    </row>
    <row r="636" spans="1:10" ht="13.2" x14ac:dyDescent="0.25">
      <c r="A636" s="64">
        <v>442</v>
      </c>
      <c r="B636" s="65">
        <v>20.865041006014216</v>
      </c>
      <c r="C636" s="65">
        <v>0.4107806691449814</v>
      </c>
      <c r="D636" s="65">
        <v>4093.7210453799894</v>
      </c>
      <c r="E636" s="65">
        <f t="shared" si="5"/>
        <v>-3589.7692637514942</v>
      </c>
      <c r="F636" s="65">
        <f t="shared" si="0"/>
        <v>-31446378.750463091</v>
      </c>
      <c r="G636" s="66">
        <f t="shared" si="44"/>
        <v>-11791566.891180564</v>
      </c>
      <c r="H636" s="66">
        <f t="shared" si="2"/>
        <v>32749768.363039915</v>
      </c>
      <c r="I636" s="66">
        <f t="shared" si="3"/>
        <v>982493.0508911974</v>
      </c>
      <c r="J636" s="67">
        <f t="shared" si="4"/>
        <v>-7861594.6876157727</v>
      </c>
    </row>
    <row r="637" spans="1:10" ht="13.2" x14ac:dyDescent="0.25">
      <c r="A637" s="60">
        <v>441</v>
      </c>
      <c r="B637" s="61">
        <v>20.739759431383266</v>
      </c>
      <c r="C637" s="61">
        <v>0.40985130111524165</v>
      </c>
      <c r="D637" s="61">
        <v>4069.1408004373975</v>
      </c>
      <c r="E637" s="61">
        <f t="shared" si="5"/>
        <v>-3604.9034759024862</v>
      </c>
      <c r="F637" s="61">
        <f t="shared" si="0"/>
        <v>-31578954.448905777</v>
      </c>
      <c r="G637" s="62">
        <f>J637-(I637-(H637*$N$4))</f>
        <v>-5941551.0280164937</v>
      </c>
      <c r="H637" s="62">
        <f t="shared" si="2"/>
        <v>32553126.403499179</v>
      </c>
      <c r="I637" s="62">
        <f t="shared" si="3"/>
        <v>976593.79210497532</v>
      </c>
      <c r="J637" s="63">
        <f t="shared" si="4"/>
        <v>-7894738.6122264443</v>
      </c>
    </row>
    <row r="638" spans="1:10" ht="13.2" x14ac:dyDescent="0.25">
      <c r="A638" s="64">
        <v>440</v>
      </c>
      <c r="B638" s="65">
        <v>20.71997813012575</v>
      </c>
      <c r="C638" s="65">
        <v>0.40892193308550184</v>
      </c>
      <c r="D638" s="65">
        <v>4065.2597091306725</v>
      </c>
      <c r="E638" s="65">
        <f t="shared" si="5"/>
        <v>-3607.287677904108</v>
      </c>
      <c r="F638" s="65">
        <f t="shared" si="0"/>
        <v>-31599840.058439989</v>
      </c>
      <c r="G638" s="66">
        <f t="shared" ref="G638:G652" si="45">J638-I638-(H638*$N$4)</f>
        <v>-11802609.335375443</v>
      </c>
      <c r="H638" s="66">
        <f t="shared" si="2"/>
        <v>32522077.673045378</v>
      </c>
      <c r="I638" s="66">
        <f t="shared" si="3"/>
        <v>975662.33019136125</v>
      </c>
      <c r="J638" s="67">
        <f t="shared" si="4"/>
        <v>-7899960.0146099972</v>
      </c>
    </row>
    <row r="639" spans="1:10" ht="13.2" x14ac:dyDescent="0.25">
      <c r="A639" s="60">
        <v>439</v>
      </c>
      <c r="B639" s="61">
        <v>20.699409513395299</v>
      </c>
      <c r="C639" s="61">
        <v>0.40799256505576209</v>
      </c>
      <c r="D639" s="61">
        <v>4061.2241465281572</v>
      </c>
      <c r="E639" s="61">
        <f t="shared" si="5"/>
        <v>-3609.7611477334376</v>
      </c>
      <c r="F639" s="61">
        <f t="shared" si="0"/>
        <v>-31621507.654144913</v>
      </c>
      <c r="G639" s="62">
        <f t="shared" si="45"/>
        <v>-11804152.094203258</v>
      </c>
      <c r="H639" s="62">
        <f t="shared" si="2"/>
        <v>32489793.172225259</v>
      </c>
      <c r="I639" s="62">
        <f t="shared" si="3"/>
        <v>974693.79516675777</v>
      </c>
      <c r="J639" s="63">
        <f t="shared" si="4"/>
        <v>-7905376.9135362282</v>
      </c>
    </row>
    <row r="640" spans="1:10" ht="13.2" x14ac:dyDescent="0.25">
      <c r="A640" s="64">
        <v>438</v>
      </c>
      <c r="B640" s="65">
        <v>20.678840896664845</v>
      </c>
      <c r="C640" s="65">
        <v>0.40706319702602228</v>
      </c>
      <c r="D640" s="65">
        <v>4057.1885839256429</v>
      </c>
      <c r="E640" s="65">
        <f t="shared" si="5"/>
        <v>-3612.2289917784697</v>
      </c>
      <c r="F640" s="65">
        <f t="shared" si="0"/>
        <v>-31643125.967979394</v>
      </c>
      <c r="G640" s="66">
        <f t="shared" si="45"/>
        <v>-11805682.532563467</v>
      </c>
      <c r="H640" s="66">
        <f t="shared" si="2"/>
        <v>32457508.671405144</v>
      </c>
      <c r="I640" s="66">
        <f t="shared" si="3"/>
        <v>973725.26014215429</v>
      </c>
      <c r="J640" s="67">
        <f t="shared" si="4"/>
        <v>-7910781.4919948485</v>
      </c>
    </row>
    <row r="641" spans="1:10" ht="13.2" x14ac:dyDescent="0.25">
      <c r="A641" s="60">
        <v>437</v>
      </c>
      <c r="B641" s="61">
        <v>20.677266265718973</v>
      </c>
      <c r="C641" s="61">
        <v>0.40613382899628253</v>
      </c>
      <c r="D641" s="61">
        <v>4056.8796413340624</v>
      </c>
      <c r="E641" s="61">
        <f t="shared" si="5"/>
        <v>-3612.4174869563253</v>
      </c>
      <c r="F641" s="61">
        <f t="shared" si="0"/>
        <v>-31644777.185737412</v>
      </c>
      <c r="G641" s="62">
        <f t="shared" si="45"/>
        <v>-11805798.752115054</v>
      </c>
      <c r="H641" s="62">
        <f t="shared" si="2"/>
        <v>32455037.1306725</v>
      </c>
      <c r="I641" s="62">
        <f t="shared" si="3"/>
        <v>973651.113920175</v>
      </c>
      <c r="J641" s="63">
        <f t="shared" si="4"/>
        <v>-7911194.2964343531</v>
      </c>
    </row>
    <row r="642" spans="1:10" ht="13.2" x14ac:dyDescent="0.25">
      <c r="A642" s="64">
        <v>436</v>
      </c>
      <c r="B642" s="65">
        <v>20.647348277747401</v>
      </c>
      <c r="C642" s="65">
        <v>0.40520446096654272</v>
      </c>
      <c r="D642" s="65">
        <v>4051.0097320940399</v>
      </c>
      <c r="E642" s="65">
        <f t="shared" si="5"/>
        <v>-3615.9907123765993</v>
      </c>
      <c r="F642" s="65">
        <f t="shared" si="0"/>
        <v>-31676078.64041901</v>
      </c>
      <c r="G642" s="66">
        <f t="shared" si="45"/>
        <v>-11807989.00291503</v>
      </c>
      <c r="H642" s="66">
        <f t="shared" si="2"/>
        <v>32408077.856752321</v>
      </c>
      <c r="I642" s="66">
        <f t="shared" si="3"/>
        <v>972242.33570256957</v>
      </c>
      <c r="J642" s="67">
        <f t="shared" si="4"/>
        <v>-7919019.6601047525</v>
      </c>
    </row>
    <row r="643" spans="1:10" ht="13.2" x14ac:dyDescent="0.25">
      <c r="A643" s="60">
        <v>435</v>
      </c>
      <c r="B643" s="61">
        <v>20.582985237834883</v>
      </c>
      <c r="C643" s="61">
        <v>0.40427509293680297</v>
      </c>
      <c r="D643" s="61">
        <v>4038.3817036632049</v>
      </c>
      <c r="E643" s="61">
        <f t="shared" si="5"/>
        <v>-3623.6602445137282</v>
      </c>
      <c r="F643" s="61">
        <f t="shared" si="0"/>
        <v>-31743263.741940256</v>
      </c>
      <c r="G643" s="62">
        <f t="shared" si="45"/>
        <v>-11812662.371001739</v>
      </c>
      <c r="H643" s="62">
        <f t="shared" si="2"/>
        <v>32307053.629305638</v>
      </c>
      <c r="I643" s="62">
        <f t="shared" si="3"/>
        <v>969211.6088791691</v>
      </c>
      <c r="J643" s="63">
        <f t="shared" si="4"/>
        <v>-7935815.9354850641</v>
      </c>
    </row>
    <row r="644" spans="1:10" ht="13.2" x14ac:dyDescent="0.25">
      <c r="A644" s="64">
        <v>434</v>
      </c>
      <c r="B644" s="65">
        <v>20.556806998359761</v>
      </c>
      <c r="C644" s="65">
        <v>0.40334572490706322</v>
      </c>
      <c r="D644" s="65">
        <v>4033.2455330781854</v>
      </c>
      <c r="E644" s="65">
        <f t="shared" si="5"/>
        <v>-3626.7724965782568</v>
      </c>
      <c r="F644" s="65">
        <f t="shared" si="0"/>
        <v>-31770527.07002553</v>
      </c>
      <c r="G644" s="66">
        <f t="shared" si="45"/>
        <v>-11814547.479261439</v>
      </c>
      <c r="H644" s="66">
        <f t="shared" si="2"/>
        <v>32265964.264625482</v>
      </c>
      <c r="I644" s="66">
        <f t="shared" si="3"/>
        <v>967978.92793876445</v>
      </c>
      <c r="J644" s="67">
        <f t="shared" si="4"/>
        <v>-7942631.7675063824</v>
      </c>
    </row>
    <row r="645" spans="1:10" ht="13.2" x14ac:dyDescent="0.25">
      <c r="A645" s="60">
        <v>433</v>
      </c>
      <c r="B645" s="61">
        <v>20.452979770366319</v>
      </c>
      <c r="C645" s="61">
        <v>0.40241635687732341</v>
      </c>
      <c r="D645" s="61">
        <v>4012.8746309458725</v>
      </c>
      <c r="E645" s="61">
        <f t="shared" si="5"/>
        <v>-3639.0878049770204</v>
      </c>
      <c r="F645" s="61">
        <f t="shared" si="0"/>
        <v>-31878409.171598699</v>
      </c>
      <c r="G645" s="62">
        <f t="shared" si="45"/>
        <v>-11821961.938607711</v>
      </c>
      <c r="H645" s="62">
        <f t="shared" si="2"/>
        <v>32102997.04756698</v>
      </c>
      <c r="I645" s="62">
        <f t="shared" si="3"/>
        <v>963089.91142700939</v>
      </c>
      <c r="J645" s="63">
        <f t="shared" si="4"/>
        <v>-7969602.2928996747</v>
      </c>
    </row>
    <row r="646" spans="1:10" ht="13.2" x14ac:dyDescent="0.25">
      <c r="A646" s="64">
        <v>432</v>
      </c>
      <c r="B646" s="65">
        <v>20.352498633132857</v>
      </c>
      <c r="C646" s="65">
        <v>0.40148698884758366</v>
      </c>
      <c r="D646" s="65">
        <v>3993.1602318206669</v>
      </c>
      <c r="E646" s="65">
        <f t="shared" si="5"/>
        <v>-3650.9787390218703</v>
      </c>
      <c r="F646" s="65">
        <f t="shared" si="0"/>
        <v>-31982573.753831584</v>
      </c>
      <c r="G646" s="66">
        <f t="shared" si="45"/>
        <v>-11829077.261005737</v>
      </c>
      <c r="H646" s="66">
        <f t="shared" si="2"/>
        <v>31945281.854565334</v>
      </c>
      <c r="I646" s="66">
        <f t="shared" si="3"/>
        <v>958358.45563695999</v>
      </c>
      <c r="J646" s="67">
        <f t="shared" si="4"/>
        <v>-7995643.438457896</v>
      </c>
    </row>
    <row r="647" spans="1:10" ht="13.2" x14ac:dyDescent="0.25">
      <c r="A647" s="60">
        <v>431</v>
      </c>
      <c r="B647" s="61">
        <v>20.323958447238926</v>
      </c>
      <c r="C647" s="61">
        <v>0.40055762081784385</v>
      </c>
      <c r="D647" s="61">
        <v>3987.5606473482771</v>
      </c>
      <c r="E647" s="61">
        <f t="shared" si="5"/>
        <v>-3654.3483774474021</v>
      </c>
      <c r="F647" s="61">
        <f t="shared" si="0"/>
        <v>-32012091.78643924</v>
      </c>
      <c r="G647" s="62">
        <f t="shared" si="45"/>
        <v>-11831081.168064155</v>
      </c>
      <c r="H647" s="62">
        <f t="shared" si="2"/>
        <v>31900485.178786218</v>
      </c>
      <c r="I647" s="62">
        <f t="shared" si="3"/>
        <v>957014.55536358652</v>
      </c>
      <c r="J647" s="63">
        <f t="shared" si="4"/>
        <v>-8003022.94660981</v>
      </c>
    </row>
    <row r="648" spans="1:10" ht="13.2" x14ac:dyDescent="0.25">
      <c r="A648" s="64">
        <v>430</v>
      </c>
      <c r="B648" s="65">
        <v>20.309393110989614</v>
      </c>
      <c r="C648" s="65">
        <v>0.3996282527881041</v>
      </c>
      <c r="D648" s="65">
        <v>3984.7029283761631</v>
      </c>
      <c r="E648" s="65">
        <f t="shared" si="5"/>
        <v>-3656.0640711797309</v>
      </c>
      <c r="F648" s="65">
        <f t="shared" si="0"/>
        <v>-32027121.263534442</v>
      </c>
      <c r="G648" s="66">
        <f t="shared" si="45"/>
        <v>-11832095.127124727</v>
      </c>
      <c r="H648" s="66">
        <f t="shared" si="2"/>
        <v>31877623.427009303</v>
      </c>
      <c r="I648" s="66">
        <f t="shared" si="3"/>
        <v>956328.70281027909</v>
      </c>
      <c r="J648" s="67">
        <f t="shared" si="4"/>
        <v>-8006780.3158836104</v>
      </c>
    </row>
    <row r="649" spans="1:10" ht="13.2" x14ac:dyDescent="0.25">
      <c r="A649" s="60">
        <v>429</v>
      </c>
      <c r="B649" s="61">
        <v>20.27790049207217</v>
      </c>
      <c r="C649" s="61">
        <v>0.39869888475836429</v>
      </c>
      <c r="D649" s="61">
        <v>3978.5240765445601</v>
      </c>
      <c r="E649" s="61">
        <f t="shared" si="5"/>
        <v>-3659.7650656086048</v>
      </c>
      <c r="F649" s="61">
        <f t="shared" si="0"/>
        <v>-32059541.974731378</v>
      </c>
      <c r="G649" s="62">
        <f t="shared" si="45"/>
        <v>-11834268.607165623</v>
      </c>
      <c r="H649" s="62">
        <f t="shared" si="2"/>
        <v>31828192.61235648</v>
      </c>
      <c r="I649" s="62">
        <f t="shared" si="3"/>
        <v>954845.77837069437</v>
      </c>
      <c r="J649" s="63">
        <f t="shared" si="4"/>
        <v>-8014885.4936828446</v>
      </c>
    </row>
    <row r="650" spans="1:10" ht="13.2" x14ac:dyDescent="0.25">
      <c r="A650" s="64">
        <v>428</v>
      </c>
      <c r="B650" s="65">
        <v>20.252903225806453</v>
      </c>
      <c r="C650" s="65">
        <v>0.39776951672862454</v>
      </c>
      <c r="D650" s="65">
        <v>3973.619612903226</v>
      </c>
      <c r="E650" s="65">
        <f t="shared" si="5"/>
        <v>-3662.6958928589561</v>
      </c>
      <c r="F650" s="65">
        <f t="shared" si="0"/>
        <v>-32085216.021444455</v>
      </c>
      <c r="G650" s="66">
        <f t="shared" si="45"/>
        <v>-11835978.83374821</v>
      </c>
      <c r="H650" s="66">
        <f t="shared" si="2"/>
        <v>31788956.903225809</v>
      </c>
      <c r="I650" s="66">
        <f t="shared" si="3"/>
        <v>953668.70709677425</v>
      </c>
      <c r="J650" s="67">
        <f t="shared" si="4"/>
        <v>-8021304.0053611137</v>
      </c>
    </row>
    <row r="651" spans="1:10" ht="13.2" x14ac:dyDescent="0.25">
      <c r="A651" s="60">
        <v>427</v>
      </c>
      <c r="B651" s="61">
        <v>20.244931656642976</v>
      </c>
      <c r="C651" s="61">
        <v>0.39684014869888473</v>
      </c>
      <c r="D651" s="61">
        <v>3972.0555910333519</v>
      </c>
      <c r="E651" s="61">
        <f t="shared" si="5"/>
        <v>-3663.6283464179933</v>
      </c>
      <c r="F651" s="61">
        <f t="shared" si="0"/>
        <v>-32093384.31462162</v>
      </c>
      <c r="G651" s="62">
        <f t="shared" si="45"/>
        <v>-11836519.446047423</v>
      </c>
      <c r="H651" s="62">
        <f t="shared" si="2"/>
        <v>31776444.728266817</v>
      </c>
      <c r="I651" s="62">
        <f t="shared" si="3"/>
        <v>953293.34184800449</v>
      </c>
      <c r="J651" s="63">
        <f t="shared" si="4"/>
        <v>-8023346.078655405</v>
      </c>
    </row>
    <row r="652" spans="1:10" ht="13.2" x14ac:dyDescent="0.25">
      <c r="A652" s="64">
        <v>426</v>
      </c>
      <c r="B652" s="65">
        <v>20.236172772006562</v>
      </c>
      <c r="C652" s="65">
        <v>0.39591078066914498</v>
      </c>
      <c r="D652" s="65">
        <v>3970.3370978676876</v>
      </c>
      <c r="E652" s="65">
        <f t="shared" si="5"/>
        <v>-3664.6504984867897</v>
      </c>
      <c r="F652" s="65">
        <f t="shared" si="0"/>
        <v>-32102338.36674428</v>
      </c>
      <c r="G652" s="66">
        <f t="shared" si="45"/>
        <v>-11837108.205639049</v>
      </c>
      <c r="H652" s="66">
        <f t="shared" si="2"/>
        <v>31762696.782941502</v>
      </c>
      <c r="I652" s="66">
        <f t="shared" si="3"/>
        <v>952880.90348824498</v>
      </c>
      <c r="J652" s="67">
        <f t="shared" si="4"/>
        <v>-8025584.59168607</v>
      </c>
    </row>
    <row r="653" spans="1:10" ht="13.2" x14ac:dyDescent="0.25">
      <c r="A653" s="60">
        <v>425</v>
      </c>
      <c r="B653" s="61">
        <v>20.177124111536358</v>
      </c>
      <c r="C653" s="61">
        <v>0.39498141263940523</v>
      </c>
      <c r="D653" s="61">
        <v>3958.7517506834342</v>
      </c>
      <c r="E653" s="61">
        <f t="shared" si="5"/>
        <v>-3671.5252607332077</v>
      </c>
      <c r="F653" s="61">
        <f t="shared" si="0"/>
        <v>-32162561.284022897</v>
      </c>
      <c r="G653" s="62">
        <f>J653-(I653-(H653*$N$4))</f>
        <v>-6140439.4806776764</v>
      </c>
      <c r="H653" s="62">
        <f t="shared" si="2"/>
        <v>31670014.005467474</v>
      </c>
      <c r="I653" s="62">
        <f t="shared" si="3"/>
        <v>950100.42016402422</v>
      </c>
      <c r="J653" s="63">
        <f t="shared" si="4"/>
        <v>-8040640.3210057244</v>
      </c>
    </row>
    <row r="654" spans="1:10" ht="13.2" x14ac:dyDescent="0.25">
      <c r="A654" s="64">
        <v>424</v>
      </c>
      <c r="B654" s="65">
        <v>20.170825587752869</v>
      </c>
      <c r="C654" s="65">
        <v>0.39405204460966542</v>
      </c>
      <c r="D654" s="65">
        <v>3957.5159803171132</v>
      </c>
      <c r="E654" s="65">
        <f t="shared" si="5"/>
        <v>-3672.2568459779536</v>
      </c>
      <c r="F654" s="65">
        <f t="shared" si="0"/>
        <v>-32168969.970766872</v>
      </c>
      <c r="G654" s="66">
        <f t="shared" ref="G654:G668" si="46">J654-I654-(H654*$N$4)</f>
        <v>-11841457.833796145</v>
      </c>
      <c r="H654" s="66">
        <f t="shared" si="2"/>
        <v>31660127.842536904</v>
      </c>
      <c r="I654" s="66">
        <f t="shared" si="3"/>
        <v>949803.83527610707</v>
      </c>
      <c r="J654" s="67">
        <f t="shared" si="4"/>
        <v>-8042242.492691718</v>
      </c>
    </row>
    <row r="655" spans="1:10" ht="13.2" x14ac:dyDescent="0.25">
      <c r="A655" s="60">
        <v>423</v>
      </c>
      <c r="B655" s="61">
        <v>20.157047566976487</v>
      </c>
      <c r="C655" s="61">
        <v>0.39312267657992567</v>
      </c>
      <c r="D655" s="61">
        <v>3954.8127326407871</v>
      </c>
      <c r="E655" s="61">
        <f t="shared" si="5"/>
        <v>-3673.8534202328842</v>
      </c>
      <c r="F655" s="61">
        <f t="shared" si="0"/>
        <v>-32182955.961240064</v>
      </c>
      <c r="G655" s="62">
        <f t="shared" si="46"/>
        <v>-11842359.213645171</v>
      </c>
      <c r="H655" s="62">
        <f t="shared" si="2"/>
        <v>31638501.861126296</v>
      </c>
      <c r="I655" s="62">
        <f t="shared" si="3"/>
        <v>949155.05583378882</v>
      </c>
      <c r="J655" s="63">
        <f t="shared" si="4"/>
        <v>-8045738.9903100161</v>
      </c>
    </row>
    <row r="656" spans="1:10" ht="13.2" x14ac:dyDescent="0.25">
      <c r="A656" s="64">
        <v>422</v>
      </c>
      <c r="B656" s="65">
        <v>20.141301257517771</v>
      </c>
      <c r="C656" s="65">
        <v>0.39219330855018586</v>
      </c>
      <c r="D656" s="65">
        <v>3951.7233067249872</v>
      </c>
      <c r="E656" s="65">
        <f t="shared" si="5"/>
        <v>-3675.6737697037179</v>
      </c>
      <c r="F656" s="65">
        <f t="shared" si="0"/>
        <v>-32198902.222604573</v>
      </c>
      <c r="G656" s="66">
        <f t="shared" si="46"/>
        <v>-11843379.930107132</v>
      </c>
      <c r="H656" s="66">
        <f t="shared" si="2"/>
        <v>31613786.453799896</v>
      </c>
      <c r="I656" s="66">
        <f t="shared" si="3"/>
        <v>948413.59361399687</v>
      </c>
      <c r="J656" s="67">
        <f t="shared" si="4"/>
        <v>-8049725.5556511432</v>
      </c>
    </row>
    <row r="657" spans="1:10" ht="13.2" x14ac:dyDescent="0.25">
      <c r="A657" s="60">
        <v>421</v>
      </c>
      <c r="B657" s="61">
        <v>20.14002186987425</v>
      </c>
      <c r="C657" s="61">
        <v>0.39126394052044611</v>
      </c>
      <c r="D657" s="61">
        <v>3951.4722908693284</v>
      </c>
      <c r="E657" s="61">
        <f t="shared" si="5"/>
        <v>-3675.8213231690565</v>
      </c>
      <c r="F657" s="61">
        <f t="shared" si="0"/>
        <v>-32200194.790960934</v>
      </c>
      <c r="G657" s="62">
        <f t="shared" si="46"/>
        <v>-11843462.096974788</v>
      </c>
      <c r="H657" s="62">
        <f t="shared" si="2"/>
        <v>31611778.326954626</v>
      </c>
      <c r="I657" s="62">
        <f t="shared" si="3"/>
        <v>948353.34980863868</v>
      </c>
      <c r="J657" s="63">
        <f t="shared" si="4"/>
        <v>-8050048.6977402335</v>
      </c>
    </row>
    <row r="658" spans="1:10" ht="13.2" x14ac:dyDescent="0.25">
      <c r="A658" s="64">
        <v>420</v>
      </c>
      <c r="B658" s="65">
        <v>20.132148715144886</v>
      </c>
      <c r="C658" s="65">
        <v>0.3903345724907063</v>
      </c>
      <c r="D658" s="65">
        <v>3949.9275779114269</v>
      </c>
      <c r="E658" s="65">
        <f t="shared" si="5"/>
        <v>-3676.72719108396</v>
      </c>
      <c r="F658" s="65">
        <f t="shared" si="0"/>
        <v>-32208130.193895493</v>
      </c>
      <c r="G658" s="66">
        <f t="shared" si="46"/>
        <v>-11843963.023268843</v>
      </c>
      <c r="H658" s="66">
        <f t="shared" si="2"/>
        <v>31599420.623291414</v>
      </c>
      <c r="I658" s="66">
        <f t="shared" si="3"/>
        <v>947982.61869874236</v>
      </c>
      <c r="J658" s="67">
        <f t="shared" si="4"/>
        <v>-8052032.5484738732</v>
      </c>
    </row>
    <row r="659" spans="1:10" ht="13.2" x14ac:dyDescent="0.25">
      <c r="A659" s="60">
        <v>419</v>
      </c>
      <c r="B659" s="61">
        <v>20.106364133406231</v>
      </c>
      <c r="C659" s="61">
        <v>0.38940520446096655</v>
      </c>
      <c r="D659" s="61">
        <v>3944.8686429743025</v>
      </c>
      <c r="E659" s="61">
        <f t="shared" si="5"/>
        <v>-3679.6868560866737</v>
      </c>
      <c r="F659" s="61">
        <f t="shared" si="0"/>
        <v>-32234056.859319262</v>
      </c>
      <c r="G659" s="62">
        <f t="shared" si="46"/>
        <v>-11845588.112085147</v>
      </c>
      <c r="H659" s="62">
        <f t="shared" si="2"/>
        <v>31558949.143794421</v>
      </c>
      <c r="I659" s="62">
        <f t="shared" si="3"/>
        <v>946768.47431383259</v>
      </c>
      <c r="J659" s="63">
        <f t="shared" si="4"/>
        <v>-8058514.2148298156</v>
      </c>
    </row>
    <row r="660" spans="1:10" ht="13.2" x14ac:dyDescent="0.25">
      <c r="A660" s="64">
        <v>418</v>
      </c>
      <c r="B660" s="65">
        <v>20.047413887370148</v>
      </c>
      <c r="C660" s="65">
        <v>0.38847583643122674</v>
      </c>
      <c r="D660" s="65">
        <v>3933.3026047020235</v>
      </c>
      <c r="E660" s="65">
        <f t="shared" si="5"/>
        <v>-3686.4372947809034</v>
      </c>
      <c r="F660" s="65">
        <f t="shared" si="0"/>
        <v>-32293190.702280715</v>
      </c>
      <c r="G660" s="66">
        <f t="shared" si="46"/>
        <v>-11849268.17608412</v>
      </c>
      <c r="H660" s="66">
        <f t="shared" si="2"/>
        <v>31466420.837616187</v>
      </c>
      <c r="I660" s="66">
        <f t="shared" si="3"/>
        <v>943992.62512848561</v>
      </c>
      <c r="J660" s="67">
        <f t="shared" si="4"/>
        <v>-8073297.6755701788</v>
      </c>
    </row>
    <row r="661" spans="1:10" ht="13.2" x14ac:dyDescent="0.25">
      <c r="A661" s="60">
        <v>417</v>
      </c>
      <c r="B661" s="61">
        <v>20.047315472936031</v>
      </c>
      <c r="C661" s="61">
        <v>0.38754646840148699</v>
      </c>
      <c r="D661" s="61">
        <v>3933.2832957900491</v>
      </c>
      <c r="E661" s="61">
        <f t="shared" si="5"/>
        <v>-3686.4485373769553</v>
      </c>
      <c r="F661" s="61">
        <f t="shared" si="0"/>
        <v>-32293289.18742213</v>
      </c>
      <c r="G661" s="62">
        <f t="shared" si="46"/>
        <v>-11849274.260813979</v>
      </c>
      <c r="H661" s="62">
        <f t="shared" si="2"/>
        <v>31466266.366320394</v>
      </c>
      <c r="I661" s="62">
        <f t="shared" si="3"/>
        <v>943987.99098961183</v>
      </c>
      <c r="J661" s="63">
        <f t="shared" si="4"/>
        <v>-8073322.2968555326</v>
      </c>
    </row>
    <row r="662" spans="1:10" ht="13.2" x14ac:dyDescent="0.25">
      <c r="A662" s="64">
        <v>416</v>
      </c>
      <c r="B662" s="65">
        <v>19.968879168944778</v>
      </c>
      <c r="C662" s="65">
        <v>0.38661710037174724</v>
      </c>
      <c r="D662" s="65">
        <v>3917.8940929469663</v>
      </c>
      <c r="E662" s="65">
        <f t="shared" si="5"/>
        <v>-3695.3874330804188</v>
      </c>
      <c r="F662" s="65">
        <f t="shared" si="0"/>
        <v>-32371593.913784467</v>
      </c>
      <c r="G662" s="66">
        <f t="shared" si="46"/>
        <v>-11854076.807675203</v>
      </c>
      <c r="H662" s="66">
        <f t="shared" si="2"/>
        <v>31343152.743575729</v>
      </c>
      <c r="I662" s="66">
        <f t="shared" si="3"/>
        <v>940294.58230727189</v>
      </c>
      <c r="J662" s="67">
        <f t="shared" si="4"/>
        <v>-8092898.4784461167</v>
      </c>
    </row>
    <row r="663" spans="1:10" ht="13.2" x14ac:dyDescent="0.25">
      <c r="A663" s="60">
        <v>415</v>
      </c>
      <c r="B663" s="61">
        <v>19.9163258611263</v>
      </c>
      <c r="C663" s="61">
        <v>0.38568773234200743</v>
      </c>
      <c r="D663" s="61">
        <v>3907.5831339529805</v>
      </c>
      <c r="E663" s="61">
        <f t="shared" si="5"/>
        <v>-3701.3622313450564</v>
      </c>
      <c r="F663" s="61">
        <f t="shared" si="0"/>
        <v>-32423933.146582697</v>
      </c>
      <c r="G663" s="62">
        <f t="shared" si="46"/>
        <v>-11857263.095240535</v>
      </c>
      <c r="H663" s="62">
        <f t="shared" si="2"/>
        <v>31260665.071623843</v>
      </c>
      <c r="I663" s="62">
        <f t="shared" si="3"/>
        <v>937819.95214871527</v>
      </c>
      <c r="J663" s="63">
        <f t="shared" si="4"/>
        <v>-8105983.2866456741</v>
      </c>
    </row>
    <row r="664" spans="1:10" ht="13.2" x14ac:dyDescent="0.25">
      <c r="A664" s="64">
        <v>414</v>
      </c>
      <c r="B664" s="65">
        <v>19.910716238381628</v>
      </c>
      <c r="C664" s="65">
        <v>0.38475836431226768</v>
      </c>
      <c r="D664" s="65">
        <v>3906.4825259704758</v>
      </c>
      <c r="E664" s="65">
        <f t="shared" si="5"/>
        <v>-3701.9984564055749</v>
      </c>
      <c r="F664" s="65">
        <f t="shared" si="0"/>
        <v>-32429506.478112839</v>
      </c>
      <c r="G664" s="66">
        <f t="shared" si="46"/>
        <v>-11857599.844459867</v>
      </c>
      <c r="H664" s="66">
        <f t="shared" si="2"/>
        <v>31251860.207763806</v>
      </c>
      <c r="I664" s="66">
        <f t="shared" si="3"/>
        <v>937555.8062329141</v>
      </c>
      <c r="J664" s="67">
        <f t="shared" si="4"/>
        <v>-8107376.6195282098</v>
      </c>
    </row>
    <row r="665" spans="1:10" ht="13.2" x14ac:dyDescent="0.25">
      <c r="A665" s="60">
        <v>413</v>
      </c>
      <c r="B665" s="61">
        <v>19.896839803171133</v>
      </c>
      <c r="C665" s="61">
        <v>0.38382899628252787</v>
      </c>
      <c r="D665" s="61">
        <v>3903.7599693821767</v>
      </c>
      <c r="E665" s="61">
        <f t="shared" si="5"/>
        <v>-3703.568480906541</v>
      </c>
      <c r="F665" s="61">
        <f t="shared" si="0"/>
        <v>-32443259.8927413</v>
      </c>
      <c r="G665" s="62">
        <f t="shared" si="46"/>
        <v>-11858424.543792214</v>
      </c>
      <c r="H665" s="62">
        <f t="shared" si="2"/>
        <v>31230079.755057413</v>
      </c>
      <c r="I665" s="62">
        <f t="shared" si="3"/>
        <v>936902.39265172242</v>
      </c>
      <c r="J665" s="63">
        <f t="shared" si="4"/>
        <v>-8110814.973185325</v>
      </c>
    </row>
    <row r="666" spans="1:10" ht="13.2" x14ac:dyDescent="0.25">
      <c r="A666" s="64">
        <v>412</v>
      </c>
      <c r="B666" s="65">
        <v>19.889261891744123</v>
      </c>
      <c r="C666" s="65">
        <v>0.38289962825278812</v>
      </c>
      <c r="D666" s="65">
        <v>3902.2731831601973</v>
      </c>
      <c r="E666" s="65">
        <f t="shared" si="5"/>
        <v>-3704.4237975156539</v>
      </c>
      <c r="F666" s="65">
        <f t="shared" si="0"/>
        <v>-32450752.466237128</v>
      </c>
      <c r="G666" s="66">
        <f t="shared" si="46"/>
        <v>-11858870.372393072</v>
      </c>
      <c r="H666" s="66">
        <f t="shared" si="2"/>
        <v>31218185.46528158</v>
      </c>
      <c r="I666" s="66">
        <f t="shared" si="3"/>
        <v>936545.56395844731</v>
      </c>
      <c r="J666" s="67">
        <f t="shared" si="4"/>
        <v>-8112688.1165592819</v>
      </c>
    </row>
    <row r="667" spans="1:10" ht="13.2" x14ac:dyDescent="0.25">
      <c r="A667" s="60">
        <v>411</v>
      </c>
      <c r="B667" s="61">
        <v>19.828048113723348</v>
      </c>
      <c r="C667" s="61">
        <v>0.38197026022304831</v>
      </c>
      <c r="D667" s="61">
        <v>3890.263039912521</v>
      </c>
      <c r="E667" s="61">
        <f t="shared" si="5"/>
        <v>-3711.3162356712673</v>
      </c>
      <c r="F667" s="61">
        <f t="shared" si="0"/>
        <v>-32511130.224480301</v>
      </c>
      <c r="G667" s="62">
        <f t="shared" si="46"/>
        <v>-11862435.074436096</v>
      </c>
      <c r="H667" s="62">
        <f t="shared" si="2"/>
        <v>31122104.319300167</v>
      </c>
      <c r="I667" s="62">
        <f t="shared" si="3"/>
        <v>933663.12957900495</v>
      </c>
      <c r="J667" s="63">
        <f t="shared" si="4"/>
        <v>-8127782.5561200753</v>
      </c>
    </row>
    <row r="668" spans="1:10" ht="13.2" x14ac:dyDescent="0.25">
      <c r="A668" s="64">
        <v>410</v>
      </c>
      <c r="B668" s="65">
        <v>19.802066703116456</v>
      </c>
      <c r="C668" s="65">
        <v>0.38104089219330856</v>
      </c>
      <c r="D668" s="65">
        <v>3885.1654871514493</v>
      </c>
      <c r="E668" s="65">
        <f t="shared" si="5"/>
        <v>-3714.2345372519553</v>
      </c>
      <c r="F668" s="65">
        <f t="shared" si="0"/>
        <v>-32536694.546327129</v>
      </c>
      <c r="G668" s="66">
        <f t="shared" si="46"/>
        <v>-11863932.504247172</v>
      </c>
      <c r="H668" s="66">
        <f t="shared" si="2"/>
        <v>31081323.897211593</v>
      </c>
      <c r="I668" s="66">
        <f t="shared" si="3"/>
        <v>932439.71691634774</v>
      </c>
      <c r="J668" s="67">
        <f t="shared" si="4"/>
        <v>-8134173.6365817823</v>
      </c>
    </row>
    <row r="669" spans="1:10" ht="13.2" x14ac:dyDescent="0.25">
      <c r="A669" s="60">
        <v>409</v>
      </c>
      <c r="B669" s="61">
        <v>19.795866593767084</v>
      </c>
      <c r="C669" s="61">
        <v>0.38011152416356875</v>
      </c>
      <c r="D669" s="61">
        <v>3883.9490256971021</v>
      </c>
      <c r="E669" s="61">
        <f t="shared" si="5"/>
        <v>-3714.9292543185875</v>
      </c>
      <c r="F669" s="61">
        <f t="shared" si="0"/>
        <v>-32542780.267830826</v>
      </c>
      <c r="G669" s="62">
        <f>J669-(I669-(H669*$N$4))</f>
        <v>-6271399.5346230976</v>
      </c>
      <c r="H669" s="62">
        <f t="shared" si="2"/>
        <v>31071592.205576818</v>
      </c>
      <c r="I669" s="62">
        <f t="shared" si="3"/>
        <v>932147.76616730448</v>
      </c>
      <c r="J669" s="63">
        <f t="shared" si="4"/>
        <v>-8135695.0669577066</v>
      </c>
    </row>
    <row r="670" spans="1:10" ht="13.2" x14ac:dyDescent="0.25">
      <c r="A670" s="64">
        <v>408</v>
      </c>
      <c r="B670" s="65">
        <v>19.647851284855111</v>
      </c>
      <c r="C670" s="65">
        <v>0.379182156133829</v>
      </c>
      <c r="D670" s="65">
        <v>3854.9084220885729</v>
      </c>
      <c r="E670" s="65">
        <f t="shared" si="5"/>
        <v>-3731.4737617647106</v>
      </c>
      <c r="F670" s="65">
        <f t="shared" si="0"/>
        <v>-32687710.153058864</v>
      </c>
      <c r="G670" s="66">
        <f t="shared" ref="G670:G684" si="47">J670-I670-(H670*$N$4)</f>
        <v>-11872639.623469744</v>
      </c>
      <c r="H670" s="66">
        <f t="shared" si="2"/>
        <v>30839267.376708582</v>
      </c>
      <c r="I670" s="66">
        <f t="shared" si="3"/>
        <v>925178.02130125742</v>
      </c>
      <c r="J670" s="67">
        <f t="shared" si="4"/>
        <v>-8171927.538264716</v>
      </c>
    </row>
    <row r="671" spans="1:10" ht="13.2" x14ac:dyDescent="0.25">
      <c r="A671" s="60">
        <v>407</v>
      </c>
      <c r="B671" s="61">
        <v>19.630628758884637</v>
      </c>
      <c r="C671" s="61">
        <v>0.37825278810408924</v>
      </c>
      <c r="D671" s="61">
        <v>3851.5293624931651</v>
      </c>
      <c r="E671" s="61">
        <f t="shared" si="5"/>
        <v>-3733.3941102243684</v>
      </c>
      <c r="F671" s="61">
        <f t="shared" si="0"/>
        <v>-32704532.40556547</v>
      </c>
      <c r="G671" s="62">
        <f t="shared" si="47"/>
        <v>-11873601.289384805</v>
      </c>
      <c r="H671" s="62">
        <f t="shared" si="2"/>
        <v>30812234.899945322</v>
      </c>
      <c r="I671" s="62">
        <f t="shared" si="3"/>
        <v>924367.04699835961</v>
      </c>
      <c r="J671" s="63">
        <f t="shared" si="4"/>
        <v>-8176133.1013913676</v>
      </c>
    </row>
    <row r="672" spans="1:10" ht="13.2" x14ac:dyDescent="0.25">
      <c r="A672" s="64">
        <v>406</v>
      </c>
      <c r="B672" s="65">
        <v>19.629644614543466</v>
      </c>
      <c r="C672" s="65">
        <v>0.37732342007434944</v>
      </c>
      <c r="D672" s="65">
        <v>3851.3362733734289</v>
      </c>
      <c r="E672" s="65">
        <f t="shared" si="5"/>
        <v>-3733.5035752457802</v>
      </c>
      <c r="F672" s="65">
        <f t="shared" si="0"/>
        <v>-32705491.319153033</v>
      </c>
      <c r="G672" s="66">
        <f t="shared" si="47"/>
        <v>-11873655.65222675</v>
      </c>
      <c r="H672" s="66">
        <f t="shared" si="2"/>
        <v>30810690.18698743</v>
      </c>
      <c r="I672" s="66">
        <f t="shared" si="3"/>
        <v>924320.70560962288</v>
      </c>
      <c r="J672" s="67">
        <f t="shared" si="4"/>
        <v>-8176372.8297882583</v>
      </c>
    </row>
    <row r="673" spans="1:10" ht="13.2" x14ac:dyDescent="0.25">
      <c r="A673" s="60">
        <v>405</v>
      </c>
      <c r="B673" s="61">
        <v>19.629152542372879</v>
      </c>
      <c r="C673" s="61">
        <v>0.37639405204460968</v>
      </c>
      <c r="D673" s="61">
        <v>3851.2397288135589</v>
      </c>
      <c r="E673" s="61">
        <f t="shared" si="5"/>
        <v>-3733.558173168346</v>
      </c>
      <c r="F673" s="61">
        <f t="shared" si="0"/>
        <v>-32705969.596954715</v>
      </c>
      <c r="G673" s="62">
        <f t="shared" si="47"/>
        <v>-11873682.538899696</v>
      </c>
      <c r="H673" s="62">
        <f t="shared" si="2"/>
        <v>30809917.830508471</v>
      </c>
      <c r="I673" s="62">
        <f t="shared" si="3"/>
        <v>924297.5349152541</v>
      </c>
      <c r="J673" s="63">
        <f t="shared" si="4"/>
        <v>-8176492.3992386786</v>
      </c>
    </row>
    <row r="674" spans="1:10" ht="13.2" x14ac:dyDescent="0.25">
      <c r="A674" s="64">
        <v>404</v>
      </c>
      <c r="B674" s="65">
        <v>19.609075997813012</v>
      </c>
      <c r="C674" s="65">
        <v>0.37546468401486988</v>
      </c>
      <c r="D674" s="65">
        <v>3847.3007107709132</v>
      </c>
      <c r="E674" s="65">
        <f t="shared" si="5"/>
        <v>-3735.7802772128498</v>
      </c>
      <c r="F674" s="65">
        <f t="shared" si="0"/>
        <v>-32725435.228384566</v>
      </c>
      <c r="G674" s="66">
        <f t="shared" si="47"/>
        <v>-11874767.489436217</v>
      </c>
      <c r="H674" s="66">
        <f t="shared" si="2"/>
        <v>30778405.686167303</v>
      </c>
      <c r="I674" s="66">
        <f t="shared" si="3"/>
        <v>923352.17058501905</v>
      </c>
      <c r="J674" s="67">
        <f t="shared" si="4"/>
        <v>-8181358.8070961414</v>
      </c>
    </row>
    <row r="675" spans="1:10" ht="13.2" x14ac:dyDescent="0.25">
      <c r="A675" s="60">
        <v>403</v>
      </c>
      <c r="B675" s="61">
        <v>19.588212137780207</v>
      </c>
      <c r="C675" s="61">
        <v>0.37453531598513012</v>
      </c>
      <c r="D675" s="61">
        <v>3843.2072214324767</v>
      </c>
      <c r="E675" s="61">
        <f t="shared" si="5"/>
        <v>-3738.0838160552507</v>
      </c>
      <c r="F675" s="61">
        <f t="shared" si="0"/>
        <v>-32745614.228643999</v>
      </c>
      <c r="G675" s="62">
        <f t="shared" si="47"/>
        <v>-11875882.489736177</v>
      </c>
      <c r="H675" s="62">
        <f t="shared" si="2"/>
        <v>30745657.771459814</v>
      </c>
      <c r="I675" s="62">
        <f t="shared" si="3"/>
        <v>922369.73314379435</v>
      </c>
      <c r="J675" s="63">
        <f t="shared" si="4"/>
        <v>-8186403.5571609996</v>
      </c>
    </row>
    <row r="676" spans="1:10" ht="13.2" x14ac:dyDescent="0.25">
      <c r="A676" s="64">
        <v>402</v>
      </c>
      <c r="B676" s="65">
        <v>19.574434117003829</v>
      </c>
      <c r="C676" s="65">
        <v>0.37360594795539032</v>
      </c>
      <c r="D676" s="65">
        <v>3840.5039737561515</v>
      </c>
      <c r="E676" s="65">
        <f t="shared" si="5"/>
        <v>-3739.6012524832249</v>
      </c>
      <c r="F676" s="65">
        <f t="shared" si="0"/>
        <v>-32758906.971753046</v>
      </c>
      <c r="G676" s="66">
        <f t="shared" si="47"/>
        <v>-11876610.557744166</v>
      </c>
      <c r="H676" s="66">
        <f t="shared" si="2"/>
        <v>30724031.79004921</v>
      </c>
      <c r="I676" s="66">
        <f t="shared" si="3"/>
        <v>921720.95370147622</v>
      </c>
      <c r="J676" s="67">
        <f t="shared" si="4"/>
        <v>-8189726.7429382615</v>
      </c>
    </row>
    <row r="677" spans="1:10" ht="13.2" x14ac:dyDescent="0.25">
      <c r="A677" s="60">
        <v>401</v>
      </c>
      <c r="B677" s="61">
        <v>19.570595954073262</v>
      </c>
      <c r="C677" s="61">
        <v>0.37267657992565056</v>
      </c>
      <c r="D677" s="61">
        <v>3839.7509261891742</v>
      </c>
      <c r="E677" s="61">
        <f t="shared" si="5"/>
        <v>-3740.0229171292322</v>
      </c>
      <c r="F677" s="61">
        <f t="shared" si="0"/>
        <v>-32762600.754052073</v>
      </c>
      <c r="G677" s="62">
        <f t="shared" si="47"/>
        <v>-11876811.077654624</v>
      </c>
      <c r="H677" s="62">
        <f t="shared" si="2"/>
        <v>30718007.409513392</v>
      </c>
      <c r="I677" s="62">
        <f t="shared" si="3"/>
        <v>921540.22228540166</v>
      </c>
      <c r="J677" s="63">
        <f t="shared" si="4"/>
        <v>-8190650.1885130182</v>
      </c>
    </row>
    <row r="678" spans="1:10" ht="13.2" x14ac:dyDescent="0.25">
      <c r="A678" s="64">
        <v>400</v>
      </c>
      <c r="B678" s="65">
        <v>19.56803717878622</v>
      </c>
      <c r="C678" s="65">
        <v>0.37174721189591076</v>
      </c>
      <c r="D678" s="65">
        <v>3839.248894477857</v>
      </c>
      <c r="E678" s="65">
        <f t="shared" si="5"/>
        <v>-3740.3033270349028</v>
      </c>
      <c r="F678" s="65">
        <f t="shared" si="0"/>
        <v>-32765057.144825749</v>
      </c>
      <c r="G678" s="66">
        <f t="shared" si="47"/>
        <v>-11876943.224905182</v>
      </c>
      <c r="H678" s="66">
        <f t="shared" si="2"/>
        <v>30713991.155822854</v>
      </c>
      <c r="I678" s="66">
        <f t="shared" si="3"/>
        <v>921419.73467468563</v>
      </c>
      <c r="J678" s="67">
        <f t="shared" si="4"/>
        <v>-8191264.2862064373</v>
      </c>
    </row>
    <row r="679" spans="1:10" ht="13.2" x14ac:dyDescent="0.25">
      <c r="A679" s="60">
        <v>399</v>
      </c>
      <c r="B679" s="61">
        <v>19.559770366320393</v>
      </c>
      <c r="C679" s="61">
        <v>0.370817843866171</v>
      </c>
      <c r="D679" s="61">
        <v>3837.6269458720608</v>
      </c>
      <c r="E679" s="61">
        <f t="shared" si="5"/>
        <v>-3741.2070056493776</v>
      </c>
      <c r="F679" s="61">
        <f t="shared" si="0"/>
        <v>-32772973.369488548</v>
      </c>
      <c r="G679" s="62">
        <f t="shared" si="47"/>
        <v>-11877365.210409315</v>
      </c>
      <c r="H679" s="62">
        <f t="shared" si="2"/>
        <v>30701015.566976488</v>
      </c>
      <c r="I679" s="62">
        <f t="shared" si="3"/>
        <v>921030.46700929455</v>
      </c>
      <c r="J679" s="63">
        <f t="shared" si="4"/>
        <v>-8193243.3423721371</v>
      </c>
    </row>
    <row r="680" spans="1:10" ht="13.2" x14ac:dyDescent="0.25">
      <c r="A680" s="64">
        <v>398</v>
      </c>
      <c r="B680" s="65">
        <v>19.467457627118641</v>
      </c>
      <c r="C680" s="65">
        <v>0.36988847583643125</v>
      </c>
      <c r="D680" s="65">
        <v>3819.5151864406776</v>
      </c>
      <c r="E680" s="65">
        <f t="shared" si="5"/>
        <v>-3751.2728347757411</v>
      </c>
      <c r="F680" s="65">
        <f t="shared" si="0"/>
        <v>-32861150.032635495</v>
      </c>
      <c r="G680" s="66">
        <f t="shared" si="47"/>
        <v>-11882022.087141925</v>
      </c>
      <c r="H680" s="66">
        <f t="shared" si="2"/>
        <v>30556121.491525419</v>
      </c>
      <c r="I680" s="66">
        <f t="shared" si="3"/>
        <v>916683.64474576258</v>
      </c>
      <c r="J680" s="67">
        <f t="shared" si="4"/>
        <v>-8215287.5081588738</v>
      </c>
    </row>
    <row r="681" spans="1:10" ht="13.2" x14ac:dyDescent="0.25">
      <c r="A681" s="60">
        <v>397</v>
      </c>
      <c r="B681" s="61">
        <v>19.461946418808093</v>
      </c>
      <c r="C681" s="61">
        <v>0.36895910780669144</v>
      </c>
      <c r="D681" s="61">
        <v>3818.4338873701477</v>
      </c>
      <c r="E681" s="61">
        <f t="shared" si="5"/>
        <v>-3751.8722724110303</v>
      </c>
      <c r="F681" s="61">
        <f t="shared" si="0"/>
        <v>-32866401.106320627</v>
      </c>
      <c r="G681" s="62">
        <f t="shared" si="47"/>
        <v>-11882296.808455499</v>
      </c>
      <c r="H681" s="62">
        <f t="shared" si="2"/>
        <v>30547471.098961182</v>
      </c>
      <c r="I681" s="62">
        <f t="shared" si="3"/>
        <v>916424.13296883542</v>
      </c>
      <c r="J681" s="63">
        <f t="shared" si="4"/>
        <v>-8216600.2765801568</v>
      </c>
    </row>
    <row r="682" spans="1:10" ht="13.2" x14ac:dyDescent="0.25">
      <c r="A682" s="64">
        <v>396</v>
      </c>
      <c r="B682" s="65">
        <v>19.446003280481136</v>
      </c>
      <c r="C682" s="65">
        <v>0.36802973977695169</v>
      </c>
      <c r="D682" s="65">
        <v>3815.3058436303986</v>
      </c>
      <c r="E682" s="65">
        <f t="shared" si="5"/>
        <v>-3753.6019992002039</v>
      </c>
      <c r="F682" s="65">
        <f t="shared" si="0"/>
        <v>-32881553.512993786</v>
      </c>
      <c r="G682" s="66">
        <f t="shared" si="47"/>
        <v>-11883081.98813363</v>
      </c>
      <c r="H682" s="66">
        <f t="shared" si="2"/>
        <v>30522446.749043189</v>
      </c>
      <c r="I682" s="66">
        <f t="shared" si="3"/>
        <v>915673.40247129567</v>
      </c>
      <c r="J682" s="67">
        <f t="shared" si="4"/>
        <v>-8220388.3782484466</v>
      </c>
    </row>
    <row r="683" spans="1:10" ht="13.2" x14ac:dyDescent="0.25">
      <c r="A683" s="60">
        <v>395</v>
      </c>
      <c r="B683" s="61">
        <v>19.420415527610714</v>
      </c>
      <c r="C683" s="61">
        <v>0.36710037174721188</v>
      </c>
      <c r="D683" s="61">
        <v>3810.2855265172225</v>
      </c>
      <c r="E683" s="61">
        <f t="shared" si="5"/>
        <v>-3756.3711053402317</v>
      </c>
      <c r="F683" s="61">
        <f t="shared" si="0"/>
        <v>-32905810.882780433</v>
      </c>
      <c r="G683" s="62">
        <f t="shared" si="47"/>
        <v>-11884326.826151641</v>
      </c>
      <c r="H683" s="62">
        <f t="shared" si="2"/>
        <v>30482284.212137781</v>
      </c>
      <c r="I683" s="62">
        <f t="shared" si="3"/>
        <v>914468.52636413334</v>
      </c>
      <c r="J683" s="63">
        <f t="shared" si="4"/>
        <v>-8226452.7206951082</v>
      </c>
    </row>
    <row r="684" spans="1:10" ht="13.2" x14ac:dyDescent="0.25">
      <c r="A684" s="64">
        <v>394</v>
      </c>
      <c r="B684" s="65">
        <v>19.41539639147075</v>
      </c>
      <c r="C684" s="65">
        <v>0.36617100371747213</v>
      </c>
      <c r="D684" s="65">
        <v>3809.3007720065611</v>
      </c>
      <c r="E684" s="65">
        <f t="shared" si="5"/>
        <v>-3756.9129033609674</v>
      </c>
      <c r="F684" s="65">
        <f t="shared" si="0"/>
        <v>-32910557.033442073</v>
      </c>
      <c r="G684" s="66">
        <f t="shared" si="47"/>
        <v>-11884567.999486817</v>
      </c>
      <c r="H684" s="66">
        <f t="shared" si="2"/>
        <v>30474406.176052488</v>
      </c>
      <c r="I684" s="66">
        <f t="shared" si="3"/>
        <v>914232.18528157461</v>
      </c>
      <c r="J684" s="67">
        <f t="shared" si="4"/>
        <v>-8227639.2583605181</v>
      </c>
    </row>
    <row r="685" spans="1:10" ht="13.2" x14ac:dyDescent="0.25">
      <c r="A685" s="60">
        <v>393</v>
      </c>
      <c r="B685" s="61">
        <v>19.375144887916893</v>
      </c>
      <c r="C685" s="61">
        <v>0.36524163568773232</v>
      </c>
      <c r="D685" s="61">
        <v>3801.4034270092943</v>
      </c>
      <c r="E685" s="61">
        <f t="shared" si="5"/>
        <v>-3761.2469017075159</v>
      </c>
      <c r="F685" s="61">
        <f t="shared" si="0"/>
        <v>-32948522.858957838</v>
      </c>
      <c r="G685" s="62">
        <f>J685-(I685-(H685*$N$4))</f>
        <v>-6412457.0697749984</v>
      </c>
      <c r="H685" s="62">
        <f t="shared" si="2"/>
        <v>30411227.416074354</v>
      </c>
      <c r="I685" s="62">
        <f t="shared" si="3"/>
        <v>912336.82248223061</v>
      </c>
      <c r="J685" s="63">
        <f t="shared" si="4"/>
        <v>-8237130.7147394596</v>
      </c>
    </row>
    <row r="686" spans="1:10" ht="13.2" x14ac:dyDescent="0.25">
      <c r="A686" s="64">
        <v>392</v>
      </c>
      <c r="B686" s="65">
        <v>19.368747949699291</v>
      </c>
      <c r="C686" s="65">
        <v>0.36431226765799257</v>
      </c>
      <c r="D686" s="65">
        <v>3800.1483477310007</v>
      </c>
      <c r="E686" s="65">
        <f t="shared" si="5"/>
        <v>-3761.9339293050207</v>
      </c>
      <c r="F686" s="65">
        <f t="shared" si="0"/>
        <v>-32954541.22071198</v>
      </c>
      <c r="G686" s="66">
        <f t="shared" ref="G686:G700" si="48">J686-I686-(H686*$N$4)</f>
        <v>-11886777.718999755</v>
      </c>
      <c r="H686" s="66">
        <f t="shared" si="2"/>
        <v>30401186.781848006</v>
      </c>
      <c r="I686" s="66">
        <f t="shared" si="3"/>
        <v>912035.60345544014</v>
      </c>
      <c r="J686" s="67">
        <f t="shared" si="4"/>
        <v>-8238635.305177995</v>
      </c>
    </row>
    <row r="687" spans="1:10" ht="13.2" x14ac:dyDescent="0.25">
      <c r="A687" s="60">
        <v>391</v>
      </c>
      <c r="B687" s="61">
        <v>19.343160196828869</v>
      </c>
      <c r="C687" s="61">
        <v>0.36338289962825276</v>
      </c>
      <c r="D687" s="61">
        <v>3795.1280306178246</v>
      </c>
      <c r="E687" s="61">
        <f t="shared" si="5"/>
        <v>-3764.6750411117036</v>
      </c>
      <c r="F687" s="61">
        <f t="shared" si="0"/>
        <v>-32978553.360138528</v>
      </c>
      <c r="G687" s="62">
        <f t="shared" si="48"/>
        <v>-11887961.249427743</v>
      </c>
      <c r="H687" s="62">
        <f t="shared" si="2"/>
        <v>30361024.244942598</v>
      </c>
      <c r="I687" s="62">
        <f t="shared" si="3"/>
        <v>910830.72734827793</v>
      </c>
      <c r="J687" s="63">
        <f t="shared" si="4"/>
        <v>-8244638.340034632</v>
      </c>
    </row>
    <row r="688" spans="1:10" ht="13.2" x14ac:dyDescent="0.25">
      <c r="A688" s="64">
        <v>390</v>
      </c>
      <c r="B688" s="65">
        <v>19.292181519956262</v>
      </c>
      <c r="C688" s="65">
        <v>0.36245353159851301</v>
      </c>
      <c r="D688" s="65">
        <v>3785.1260142154192</v>
      </c>
      <c r="E688" s="65">
        <f t="shared" si="5"/>
        <v>-3770.1222359182179</v>
      </c>
      <c r="F688" s="65">
        <f t="shared" si="0"/>
        <v>-33026270.786643591</v>
      </c>
      <c r="G688" s="66">
        <f t="shared" si="48"/>
        <v>-11890288.6703077</v>
      </c>
      <c r="H688" s="66">
        <f t="shared" si="2"/>
        <v>30281008.113723353</v>
      </c>
      <c r="I688" s="66">
        <f t="shared" si="3"/>
        <v>908430.24341170059</v>
      </c>
      <c r="J688" s="67">
        <f t="shared" si="4"/>
        <v>-8256567.6966608977</v>
      </c>
    </row>
    <row r="689" spans="1:10" ht="13.2" x14ac:dyDescent="0.25">
      <c r="A689" s="60">
        <v>389</v>
      </c>
      <c r="B689" s="61">
        <v>19.282438490978677</v>
      </c>
      <c r="C689" s="61">
        <v>0.36152416356877326</v>
      </c>
      <c r="D689" s="61">
        <v>3783.2144319300169</v>
      </c>
      <c r="E689" s="61">
        <f t="shared" si="5"/>
        <v>-3771.1606372619149</v>
      </c>
      <c r="F689" s="61">
        <f t="shared" si="0"/>
        <v>-33035367.182414372</v>
      </c>
      <c r="G689" s="62">
        <f t="shared" si="48"/>
        <v>-11890727.65025641</v>
      </c>
      <c r="H689" s="62">
        <f t="shared" si="2"/>
        <v>30265715.455440134</v>
      </c>
      <c r="I689" s="62">
        <f t="shared" si="3"/>
        <v>907971.46366320399</v>
      </c>
      <c r="J689" s="63">
        <f t="shared" si="4"/>
        <v>-8258841.7956035929</v>
      </c>
    </row>
    <row r="690" spans="1:10" ht="13.2" x14ac:dyDescent="0.25">
      <c r="A690" s="64">
        <v>388</v>
      </c>
      <c r="B690" s="65">
        <v>19.215418261344997</v>
      </c>
      <c r="C690" s="65">
        <v>0.36059479553903345</v>
      </c>
      <c r="D690" s="65">
        <v>3770.0650628758881</v>
      </c>
      <c r="E690" s="65">
        <f t="shared" si="5"/>
        <v>-3778.2852489334364</v>
      </c>
      <c r="F690" s="65">
        <f t="shared" si="0"/>
        <v>-33097778.780656904</v>
      </c>
      <c r="G690" s="66">
        <f t="shared" si="48"/>
        <v>-11893707.155525079</v>
      </c>
      <c r="H690" s="66">
        <f t="shared" si="2"/>
        <v>30160520.503007106</v>
      </c>
      <c r="I690" s="66">
        <f t="shared" si="3"/>
        <v>904815.61509021313</v>
      </c>
      <c r="J690" s="67">
        <f t="shared" si="4"/>
        <v>-8274444.695164226</v>
      </c>
    </row>
    <row r="691" spans="1:10" ht="13.2" x14ac:dyDescent="0.25">
      <c r="A691" s="60">
        <v>387</v>
      </c>
      <c r="B691" s="61">
        <v>19.188255877528704</v>
      </c>
      <c r="C691" s="61">
        <v>0.3596654275092937</v>
      </c>
      <c r="D691" s="61">
        <v>3764.7358031711319</v>
      </c>
      <c r="E691" s="61">
        <f t="shared" si="5"/>
        <v>-3781.1653274820569</v>
      </c>
      <c r="F691" s="61">
        <f t="shared" si="0"/>
        <v>-33123008.268742818</v>
      </c>
      <c r="G691" s="62">
        <f t="shared" si="48"/>
        <v>-11894898.438229991</v>
      </c>
      <c r="H691" s="62">
        <f t="shared" si="2"/>
        <v>30117886.425369054</v>
      </c>
      <c r="I691" s="62">
        <f t="shared" si="3"/>
        <v>903536.59276107163</v>
      </c>
      <c r="J691" s="63">
        <f t="shared" si="4"/>
        <v>-8280752.0671857046</v>
      </c>
    </row>
    <row r="692" spans="1:10" ht="13.2" x14ac:dyDescent="0.25">
      <c r="A692" s="64">
        <v>386</v>
      </c>
      <c r="B692" s="65">
        <v>19.170344450519408</v>
      </c>
      <c r="C692" s="65">
        <v>0.35873605947955389</v>
      </c>
      <c r="D692" s="65">
        <v>3761.2215811919082</v>
      </c>
      <c r="E692" s="65">
        <f t="shared" si="5"/>
        <v>-3783.0596107050587</v>
      </c>
      <c r="F692" s="65">
        <f t="shared" si="0"/>
        <v>-33139602.189776316</v>
      </c>
      <c r="G692" s="66">
        <f t="shared" si="48"/>
        <v>-11895673.265388312</v>
      </c>
      <c r="H692" s="66">
        <f t="shared" si="2"/>
        <v>30089772.649535265</v>
      </c>
      <c r="I692" s="66">
        <f t="shared" si="3"/>
        <v>902693.17948605795</v>
      </c>
      <c r="J692" s="67">
        <f t="shared" si="4"/>
        <v>-8284900.5474440791</v>
      </c>
    </row>
    <row r="693" spans="1:10" ht="13.2" x14ac:dyDescent="0.25">
      <c r="A693" s="60">
        <v>385</v>
      </c>
      <c r="B693" s="61">
        <v>19.072323674138872</v>
      </c>
      <c r="C693" s="61">
        <v>0.35780669144981414</v>
      </c>
      <c r="D693" s="61">
        <v>3741.9899048660468</v>
      </c>
      <c r="E693" s="61">
        <f t="shared" si="5"/>
        <v>-3793.3993177259795</v>
      </c>
      <c r="F693" s="61">
        <f t="shared" si="0"/>
        <v>-33230178.023279577</v>
      </c>
      <c r="G693" s="62">
        <f t="shared" si="48"/>
        <v>-11899854.8144913</v>
      </c>
      <c r="H693" s="62">
        <f t="shared" si="2"/>
        <v>29935919.238928374</v>
      </c>
      <c r="I693" s="62">
        <f t="shared" si="3"/>
        <v>898077.57716785115</v>
      </c>
      <c r="J693" s="63">
        <f t="shared" si="4"/>
        <v>-8307544.5058198944</v>
      </c>
    </row>
    <row r="694" spans="1:10" ht="13.2" x14ac:dyDescent="0.25">
      <c r="A694" s="64">
        <v>384</v>
      </c>
      <c r="B694" s="65">
        <v>19.053034445051939</v>
      </c>
      <c r="C694" s="65">
        <v>0.35687732342007433</v>
      </c>
      <c r="D694" s="65">
        <v>3738.2053581191904</v>
      </c>
      <c r="E694" s="65">
        <f t="shared" si="5"/>
        <v>-3795.4287633327976</v>
      </c>
      <c r="F694" s="65">
        <f t="shared" si="0"/>
        <v>-33247955.966795303</v>
      </c>
      <c r="G694" s="66">
        <f t="shared" si="48"/>
        <v>-11900666.135493249</v>
      </c>
      <c r="H694" s="66">
        <f t="shared" si="2"/>
        <v>29905642.864953522</v>
      </c>
      <c r="I694" s="66">
        <f t="shared" si="3"/>
        <v>897169.28594860563</v>
      </c>
      <c r="J694" s="67">
        <f t="shared" si="4"/>
        <v>-8311988.9916988257</v>
      </c>
    </row>
    <row r="695" spans="1:10" ht="13.2" x14ac:dyDescent="0.25">
      <c r="A695" s="60">
        <v>383</v>
      </c>
      <c r="B695" s="61">
        <v>19.048605795516675</v>
      </c>
      <c r="C695" s="61">
        <v>0.35594795539033458</v>
      </c>
      <c r="D695" s="61">
        <v>3737.3364570803719</v>
      </c>
      <c r="E695" s="61">
        <f t="shared" si="5"/>
        <v>-3795.89349618395</v>
      </c>
      <c r="F695" s="61">
        <f t="shared" si="0"/>
        <v>-33252027.026571404</v>
      </c>
      <c r="G695" s="62">
        <f t="shared" si="48"/>
        <v>-11900849.755440008</v>
      </c>
      <c r="H695" s="62">
        <f t="shared" si="2"/>
        <v>29898691.656642977</v>
      </c>
      <c r="I695" s="62">
        <f t="shared" si="3"/>
        <v>896960.74969928933</v>
      </c>
      <c r="J695" s="63">
        <f t="shared" si="4"/>
        <v>-8313006.756642851</v>
      </c>
    </row>
    <row r="696" spans="1:10" ht="13.2" x14ac:dyDescent="0.25">
      <c r="A696" s="64">
        <v>382</v>
      </c>
      <c r="B696" s="65">
        <v>19.037386550027339</v>
      </c>
      <c r="C696" s="65">
        <v>0.35501858736059477</v>
      </c>
      <c r="D696" s="65">
        <v>3735.1352411153644</v>
      </c>
      <c r="E696" s="65">
        <f t="shared" si="5"/>
        <v>-3797.0677507972532</v>
      </c>
      <c r="F696" s="65">
        <f t="shared" si="0"/>
        <v>-33262313.496983934</v>
      </c>
      <c r="G696" s="66">
        <f t="shared" si="48"/>
        <v>-11901308.205716733</v>
      </c>
      <c r="H696" s="66">
        <f t="shared" si="2"/>
        <v>29881081.928922914</v>
      </c>
      <c r="I696" s="66">
        <f t="shared" si="3"/>
        <v>896432.45786768734</v>
      </c>
      <c r="J696" s="67">
        <f t="shared" si="4"/>
        <v>-8315578.3742459835</v>
      </c>
    </row>
    <row r="697" spans="1:10" ht="13.2" x14ac:dyDescent="0.25">
      <c r="A697" s="60">
        <v>381</v>
      </c>
      <c r="B697" s="61">
        <v>19.03098961180973</v>
      </c>
      <c r="C697" s="61">
        <v>0.35408921933085502</v>
      </c>
      <c r="D697" s="61">
        <v>3733.8801618370694</v>
      </c>
      <c r="E697" s="61">
        <f t="shared" si="5"/>
        <v>-3797.7355322905837</v>
      </c>
      <c r="F697" s="61">
        <f t="shared" si="0"/>
        <v>-33268163.262865514</v>
      </c>
      <c r="G697" s="62">
        <f t="shared" si="48"/>
        <v>-11901565.771079965</v>
      </c>
      <c r="H697" s="62">
        <f t="shared" si="2"/>
        <v>29871041.294696555</v>
      </c>
      <c r="I697" s="62">
        <f t="shared" si="3"/>
        <v>896131.23884089664</v>
      </c>
      <c r="J697" s="63">
        <f t="shared" si="4"/>
        <v>-8317040.8157163784</v>
      </c>
    </row>
    <row r="698" spans="1:10" ht="13.2" x14ac:dyDescent="0.25">
      <c r="A698" s="64">
        <v>380</v>
      </c>
      <c r="B698" s="65">
        <v>19.017900492072172</v>
      </c>
      <c r="C698" s="65">
        <v>0.35315985130111527</v>
      </c>
      <c r="D698" s="65">
        <v>3731.3120765445601</v>
      </c>
      <c r="E698" s="65">
        <f t="shared" si="5"/>
        <v>-3799.0983359169991</v>
      </c>
      <c r="F698" s="65">
        <f t="shared" si="0"/>
        <v>-33280101.422632914</v>
      </c>
      <c r="G698" s="66">
        <f t="shared" si="48"/>
        <v>-11902084.949141007</v>
      </c>
      <c r="H698" s="66">
        <f t="shared" si="2"/>
        <v>29850496.61235648</v>
      </c>
      <c r="I698" s="66">
        <f t="shared" si="3"/>
        <v>895514.89837069437</v>
      </c>
      <c r="J698" s="67">
        <f t="shared" si="4"/>
        <v>-8320025.3556582285</v>
      </c>
    </row>
    <row r="699" spans="1:10" ht="13.2" x14ac:dyDescent="0.25">
      <c r="A699" s="60">
        <v>379</v>
      </c>
      <c r="B699" s="61">
        <v>18.99615090213231</v>
      </c>
      <c r="C699" s="61">
        <v>0.35223048327137546</v>
      </c>
      <c r="D699" s="61">
        <v>3727.0448069983595</v>
      </c>
      <c r="E699" s="61">
        <f t="shared" si="5"/>
        <v>-3801.3568954026509</v>
      </c>
      <c r="F699" s="61">
        <f t="shared" si="0"/>
        <v>-33299886.403727222</v>
      </c>
      <c r="G699" s="62">
        <f t="shared" si="48"/>
        <v>-11902934.615650231</v>
      </c>
      <c r="H699" s="62">
        <f t="shared" si="2"/>
        <v>29816358.455986876</v>
      </c>
      <c r="I699" s="62">
        <f t="shared" si="3"/>
        <v>894490.75367960625</v>
      </c>
      <c r="J699" s="63">
        <f t="shared" si="4"/>
        <v>-8324971.6009318056</v>
      </c>
    </row>
    <row r="700" spans="1:10" ht="13.2" x14ac:dyDescent="0.25">
      <c r="A700" s="64">
        <v>378</v>
      </c>
      <c r="B700" s="65">
        <v>18.929917987971567</v>
      </c>
      <c r="C700" s="65">
        <v>0.35130111524163571</v>
      </c>
      <c r="D700" s="65">
        <v>3714.0499092400214</v>
      </c>
      <c r="E700" s="65">
        <f t="shared" si="5"/>
        <v>-3808.21665555761</v>
      </c>
      <c r="F700" s="65">
        <f t="shared" si="0"/>
        <v>-33359977.902684666</v>
      </c>
      <c r="G700" s="66">
        <f t="shared" si="48"/>
        <v>-11905482.388541587</v>
      </c>
      <c r="H700" s="66">
        <f t="shared" si="2"/>
        <v>29712399.273920171</v>
      </c>
      <c r="I700" s="66">
        <f t="shared" si="3"/>
        <v>891371.97821760515</v>
      </c>
      <c r="J700" s="67">
        <f t="shared" si="4"/>
        <v>-8339994.4756711666</v>
      </c>
    </row>
    <row r="701" spans="1:10" ht="13.2" x14ac:dyDescent="0.25">
      <c r="A701" s="60">
        <v>377</v>
      </c>
      <c r="B701" s="61">
        <v>18.876971022416623</v>
      </c>
      <c r="C701" s="61">
        <v>0.3503717472118959</v>
      </c>
      <c r="D701" s="61">
        <v>3703.6617145981418</v>
      </c>
      <c r="E701" s="61">
        <f t="shared" si="5"/>
        <v>-3813.6859048741758</v>
      </c>
      <c r="F701" s="61">
        <f t="shared" si="0"/>
        <v>-33407888.526697781</v>
      </c>
      <c r="G701" s="62">
        <f>J701-(I701-(H701*$N$4))</f>
        <v>-6574214.5086673377</v>
      </c>
      <c r="H701" s="62">
        <f t="shared" si="2"/>
        <v>29629293.716785133</v>
      </c>
      <c r="I701" s="62">
        <f t="shared" si="3"/>
        <v>888878.811503554</v>
      </c>
      <c r="J701" s="63">
        <f t="shared" si="4"/>
        <v>-8351972.1316744452</v>
      </c>
    </row>
    <row r="702" spans="1:10" ht="13.2" x14ac:dyDescent="0.25">
      <c r="A702" s="64">
        <v>376</v>
      </c>
      <c r="B702" s="65">
        <v>18.675615090213231</v>
      </c>
      <c r="C702" s="65">
        <v>0.34944237918215615</v>
      </c>
      <c r="D702" s="65">
        <v>3664.1556806998365</v>
      </c>
      <c r="E702" s="65">
        <f t="shared" si="5"/>
        <v>-3834.4302442352746</v>
      </c>
      <c r="F702" s="65">
        <f t="shared" si="0"/>
        <v>-33589608.939501002</v>
      </c>
      <c r="G702" s="66">
        <f t="shared" ref="G702:G716" si="49">J702-I702-(H702*$N$4)</f>
        <v>-11914991.688347094</v>
      </c>
      <c r="H702" s="66">
        <f t="shared" si="2"/>
        <v>29313245.445598692</v>
      </c>
      <c r="I702" s="66">
        <f t="shared" si="3"/>
        <v>879397.36336796067</v>
      </c>
      <c r="J702" s="67">
        <f t="shared" si="4"/>
        <v>-8397402.2348752506</v>
      </c>
    </row>
    <row r="703" spans="1:10" ht="13.2" x14ac:dyDescent="0.25">
      <c r="A703" s="60">
        <v>375</v>
      </c>
      <c r="B703" s="61">
        <v>18.673056314926189</v>
      </c>
      <c r="C703" s="61">
        <v>0.34851301115241634</v>
      </c>
      <c r="D703" s="61">
        <v>3663.6536489885189</v>
      </c>
      <c r="E703" s="61">
        <f t="shared" si="5"/>
        <v>-3834.693157682605</v>
      </c>
      <c r="F703" s="61">
        <f t="shared" si="0"/>
        <v>-33591912.061299622</v>
      </c>
      <c r="G703" s="62">
        <f t="shared" si="49"/>
        <v>-11915085.518353885</v>
      </c>
      <c r="H703" s="62">
        <f t="shared" si="2"/>
        <v>29309229.191908151</v>
      </c>
      <c r="I703" s="62">
        <f t="shared" si="3"/>
        <v>879276.87575724453</v>
      </c>
      <c r="J703" s="63">
        <f t="shared" si="4"/>
        <v>-8397978.0153249055</v>
      </c>
    </row>
    <row r="704" spans="1:10" ht="13.2" x14ac:dyDescent="0.25">
      <c r="A704" s="64">
        <v>374</v>
      </c>
      <c r="B704" s="65">
        <v>18.659573537452161</v>
      </c>
      <c r="C704" s="65">
        <v>0.34758364312267659</v>
      </c>
      <c r="D704" s="65">
        <v>3661.008328048114</v>
      </c>
      <c r="E704" s="65">
        <f t="shared" si="5"/>
        <v>-3836.0748215938575</v>
      </c>
      <c r="F704" s="65">
        <f t="shared" si="0"/>
        <v>-33604015.437162191</v>
      </c>
      <c r="G704" s="66">
        <f t="shared" si="49"/>
        <v>-11915571.854216738</v>
      </c>
      <c r="H704" s="66">
        <f t="shared" si="2"/>
        <v>29288066.624384914</v>
      </c>
      <c r="I704" s="66">
        <f t="shared" si="3"/>
        <v>878641.99873154738</v>
      </c>
      <c r="J704" s="67">
        <f t="shared" si="4"/>
        <v>-8401003.8592905477</v>
      </c>
    </row>
    <row r="705" spans="1:10" ht="13.2" x14ac:dyDescent="0.25">
      <c r="A705" s="60">
        <v>373</v>
      </c>
      <c r="B705" s="61">
        <v>18.647763805358117</v>
      </c>
      <c r="C705" s="61">
        <v>0.34665427509293678</v>
      </c>
      <c r="D705" s="61">
        <v>3658.6912586112626</v>
      </c>
      <c r="E705" s="61">
        <f t="shared" si="5"/>
        <v>-3837.2818080430725</v>
      </c>
      <c r="F705" s="61">
        <f t="shared" si="0"/>
        <v>-33614588.638457313</v>
      </c>
      <c r="G705" s="62">
        <f t="shared" si="49"/>
        <v>-11915990.767881142</v>
      </c>
      <c r="H705" s="62">
        <f t="shared" si="2"/>
        <v>29269530.068890102</v>
      </c>
      <c r="I705" s="62">
        <f t="shared" si="3"/>
        <v>878085.90206670307</v>
      </c>
      <c r="J705" s="63">
        <f t="shared" si="4"/>
        <v>-8403647.1596143283</v>
      </c>
    </row>
    <row r="706" spans="1:10" ht="13.2" x14ac:dyDescent="0.25">
      <c r="A706" s="64">
        <v>372</v>
      </c>
      <c r="B706" s="65">
        <v>18.631820667031164</v>
      </c>
      <c r="C706" s="65">
        <v>0.34572490706319703</v>
      </c>
      <c r="D706" s="65">
        <v>3655.563214871514</v>
      </c>
      <c r="E706" s="65">
        <f t="shared" si="5"/>
        <v>-3838.9068790937413</v>
      </c>
      <c r="F706" s="65">
        <f t="shared" si="0"/>
        <v>-33628824.260861173</v>
      </c>
      <c r="G706" s="66">
        <f t="shared" si="49"/>
        <v>-11916546.751491945</v>
      </c>
      <c r="H706" s="66">
        <f t="shared" si="2"/>
        <v>29244505.718972113</v>
      </c>
      <c r="I706" s="66">
        <f t="shared" si="3"/>
        <v>877335.17156916333</v>
      </c>
      <c r="J706" s="67">
        <f t="shared" si="4"/>
        <v>-8407206.0652152933</v>
      </c>
    </row>
    <row r="707" spans="1:10" ht="13.2" x14ac:dyDescent="0.25">
      <c r="A707" s="60">
        <v>371</v>
      </c>
      <c r="B707" s="61">
        <v>18.617452159650082</v>
      </c>
      <c r="C707" s="61">
        <v>0.34479553903345728</v>
      </c>
      <c r="D707" s="61">
        <v>3652.7441137233463</v>
      </c>
      <c r="E707" s="61">
        <f t="shared" si="5"/>
        <v>-3840.3675193261793</v>
      </c>
      <c r="F707" s="61">
        <f t="shared" si="0"/>
        <v>-33641619.469297335</v>
      </c>
      <c r="G707" s="62">
        <f t="shared" si="49"/>
        <v>-11917039.216498746</v>
      </c>
      <c r="H707" s="62">
        <f t="shared" si="2"/>
        <v>29221952.909786772</v>
      </c>
      <c r="I707" s="62">
        <f t="shared" si="3"/>
        <v>876658.58729360311</v>
      </c>
      <c r="J707" s="63">
        <f t="shared" si="4"/>
        <v>-8410404.8673243336</v>
      </c>
    </row>
    <row r="708" spans="1:10" ht="13.2" x14ac:dyDescent="0.25">
      <c r="A708" s="64">
        <v>370</v>
      </c>
      <c r="B708" s="65">
        <v>18.592258064516127</v>
      </c>
      <c r="C708" s="65">
        <v>0.34386617100371747</v>
      </c>
      <c r="D708" s="65">
        <v>3647.801032258064</v>
      </c>
      <c r="E708" s="65">
        <f t="shared" si="5"/>
        <v>-3842.9217510127005</v>
      </c>
      <c r="F708" s="65">
        <f t="shared" si="0"/>
        <v>-33663994.538871258</v>
      </c>
      <c r="G708" s="66">
        <f t="shared" si="49"/>
        <v>-11917887.625685556</v>
      </c>
      <c r="H708" s="66">
        <f t="shared" si="2"/>
        <v>29182408.258064512</v>
      </c>
      <c r="I708" s="66">
        <f t="shared" si="3"/>
        <v>875472.24774193531</v>
      </c>
      <c r="J708" s="67">
        <f t="shared" si="4"/>
        <v>-8415998.6347178146</v>
      </c>
    </row>
    <row r="709" spans="1:10" ht="13.2" x14ac:dyDescent="0.25">
      <c r="A709" s="60">
        <v>369</v>
      </c>
      <c r="B709" s="61">
        <v>18.586451612903225</v>
      </c>
      <c r="C709" s="61">
        <v>0.34293680297397772</v>
      </c>
      <c r="D709" s="61">
        <v>3646.6618064516124</v>
      </c>
      <c r="E709" s="61">
        <f t="shared" si="5"/>
        <v>-3843.5088334566385</v>
      </c>
      <c r="F709" s="61">
        <f t="shared" si="0"/>
        <v>-33669137.381080151</v>
      </c>
      <c r="G709" s="62">
        <f t="shared" si="49"/>
        <v>-11918079.679463586</v>
      </c>
      <c r="H709" s="62">
        <f t="shared" si="2"/>
        <v>29173294.451612901</v>
      </c>
      <c r="I709" s="62">
        <f t="shared" si="3"/>
        <v>875198.83354838705</v>
      </c>
      <c r="J709" s="63">
        <f t="shared" si="4"/>
        <v>-8417284.3452700377</v>
      </c>
    </row>
    <row r="710" spans="1:10" ht="13.2" x14ac:dyDescent="0.25">
      <c r="A710" s="64">
        <v>368</v>
      </c>
      <c r="B710" s="65">
        <v>18.546298523783488</v>
      </c>
      <c r="C710" s="65">
        <v>0.34200743494423791</v>
      </c>
      <c r="D710" s="65">
        <v>3638.7837703663199</v>
      </c>
      <c r="E710" s="65">
        <f t="shared" si="5"/>
        <v>-3847.5576754224066</v>
      </c>
      <c r="F710" s="65">
        <f t="shared" si="0"/>
        <v>-33704605.236700282</v>
      </c>
      <c r="G710" s="66">
        <f t="shared" si="49"/>
        <v>-11919383.728726737</v>
      </c>
      <c r="H710" s="66">
        <f t="shared" si="2"/>
        <v>29110270.162930559</v>
      </c>
      <c r="I710" s="66">
        <f t="shared" si="3"/>
        <v>873308.10488791671</v>
      </c>
      <c r="J710" s="67">
        <f t="shared" si="4"/>
        <v>-8426151.3091750704</v>
      </c>
    </row>
    <row r="711" spans="1:10" ht="13.2" x14ac:dyDescent="0.25">
      <c r="A711" s="60">
        <v>367</v>
      </c>
      <c r="B711" s="61">
        <v>18.524056861673046</v>
      </c>
      <c r="C711" s="61">
        <v>0.34107806691449816</v>
      </c>
      <c r="D711" s="61">
        <v>3634.4199562602516</v>
      </c>
      <c r="E711" s="61">
        <f t="shared" si="5"/>
        <v>-3849.7943329312325</v>
      </c>
      <c r="F711" s="61">
        <f t="shared" si="0"/>
        <v>-33724198.356477596</v>
      </c>
      <c r="G711" s="62">
        <f t="shared" si="49"/>
        <v>-11920092.747129241</v>
      </c>
      <c r="H711" s="62">
        <f t="shared" si="2"/>
        <v>29075359.650082015</v>
      </c>
      <c r="I711" s="62">
        <f t="shared" si="3"/>
        <v>872260.78950246039</v>
      </c>
      <c r="J711" s="63">
        <f t="shared" si="4"/>
        <v>-8431049.589119399</v>
      </c>
    </row>
    <row r="712" spans="1:10" ht="13.2" x14ac:dyDescent="0.25">
      <c r="A712" s="64">
        <v>366</v>
      </c>
      <c r="B712" s="65">
        <v>18.488430836522689</v>
      </c>
      <c r="C712" s="65">
        <v>0.34014869888475835</v>
      </c>
      <c r="D712" s="65">
        <v>3627.4301301257519</v>
      </c>
      <c r="E712" s="65">
        <f t="shared" si="5"/>
        <v>-3853.3671994497963</v>
      </c>
      <c r="F712" s="65">
        <f t="shared" si="0"/>
        <v>-33755496.667180218</v>
      </c>
      <c r="G712" s="66">
        <f t="shared" si="49"/>
        <v>-11921207.091715775</v>
      </c>
      <c r="H712" s="66">
        <f t="shared" si="2"/>
        <v>29019441.041006014</v>
      </c>
      <c r="I712" s="66">
        <f t="shared" si="3"/>
        <v>870583.23123018036</v>
      </c>
      <c r="J712" s="67">
        <f t="shared" si="4"/>
        <v>-8438874.1667950545</v>
      </c>
    </row>
    <row r="713" spans="1:10" ht="13.2" x14ac:dyDescent="0.25">
      <c r="A713" s="60">
        <v>365</v>
      </c>
      <c r="B713" s="61">
        <v>18.478097320940403</v>
      </c>
      <c r="C713" s="61">
        <v>0.3392193308550186</v>
      </c>
      <c r="D713" s="61">
        <v>3625.4026943685071</v>
      </c>
      <c r="E713" s="61">
        <f t="shared" si="5"/>
        <v>-3854.4007017851577</v>
      </c>
      <c r="F713" s="61">
        <f t="shared" si="0"/>
        <v>-33764550.147637978</v>
      </c>
      <c r="G713" s="62">
        <f t="shared" si="49"/>
        <v>-11921524.123503262</v>
      </c>
      <c r="H713" s="62">
        <f t="shared" si="2"/>
        <v>29003221.554948058</v>
      </c>
      <c r="I713" s="62">
        <f t="shared" si="3"/>
        <v>870096.64664844167</v>
      </c>
      <c r="J713" s="63">
        <f t="shared" si="4"/>
        <v>-8441137.5369094945</v>
      </c>
    </row>
    <row r="714" spans="1:10" ht="13.2" x14ac:dyDescent="0.25">
      <c r="A714" s="64">
        <v>364</v>
      </c>
      <c r="B714" s="65">
        <v>18.471995626025151</v>
      </c>
      <c r="C714" s="65">
        <v>0.33828996282527879</v>
      </c>
      <c r="D714" s="65">
        <v>3624.2055418261352</v>
      </c>
      <c r="E714" s="65">
        <f t="shared" si="5"/>
        <v>-3855.00929141404</v>
      </c>
      <c r="F714" s="65">
        <f t="shared" si="0"/>
        <v>-33769881.392786987</v>
      </c>
      <c r="G714" s="66">
        <f t="shared" si="49"/>
        <v>-11921707.668349836</v>
      </c>
      <c r="H714" s="66">
        <f t="shared" si="2"/>
        <v>28993644.33460908</v>
      </c>
      <c r="I714" s="66">
        <f t="shared" si="3"/>
        <v>869809.33003827243</v>
      </c>
      <c r="J714" s="67">
        <f t="shared" si="4"/>
        <v>-8442470.3481967468</v>
      </c>
    </row>
    <row r="715" spans="1:10" ht="13.2" x14ac:dyDescent="0.25">
      <c r="A715" s="60">
        <v>363</v>
      </c>
      <c r="B715" s="61">
        <v>18.439026790595953</v>
      </c>
      <c r="C715" s="61">
        <v>0.33736059479553904</v>
      </c>
      <c r="D715" s="61">
        <v>3617.7370563149257</v>
      </c>
      <c r="E715" s="61">
        <f t="shared" si="5"/>
        <v>-3858.2886211969071</v>
      </c>
      <c r="F715" s="61">
        <f t="shared" si="0"/>
        <v>-33798608.321684904</v>
      </c>
      <c r="G715" s="62">
        <f t="shared" si="49"/>
        <v>-11922679.654483553</v>
      </c>
      <c r="H715" s="62">
        <f t="shared" si="2"/>
        <v>28941896.450519405</v>
      </c>
      <c r="I715" s="62">
        <f t="shared" si="3"/>
        <v>868256.89351558208</v>
      </c>
      <c r="J715" s="63">
        <f t="shared" si="4"/>
        <v>-8449652.0804212261</v>
      </c>
    </row>
    <row r="716" spans="1:10" ht="13.2" x14ac:dyDescent="0.25">
      <c r="A716" s="64">
        <v>362</v>
      </c>
      <c r="B716" s="65">
        <v>18.418851831601966</v>
      </c>
      <c r="C716" s="65">
        <v>0.33643122676579923</v>
      </c>
      <c r="D716" s="65">
        <v>3613.7787293603055</v>
      </c>
      <c r="E716" s="65">
        <f t="shared" si="5"/>
        <v>-3860.2898571293545</v>
      </c>
      <c r="F716" s="65">
        <f t="shared" si="0"/>
        <v>-33816139.148453139</v>
      </c>
      <c r="G716" s="66">
        <f t="shared" si="49"/>
        <v>-11923262.367299177</v>
      </c>
      <c r="H716" s="66">
        <f t="shared" si="2"/>
        <v>28910229.834882446</v>
      </c>
      <c r="I716" s="66">
        <f t="shared" si="3"/>
        <v>867306.89504647336</v>
      </c>
      <c r="J716" s="67">
        <f t="shared" si="4"/>
        <v>-8454034.7871132847</v>
      </c>
    </row>
    <row r="717" spans="1:10" ht="13.2" x14ac:dyDescent="0.25">
      <c r="A717" s="60">
        <v>361</v>
      </c>
      <c r="B717" s="61">
        <v>18.398775287042099</v>
      </c>
      <c r="C717" s="61">
        <v>0.33550185873605948</v>
      </c>
      <c r="D717" s="61">
        <v>3609.8397113176597</v>
      </c>
      <c r="E717" s="61">
        <f t="shared" si="5"/>
        <v>-3862.2758397391458</v>
      </c>
      <c r="F717" s="61">
        <f t="shared" si="0"/>
        <v>-33833536.356114917</v>
      </c>
      <c r="G717" s="62">
        <f>J717-(I717-(H717*$N$4))</f>
        <v>-6725661.027596252</v>
      </c>
      <c r="H717" s="62">
        <f t="shared" si="2"/>
        <v>28878717.690541279</v>
      </c>
      <c r="I717" s="62">
        <f t="shared" si="3"/>
        <v>866361.53071623831</v>
      </c>
      <c r="J717" s="63">
        <f t="shared" si="4"/>
        <v>-8458384.0890287291</v>
      </c>
    </row>
    <row r="718" spans="1:10" ht="13.2" x14ac:dyDescent="0.25">
      <c r="A718" s="64">
        <v>360</v>
      </c>
      <c r="B718" s="65">
        <v>18.342285401858938</v>
      </c>
      <c r="C718" s="65">
        <v>0.33457249070631973</v>
      </c>
      <c r="D718" s="65">
        <v>3598.756395844724</v>
      </c>
      <c r="E718" s="65">
        <f t="shared" si="5"/>
        <v>-3867.8483989128058</v>
      </c>
      <c r="F718" s="65">
        <f t="shared" si="0"/>
        <v>-33882351.974476181</v>
      </c>
      <c r="G718" s="66">
        <f t="shared" ref="G718:G732" si="50">J718-I718-(H718*$N$4)</f>
        <v>-11925394.133629981</v>
      </c>
      <c r="H718" s="66">
        <f t="shared" si="2"/>
        <v>28790051.166757792</v>
      </c>
      <c r="I718" s="66">
        <f t="shared" si="3"/>
        <v>863701.5350027337</v>
      </c>
      <c r="J718" s="67">
        <f t="shared" si="4"/>
        <v>-8470587.9936190452</v>
      </c>
    </row>
    <row r="719" spans="1:10" ht="13.2" x14ac:dyDescent="0.25">
      <c r="A719" s="60">
        <v>359</v>
      </c>
      <c r="B719" s="61">
        <v>18.335986878075449</v>
      </c>
      <c r="C719" s="61">
        <v>0.33364312267657992</v>
      </c>
      <c r="D719" s="61">
        <v>3597.520625478403</v>
      </c>
      <c r="E719" s="61">
        <f t="shared" si="5"/>
        <v>-3868.4680068241723</v>
      </c>
      <c r="F719" s="61">
        <f t="shared" si="0"/>
        <v>-33887779.739779748</v>
      </c>
      <c r="G719" s="62">
        <f t="shared" si="50"/>
        <v>-11925564.735404205</v>
      </c>
      <c r="H719" s="62">
        <f t="shared" si="2"/>
        <v>28780165.003827225</v>
      </c>
      <c r="I719" s="62">
        <f t="shared" si="3"/>
        <v>863404.95011481678</v>
      </c>
      <c r="J719" s="63">
        <f t="shared" si="4"/>
        <v>-8471944.934944937</v>
      </c>
    </row>
    <row r="720" spans="1:10" ht="13.2" x14ac:dyDescent="0.25">
      <c r="A720" s="64">
        <v>358</v>
      </c>
      <c r="B720" s="65">
        <v>18.319945325314382</v>
      </c>
      <c r="C720" s="65">
        <v>0.33271375464684017</v>
      </c>
      <c r="D720" s="65">
        <v>3594.3732728266823</v>
      </c>
      <c r="E720" s="65">
        <f t="shared" si="5"/>
        <v>-3870.0416831500324</v>
      </c>
      <c r="F720" s="65">
        <f t="shared" si="0"/>
        <v>-33901565.144394279</v>
      </c>
      <c r="G720" s="66">
        <f t="shared" si="50"/>
        <v>-11925989.628012186</v>
      </c>
      <c r="H720" s="66">
        <f t="shared" si="2"/>
        <v>28754986.182613458</v>
      </c>
      <c r="I720" s="66">
        <f t="shared" si="3"/>
        <v>862649.58547840372</v>
      </c>
      <c r="J720" s="67">
        <f t="shared" si="4"/>
        <v>-8475391.2860985696</v>
      </c>
    </row>
    <row r="721" spans="1:10" ht="13.2" x14ac:dyDescent="0.25">
      <c r="A721" s="60">
        <v>357</v>
      </c>
      <c r="B721" s="61">
        <v>18.315319846910878</v>
      </c>
      <c r="C721" s="61">
        <v>0.33178438661710036</v>
      </c>
      <c r="D721" s="61">
        <v>3593.4657539639147</v>
      </c>
      <c r="E721" s="61">
        <f t="shared" si="5"/>
        <v>-3870.4941774528902</v>
      </c>
      <c r="F721" s="61">
        <f t="shared" si="0"/>
        <v>-33905528.994487315</v>
      </c>
      <c r="G721" s="62">
        <f t="shared" si="50"/>
        <v>-11926109.372427188</v>
      </c>
      <c r="H721" s="62">
        <f t="shared" si="2"/>
        <v>28747726.031711318</v>
      </c>
      <c r="I721" s="62">
        <f t="shared" si="3"/>
        <v>862431.78095133952</v>
      </c>
      <c r="J721" s="63">
        <f t="shared" si="4"/>
        <v>-8476382.2486218289</v>
      </c>
    </row>
    <row r="722" spans="1:10" ht="13.2" x14ac:dyDescent="0.25">
      <c r="A722" s="64">
        <v>356</v>
      </c>
      <c r="B722" s="65">
        <v>18.29425915800984</v>
      </c>
      <c r="C722" s="65">
        <v>0.33085501858736061</v>
      </c>
      <c r="D722" s="65">
        <v>3589.3336468015309</v>
      </c>
      <c r="E722" s="65">
        <f t="shared" si="5"/>
        <v>-3872.5487102892057</v>
      </c>
      <c r="F722" s="65">
        <f t="shared" si="0"/>
        <v>-33923526.702133439</v>
      </c>
      <c r="G722" s="66">
        <f t="shared" si="50"/>
        <v>-11926641.97646283</v>
      </c>
      <c r="H722" s="66">
        <f t="shared" si="2"/>
        <v>28714669.174412247</v>
      </c>
      <c r="I722" s="66">
        <f t="shared" si="3"/>
        <v>861440.07523236738</v>
      </c>
      <c r="J722" s="67">
        <f t="shared" si="4"/>
        <v>-8480881.6755333599</v>
      </c>
    </row>
    <row r="723" spans="1:10" ht="13.2" x14ac:dyDescent="0.25">
      <c r="A723" s="60">
        <v>355</v>
      </c>
      <c r="B723" s="61">
        <v>18.268277747402951</v>
      </c>
      <c r="C723" s="61">
        <v>0.3299256505576208</v>
      </c>
      <c r="D723" s="61">
        <v>3584.2360940404592</v>
      </c>
      <c r="E723" s="61">
        <f t="shared" si="5"/>
        <v>-3875.0761679081943</v>
      </c>
      <c r="F723" s="61">
        <f t="shared" si="0"/>
        <v>-33945667.230875783</v>
      </c>
      <c r="G723" s="62">
        <f t="shared" si="50"/>
        <v>-11927283.457997788</v>
      </c>
      <c r="H723" s="62">
        <f t="shared" si="2"/>
        <v>28673888.752323672</v>
      </c>
      <c r="I723" s="62">
        <f t="shared" si="3"/>
        <v>860216.66256971017</v>
      </c>
      <c r="J723" s="63">
        <f t="shared" si="4"/>
        <v>-8486416.8077189457</v>
      </c>
    </row>
    <row r="724" spans="1:10" ht="13.2" x14ac:dyDescent="0.25">
      <c r="A724" s="64">
        <v>354</v>
      </c>
      <c r="B724" s="65">
        <v>18.22359759431383</v>
      </c>
      <c r="C724" s="65">
        <v>0.32899628252788105</v>
      </c>
      <c r="D724" s="65">
        <v>3575.4698480043739</v>
      </c>
      <c r="E724" s="65">
        <f t="shared" si="5"/>
        <v>-3879.4104085133963</v>
      </c>
      <c r="F724" s="65">
        <f t="shared" si="0"/>
        <v>-33983635.178577349</v>
      </c>
      <c r="G724" s="66">
        <f t="shared" si="50"/>
        <v>-11928359.848728536</v>
      </c>
      <c r="H724" s="66">
        <f t="shared" si="2"/>
        <v>28603758.78403499</v>
      </c>
      <c r="I724" s="66">
        <f t="shared" si="3"/>
        <v>858112.76352104964</v>
      </c>
      <c r="J724" s="67">
        <f t="shared" si="4"/>
        <v>-8495908.7946443371</v>
      </c>
    </row>
    <row r="725" spans="1:10" ht="13.2" x14ac:dyDescent="0.25">
      <c r="A725" s="60">
        <v>353</v>
      </c>
      <c r="B725" s="61">
        <v>18.21572443958447</v>
      </c>
      <c r="C725" s="61">
        <v>0.32806691449814124</v>
      </c>
      <c r="D725" s="61">
        <v>3573.9251350464733</v>
      </c>
      <c r="E725" s="61">
        <f t="shared" si="5"/>
        <v>-3880.17199794106</v>
      </c>
      <c r="F725" s="61">
        <f t="shared" si="0"/>
        <v>-33990306.701963685</v>
      </c>
      <c r="G725" s="62">
        <f t="shared" si="50"/>
        <v>-11928544.805135537</v>
      </c>
      <c r="H725" s="62">
        <f t="shared" si="2"/>
        <v>28591401.080371786</v>
      </c>
      <c r="I725" s="62">
        <f t="shared" si="3"/>
        <v>857742.03241115354</v>
      </c>
      <c r="J725" s="63">
        <f t="shared" si="4"/>
        <v>-8497576.6754909214</v>
      </c>
    </row>
    <row r="726" spans="1:10" ht="13.2" x14ac:dyDescent="0.25">
      <c r="A726" s="64">
        <v>352</v>
      </c>
      <c r="B726" s="65">
        <v>18.206079825041005</v>
      </c>
      <c r="C726" s="65">
        <v>0.32713754646840149</v>
      </c>
      <c r="D726" s="65">
        <v>3572.0328616730449</v>
      </c>
      <c r="E726" s="65">
        <f t="shared" si="5"/>
        <v>-3881.1023070623833</v>
      </c>
      <c r="F726" s="65">
        <f t="shared" si="0"/>
        <v>-33998456.209866479</v>
      </c>
      <c r="G726" s="66">
        <f t="shared" si="50"/>
        <v>-11928765.599672744</v>
      </c>
      <c r="H726" s="66">
        <f t="shared" si="2"/>
        <v>28576262.89338436</v>
      </c>
      <c r="I726" s="66">
        <f t="shared" si="3"/>
        <v>857287.88680153072</v>
      </c>
      <c r="J726" s="67">
        <f t="shared" si="4"/>
        <v>-8499614.0524666198</v>
      </c>
    </row>
    <row r="727" spans="1:10" ht="13.2" x14ac:dyDescent="0.25">
      <c r="A727" s="60">
        <v>351</v>
      </c>
      <c r="B727" s="61">
        <v>18.193285948605794</v>
      </c>
      <c r="C727" s="61">
        <v>0.32620817843866173</v>
      </c>
      <c r="D727" s="61">
        <v>3569.5227031164568</v>
      </c>
      <c r="E727" s="61">
        <f t="shared" si="5"/>
        <v>-3882.3328912990005</v>
      </c>
      <c r="F727" s="61">
        <f t="shared" si="0"/>
        <v>-34009236.127779245</v>
      </c>
      <c r="G727" s="62">
        <f t="shared" si="50"/>
        <v>-11929050.82693661</v>
      </c>
      <c r="H727" s="62">
        <f t="shared" si="2"/>
        <v>28556181.624931656</v>
      </c>
      <c r="I727" s="62">
        <f t="shared" si="3"/>
        <v>856685.44874794967</v>
      </c>
      <c r="J727" s="63">
        <f t="shared" si="4"/>
        <v>-8502309.0319448113</v>
      </c>
    </row>
    <row r="728" spans="1:10" ht="13.2" x14ac:dyDescent="0.25">
      <c r="A728" s="64">
        <v>350</v>
      </c>
      <c r="B728" s="65">
        <v>18.136107162383816</v>
      </c>
      <c r="C728" s="65">
        <v>0.32527881040892193</v>
      </c>
      <c r="D728" s="65">
        <v>3558.3042252597052</v>
      </c>
      <c r="E728" s="65">
        <f t="shared" si="5"/>
        <v>-3887.8170170914273</v>
      </c>
      <c r="F728" s="65">
        <f t="shared" si="0"/>
        <v>-34057277.069720902</v>
      </c>
      <c r="G728" s="66">
        <f t="shared" si="50"/>
        <v>-11930291.32367954</v>
      </c>
      <c r="H728" s="66">
        <f t="shared" si="2"/>
        <v>28466433.80207764</v>
      </c>
      <c r="I728" s="66">
        <f t="shared" si="3"/>
        <v>853993.0140623292</v>
      </c>
      <c r="J728" s="67">
        <f t="shared" si="4"/>
        <v>-8514319.2674302254</v>
      </c>
    </row>
    <row r="729" spans="1:10" ht="13.2" x14ac:dyDescent="0.25">
      <c r="A729" s="60">
        <v>349</v>
      </c>
      <c r="B729" s="61">
        <v>18.098808091853471</v>
      </c>
      <c r="C729" s="61">
        <v>0.32434944237918217</v>
      </c>
      <c r="D729" s="61">
        <v>3550.9861476216506</v>
      </c>
      <c r="E729" s="61">
        <f t="shared" si="5"/>
        <v>-3891.3842398806091</v>
      </c>
      <c r="F729" s="61">
        <f t="shared" si="0"/>
        <v>-34088525.941354141</v>
      </c>
      <c r="G729" s="62">
        <f t="shared" si="50"/>
        <v>-11931078.18705532</v>
      </c>
      <c r="H729" s="62">
        <f t="shared" si="2"/>
        <v>28407889.180973206</v>
      </c>
      <c r="I729" s="62">
        <f t="shared" si="3"/>
        <v>852236.6754291961</v>
      </c>
      <c r="J729" s="63">
        <f t="shared" si="4"/>
        <v>-8522131.4853385352</v>
      </c>
    </row>
    <row r="730" spans="1:10" ht="13.2" x14ac:dyDescent="0.25">
      <c r="A730" s="64">
        <v>348</v>
      </c>
      <c r="B730" s="65">
        <v>18.074696555494807</v>
      </c>
      <c r="C730" s="65">
        <v>0.32342007434944237</v>
      </c>
      <c r="D730" s="65">
        <v>3546.2554641880815</v>
      </c>
      <c r="E730" s="65">
        <f t="shared" si="5"/>
        <v>-3893.6836334082641</v>
      </c>
      <c r="F730" s="65">
        <f t="shared" si="0"/>
        <v>-34108668.628656395</v>
      </c>
      <c r="G730" s="66">
        <f t="shared" si="50"/>
        <v>-11931572.402784657</v>
      </c>
      <c r="H730" s="66">
        <f t="shared" si="2"/>
        <v>28370043.713504653</v>
      </c>
      <c r="I730" s="66">
        <f t="shared" si="3"/>
        <v>851101.31140513963</v>
      </c>
      <c r="J730" s="67">
        <f t="shared" si="4"/>
        <v>-8527167.1571640987</v>
      </c>
    </row>
    <row r="731" spans="1:10" ht="13.2" x14ac:dyDescent="0.25">
      <c r="A731" s="60">
        <v>347</v>
      </c>
      <c r="B731" s="61">
        <v>18.048911973756152</v>
      </c>
      <c r="C731" s="61">
        <v>0.32249070631970261</v>
      </c>
      <c r="D731" s="61">
        <v>3541.1965292509576</v>
      </c>
      <c r="E731" s="61">
        <f t="shared" si="5"/>
        <v>-3896.1355242723071</v>
      </c>
      <c r="F731" s="61">
        <f t="shared" si="0"/>
        <v>-34130147.192625411</v>
      </c>
      <c r="G731" s="62">
        <f t="shared" si="50"/>
        <v>-11932085.466237271</v>
      </c>
      <c r="H731" s="62">
        <f t="shared" si="2"/>
        <v>28329572.23400766</v>
      </c>
      <c r="I731" s="62">
        <f t="shared" si="3"/>
        <v>849887.16702022974</v>
      </c>
      <c r="J731" s="63">
        <f t="shared" si="4"/>
        <v>-8532536.7981563527</v>
      </c>
    </row>
    <row r="732" spans="1:10" ht="13.2" x14ac:dyDescent="0.25">
      <c r="A732" s="64">
        <v>346</v>
      </c>
      <c r="B732" s="65">
        <v>18.037889557135045</v>
      </c>
      <c r="C732" s="65">
        <v>0.32156133828996281</v>
      </c>
      <c r="D732" s="65">
        <v>3539.033931109896</v>
      </c>
      <c r="E732" s="65">
        <f t="shared" si="5"/>
        <v>-3897.1806460505154</v>
      </c>
      <c r="F732" s="65">
        <f t="shared" si="0"/>
        <v>-34139302.459402516</v>
      </c>
      <c r="G732" s="66">
        <f t="shared" si="50"/>
        <v>-11932298.18871613</v>
      </c>
      <c r="H732" s="66">
        <f t="shared" si="2"/>
        <v>28312271.448879167</v>
      </c>
      <c r="I732" s="66">
        <f t="shared" si="3"/>
        <v>849368.14346637495</v>
      </c>
      <c r="J732" s="67">
        <f t="shared" si="4"/>
        <v>-8534825.6148506291</v>
      </c>
    </row>
    <row r="733" spans="1:10" ht="13.2" x14ac:dyDescent="0.25">
      <c r="A733" s="60">
        <v>345</v>
      </c>
      <c r="B733" s="61">
        <v>18.016632039365771</v>
      </c>
      <c r="C733" s="61">
        <v>0.32063197026022305</v>
      </c>
      <c r="D733" s="61">
        <v>3534.8632061235639</v>
      </c>
      <c r="E733" s="61">
        <f t="shared" si="5"/>
        <v>-3899.1904238436505</v>
      </c>
      <c r="F733" s="61">
        <f t="shared" si="0"/>
        <v>-34156908.11287038</v>
      </c>
      <c r="G733" s="62">
        <f>J733-(I733-(H733*$N$4))</f>
        <v>-6842492.6892782841</v>
      </c>
      <c r="H733" s="62">
        <f t="shared" si="2"/>
        <v>28278905.648988511</v>
      </c>
      <c r="I733" s="62">
        <f t="shared" si="3"/>
        <v>848367.16946965526</v>
      </c>
      <c r="J733" s="63">
        <f t="shared" si="4"/>
        <v>-8539227.0282175951</v>
      </c>
    </row>
    <row r="734" spans="1:10" ht="13.2" x14ac:dyDescent="0.25">
      <c r="A734" s="64">
        <v>344</v>
      </c>
      <c r="B734" s="65">
        <v>17.975593220338983</v>
      </c>
      <c r="C734" s="65">
        <v>0.31970260223048325</v>
      </c>
      <c r="D734" s="65">
        <v>3526.8113898305082</v>
      </c>
      <c r="E734" s="65">
        <f t="shared" si="5"/>
        <v>-3903.0591868766523</v>
      </c>
      <c r="F734" s="65">
        <f t="shared" si="0"/>
        <v>-34190798.477039471</v>
      </c>
      <c r="G734" s="66">
        <f t="shared" ref="G734:G748" si="51">J734-I734-(H734*$N$4)</f>
        <v>-11933438.553497154</v>
      </c>
      <c r="H734" s="66">
        <f t="shared" si="2"/>
        <v>28214491.118644066</v>
      </c>
      <c r="I734" s="66">
        <f t="shared" si="3"/>
        <v>846434.73355932196</v>
      </c>
      <c r="J734" s="67">
        <f t="shared" si="4"/>
        <v>-8547699.6192598678</v>
      </c>
    </row>
    <row r="735" spans="1:10" ht="13.2" x14ac:dyDescent="0.25">
      <c r="A735" s="60">
        <v>343</v>
      </c>
      <c r="B735" s="61">
        <v>17.825904866047019</v>
      </c>
      <c r="C735" s="61">
        <v>0.31877323420074349</v>
      </c>
      <c r="D735" s="61">
        <v>3497.4425347184251</v>
      </c>
      <c r="E735" s="61">
        <f t="shared" si="5"/>
        <v>-3917.1294887449412</v>
      </c>
      <c r="F735" s="61">
        <f t="shared" si="0"/>
        <v>-34314054.321405686</v>
      </c>
      <c r="G735" s="62">
        <f t="shared" si="51"/>
        <v>-11936058.413681109</v>
      </c>
      <c r="H735" s="62">
        <f t="shared" si="2"/>
        <v>27979540.2777474</v>
      </c>
      <c r="I735" s="62">
        <f t="shared" si="3"/>
        <v>839386.20833242196</v>
      </c>
      <c r="J735" s="63">
        <f t="shared" si="4"/>
        <v>-8578513.5803514216</v>
      </c>
    </row>
    <row r="736" spans="1:10" ht="13.2" x14ac:dyDescent="0.25">
      <c r="A736" s="64">
        <v>342</v>
      </c>
      <c r="B736" s="65">
        <v>17.803466375068343</v>
      </c>
      <c r="C736" s="65">
        <v>0.31784386617100374</v>
      </c>
      <c r="D736" s="65">
        <v>3493.0401027884086</v>
      </c>
      <c r="E736" s="65">
        <f t="shared" si="5"/>
        <v>-3919.232509202217</v>
      </c>
      <c r="F736" s="65">
        <f t="shared" si="0"/>
        <v>-34332476.780611426</v>
      </c>
      <c r="G736" s="66">
        <f t="shared" si="51"/>
        <v>-11936437.69382973</v>
      </c>
      <c r="H736" s="66">
        <f t="shared" si="2"/>
        <v>27944320.82230727</v>
      </c>
      <c r="I736" s="66">
        <f t="shared" si="3"/>
        <v>838329.62466921809</v>
      </c>
      <c r="J736" s="67">
        <f t="shared" si="4"/>
        <v>-8583119.1951528564</v>
      </c>
    </row>
    <row r="737" spans="1:10" ht="13.2" x14ac:dyDescent="0.25">
      <c r="A737" s="60">
        <v>341</v>
      </c>
      <c r="B737" s="61">
        <v>17.793428102788411</v>
      </c>
      <c r="C737" s="61">
        <v>0.31691449814126393</v>
      </c>
      <c r="D737" s="61">
        <v>3491.0705937670864</v>
      </c>
      <c r="E737" s="61">
        <f t="shared" si="5"/>
        <v>-3920.1705885455513</v>
      </c>
      <c r="F737" s="61">
        <f t="shared" si="0"/>
        <v>-34340694.355659023</v>
      </c>
      <c r="G737" s="62">
        <f t="shared" si="51"/>
        <v>-11936601.358931158</v>
      </c>
      <c r="H737" s="62">
        <f t="shared" si="2"/>
        <v>27928564.750136692</v>
      </c>
      <c r="I737" s="62">
        <f t="shared" si="3"/>
        <v>837856.94250410073</v>
      </c>
      <c r="J737" s="63">
        <f t="shared" si="4"/>
        <v>-8585173.5889147557</v>
      </c>
    </row>
    <row r="738" spans="1:10" ht="13.2" x14ac:dyDescent="0.25">
      <c r="A738" s="64">
        <v>340</v>
      </c>
      <c r="B738" s="65">
        <v>17.673165664297429</v>
      </c>
      <c r="C738" s="65">
        <v>0.31598513011152418</v>
      </c>
      <c r="D738" s="65">
        <v>3467.4751033351558</v>
      </c>
      <c r="E738" s="65">
        <f t="shared" si="5"/>
        <v>-3931.3762536112731</v>
      </c>
      <c r="F738" s="65">
        <f t="shared" si="0"/>
        <v>-34438855.981634751</v>
      </c>
      <c r="G738" s="66">
        <f t="shared" si="51"/>
        <v>-11938490.094610436</v>
      </c>
      <c r="H738" s="66">
        <f t="shared" si="2"/>
        <v>27739800.826681245</v>
      </c>
      <c r="I738" s="66">
        <f t="shared" si="3"/>
        <v>832194.02480043727</v>
      </c>
      <c r="J738" s="67">
        <f t="shared" si="4"/>
        <v>-8609713.9954086877</v>
      </c>
    </row>
    <row r="739" spans="1:10" ht="13.2" x14ac:dyDescent="0.25">
      <c r="A739" s="60">
        <v>339</v>
      </c>
      <c r="B739" s="61">
        <v>17.658206670311642</v>
      </c>
      <c r="C739" s="61">
        <v>0.31505576208178437</v>
      </c>
      <c r="D739" s="61">
        <v>3464.5401487151444</v>
      </c>
      <c r="E739" s="61">
        <f t="shared" si="5"/>
        <v>-3932.7659928109906</v>
      </c>
      <c r="F739" s="61">
        <f t="shared" si="0"/>
        <v>-34451030.097024277</v>
      </c>
      <c r="G739" s="62">
        <f t="shared" si="51"/>
        <v>-11938716.067022609</v>
      </c>
      <c r="H739" s="62">
        <f t="shared" si="2"/>
        <v>27716321.189721156</v>
      </c>
      <c r="I739" s="62">
        <f t="shared" si="3"/>
        <v>831489.63569163461</v>
      </c>
      <c r="J739" s="63">
        <f t="shared" si="4"/>
        <v>-8612757.5242560692</v>
      </c>
    </row>
    <row r="740" spans="1:10" ht="13.2" x14ac:dyDescent="0.25">
      <c r="A740" s="64">
        <v>338</v>
      </c>
      <c r="B740" s="65">
        <v>17.647381082558773</v>
      </c>
      <c r="C740" s="65">
        <v>0.31412639405204462</v>
      </c>
      <c r="D740" s="65">
        <v>3462.416168398031</v>
      </c>
      <c r="E740" s="65">
        <f t="shared" si="5"/>
        <v>-3933.7687641874718</v>
      </c>
      <c r="F740" s="65">
        <f t="shared" si="0"/>
        <v>-34459814.374282248</v>
      </c>
      <c r="G740" s="66">
        <f t="shared" si="51"/>
        <v>-11938873.115232673</v>
      </c>
      <c r="H740" s="66">
        <f t="shared" si="2"/>
        <v>27699329.347184248</v>
      </c>
      <c r="I740" s="66">
        <f t="shared" si="3"/>
        <v>830979.88041552738</v>
      </c>
      <c r="J740" s="67">
        <f t="shared" si="4"/>
        <v>-8614953.5935705621</v>
      </c>
    </row>
    <row r="741" spans="1:10" ht="13.2" x14ac:dyDescent="0.25">
      <c r="A741" s="60">
        <v>337</v>
      </c>
      <c r="B741" s="61">
        <v>17.60358665937671</v>
      </c>
      <c r="C741" s="61">
        <v>0.31319702602230481</v>
      </c>
      <c r="D741" s="61">
        <v>3453.8237025697103</v>
      </c>
      <c r="E741" s="61">
        <f t="shared" si="5"/>
        <v>-3937.8134518659517</v>
      </c>
      <c r="F741" s="61">
        <f t="shared" si="0"/>
        <v>-34495245.838345736</v>
      </c>
      <c r="G741" s="62">
        <f t="shared" si="51"/>
        <v>-11939482.214053355</v>
      </c>
      <c r="H741" s="62">
        <f t="shared" si="2"/>
        <v>27630589.620557684</v>
      </c>
      <c r="I741" s="62">
        <f t="shared" si="3"/>
        <v>828917.68861673051</v>
      </c>
      <c r="J741" s="63">
        <f t="shared" si="4"/>
        <v>-8623811.4595864341</v>
      </c>
    </row>
    <row r="742" spans="1:10" ht="13.2" x14ac:dyDescent="0.25">
      <c r="A742" s="64">
        <v>336</v>
      </c>
      <c r="B742" s="65">
        <v>17.58055768179333</v>
      </c>
      <c r="C742" s="65">
        <v>0.31226765799256506</v>
      </c>
      <c r="D742" s="65">
        <v>3449.3054171678514</v>
      </c>
      <c r="E742" s="65">
        <f t="shared" si="5"/>
        <v>-3939.9340226168242</v>
      </c>
      <c r="F742" s="65">
        <f t="shared" si="0"/>
        <v>-34513822.038123377</v>
      </c>
      <c r="G742" s="66">
        <f t="shared" si="51"/>
        <v>-11939788.710011981</v>
      </c>
      <c r="H742" s="66">
        <f t="shared" si="2"/>
        <v>27594443.33734281</v>
      </c>
      <c r="I742" s="66">
        <f t="shared" si="3"/>
        <v>827833.30012028432</v>
      </c>
      <c r="J742" s="67">
        <f t="shared" si="4"/>
        <v>-8628455.5095308442</v>
      </c>
    </row>
    <row r="743" spans="1:10" ht="13.2" x14ac:dyDescent="0.25">
      <c r="A743" s="60">
        <v>335</v>
      </c>
      <c r="B743" s="61">
        <v>17.536664844177142</v>
      </c>
      <c r="C743" s="61">
        <v>0.31133828996282525</v>
      </c>
      <c r="D743" s="61">
        <v>3440.6936424275555</v>
      </c>
      <c r="E743" s="61">
        <f t="shared" si="5"/>
        <v>-3943.9637889567302</v>
      </c>
      <c r="F743" s="61">
        <f t="shared" si="0"/>
        <v>-34549122.791260958</v>
      </c>
      <c r="G743" s="62">
        <f t="shared" si="51"/>
        <v>-11940346.594545692</v>
      </c>
      <c r="H743" s="62">
        <f t="shared" si="2"/>
        <v>27525549.139420442</v>
      </c>
      <c r="I743" s="62">
        <f t="shared" si="3"/>
        <v>825766.47418261319</v>
      </c>
      <c r="J743" s="63">
        <f t="shared" si="4"/>
        <v>-8637280.6978152394</v>
      </c>
    </row>
    <row r="744" spans="1:10" ht="13.2" x14ac:dyDescent="0.25">
      <c r="A744" s="64">
        <v>334</v>
      </c>
      <c r="B744" s="65">
        <v>17.512651722252595</v>
      </c>
      <c r="C744" s="65">
        <v>0.3104089219330855</v>
      </c>
      <c r="D744" s="65">
        <v>3435.9822679059594</v>
      </c>
      <c r="E744" s="65">
        <f t="shared" si="5"/>
        <v>-3946.1618465866941</v>
      </c>
      <c r="F744" s="65">
        <f t="shared" si="0"/>
        <v>-34568377.776099443</v>
      </c>
      <c r="G744" s="66">
        <f t="shared" si="51"/>
        <v>-11940637.421214581</v>
      </c>
      <c r="H744" s="66">
        <f t="shared" si="2"/>
        <v>27487858.143247675</v>
      </c>
      <c r="I744" s="66">
        <f t="shared" si="3"/>
        <v>824635.74429743027</v>
      </c>
      <c r="J744" s="67">
        <f t="shared" si="4"/>
        <v>-8642094.4440248609</v>
      </c>
    </row>
    <row r="745" spans="1:10" ht="13.2" x14ac:dyDescent="0.25">
      <c r="A745" s="60">
        <v>333</v>
      </c>
      <c r="B745" s="61">
        <v>17.489524330235099</v>
      </c>
      <c r="C745" s="61">
        <v>0.30947955390334575</v>
      </c>
      <c r="D745" s="61">
        <v>3431.4446735921269</v>
      </c>
      <c r="E745" s="61">
        <f t="shared" si="5"/>
        <v>-3948.2725026778403</v>
      </c>
      <c r="F745" s="61">
        <f t="shared" si="0"/>
        <v>-34586867.123457879</v>
      </c>
      <c r="G745" s="62">
        <f t="shared" si="51"/>
        <v>-11940903.66751291</v>
      </c>
      <c r="H745" s="62">
        <f t="shared" si="2"/>
        <v>27451557.388737015</v>
      </c>
      <c r="I745" s="62">
        <f t="shared" si="3"/>
        <v>823546.72166211042</v>
      </c>
      <c r="J745" s="63">
        <f t="shared" si="4"/>
        <v>-8646716.7808644697</v>
      </c>
    </row>
    <row r="746" spans="1:10" ht="13.2" x14ac:dyDescent="0.25">
      <c r="A746" s="64">
        <v>332</v>
      </c>
      <c r="B746" s="65">
        <v>17.436183706943684</v>
      </c>
      <c r="C746" s="65">
        <v>0.30855018587360594</v>
      </c>
      <c r="D746" s="65">
        <v>3420.9792433023513</v>
      </c>
      <c r="E746" s="65">
        <f t="shared" si="5"/>
        <v>-3953.1258946059056</v>
      </c>
      <c r="F746" s="65">
        <f t="shared" si="0"/>
        <v>-34629382.836747728</v>
      </c>
      <c r="G746" s="66">
        <f t="shared" si="51"/>
        <v>-11941485.782757189</v>
      </c>
      <c r="H746" s="66">
        <f t="shared" si="2"/>
        <v>27367833.946418811</v>
      </c>
      <c r="I746" s="66">
        <f t="shared" si="3"/>
        <v>821035.01839256426</v>
      </c>
      <c r="J746" s="67">
        <f t="shared" si="4"/>
        <v>-8657345.7091869321</v>
      </c>
    </row>
    <row r="747" spans="1:10" ht="13.2" x14ac:dyDescent="0.25">
      <c r="A747" s="60">
        <v>331</v>
      </c>
      <c r="B747" s="61">
        <v>17.436085292509567</v>
      </c>
      <c r="C747" s="61">
        <v>0.30762081784386619</v>
      </c>
      <c r="D747" s="61">
        <v>3420.9599343903774</v>
      </c>
      <c r="E747" s="61">
        <f t="shared" si="5"/>
        <v>-3953.1348222859306</v>
      </c>
      <c r="F747" s="61">
        <f t="shared" si="0"/>
        <v>-34629461.043224752</v>
      </c>
      <c r="G747" s="62">
        <f t="shared" si="51"/>
        <v>-11941486.79782095</v>
      </c>
      <c r="H747" s="62">
        <f t="shared" si="2"/>
        <v>27367679.475123018</v>
      </c>
      <c r="I747" s="62">
        <f t="shared" si="3"/>
        <v>821030.38425369048</v>
      </c>
      <c r="J747" s="63">
        <f t="shared" si="4"/>
        <v>-8657365.260806188</v>
      </c>
    </row>
    <row r="748" spans="1:10" ht="13.2" x14ac:dyDescent="0.25">
      <c r="A748" s="64">
        <v>330</v>
      </c>
      <c r="B748" s="65">
        <v>17.426932750136686</v>
      </c>
      <c r="C748" s="65">
        <v>0.30669144981412638</v>
      </c>
      <c r="D748" s="65">
        <v>3419.1642055768175</v>
      </c>
      <c r="E748" s="65">
        <f t="shared" si="5"/>
        <v>-3953.9625931888354</v>
      </c>
      <c r="F748" s="65">
        <f t="shared" si="0"/>
        <v>-34636712.316334203</v>
      </c>
      <c r="G748" s="66">
        <f t="shared" si="51"/>
        <v>-11941575.716437297</v>
      </c>
      <c r="H748" s="66">
        <f t="shared" si="2"/>
        <v>27353313.64461454</v>
      </c>
      <c r="I748" s="66">
        <f t="shared" si="3"/>
        <v>820599.40933843621</v>
      </c>
      <c r="J748" s="67">
        <f t="shared" si="4"/>
        <v>-8659178.0790835507</v>
      </c>
    </row>
    <row r="749" spans="1:10" ht="13.2" x14ac:dyDescent="0.25">
      <c r="A749" s="60">
        <v>329</v>
      </c>
      <c r="B749" s="61">
        <v>17.399770366320393</v>
      </c>
      <c r="C749" s="61">
        <v>0.30576208178438663</v>
      </c>
      <c r="D749" s="61">
        <v>3413.8349458720609</v>
      </c>
      <c r="E749" s="61">
        <f t="shared" si="5"/>
        <v>-3956.411774344971</v>
      </c>
      <c r="F749" s="61">
        <f t="shared" si="0"/>
        <v>-34658167.143261947</v>
      </c>
      <c r="G749" s="62">
        <f>J749-(I749-(H749*$N$4))</f>
        <v>-7025901.0117968973</v>
      </c>
      <c r="H749" s="62">
        <f t="shared" si="2"/>
        <v>27310679.566976488</v>
      </c>
      <c r="I749" s="62">
        <f t="shared" si="3"/>
        <v>819320.38700929459</v>
      </c>
      <c r="J749" s="63">
        <f t="shared" si="4"/>
        <v>-8664541.7858154867</v>
      </c>
    </row>
    <row r="750" spans="1:10" ht="13.2" x14ac:dyDescent="0.25">
      <c r="A750" s="64">
        <v>328</v>
      </c>
      <c r="B750" s="65">
        <v>17.322515035538547</v>
      </c>
      <c r="C750" s="65">
        <v>0.30483271375464682</v>
      </c>
      <c r="D750" s="65">
        <v>3398.6774499726635</v>
      </c>
      <c r="E750" s="65">
        <f t="shared" si="5"/>
        <v>-3963.3566121501781</v>
      </c>
      <c r="F750" s="65">
        <f t="shared" si="0"/>
        <v>-34719003.922435559</v>
      </c>
      <c r="G750" s="66">
        <f t="shared" ref="G750:G764" si="52">J750-I750-(H750*$N$4)</f>
        <v>-11942481.332582647</v>
      </c>
      <c r="H750" s="66">
        <f t="shared" si="2"/>
        <v>27189419.599781308</v>
      </c>
      <c r="I750" s="66">
        <f t="shared" si="3"/>
        <v>815682.58799343917</v>
      </c>
      <c r="J750" s="67">
        <f t="shared" si="4"/>
        <v>-8679750.9806088898</v>
      </c>
    </row>
    <row r="751" spans="1:10" ht="13.2" x14ac:dyDescent="0.25">
      <c r="A751" s="60">
        <v>327</v>
      </c>
      <c r="B751" s="61">
        <v>17.312378348824495</v>
      </c>
      <c r="C751" s="61">
        <v>0.30390334572490707</v>
      </c>
      <c r="D751" s="61">
        <v>3396.6886320393664</v>
      </c>
      <c r="E751" s="61">
        <f t="shared" si="5"/>
        <v>-3964.2650731299323</v>
      </c>
      <c r="F751" s="61">
        <f t="shared" si="0"/>
        <v>-34726962.040618204</v>
      </c>
      <c r="G751" s="62">
        <f t="shared" si="52"/>
        <v>-11942561.596912343</v>
      </c>
      <c r="H751" s="62">
        <f t="shared" si="2"/>
        <v>27173509.05631493</v>
      </c>
      <c r="I751" s="62">
        <f t="shared" si="3"/>
        <v>815205.27168944792</v>
      </c>
      <c r="J751" s="63">
        <f t="shared" si="4"/>
        <v>-8681740.5101545509</v>
      </c>
    </row>
    <row r="752" spans="1:10" ht="13.2" x14ac:dyDescent="0.25">
      <c r="A752" s="64">
        <v>326</v>
      </c>
      <c r="B752" s="65">
        <v>17.286101694915253</v>
      </c>
      <c r="C752" s="65">
        <v>0.30297397769516726</v>
      </c>
      <c r="D752" s="65">
        <v>3391.533152542373</v>
      </c>
      <c r="E752" s="65">
        <f t="shared" si="5"/>
        <v>-3966.6128286629496</v>
      </c>
      <c r="F752" s="65">
        <f t="shared" si="0"/>
        <v>-34747528.379087441</v>
      </c>
      <c r="G752" s="66">
        <f t="shared" si="52"/>
        <v>-11942753.921212539</v>
      </c>
      <c r="H752" s="66">
        <f t="shared" si="2"/>
        <v>27132265.220338985</v>
      </c>
      <c r="I752" s="66">
        <f t="shared" si="3"/>
        <v>813967.95661016949</v>
      </c>
      <c r="J752" s="67">
        <f t="shared" si="4"/>
        <v>-8686882.0947718602</v>
      </c>
    </row>
    <row r="753" spans="1:10" ht="13.2" x14ac:dyDescent="0.25">
      <c r="A753" s="60">
        <v>325</v>
      </c>
      <c r="B753" s="61">
        <v>17.281673045379986</v>
      </c>
      <c r="C753" s="61">
        <v>0.30204460966542751</v>
      </c>
      <c r="D753" s="61">
        <v>3390.6642515035533</v>
      </c>
      <c r="E753" s="61">
        <f t="shared" si="5"/>
        <v>-3967.0073065044585</v>
      </c>
      <c r="F753" s="61">
        <f t="shared" si="0"/>
        <v>-34750984.004979059</v>
      </c>
      <c r="G753" s="62">
        <f t="shared" si="52"/>
        <v>-11942783.682688175</v>
      </c>
      <c r="H753" s="62">
        <f t="shared" si="2"/>
        <v>27125314.012028426</v>
      </c>
      <c r="I753" s="62">
        <f t="shared" si="3"/>
        <v>813759.42036085273</v>
      </c>
      <c r="J753" s="63">
        <f t="shared" si="4"/>
        <v>-8687746.0012447648</v>
      </c>
    </row>
    <row r="754" spans="1:10" ht="13.2" x14ac:dyDescent="0.25">
      <c r="A754" s="64">
        <v>324</v>
      </c>
      <c r="B754" s="65">
        <v>17.271241115363583</v>
      </c>
      <c r="C754" s="65">
        <v>0.30111524163568776</v>
      </c>
      <c r="D754" s="65">
        <v>3388.617506834335</v>
      </c>
      <c r="E754" s="65">
        <f t="shared" si="5"/>
        <v>-3967.9336677069764</v>
      </c>
      <c r="F754" s="65">
        <f t="shared" si="0"/>
        <v>-34759098.929113112</v>
      </c>
      <c r="G754" s="66">
        <f t="shared" si="52"/>
        <v>-11942847.53883924</v>
      </c>
      <c r="H754" s="66">
        <f t="shared" si="2"/>
        <v>27108940.054674681</v>
      </c>
      <c r="I754" s="66">
        <f t="shared" si="3"/>
        <v>813268.20164024038</v>
      </c>
      <c r="J754" s="67">
        <f t="shared" si="4"/>
        <v>-8689774.7322782781</v>
      </c>
    </row>
    <row r="755" spans="1:10" ht="13.2" x14ac:dyDescent="0.25">
      <c r="A755" s="60">
        <v>323</v>
      </c>
      <c r="B755" s="61">
        <v>17.249589939857845</v>
      </c>
      <c r="C755" s="61">
        <v>0.30018587360594795</v>
      </c>
      <c r="D755" s="61">
        <v>3384.3695462001092</v>
      </c>
      <c r="E755" s="61">
        <f t="shared" si="5"/>
        <v>-3969.8503822868247</v>
      </c>
      <c r="F755" s="61">
        <f t="shared" si="0"/>
        <v>-34775889.348832585</v>
      </c>
      <c r="G755" s="62">
        <f t="shared" si="52"/>
        <v>-11942967.101560252</v>
      </c>
      <c r="H755" s="62">
        <f t="shared" si="2"/>
        <v>27074956.369600873</v>
      </c>
      <c r="I755" s="62">
        <f t="shared" si="3"/>
        <v>812248.69108802616</v>
      </c>
      <c r="J755" s="63">
        <f t="shared" si="4"/>
        <v>-8693972.3372081462</v>
      </c>
    </row>
    <row r="756" spans="1:10" ht="13.2" x14ac:dyDescent="0.25">
      <c r="A756" s="64">
        <v>322</v>
      </c>
      <c r="B756" s="65">
        <v>17.213471842536904</v>
      </c>
      <c r="C756" s="65">
        <v>0.2992565055762082</v>
      </c>
      <c r="D756" s="65">
        <v>3377.2831755057405</v>
      </c>
      <c r="E756" s="65">
        <f t="shared" si="5"/>
        <v>-3973.0379319300164</v>
      </c>
      <c r="F756" s="65">
        <f t="shared" si="0"/>
        <v>-34803812.283706948</v>
      </c>
      <c r="G756" s="66">
        <f t="shared" si="52"/>
        <v>-11943144.919412248</v>
      </c>
      <c r="H756" s="66">
        <f t="shared" si="2"/>
        <v>27018265.404045925</v>
      </c>
      <c r="I756" s="66">
        <f t="shared" si="3"/>
        <v>810547.9621213777</v>
      </c>
      <c r="J756" s="67">
        <f t="shared" si="4"/>
        <v>-8700953.070926737</v>
      </c>
    </row>
    <row r="757" spans="1:10" ht="13.2" x14ac:dyDescent="0.25">
      <c r="A757" s="60">
        <v>321</v>
      </c>
      <c r="B757" s="61">
        <v>17.189261891744124</v>
      </c>
      <c r="C757" s="61">
        <v>0.29832713754646839</v>
      </c>
      <c r="D757" s="61">
        <v>3372.5331831601975</v>
      </c>
      <c r="E757" s="61">
        <f t="shared" si="5"/>
        <v>-3975.1679238507641</v>
      </c>
      <c r="F757" s="61">
        <f t="shared" si="0"/>
        <v>-34822471.012932695</v>
      </c>
      <c r="G757" s="62">
        <f t="shared" si="52"/>
        <v>-11943249.609066963</v>
      </c>
      <c r="H757" s="62">
        <f t="shared" si="2"/>
        <v>26980265.46528158</v>
      </c>
      <c r="I757" s="62">
        <f t="shared" si="3"/>
        <v>809407.96395844733</v>
      </c>
      <c r="J757" s="63">
        <f t="shared" si="4"/>
        <v>-8705617.7532331739</v>
      </c>
    </row>
    <row r="758" spans="1:10" ht="13.2" x14ac:dyDescent="0.25">
      <c r="A758" s="64">
        <v>320</v>
      </c>
      <c r="B758" s="65">
        <v>17.182963367960635</v>
      </c>
      <c r="C758" s="65">
        <v>0.29739776951672864</v>
      </c>
      <c r="D758" s="65">
        <v>3371.2974127938764</v>
      </c>
      <c r="E758" s="65">
        <f t="shared" si="5"/>
        <v>-3975.7203453621028</v>
      </c>
      <c r="F758" s="65">
        <f t="shared" si="0"/>
        <v>-34827310.225372024</v>
      </c>
      <c r="G758" s="66">
        <f t="shared" si="52"/>
        <v>-11943273.072625127</v>
      </c>
      <c r="H758" s="66">
        <f t="shared" si="2"/>
        <v>26970379.302351013</v>
      </c>
      <c r="I758" s="66">
        <f t="shared" si="3"/>
        <v>809111.37907053041</v>
      </c>
      <c r="J758" s="67">
        <f t="shared" si="4"/>
        <v>-8706827.556343006</v>
      </c>
    </row>
    <row r="759" spans="1:10" ht="13.2" x14ac:dyDescent="0.25">
      <c r="A759" s="60">
        <v>319</v>
      </c>
      <c r="B759" s="61">
        <v>17.154127938764351</v>
      </c>
      <c r="C759" s="61">
        <v>0.29646840148698883</v>
      </c>
      <c r="D759" s="61">
        <v>3365.6399015855659</v>
      </c>
      <c r="E759" s="61">
        <f t="shared" si="5"/>
        <v>-3978.2415132286314</v>
      </c>
      <c r="F759" s="61">
        <f t="shared" si="0"/>
        <v>-34849395.655882813</v>
      </c>
      <c r="G759" s="62">
        <f t="shared" si="52"/>
        <v>-11943363.219492847</v>
      </c>
      <c r="H759" s="62">
        <f t="shared" si="2"/>
        <v>26925119.212684527</v>
      </c>
      <c r="I759" s="62">
        <f t="shared" si="3"/>
        <v>807753.57638053573</v>
      </c>
      <c r="J759" s="63">
        <f t="shared" si="4"/>
        <v>-8712348.9139707033</v>
      </c>
    </row>
    <row r="760" spans="1:10" ht="13.2" x14ac:dyDescent="0.25">
      <c r="A760" s="64">
        <v>318</v>
      </c>
      <c r="B760" s="65">
        <v>17.147927829414979</v>
      </c>
      <c r="C760" s="65">
        <v>0.29553903345724908</v>
      </c>
      <c r="D760" s="65">
        <v>3364.4234401312192</v>
      </c>
      <c r="E760" s="65">
        <f t="shared" si="5"/>
        <v>-3978.7819115327002</v>
      </c>
      <c r="F760" s="65">
        <f t="shared" si="0"/>
        <v>-34854129.545026451</v>
      </c>
      <c r="G760" s="66">
        <f t="shared" si="52"/>
        <v>-11943378.888782583</v>
      </c>
      <c r="H760" s="66">
        <f t="shared" si="2"/>
        <v>26915387.521049753</v>
      </c>
      <c r="I760" s="66">
        <f t="shared" si="3"/>
        <v>807461.62563149258</v>
      </c>
      <c r="J760" s="67">
        <f t="shared" si="4"/>
        <v>-8713532.3862566128</v>
      </c>
    </row>
    <row r="761" spans="1:10" ht="13.2" x14ac:dyDescent="0.25">
      <c r="A761" s="60">
        <v>317</v>
      </c>
      <c r="B761" s="61">
        <v>17.14133406232914</v>
      </c>
      <c r="C761" s="61">
        <v>0.29460966542750927</v>
      </c>
      <c r="D761" s="61">
        <v>3363.1297430289778</v>
      </c>
      <c r="E761" s="61">
        <f t="shared" si="5"/>
        <v>-3979.3548173591112</v>
      </c>
      <c r="F761" s="61">
        <f t="shared" si="0"/>
        <v>-34859148.200065814</v>
      </c>
      <c r="G761" s="62">
        <f t="shared" si="52"/>
        <v>-11943391.603324272</v>
      </c>
      <c r="H761" s="62">
        <f t="shared" si="2"/>
        <v>26905037.944231823</v>
      </c>
      <c r="I761" s="62">
        <f t="shared" si="3"/>
        <v>807151.13832695468</v>
      </c>
      <c r="J761" s="63">
        <f t="shared" si="4"/>
        <v>-8714787.0500164535</v>
      </c>
    </row>
    <row r="762" spans="1:10" ht="13.2" x14ac:dyDescent="0.25">
      <c r="A762" s="64">
        <v>316</v>
      </c>
      <c r="B762" s="65">
        <v>17.108168398031712</v>
      </c>
      <c r="C762" s="65">
        <v>0.29368029739776952</v>
      </c>
      <c r="D762" s="65">
        <v>3356.6226396938214</v>
      </c>
      <c r="E762" s="65">
        <f t="shared" si="5"/>
        <v>-3982.2273769169174</v>
      </c>
      <c r="F762" s="65">
        <f t="shared" si="0"/>
        <v>-34884311.8217922</v>
      </c>
      <c r="G762" s="66">
        <f t="shared" si="52"/>
        <v>-11943435.689554119</v>
      </c>
      <c r="H762" s="66">
        <f t="shared" si="2"/>
        <v>26852981.117550571</v>
      </c>
      <c r="I762" s="66">
        <f t="shared" si="3"/>
        <v>805589.43352651712</v>
      </c>
      <c r="J762" s="67">
        <f t="shared" si="4"/>
        <v>-8721077.9554480501</v>
      </c>
    </row>
    <row r="763" spans="1:10" ht="13.2" x14ac:dyDescent="0.25">
      <c r="A763" s="60">
        <v>315</v>
      </c>
      <c r="B763" s="61">
        <v>17.065948605795516</v>
      </c>
      <c r="C763" s="61">
        <v>0.29275092936802977</v>
      </c>
      <c r="D763" s="61">
        <v>3348.3391164570799</v>
      </c>
      <c r="E763" s="61">
        <f t="shared" si="5"/>
        <v>-3985.8725890475839</v>
      </c>
      <c r="F763" s="61">
        <f t="shared" si="0"/>
        <v>-34916243.880056836</v>
      </c>
      <c r="G763" s="62">
        <f t="shared" si="52"/>
        <v>-11943466.521813005</v>
      </c>
      <c r="H763" s="62">
        <f t="shared" si="2"/>
        <v>26786712.93165664</v>
      </c>
      <c r="I763" s="62">
        <f t="shared" si="3"/>
        <v>803601.38794969919</v>
      </c>
      <c r="J763" s="63">
        <f t="shared" si="4"/>
        <v>-8729060.9700142089</v>
      </c>
    </row>
    <row r="764" spans="1:10" ht="13.2" x14ac:dyDescent="0.25">
      <c r="A764" s="64">
        <v>314</v>
      </c>
      <c r="B764" s="65">
        <v>17.051186440677967</v>
      </c>
      <c r="C764" s="65">
        <v>0.29182156133828996</v>
      </c>
      <c r="D764" s="65">
        <v>3345.4427796610175</v>
      </c>
      <c r="E764" s="65">
        <f t="shared" si="5"/>
        <v>-3987.1431010993883</v>
      </c>
      <c r="F764" s="65">
        <f t="shared" si="0"/>
        <v>-34927373.565630645</v>
      </c>
      <c r="G764" s="66">
        <f t="shared" si="52"/>
        <v>-11943468.459882237</v>
      </c>
      <c r="H764" s="66">
        <f t="shared" si="2"/>
        <v>26763542.23728814</v>
      </c>
      <c r="I764" s="66">
        <f t="shared" si="3"/>
        <v>802906.2671186442</v>
      </c>
      <c r="J764" s="67">
        <f t="shared" si="4"/>
        <v>-8731843.3914076611</v>
      </c>
    </row>
    <row r="765" spans="1:10" ht="13.2" x14ac:dyDescent="0.25">
      <c r="A765" s="60">
        <v>313</v>
      </c>
      <c r="B765" s="61">
        <v>17.01624931656643</v>
      </c>
      <c r="C765" s="61">
        <v>0.29089219330855021</v>
      </c>
      <c r="D765" s="61">
        <v>3338.5881159103342</v>
      </c>
      <c r="E765" s="61">
        <f t="shared" si="5"/>
        <v>-3990.1404238639761</v>
      </c>
      <c r="F765" s="61">
        <f t="shared" si="0"/>
        <v>-34953630.113048427</v>
      </c>
      <c r="G765" s="62">
        <f>J765-(I765-(H765*$N$4))</f>
        <v>-7135885.2326251464</v>
      </c>
      <c r="H765" s="62">
        <f t="shared" si="2"/>
        <v>26708704.927282672</v>
      </c>
      <c r="I765" s="62">
        <f t="shared" si="3"/>
        <v>801261.14781848015</v>
      </c>
      <c r="J765" s="63">
        <f t="shared" si="4"/>
        <v>-8738407.5282621067</v>
      </c>
    </row>
    <row r="766" spans="1:10" ht="13.2" x14ac:dyDescent="0.25">
      <c r="A766" s="64">
        <v>312</v>
      </c>
      <c r="B766" s="65">
        <v>16.954445051940951</v>
      </c>
      <c r="C766" s="65">
        <v>0.2899628252788104</v>
      </c>
      <c r="D766" s="65">
        <v>3326.4621191908145</v>
      </c>
      <c r="E766" s="65">
        <f t="shared" si="5"/>
        <v>-3995.425825779826</v>
      </c>
      <c r="F766" s="65">
        <f t="shared" si="0"/>
        <v>-34999930.233831272</v>
      </c>
      <c r="G766" s="66">
        <f t="shared" ref="G766:G780" si="53">J766-I766-(H766*$N$4)</f>
        <v>-11943386.192880999</v>
      </c>
      <c r="H766" s="66">
        <f t="shared" si="2"/>
        <v>26611696.953526516</v>
      </c>
      <c r="I766" s="66">
        <f t="shared" si="3"/>
        <v>798350.90860579547</v>
      </c>
      <c r="J766" s="67">
        <f t="shared" si="4"/>
        <v>-8749982.5584578179</v>
      </c>
    </row>
    <row r="767" spans="1:10" ht="13.2" x14ac:dyDescent="0.25">
      <c r="A767" s="60">
        <v>311</v>
      </c>
      <c r="B767" s="61">
        <v>16.924920721705853</v>
      </c>
      <c r="C767" s="61">
        <v>0.28903345724907065</v>
      </c>
      <c r="D767" s="61">
        <v>3320.669445598689</v>
      </c>
      <c r="E767" s="61">
        <f t="shared" si="5"/>
        <v>-3997.9426240180405</v>
      </c>
      <c r="F767" s="61">
        <f t="shared" si="0"/>
        <v>-35021977.38639804</v>
      </c>
      <c r="G767" s="62">
        <f t="shared" si="53"/>
        <v>-11943337.014374252</v>
      </c>
      <c r="H767" s="62">
        <f t="shared" si="2"/>
        <v>26565355.564789511</v>
      </c>
      <c r="I767" s="62">
        <f t="shared" si="3"/>
        <v>796960.66694368527</v>
      </c>
      <c r="J767" s="63">
        <f t="shared" si="4"/>
        <v>-8755494.3465995099</v>
      </c>
    </row>
    <row r="768" spans="1:10" ht="13.2" x14ac:dyDescent="0.25">
      <c r="A768" s="64">
        <v>310</v>
      </c>
      <c r="B768" s="65">
        <v>16.923641334062328</v>
      </c>
      <c r="C768" s="65">
        <v>0.28810408921933084</v>
      </c>
      <c r="D768" s="65">
        <v>3320.4184297430293</v>
      </c>
      <c r="E768" s="65">
        <f t="shared" si="5"/>
        <v>-3998.0513353458632</v>
      </c>
      <c r="F768" s="65">
        <f t="shared" si="0"/>
        <v>-35022929.697629765</v>
      </c>
      <c r="G768" s="66">
        <f t="shared" si="53"/>
        <v>-11943334.116960749</v>
      </c>
      <c r="H768" s="66">
        <f t="shared" si="2"/>
        <v>26563347.437944233</v>
      </c>
      <c r="I768" s="66">
        <f t="shared" si="3"/>
        <v>796900.42313832697</v>
      </c>
      <c r="J768" s="67">
        <f t="shared" si="4"/>
        <v>-8755732.4244074412</v>
      </c>
    </row>
    <row r="769" spans="1:10" ht="13.2" x14ac:dyDescent="0.25">
      <c r="A769" s="60">
        <v>309</v>
      </c>
      <c r="B769" s="61">
        <v>16.895888463641331</v>
      </c>
      <c r="C769" s="61">
        <v>0.28717472118959109</v>
      </c>
      <c r="D769" s="61">
        <v>3314.9733165664293</v>
      </c>
      <c r="E769" s="61">
        <f t="shared" si="5"/>
        <v>-4000.4019441474716</v>
      </c>
      <c r="F769" s="61">
        <f t="shared" si="0"/>
        <v>-35043521.030731849</v>
      </c>
      <c r="G769" s="62">
        <f t="shared" si="53"/>
        <v>-11943254.641586734</v>
      </c>
      <c r="H769" s="62">
        <f t="shared" si="2"/>
        <v>26519786.532531433</v>
      </c>
      <c r="I769" s="62">
        <f t="shared" si="3"/>
        <v>795593.59597594291</v>
      </c>
      <c r="J769" s="63">
        <f t="shared" si="4"/>
        <v>-8760880.2576829623</v>
      </c>
    </row>
    <row r="770" spans="1:10" ht="13.2" x14ac:dyDescent="0.25">
      <c r="A770" s="64">
        <v>308</v>
      </c>
      <c r="B770" s="65">
        <v>16.853767085839255</v>
      </c>
      <c r="C770" s="65">
        <v>0.28624535315985128</v>
      </c>
      <c r="D770" s="65">
        <v>3306.7091022416616</v>
      </c>
      <c r="E770" s="65">
        <f t="shared" si="5"/>
        <v>-4003.9580140660287</v>
      </c>
      <c r="F770" s="65">
        <f t="shared" si="0"/>
        <v>-35074672.203218408</v>
      </c>
      <c r="G770" s="66">
        <f t="shared" si="53"/>
        <v>-11943108.788956597</v>
      </c>
      <c r="H770" s="66">
        <f t="shared" si="2"/>
        <v>26453672.817933295</v>
      </c>
      <c r="I770" s="66">
        <f t="shared" si="3"/>
        <v>793610.18453799887</v>
      </c>
      <c r="J770" s="67">
        <f t="shared" si="4"/>
        <v>-8768668.050804602</v>
      </c>
    </row>
    <row r="771" spans="1:10" ht="13.2" x14ac:dyDescent="0.25">
      <c r="A771" s="60">
        <v>307</v>
      </c>
      <c r="B771" s="61">
        <v>16.780546746856203</v>
      </c>
      <c r="C771" s="61">
        <v>0.28531598513011153</v>
      </c>
      <c r="D771" s="61">
        <v>3292.3432717331866</v>
      </c>
      <c r="E771" s="61">
        <f t="shared" si="5"/>
        <v>-4010.1195668352307</v>
      </c>
      <c r="F771" s="61">
        <f t="shared" si="0"/>
        <v>-35128647.405476622</v>
      </c>
      <c r="G771" s="62">
        <f t="shared" si="53"/>
        <v>-11942811.392233014</v>
      </c>
      <c r="H771" s="62">
        <f t="shared" si="2"/>
        <v>26338746.173865493</v>
      </c>
      <c r="I771" s="62">
        <f t="shared" si="3"/>
        <v>790162.38521596475</v>
      </c>
      <c r="J771" s="63">
        <f t="shared" si="4"/>
        <v>-8782161.8513691556</v>
      </c>
    </row>
    <row r="772" spans="1:10" ht="13.2" x14ac:dyDescent="0.25">
      <c r="A772" s="64">
        <v>306</v>
      </c>
      <c r="B772" s="65">
        <v>16.73045379989065</v>
      </c>
      <c r="C772" s="65">
        <v>0.28438661710037177</v>
      </c>
      <c r="D772" s="65">
        <v>3282.5150355385454</v>
      </c>
      <c r="E772" s="65">
        <f t="shared" si="5"/>
        <v>-4014.3212291489249</v>
      </c>
      <c r="F772" s="65">
        <f t="shared" si="0"/>
        <v>-35165453.967344582</v>
      </c>
      <c r="G772" s="66">
        <f t="shared" si="53"/>
        <v>-11942577.92595315</v>
      </c>
      <c r="H772" s="66">
        <f t="shared" si="2"/>
        <v>26260120.284308363</v>
      </c>
      <c r="I772" s="66">
        <f t="shared" si="3"/>
        <v>787803.60852925084</v>
      </c>
      <c r="J772" s="67">
        <f t="shared" si="4"/>
        <v>-8791363.4918361455</v>
      </c>
    </row>
    <row r="773" spans="1:10" ht="13.2" x14ac:dyDescent="0.25">
      <c r="A773" s="60">
        <v>305</v>
      </c>
      <c r="B773" s="61">
        <v>16.72159650082012</v>
      </c>
      <c r="C773" s="61">
        <v>0.28345724907063197</v>
      </c>
      <c r="D773" s="61">
        <v>3280.7772334609076</v>
      </c>
      <c r="E773" s="61">
        <f t="shared" si="5"/>
        <v>-4015.0617331011526</v>
      </c>
      <c r="F773" s="61">
        <f t="shared" si="0"/>
        <v>-35171940.781966098</v>
      </c>
      <c r="G773" s="62">
        <f t="shared" si="53"/>
        <v>-11942531.339613996</v>
      </c>
      <c r="H773" s="62">
        <f t="shared" si="2"/>
        <v>26246217.867687263</v>
      </c>
      <c r="I773" s="62">
        <f t="shared" si="3"/>
        <v>787386.53603061789</v>
      </c>
      <c r="J773" s="63">
        <f t="shared" si="4"/>
        <v>-8792985.1954915244</v>
      </c>
    </row>
    <row r="774" spans="1:10" ht="13.2" x14ac:dyDescent="0.25">
      <c r="A774" s="64">
        <v>304</v>
      </c>
      <c r="B774" s="65">
        <v>16.644636413340624</v>
      </c>
      <c r="C774" s="65">
        <v>0.28252788104089221</v>
      </c>
      <c r="D774" s="65">
        <v>3265.677664297431</v>
      </c>
      <c r="E774" s="65">
        <f t="shared" si="5"/>
        <v>-4021.474840078577</v>
      </c>
      <c r="F774" s="65">
        <f t="shared" si="0"/>
        <v>-35228119.599088334</v>
      </c>
      <c r="G774" s="66">
        <f t="shared" si="53"/>
        <v>-11942080.457497617</v>
      </c>
      <c r="H774" s="66">
        <f t="shared" si="2"/>
        <v>26125421.314379446</v>
      </c>
      <c r="I774" s="66">
        <f t="shared" si="3"/>
        <v>783762.63943138334</v>
      </c>
      <c r="J774" s="67">
        <f t="shared" si="4"/>
        <v>-8807029.8997720834</v>
      </c>
    </row>
    <row r="775" spans="1:10" ht="13.2" x14ac:dyDescent="0.25">
      <c r="A775" s="60">
        <v>303</v>
      </c>
      <c r="B775" s="61">
        <v>16.593952979770364</v>
      </c>
      <c r="C775" s="61">
        <v>0.28159851301115241</v>
      </c>
      <c r="D775" s="61">
        <v>3255.7335746309459</v>
      </c>
      <c r="E775" s="61">
        <f t="shared" si="5"/>
        <v>-4025.6844430925958</v>
      </c>
      <c r="F775" s="61">
        <f t="shared" si="0"/>
        <v>-35264995.721491136</v>
      </c>
      <c r="G775" s="62">
        <f t="shared" si="53"/>
        <v>-11941753.162018493</v>
      </c>
      <c r="H775" s="62">
        <f t="shared" si="2"/>
        <v>26045868.597047567</v>
      </c>
      <c r="I775" s="62">
        <f t="shared" si="3"/>
        <v>781376.05791142699</v>
      </c>
      <c r="J775" s="63">
        <f t="shared" si="4"/>
        <v>-8816248.9303727839</v>
      </c>
    </row>
    <row r="776" spans="1:10" ht="13.2" x14ac:dyDescent="0.25">
      <c r="A776" s="64">
        <v>302</v>
      </c>
      <c r="B776" s="65">
        <v>16.577714598141061</v>
      </c>
      <c r="C776" s="65">
        <v>0.28066914498141265</v>
      </c>
      <c r="D776" s="65">
        <v>3252.5476041552765</v>
      </c>
      <c r="E776" s="65">
        <f t="shared" si="5"/>
        <v>-4027.0287094457126</v>
      </c>
      <c r="F776" s="65">
        <f t="shared" si="0"/>
        <v>-35276771.494744442</v>
      </c>
      <c r="G776" s="66">
        <f t="shared" si="53"/>
        <v>-11941638.573675176</v>
      </c>
      <c r="H776" s="66">
        <f t="shared" si="2"/>
        <v>26020380.833242211</v>
      </c>
      <c r="I776" s="66">
        <f t="shared" si="3"/>
        <v>780611.42499726627</v>
      </c>
      <c r="J776" s="67">
        <f t="shared" si="4"/>
        <v>-8819192.8736861106</v>
      </c>
    </row>
    <row r="777" spans="1:10" ht="13.2" x14ac:dyDescent="0.25">
      <c r="A777" s="60">
        <v>301</v>
      </c>
      <c r="B777" s="61">
        <v>16.56915254237288</v>
      </c>
      <c r="C777" s="61">
        <v>0.27973977695167285</v>
      </c>
      <c r="D777" s="61">
        <v>3250.8677288135586</v>
      </c>
      <c r="E777" s="61">
        <f t="shared" si="5"/>
        <v>-4027.7351625982474</v>
      </c>
      <c r="F777" s="61">
        <f t="shared" si="0"/>
        <v>-35282960.024360642</v>
      </c>
      <c r="G777" s="62">
        <f t="shared" si="53"/>
        <v>-11941573.025751177</v>
      </c>
      <c r="H777" s="62">
        <f t="shared" si="2"/>
        <v>26006941.830508471</v>
      </c>
      <c r="I777" s="62">
        <f t="shared" si="3"/>
        <v>780208.25491525407</v>
      </c>
      <c r="J777" s="63">
        <f t="shared" si="4"/>
        <v>-8820740.0060901605</v>
      </c>
    </row>
    <row r="778" spans="1:10" ht="13.2" x14ac:dyDescent="0.25">
      <c r="A778" s="64">
        <v>300</v>
      </c>
      <c r="B778" s="65">
        <v>16.563542919628212</v>
      </c>
      <c r="C778" s="65">
        <v>0.27881040892193309</v>
      </c>
      <c r="D778" s="65">
        <v>3249.7671208310553</v>
      </c>
      <c r="E778" s="65">
        <f t="shared" si="5"/>
        <v>-4028.1964769106162</v>
      </c>
      <c r="F778" s="65">
        <f t="shared" si="0"/>
        <v>-35287001.137736998</v>
      </c>
      <c r="G778" s="66">
        <f t="shared" si="53"/>
        <v>-11941526.720432062</v>
      </c>
      <c r="H778" s="66">
        <f t="shared" si="2"/>
        <v>25998136.966648441</v>
      </c>
      <c r="I778" s="66">
        <f t="shared" si="3"/>
        <v>779944.10899945325</v>
      </c>
      <c r="J778" s="67">
        <f t="shared" si="4"/>
        <v>-8821750.2844342496</v>
      </c>
    </row>
    <row r="779" spans="1:10" ht="13.2" x14ac:dyDescent="0.25">
      <c r="A779" s="60">
        <v>299</v>
      </c>
      <c r="B779" s="61">
        <v>16.516796063422635</v>
      </c>
      <c r="C779" s="61">
        <v>0.27788104089219329</v>
      </c>
      <c r="D779" s="61">
        <v>3240.595387643521</v>
      </c>
      <c r="E779" s="61">
        <f t="shared" si="5"/>
        <v>-4032.0279769736244</v>
      </c>
      <c r="F779" s="61">
        <f t="shared" si="0"/>
        <v>-35320565.07828895</v>
      </c>
      <c r="G779" s="62">
        <f t="shared" si="53"/>
        <v>-11941112.841710018</v>
      </c>
      <c r="H779" s="62">
        <f t="shared" si="2"/>
        <v>25924763.101148169</v>
      </c>
      <c r="I779" s="62">
        <f t="shared" si="3"/>
        <v>777742.89303444501</v>
      </c>
      <c r="J779" s="63">
        <f t="shared" si="4"/>
        <v>-8830141.2695722375</v>
      </c>
    </row>
    <row r="780" spans="1:10" ht="13.2" x14ac:dyDescent="0.25">
      <c r="A780" s="64">
        <v>298</v>
      </c>
      <c r="B780" s="65">
        <v>16.487566976489884</v>
      </c>
      <c r="C780" s="65">
        <v>0.27695167286245354</v>
      </c>
      <c r="D780" s="65">
        <v>3234.8606407873149</v>
      </c>
      <c r="E780" s="65">
        <f t="shared" si="5"/>
        <v>-4034.4156782669147</v>
      </c>
      <c r="F780" s="65">
        <f t="shared" si="0"/>
        <v>-35341481.341618173</v>
      </c>
      <c r="G780" s="66">
        <f t="shared" si="53"/>
        <v>-11940836.550560366</v>
      </c>
      <c r="H780" s="66">
        <f t="shared" si="2"/>
        <v>25878885.126298521</v>
      </c>
      <c r="I780" s="66">
        <f t="shared" si="3"/>
        <v>776366.55378895556</v>
      </c>
      <c r="J780" s="67">
        <f t="shared" si="4"/>
        <v>-8835370.3354045432</v>
      </c>
    </row>
    <row r="781" spans="1:10" ht="13.2" x14ac:dyDescent="0.25">
      <c r="A781" s="60">
        <v>297</v>
      </c>
      <c r="B781" s="61">
        <v>16.460503007107707</v>
      </c>
      <c r="C781" s="61">
        <v>0.27602230483271373</v>
      </c>
      <c r="D781" s="61">
        <v>3229.5506899945326</v>
      </c>
      <c r="E781" s="61">
        <f t="shared" si="5"/>
        <v>-4036.619110449979</v>
      </c>
      <c r="F781" s="61">
        <f t="shared" si="0"/>
        <v>-35360783.407541811</v>
      </c>
      <c r="G781" s="62">
        <f>J781-(I781-(H781*$N$4))</f>
        <v>-7290011.5206880774</v>
      </c>
      <c r="H781" s="62">
        <f t="shared" si="2"/>
        <v>25836405.519956261</v>
      </c>
      <c r="I781" s="62">
        <f t="shared" si="3"/>
        <v>775092.16559868783</v>
      </c>
      <c r="J781" s="63">
        <f t="shared" si="4"/>
        <v>-8840195.8518854529</v>
      </c>
    </row>
    <row r="782" spans="1:10" ht="13.2" x14ac:dyDescent="0.25">
      <c r="A782" s="64">
        <v>296</v>
      </c>
      <c r="B782" s="65">
        <v>16.460306178239474</v>
      </c>
      <c r="C782" s="65">
        <v>0.27509293680297398</v>
      </c>
      <c r="D782" s="65">
        <v>3229.5120721705844</v>
      </c>
      <c r="E782" s="65">
        <f t="shared" si="5"/>
        <v>-4036.6350815760543</v>
      </c>
      <c r="F782" s="65">
        <f t="shared" si="0"/>
        <v>-35360923.314606234</v>
      </c>
      <c r="G782" s="66">
        <f t="shared" ref="G782:G796" si="54">J782-I782-(H782*$N$4)</f>
        <v>-11940562.417935321</v>
      </c>
      <c r="H782" s="66">
        <f t="shared" si="2"/>
        <v>25836096.577364676</v>
      </c>
      <c r="I782" s="66">
        <f t="shared" si="3"/>
        <v>775082.89732094028</v>
      </c>
      <c r="J782" s="67">
        <f t="shared" si="4"/>
        <v>-8840230.8286515586</v>
      </c>
    </row>
    <row r="783" spans="1:10" ht="13.2" x14ac:dyDescent="0.25">
      <c r="A783" s="60">
        <v>295</v>
      </c>
      <c r="B783" s="61">
        <v>16.404406779661016</v>
      </c>
      <c r="C783" s="61">
        <v>0.27416356877323422</v>
      </c>
      <c r="D783" s="61">
        <v>3218.5446101694915</v>
      </c>
      <c r="E783" s="61">
        <f t="shared" si="5"/>
        <v>-4041.1555921685122</v>
      </c>
      <c r="F783" s="61">
        <f t="shared" si="0"/>
        <v>-35400522.987396166</v>
      </c>
      <c r="G783" s="62">
        <f t="shared" si="54"/>
        <v>-11939933.572611753</v>
      </c>
      <c r="H783" s="62">
        <f t="shared" si="2"/>
        <v>25748356.881355934</v>
      </c>
      <c r="I783" s="62">
        <f t="shared" si="3"/>
        <v>772450.70644067798</v>
      </c>
      <c r="J783" s="63">
        <f t="shared" si="4"/>
        <v>-8850130.7468490414</v>
      </c>
    </row>
    <row r="784" spans="1:10" ht="13.2" x14ac:dyDescent="0.25">
      <c r="A784" s="64">
        <v>294</v>
      </c>
      <c r="B784" s="65">
        <v>16.395943138326952</v>
      </c>
      <c r="C784" s="65">
        <v>0.27323420074349442</v>
      </c>
      <c r="D784" s="65">
        <v>3216.884043739748</v>
      </c>
      <c r="E784" s="65">
        <f t="shared" si="5"/>
        <v>-4041.8377207576818</v>
      </c>
      <c r="F784" s="65">
        <f t="shared" si="0"/>
        <v>-35406498.433837295</v>
      </c>
      <c r="G784" s="66">
        <f t="shared" si="54"/>
        <v>-11939833.290449483</v>
      </c>
      <c r="H784" s="66">
        <f t="shared" si="2"/>
        <v>25735072.349917985</v>
      </c>
      <c r="I784" s="66">
        <f t="shared" si="3"/>
        <v>772052.17049753957</v>
      </c>
      <c r="J784" s="67">
        <f t="shared" si="4"/>
        <v>-8851624.6084593236</v>
      </c>
    </row>
    <row r="785" spans="1:10" ht="13.2" x14ac:dyDescent="0.25">
      <c r="A785" s="60">
        <v>293</v>
      </c>
      <c r="B785" s="61">
        <v>16.391416074357572</v>
      </c>
      <c r="C785" s="61">
        <v>0.27230483271375466</v>
      </c>
      <c r="D785" s="61">
        <v>3215.9958337889557</v>
      </c>
      <c r="E785" s="61">
        <f t="shared" si="5"/>
        <v>-4042.2013420247117</v>
      </c>
      <c r="F785" s="61">
        <f t="shared" si="0"/>
        <v>-35409683.756136477</v>
      </c>
      <c r="G785" s="62">
        <f t="shared" si="54"/>
        <v>-11939776.939471517</v>
      </c>
      <c r="H785" s="62">
        <f t="shared" si="2"/>
        <v>25727966.670311645</v>
      </c>
      <c r="I785" s="62">
        <f t="shared" si="3"/>
        <v>771839.00010934926</v>
      </c>
      <c r="J785" s="63">
        <f t="shared" si="4"/>
        <v>-8852420.9390341192</v>
      </c>
    </row>
    <row r="786" spans="1:10" ht="13.2" x14ac:dyDescent="0.25">
      <c r="A786" s="64">
        <v>292</v>
      </c>
      <c r="B786" s="65">
        <v>16.389546200109351</v>
      </c>
      <c r="C786" s="65">
        <v>0.27137546468401486</v>
      </c>
      <c r="D786" s="65">
        <v>3215.6289644614553</v>
      </c>
      <c r="E786" s="65">
        <f t="shared" si="5"/>
        <v>-4042.351021982679</v>
      </c>
      <c r="F786" s="65">
        <f t="shared" si="0"/>
        <v>-35410994.95256827</v>
      </c>
      <c r="G786" s="66">
        <f t="shared" si="54"/>
        <v>-11939752.544025064</v>
      </c>
      <c r="H786" s="66">
        <f t="shared" si="2"/>
        <v>25725031.715691641</v>
      </c>
      <c r="I786" s="66">
        <f t="shared" si="3"/>
        <v>771750.95147074922</v>
      </c>
      <c r="J786" s="67">
        <f t="shared" si="4"/>
        <v>-8852748.7381420676</v>
      </c>
    </row>
    <row r="787" spans="1:10" ht="13.2" x14ac:dyDescent="0.25">
      <c r="A787" s="60">
        <v>291</v>
      </c>
      <c r="B787" s="61">
        <v>16.38492072170585</v>
      </c>
      <c r="C787" s="61">
        <v>0.2704460966542751</v>
      </c>
      <c r="D787" s="61">
        <v>3214.7214455986887</v>
      </c>
      <c r="E787" s="61">
        <f t="shared" si="5"/>
        <v>-4042.7200178028093</v>
      </c>
      <c r="F787" s="61">
        <f t="shared" si="0"/>
        <v>-35414227.355952613</v>
      </c>
      <c r="G787" s="62">
        <f t="shared" si="54"/>
        <v>-11939689.426762894</v>
      </c>
      <c r="H787" s="62">
        <f t="shared" si="2"/>
        <v>25717771.564789508</v>
      </c>
      <c r="I787" s="62">
        <f t="shared" si="3"/>
        <v>771533.14694368525</v>
      </c>
      <c r="J787" s="63">
        <f t="shared" si="4"/>
        <v>-8853556.8389881533</v>
      </c>
    </row>
    <row r="788" spans="1:10" ht="13.2" x14ac:dyDescent="0.25">
      <c r="A788" s="64">
        <v>290</v>
      </c>
      <c r="B788" s="65">
        <v>16.381476216511754</v>
      </c>
      <c r="C788" s="65">
        <v>0.2695167286245353</v>
      </c>
      <c r="D788" s="65">
        <v>3214.0456336796065</v>
      </c>
      <c r="E788" s="65">
        <f t="shared" si="5"/>
        <v>-4042.9938598071958</v>
      </c>
      <c r="F788" s="65">
        <f t="shared" si="0"/>
        <v>-35416626.21191103</v>
      </c>
      <c r="G788" s="66">
        <f t="shared" si="54"/>
        <v>-11939640.36131018</v>
      </c>
      <c r="H788" s="66">
        <f t="shared" si="2"/>
        <v>25712365.069436852</v>
      </c>
      <c r="I788" s="66">
        <f t="shared" si="3"/>
        <v>771370.95208310557</v>
      </c>
      <c r="J788" s="67">
        <f t="shared" si="4"/>
        <v>-8854156.5529777575</v>
      </c>
    </row>
    <row r="789" spans="1:10" ht="13.2" x14ac:dyDescent="0.25">
      <c r="A789" s="60">
        <v>289</v>
      </c>
      <c r="B789" s="61">
        <v>16.352640787315472</v>
      </c>
      <c r="C789" s="61">
        <v>0.26858736059479554</v>
      </c>
      <c r="D789" s="61">
        <v>3208.3881224712964</v>
      </c>
      <c r="E789" s="61">
        <f t="shared" si="5"/>
        <v>-4045.278421721704</v>
      </c>
      <c r="F789" s="61">
        <f t="shared" si="0"/>
        <v>-35436638.974282123</v>
      </c>
      <c r="G789" s="62">
        <f t="shared" si="54"/>
        <v>-11939212.341142975</v>
      </c>
      <c r="H789" s="62">
        <f t="shared" si="2"/>
        <v>25667104.97977037</v>
      </c>
      <c r="I789" s="62">
        <f t="shared" si="3"/>
        <v>770013.14939311112</v>
      </c>
      <c r="J789" s="63">
        <f t="shared" si="4"/>
        <v>-8859159.7435705308</v>
      </c>
    </row>
    <row r="790" spans="1:10" ht="13.2" x14ac:dyDescent="0.25">
      <c r="A790" s="64">
        <v>288</v>
      </c>
      <c r="B790" s="65">
        <v>16.346539092400217</v>
      </c>
      <c r="C790" s="65">
        <v>0.26765799256505574</v>
      </c>
      <c r="D790" s="65">
        <v>3207.1909699289226</v>
      </c>
      <c r="E790" s="65">
        <f t="shared" si="5"/>
        <v>-4045.7601754864327</v>
      </c>
      <c r="F790" s="65">
        <f t="shared" si="0"/>
        <v>-35440859.137261145</v>
      </c>
      <c r="G790" s="66">
        <f t="shared" si="54"/>
        <v>-11939118.115447052</v>
      </c>
      <c r="H790" s="66">
        <f t="shared" si="2"/>
        <v>25657527.759431381</v>
      </c>
      <c r="I790" s="66">
        <f t="shared" si="3"/>
        <v>769725.8327829414</v>
      </c>
      <c r="J790" s="67">
        <f t="shared" si="4"/>
        <v>-8860214.7843152862</v>
      </c>
    </row>
    <row r="791" spans="1:10" ht="13.2" x14ac:dyDescent="0.25">
      <c r="A791" s="60">
        <v>287</v>
      </c>
      <c r="B791" s="61">
        <v>16.280306178239474</v>
      </c>
      <c r="C791" s="61">
        <v>0.26672862453531598</v>
      </c>
      <c r="D791" s="61">
        <v>3194.196072170585</v>
      </c>
      <c r="E791" s="61">
        <f t="shared" si="5"/>
        <v>-4050.9714193365467</v>
      </c>
      <c r="F791" s="61">
        <f t="shared" si="0"/>
        <v>-35486509.633388147</v>
      </c>
      <c r="G791" s="62">
        <f t="shared" si="54"/>
        <v>-11938055.637630798</v>
      </c>
      <c r="H791" s="62">
        <f t="shared" si="2"/>
        <v>25553568.577364679</v>
      </c>
      <c r="I791" s="62">
        <f t="shared" si="3"/>
        <v>766607.05732094031</v>
      </c>
      <c r="J791" s="63">
        <f t="shared" si="4"/>
        <v>-8871627.4083470367</v>
      </c>
    </row>
    <row r="792" spans="1:10" ht="13.2" x14ac:dyDescent="0.25">
      <c r="A792" s="64">
        <v>286</v>
      </c>
      <c r="B792" s="65">
        <v>16.278928376161836</v>
      </c>
      <c r="C792" s="65">
        <v>0.26579925650557623</v>
      </c>
      <c r="D792" s="65">
        <v>3193.9257474029523</v>
      </c>
      <c r="E792" s="65">
        <f t="shared" si="5"/>
        <v>-4051.0794487511212</v>
      </c>
      <c r="F792" s="65">
        <f t="shared" si="0"/>
        <v>-35487455.971059822</v>
      </c>
      <c r="G792" s="66">
        <f t="shared" si="54"/>
        <v>-11938032.710271789</v>
      </c>
      <c r="H792" s="66">
        <f t="shared" si="2"/>
        <v>25551405.97922362</v>
      </c>
      <c r="I792" s="66">
        <f t="shared" si="3"/>
        <v>766542.17937670858</v>
      </c>
      <c r="J792" s="67">
        <f t="shared" si="4"/>
        <v>-8871863.9927649554</v>
      </c>
    </row>
    <row r="793" spans="1:10" ht="13.2" x14ac:dyDescent="0.25">
      <c r="A793" s="60">
        <v>285</v>
      </c>
      <c r="B793" s="61">
        <v>16.269185347184255</v>
      </c>
      <c r="C793" s="61">
        <v>0.26486988847583642</v>
      </c>
      <c r="D793" s="61">
        <v>3192.0141651175504</v>
      </c>
      <c r="E793" s="61">
        <f t="shared" si="5"/>
        <v>-4051.8407061947037</v>
      </c>
      <c r="F793" s="61">
        <f t="shared" si="0"/>
        <v>-35494124.586265601</v>
      </c>
      <c r="G793" s="62">
        <f t="shared" si="54"/>
        <v>-11937864.745079249</v>
      </c>
      <c r="H793" s="62">
        <f t="shared" si="2"/>
        <v>25536113.320940405</v>
      </c>
      <c r="I793" s="62">
        <f t="shared" si="3"/>
        <v>766083.39962821209</v>
      </c>
      <c r="J793" s="63">
        <f t="shared" si="4"/>
        <v>-8873531.1465664003</v>
      </c>
    </row>
    <row r="794" spans="1:10" ht="13.2" x14ac:dyDescent="0.25">
      <c r="A794" s="64">
        <v>284</v>
      </c>
      <c r="B794" s="65">
        <v>16.214270092946965</v>
      </c>
      <c r="C794" s="65">
        <v>0.26394052044609667</v>
      </c>
      <c r="D794" s="65">
        <v>3181.2397922361952</v>
      </c>
      <c r="E794" s="65">
        <f t="shared" si="5"/>
        <v>-4056.1164099310781</v>
      </c>
      <c r="F794" s="65">
        <f t="shared" si="0"/>
        <v>-35531579.750996247</v>
      </c>
      <c r="G794" s="66">
        <f t="shared" si="54"/>
        <v>-11936885.138295809</v>
      </c>
      <c r="H794" s="66">
        <f t="shared" si="2"/>
        <v>25449918.33788956</v>
      </c>
      <c r="I794" s="66">
        <f t="shared" si="3"/>
        <v>763497.55013668677</v>
      </c>
      <c r="J794" s="67">
        <f t="shared" si="4"/>
        <v>-8882894.9377490617</v>
      </c>
    </row>
    <row r="795" spans="1:10" ht="13.2" x14ac:dyDescent="0.25">
      <c r="A795" s="60">
        <v>283</v>
      </c>
      <c r="B795" s="61">
        <v>16.19311098961181</v>
      </c>
      <c r="C795" s="61">
        <v>0.26301115241635686</v>
      </c>
      <c r="D795" s="61">
        <v>3177.0883761618375</v>
      </c>
      <c r="E795" s="61">
        <f t="shared" si="5"/>
        <v>-4057.7580712132708</v>
      </c>
      <c r="F795" s="61">
        <f t="shared" si="0"/>
        <v>-35545960.703828253</v>
      </c>
      <c r="G795" s="62">
        <f t="shared" si="54"/>
        <v>-11936495.017072426</v>
      </c>
      <c r="H795" s="62">
        <f t="shared" si="2"/>
        <v>25416707.0092947</v>
      </c>
      <c r="I795" s="62">
        <f t="shared" si="3"/>
        <v>762501.21027884097</v>
      </c>
      <c r="J795" s="63">
        <f t="shared" si="4"/>
        <v>-8886490.1759570632</v>
      </c>
    </row>
    <row r="796" spans="1:10" ht="13.2" x14ac:dyDescent="0.25">
      <c r="A796" s="64">
        <v>282</v>
      </c>
      <c r="B796" s="65">
        <v>16.185631492618917</v>
      </c>
      <c r="C796" s="65">
        <v>0.26208178438661711</v>
      </c>
      <c r="D796" s="65">
        <v>3175.6208988518315</v>
      </c>
      <c r="E796" s="65">
        <f t="shared" si="5"/>
        <v>-4058.3363336476968</v>
      </c>
      <c r="F796" s="65">
        <f t="shared" si="0"/>
        <v>-35551026.282753825</v>
      </c>
      <c r="G796" s="66">
        <f t="shared" si="54"/>
        <v>-11936352.633586213</v>
      </c>
      <c r="H796" s="66">
        <f t="shared" si="2"/>
        <v>25404967.190814652</v>
      </c>
      <c r="I796" s="66">
        <f t="shared" si="3"/>
        <v>762149.01572443952</v>
      </c>
      <c r="J796" s="67">
        <f t="shared" si="4"/>
        <v>-8887756.5706884563</v>
      </c>
    </row>
    <row r="797" spans="1:10" ht="13.2" x14ac:dyDescent="0.25">
      <c r="A797" s="60">
        <v>281</v>
      </c>
      <c r="B797" s="61">
        <v>16.179332968835428</v>
      </c>
      <c r="C797" s="61">
        <v>0.2611524163568773</v>
      </c>
      <c r="D797" s="61">
        <v>3174.3851284855109</v>
      </c>
      <c r="E797" s="61">
        <f t="shared" si="5"/>
        <v>-4058.8215687590077</v>
      </c>
      <c r="F797" s="61">
        <f t="shared" si="0"/>
        <v>-35555276.942328908</v>
      </c>
      <c r="G797" s="62">
        <f>J797-(I797-(H797*$N$4))</f>
        <v>-7365114.373909181</v>
      </c>
      <c r="H797" s="62">
        <f t="shared" si="2"/>
        <v>25395081.027884088</v>
      </c>
      <c r="I797" s="62">
        <f t="shared" si="3"/>
        <v>761852.4308365226</v>
      </c>
      <c r="J797" s="63">
        <f t="shared" si="4"/>
        <v>-8888819.2355822269</v>
      </c>
    </row>
    <row r="798" spans="1:10" ht="13.2" x14ac:dyDescent="0.25">
      <c r="A798" s="64">
        <v>280</v>
      </c>
      <c r="B798" s="65">
        <v>16.173526517222527</v>
      </c>
      <c r="C798" s="65">
        <v>0.26022304832713755</v>
      </c>
      <c r="D798" s="65">
        <v>3173.2459026790598</v>
      </c>
      <c r="E798" s="65">
        <f t="shared" si="5"/>
        <v>-4059.2673067371825</v>
      </c>
      <c r="F798" s="65">
        <f t="shared" si="0"/>
        <v>-35559181.607017718</v>
      </c>
      <c r="G798" s="66">
        <f t="shared" ref="G798:G812" si="55">J798-I798-(H798*$N$4)</f>
        <v>-11936111.468326326</v>
      </c>
      <c r="H798" s="66">
        <f t="shared" si="2"/>
        <v>25385967.221432477</v>
      </c>
      <c r="I798" s="66">
        <f t="shared" si="3"/>
        <v>761579.01664297434</v>
      </c>
      <c r="J798" s="67">
        <f t="shared" si="4"/>
        <v>-8889795.4017544296</v>
      </c>
    </row>
    <row r="799" spans="1:10" ht="13.2" x14ac:dyDescent="0.25">
      <c r="A799" s="60">
        <v>279</v>
      </c>
      <c r="B799" s="61">
        <v>16.032695462001094</v>
      </c>
      <c r="C799" s="61">
        <v>0.25929368029739774</v>
      </c>
      <c r="D799" s="61">
        <v>3145.6148496446144</v>
      </c>
      <c r="E799" s="61">
        <f t="shared" si="5"/>
        <v>-4070.0398223021916</v>
      </c>
      <c r="F799" s="61">
        <f t="shared" si="0"/>
        <v>-35653548.843367197</v>
      </c>
      <c r="G799" s="62">
        <f t="shared" si="55"/>
        <v>-11933177.466500629</v>
      </c>
      <c r="H799" s="62">
        <f t="shared" si="2"/>
        <v>25164918.797156915</v>
      </c>
      <c r="I799" s="62">
        <f t="shared" si="3"/>
        <v>754947.5639147074</v>
      </c>
      <c r="J799" s="63">
        <f t="shared" si="4"/>
        <v>-8913387.2108417992</v>
      </c>
    </row>
    <row r="800" spans="1:10" ht="13.2" x14ac:dyDescent="0.25">
      <c r="A800" s="64">
        <v>278</v>
      </c>
      <c r="B800" s="65">
        <v>15.997856752323674</v>
      </c>
      <c r="C800" s="65">
        <v>0.25836431226765799</v>
      </c>
      <c r="D800" s="65">
        <v>3138.779494805905</v>
      </c>
      <c r="E800" s="65">
        <f t="shared" si="5"/>
        <v>-4072.6951924904633</v>
      </c>
      <c r="F800" s="65">
        <f t="shared" si="0"/>
        <v>-35676809.886216454</v>
      </c>
      <c r="G800" s="66">
        <f t="shared" si="55"/>
        <v>-11932430.786567783</v>
      </c>
      <c r="H800" s="66">
        <f t="shared" si="2"/>
        <v>25110235.95844724</v>
      </c>
      <c r="I800" s="66">
        <f t="shared" si="3"/>
        <v>753307.07875341712</v>
      </c>
      <c r="J800" s="67">
        <f t="shared" si="4"/>
        <v>-8919202.4715541136</v>
      </c>
    </row>
    <row r="801" spans="1:10" ht="13.2" x14ac:dyDescent="0.25">
      <c r="A801" s="60">
        <v>277</v>
      </c>
      <c r="B801" s="61">
        <v>15.954652815746309</v>
      </c>
      <c r="C801" s="61">
        <v>0.25743494423791824</v>
      </c>
      <c r="D801" s="61">
        <v>3130.3028824494263</v>
      </c>
      <c r="E801" s="61">
        <f t="shared" si="5"/>
        <v>-4075.9763347269627</v>
      </c>
      <c r="F801" s="61">
        <f t="shared" si="0"/>
        <v>-35705552.692208193</v>
      </c>
      <c r="G801" s="62">
        <f t="shared" si="55"/>
        <v>-11931478.940203499</v>
      </c>
      <c r="H801" s="62">
        <f t="shared" si="2"/>
        <v>25042423.05959541</v>
      </c>
      <c r="I801" s="62">
        <f t="shared" si="3"/>
        <v>751272.69178786222</v>
      </c>
      <c r="J801" s="63">
        <f t="shared" si="4"/>
        <v>-8926388.1730520483</v>
      </c>
    </row>
    <row r="802" spans="1:10" ht="13.2" x14ac:dyDescent="0.25">
      <c r="A802" s="64">
        <v>276</v>
      </c>
      <c r="B802" s="65">
        <v>15.948452706396939</v>
      </c>
      <c r="C802" s="65">
        <v>0.25650557620817843</v>
      </c>
      <c r="D802" s="65">
        <v>3129.0864209950796</v>
      </c>
      <c r="E802" s="65">
        <f t="shared" si="5"/>
        <v>-4076.4455089867711</v>
      </c>
      <c r="F802" s="65">
        <f t="shared" si="0"/>
        <v>-35709662.658724114</v>
      </c>
      <c r="G802" s="66">
        <f t="shared" si="55"/>
        <v>-11931338.628836306</v>
      </c>
      <c r="H802" s="66">
        <f t="shared" si="2"/>
        <v>25032691.367960636</v>
      </c>
      <c r="I802" s="66">
        <f t="shared" si="3"/>
        <v>750980.74103881908</v>
      </c>
      <c r="J802" s="67">
        <f t="shared" si="4"/>
        <v>-8927415.6646810286</v>
      </c>
    </row>
    <row r="803" spans="1:10" ht="13.2" x14ac:dyDescent="0.25">
      <c r="A803" s="60">
        <v>275</v>
      </c>
      <c r="B803" s="61">
        <v>15.863225806451613</v>
      </c>
      <c r="C803" s="61">
        <v>0.25557620817843868</v>
      </c>
      <c r="D803" s="61">
        <v>3112.3649032258068</v>
      </c>
      <c r="E803" s="61">
        <f t="shared" si="5"/>
        <v>-4082.8714825904831</v>
      </c>
      <c r="F803" s="61">
        <f t="shared" si="0"/>
        <v>-35765954.187492631</v>
      </c>
      <c r="G803" s="62">
        <f t="shared" si="55"/>
        <v>-11929358.853969932</v>
      </c>
      <c r="H803" s="62">
        <f t="shared" si="2"/>
        <v>24898919.225806452</v>
      </c>
      <c r="I803" s="62">
        <f t="shared" si="3"/>
        <v>746967.57677419356</v>
      </c>
      <c r="J803" s="63">
        <f t="shared" si="4"/>
        <v>-8941488.5468731578</v>
      </c>
    </row>
    <row r="804" spans="1:10" ht="13.2" x14ac:dyDescent="0.25">
      <c r="A804" s="64">
        <v>274</v>
      </c>
      <c r="B804" s="65">
        <v>15.858600328048114</v>
      </c>
      <c r="C804" s="65">
        <v>0.25464684014869887</v>
      </c>
      <c r="D804" s="65">
        <v>3111.4573843630405</v>
      </c>
      <c r="E804" s="65">
        <f t="shared" si="5"/>
        <v>-4083.2189712256686</v>
      </c>
      <c r="F804" s="65">
        <f t="shared" si="0"/>
        <v>-35768998.187936857</v>
      </c>
      <c r="G804" s="66">
        <f t="shared" si="55"/>
        <v>-11929248.635972733</v>
      </c>
      <c r="H804" s="66">
        <f t="shared" si="2"/>
        <v>24891659.074904323</v>
      </c>
      <c r="I804" s="66">
        <f t="shared" si="3"/>
        <v>746749.7722471297</v>
      </c>
      <c r="J804" s="67">
        <f t="shared" si="4"/>
        <v>-8942249.5469842143</v>
      </c>
    </row>
    <row r="805" spans="1:10" ht="13.2" x14ac:dyDescent="0.25">
      <c r="A805" s="60">
        <v>273</v>
      </c>
      <c r="B805" s="61">
        <v>15.822383816293057</v>
      </c>
      <c r="C805" s="61">
        <v>0.25371747211895912</v>
      </c>
      <c r="D805" s="61">
        <v>3104.3517047566975</v>
      </c>
      <c r="E805" s="61">
        <f t="shared" si="5"/>
        <v>-4085.9298276182371</v>
      </c>
      <c r="F805" s="61">
        <f t="shared" si="0"/>
        <v>-35792745.289935753</v>
      </c>
      <c r="G805" s="62">
        <f t="shared" si="55"/>
        <v>-11928363.959050369</v>
      </c>
      <c r="H805" s="62">
        <f t="shared" si="2"/>
        <v>24834813.638053581</v>
      </c>
      <c r="I805" s="62">
        <f t="shared" si="3"/>
        <v>745044.40914160735</v>
      </c>
      <c r="J805" s="63">
        <f t="shared" si="4"/>
        <v>-8948186.3224839382</v>
      </c>
    </row>
    <row r="806" spans="1:10" ht="13.2" x14ac:dyDescent="0.25">
      <c r="A806" s="64">
        <v>272</v>
      </c>
      <c r="B806" s="65">
        <v>15.793253143794422</v>
      </c>
      <c r="C806" s="65">
        <v>0.25278810408921931</v>
      </c>
      <c r="D806" s="65">
        <v>3098.6362668124657</v>
      </c>
      <c r="E806" s="65">
        <f t="shared" si="5"/>
        <v>-4088.1023314464815</v>
      </c>
      <c r="F806" s="65">
        <f t="shared" si="0"/>
        <v>-35811776.423471175</v>
      </c>
      <c r="G806" s="66">
        <f t="shared" si="55"/>
        <v>-11927634.92200776</v>
      </c>
      <c r="H806" s="66">
        <f t="shared" si="2"/>
        <v>24789090.134499725</v>
      </c>
      <c r="I806" s="66">
        <f t="shared" si="3"/>
        <v>743672.70403499168</v>
      </c>
      <c r="J806" s="67">
        <f t="shared" si="4"/>
        <v>-8952944.1058677938</v>
      </c>
    </row>
    <row r="807" spans="1:10" ht="13.2" x14ac:dyDescent="0.25">
      <c r="A807" s="60">
        <v>271</v>
      </c>
      <c r="B807" s="61">
        <v>15.766189174412245</v>
      </c>
      <c r="C807" s="61">
        <v>0.25185873605947956</v>
      </c>
      <c r="D807" s="61">
        <v>3093.3263160196825</v>
      </c>
      <c r="E807" s="61">
        <f t="shared" si="5"/>
        <v>-4090.1133025878003</v>
      </c>
      <c r="F807" s="61">
        <f t="shared" si="0"/>
        <v>-35829392.53066913</v>
      </c>
      <c r="G807" s="62">
        <f t="shared" si="55"/>
        <v>-11926941.396046178</v>
      </c>
      <c r="H807" s="62">
        <f t="shared" si="2"/>
        <v>24746610.528157461</v>
      </c>
      <c r="I807" s="62">
        <f t="shared" si="3"/>
        <v>742398.31584472384</v>
      </c>
      <c r="J807" s="63">
        <f t="shared" si="4"/>
        <v>-8957348.1326672826</v>
      </c>
    </row>
    <row r="808" spans="1:10" ht="13.2" x14ac:dyDescent="0.25">
      <c r="A808" s="64">
        <v>270</v>
      </c>
      <c r="B808" s="65">
        <v>15.742963367960634</v>
      </c>
      <c r="C808" s="65">
        <v>0.25092936802973975</v>
      </c>
      <c r="D808" s="65">
        <v>3088.7694127938767</v>
      </c>
      <c r="E808" s="65">
        <f t="shared" si="5"/>
        <v>-4091.832728897909</v>
      </c>
      <c r="F808" s="65">
        <f t="shared" si="0"/>
        <v>-35844454.705145679</v>
      </c>
      <c r="G808" s="66">
        <f t="shared" si="55"/>
        <v>-11926332.312568542</v>
      </c>
      <c r="H808" s="66">
        <f t="shared" si="2"/>
        <v>24710155.302351013</v>
      </c>
      <c r="I808" s="66">
        <f t="shared" si="3"/>
        <v>741304.65907053032</v>
      </c>
      <c r="J808" s="67">
        <f t="shared" si="4"/>
        <v>-8961113.6762864199</v>
      </c>
    </row>
    <row r="809" spans="1:10" ht="13.2" x14ac:dyDescent="0.25">
      <c r="A809" s="60">
        <v>269</v>
      </c>
      <c r="B809" s="61">
        <v>15.726429743028977</v>
      </c>
      <c r="C809" s="61">
        <v>0.25</v>
      </c>
      <c r="D809" s="61">
        <v>3085.5255155822852</v>
      </c>
      <c r="E809" s="61">
        <f t="shared" si="5"/>
        <v>-4093.0522051266162</v>
      </c>
      <c r="F809" s="61">
        <f t="shared" si="0"/>
        <v>-35855137.316909157</v>
      </c>
      <c r="G809" s="62">
        <f t="shared" si="55"/>
        <v>-11925888.824186284</v>
      </c>
      <c r="H809" s="62">
        <f t="shared" si="2"/>
        <v>24684204.124658283</v>
      </c>
      <c r="I809" s="62">
        <f t="shared" si="3"/>
        <v>740526.12373974849</v>
      </c>
      <c r="J809" s="63">
        <f t="shared" si="4"/>
        <v>-8963784.3292272892</v>
      </c>
    </row>
    <row r="810" spans="1:10" ht="13.2" x14ac:dyDescent="0.25">
      <c r="A810" s="64">
        <v>268</v>
      </c>
      <c r="B810" s="65">
        <v>15.704286495352651</v>
      </c>
      <c r="C810" s="65">
        <v>0.24907063197026022</v>
      </c>
      <c r="D810" s="65">
        <v>3081.1810103881908</v>
      </c>
      <c r="E810" s="65">
        <f t="shared" si="5"/>
        <v>-4094.6793757522855</v>
      </c>
      <c r="F810" s="65">
        <f t="shared" si="0"/>
        <v>-35869391.331590019</v>
      </c>
      <c r="G810" s="66">
        <f t="shared" si="55"/>
        <v>-11925281.602870166</v>
      </c>
      <c r="H810" s="66">
        <f t="shared" si="2"/>
        <v>24649448.083105527</v>
      </c>
      <c r="I810" s="66">
        <f t="shared" si="3"/>
        <v>739483.44249316573</v>
      </c>
      <c r="J810" s="67">
        <f t="shared" si="4"/>
        <v>-8967347.8328975048</v>
      </c>
    </row>
    <row r="811" spans="1:10" ht="13.2" x14ac:dyDescent="0.25">
      <c r="A811" s="60">
        <v>267</v>
      </c>
      <c r="B811" s="61">
        <v>15.679190814652816</v>
      </c>
      <c r="C811" s="61">
        <v>0.24814126394052044</v>
      </c>
      <c r="D811" s="61">
        <v>3076.2572378348827</v>
      </c>
      <c r="E811" s="61">
        <f t="shared" si="5"/>
        <v>-4096.5166384661825</v>
      </c>
      <c r="F811" s="61">
        <f t="shared" si="0"/>
        <v>-35885485.752963759</v>
      </c>
      <c r="G811" s="62">
        <f t="shared" si="55"/>
        <v>-11924578.386562426</v>
      </c>
      <c r="H811" s="62">
        <f t="shared" si="2"/>
        <v>24610057.902679063</v>
      </c>
      <c r="I811" s="62">
        <f t="shared" si="3"/>
        <v>738301.73708037182</v>
      </c>
      <c r="J811" s="63">
        <f t="shared" si="4"/>
        <v>-8971371.4382409398</v>
      </c>
    </row>
    <row r="812" spans="1:10" ht="13.2" x14ac:dyDescent="0.25">
      <c r="A812" s="64">
        <v>266</v>
      </c>
      <c r="B812" s="65">
        <v>15.674663750683433</v>
      </c>
      <c r="C812" s="65">
        <v>0.24721189591078066</v>
      </c>
      <c r="D812" s="65">
        <v>3075.3690278840895</v>
      </c>
      <c r="E812" s="65">
        <f t="shared" si="5"/>
        <v>-4096.8468280389679</v>
      </c>
      <c r="F812" s="65">
        <f t="shared" si="0"/>
        <v>-35888378.213621356</v>
      </c>
      <c r="G812" s="66">
        <f t="shared" si="55"/>
        <v>-11924448.820174064</v>
      </c>
      <c r="H812" s="66">
        <f t="shared" si="2"/>
        <v>24602952.223072715</v>
      </c>
      <c r="I812" s="66">
        <f t="shared" si="3"/>
        <v>738088.5666921814</v>
      </c>
      <c r="J812" s="67">
        <f t="shared" si="4"/>
        <v>-8972094.5534053389</v>
      </c>
    </row>
    <row r="813" spans="1:10" ht="13.2" x14ac:dyDescent="0.25">
      <c r="A813" s="60">
        <v>265</v>
      </c>
      <c r="B813" s="61">
        <v>15.641399671951886</v>
      </c>
      <c r="C813" s="61">
        <v>0.24628252788104088</v>
      </c>
      <c r="D813" s="61">
        <v>3068.8426156369601</v>
      </c>
      <c r="E813" s="61">
        <f t="shared" si="5"/>
        <v>-4099.2639054371848</v>
      </c>
      <c r="F813" s="61">
        <f t="shared" si="0"/>
        <v>-35909551.811629742</v>
      </c>
      <c r="G813" s="62">
        <f>J813-(I813-(H813*$N$4))</f>
        <v>-7504343.4974016948</v>
      </c>
      <c r="H813" s="62">
        <f t="shared" si="2"/>
        <v>24550740.925095681</v>
      </c>
      <c r="I813" s="62">
        <f t="shared" si="3"/>
        <v>736522.22775287041</v>
      </c>
      <c r="J813" s="63">
        <f t="shared" si="4"/>
        <v>-8977387.9529074356</v>
      </c>
    </row>
    <row r="814" spans="1:10" ht="13.2" x14ac:dyDescent="0.25">
      <c r="A814" s="64">
        <v>264</v>
      </c>
      <c r="B814" s="65">
        <v>15.574477856752324</v>
      </c>
      <c r="C814" s="65">
        <v>0.24535315985130113</v>
      </c>
      <c r="D814" s="65">
        <v>3055.7125554948057</v>
      </c>
      <c r="E814" s="65">
        <f t="shared" si="5"/>
        <v>-4104.108360712682</v>
      </c>
      <c r="F814" s="65">
        <f t="shared" si="0"/>
        <v>-35951989.239843093</v>
      </c>
      <c r="G814" s="66">
        <f t="shared" ref="G814:G828" si="56">J814-I814-(H814*$N$4)</f>
        <v>-11921481.363235787</v>
      </c>
      <c r="H814" s="66">
        <f t="shared" si="2"/>
        <v>24445700.443958446</v>
      </c>
      <c r="I814" s="66">
        <f t="shared" si="3"/>
        <v>733371.01331875334</v>
      </c>
      <c r="J814" s="67">
        <f t="shared" si="4"/>
        <v>-8987997.3099607732</v>
      </c>
    </row>
    <row r="815" spans="1:10" ht="13.2" x14ac:dyDescent="0.25">
      <c r="A815" s="60">
        <v>263</v>
      </c>
      <c r="B815" s="61">
        <v>15.535800984144339</v>
      </c>
      <c r="C815" s="61">
        <v>0.24442379182156135</v>
      </c>
      <c r="D815" s="61">
        <v>3048.1241530891198</v>
      </c>
      <c r="E815" s="61">
        <f t="shared" si="5"/>
        <v>-4106.8975922660729</v>
      </c>
      <c r="F815" s="61">
        <f t="shared" si="0"/>
        <v>-35976422.908250801</v>
      </c>
      <c r="G815" s="62">
        <f t="shared" si="56"/>
        <v>-11920304.914028255</v>
      </c>
      <c r="H815" s="62">
        <f t="shared" si="2"/>
        <v>24384993.224712957</v>
      </c>
      <c r="I815" s="62">
        <f t="shared" si="3"/>
        <v>731549.79674138862</v>
      </c>
      <c r="J815" s="63">
        <f t="shared" si="4"/>
        <v>-8994105.7270627003</v>
      </c>
    </row>
    <row r="816" spans="1:10" ht="13.2" x14ac:dyDescent="0.25">
      <c r="A816" s="64">
        <v>262</v>
      </c>
      <c r="B816" s="65">
        <v>15.530683433570257</v>
      </c>
      <c r="C816" s="65">
        <v>0.24349442379182157</v>
      </c>
      <c r="D816" s="65">
        <v>3047.1200896664845</v>
      </c>
      <c r="E816" s="65">
        <f t="shared" si="5"/>
        <v>-4107.2652511773349</v>
      </c>
      <c r="F816" s="65">
        <f t="shared" si="0"/>
        <v>-35979643.600313455</v>
      </c>
      <c r="G816" s="66">
        <f t="shared" si="56"/>
        <v>-11920146.186158188</v>
      </c>
      <c r="H816" s="66">
        <f t="shared" si="2"/>
        <v>24376960.717331875</v>
      </c>
      <c r="I816" s="66">
        <f t="shared" si="3"/>
        <v>731308.82151995623</v>
      </c>
      <c r="J816" s="67">
        <f t="shared" si="4"/>
        <v>-8994910.9000783637</v>
      </c>
    </row>
    <row r="817" spans="1:10" ht="13.2" x14ac:dyDescent="0.25">
      <c r="A817" s="60">
        <v>261</v>
      </c>
      <c r="B817" s="61">
        <v>15.446932750136686</v>
      </c>
      <c r="C817" s="61">
        <v>0.24256505576208179</v>
      </c>
      <c r="D817" s="61">
        <v>3030.6882055768174</v>
      </c>
      <c r="E817" s="61">
        <f t="shared" si="5"/>
        <v>-4113.2592237658055</v>
      </c>
      <c r="F817" s="61">
        <f t="shared" si="0"/>
        <v>-36032150.800188452</v>
      </c>
      <c r="G817" s="62">
        <f t="shared" si="56"/>
        <v>-11917498.377400858</v>
      </c>
      <c r="H817" s="62">
        <f t="shared" si="2"/>
        <v>24245505.64461454</v>
      </c>
      <c r="I817" s="62">
        <f t="shared" si="3"/>
        <v>727365.16933843622</v>
      </c>
      <c r="J817" s="63">
        <f t="shared" si="4"/>
        <v>-9008037.700047113</v>
      </c>
    </row>
    <row r="818" spans="1:10" ht="13.2" x14ac:dyDescent="0.25">
      <c r="A818" s="64">
        <v>260</v>
      </c>
      <c r="B818" s="65">
        <v>15.417408419901586</v>
      </c>
      <c r="C818" s="65">
        <v>0.24163568773234201</v>
      </c>
      <c r="D818" s="65">
        <v>3024.8955319846914</v>
      </c>
      <c r="E818" s="65">
        <f t="shared" si="5"/>
        <v>-4115.3641822923119</v>
      </c>
      <c r="F818" s="65">
        <f t="shared" si="0"/>
        <v>-36050590.236880653</v>
      </c>
      <c r="G818" s="66">
        <f t="shared" si="56"/>
        <v>-11916547.269925468</v>
      </c>
      <c r="H818" s="66">
        <f t="shared" si="2"/>
        <v>24199164.255877532</v>
      </c>
      <c r="I818" s="66">
        <f t="shared" si="3"/>
        <v>725974.9276763259</v>
      </c>
      <c r="J818" s="67">
        <f t="shared" si="4"/>
        <v>-9012647.5592201632</v>
      </c>
    </row>
    <row r="819" spans="1:10" ht="13.2" x14ac:dyDescent="0.25">
      <c r="A819" s="60">
        <v>259</v>
      </c>
      <c r="B819" s="61">
        <v>15.411109896118097</v>
      </c>
      <c r="C819" s="61">
        <v>0.24070631970260223</v>
      </c>
      <c r="D819" s="61">
        <v>3023.6597616183703</v>
      </c>
      <c r="E819" s="61">
        <f t="shared" si="5"/>
        <v>-4115.8115173830947</v>
      </c>
      <c r="F819" s="61">
        <f t="shared" si="0"/>
        <v>-36054508.892275907</v>
      </c>
      <c r="G819" s="62">
        <f t="shared" si="56"/>
        <v>-11916340.594222613</v>
      </c>
      <c r="H819" s="62">
        <f t="shared" si="2"/>
        <v>24189278.092946962</v>
      </c>
      <c r="I819" s="62">
        <f t="shared" si="3"/>
        <v>725678.34278840886</v>
      </c>
      <c r="J819" s="63">
        <f t="shared" si="4"/>
        <v>-9013627.2230689768</v>
      </c>
    </row>
    <row r="820" spans="1:10" ht="13.2" x14ac:dyDescent="0.25">
      <c r="A820" s="64">
        <v>258</v>
      </c>
      <c r="B820" s="65">
        <v>15.396052487698196</v>
      </c>
      <c r="C820" s="65">
        <v>0.23977695167286245</v>
      </c>
      <c r="D820" s="65">
        <v>3020.7054980863863</v>
      </c>
      <c r="E820" s="65">
        <f t="shared" si="5"/>
        <v>-4116.8768094373791</v>
      </c>
      <c r="F820" s="65">
        <f t="shared" si="0"/>
        <v>-36063840.85067144</v>
      </c>
      <c r="G820" s="66">
        <f t="shared" si="56"/>
        <v>-11915837.490830792</v>
      </c>
      <c r="H820" s="66">
        <f t="shared" si="2"/>
        <v>24165643.984691091</v>
      </c>
      <c r="I820" s="66">
        <f t="shared" si="3"/>
        <v>724969.31954073266</v>
      </c>
      <c r="J820" s="67">
        <f t="shared" si="4"/>
        <v>-9015960.2126678601</v>
      </c>
    </row>
    <row r="821" spans="1:10" ht="13.2" x14ac:dyDescent="0.25">
      <c r="A821" s="60">
        <v>257</v>
      </c>
      <c r="B821" s="61">
        <v>15.357867687260798</v>
      </c>
      <c r="C821" s="61">
        <v>0.23884758364312267</v>
      </c>
      <c r="D821" s="61">
        <v>3013.2136402405681</v>
      </c>
      <c r="E821" s="61">
        <f t="shared" si="5"/>
        <v>-4119.567890345751</v>
      </c>
      <c r="F821" s="61">
        <f t="shared" si="0"/>
        <v>-36087414.719428778</v>
      </c>
      <c r="G821" s="62">
        <f t="shared" si="56"/>
        <v>-11914538.77448814</v>
      </c>
      <c r="H821" s="62">
        <f t="shared" si="2"/>
        <v>24105709.121924546</v>
      </c>
      <c r="I821" s="62">
        <f t="shared" si="3"/>
        <v>723171.27365773637</v>
      </c>
      <c r="J821" s="63">
        <f t="shared" si="4"/>
        <v>-9021853.6798571944</v>
      </c>
    </row>
    <row r="822" spans="1:10" ht="13.2" x14ac:dyDescent="0.25">
      <c r="A822" s="64">
        <v>256</v>
      </c>
      <c r="B822" s="65">
        <v>15.350978676872607</v>
      </c>
      <c r="C822" s="65">
        <v>0.23791821561338289</v>
      </c>
      <c r="D822" s="65">
        <v>3011.8620164024055</v>
      </c>
      <c r="E822" s="65">
        <f t="shared" si="5"/>
        <v>-4120.0515103993685</v>
      </c>
      <c r="F822" s="65">
        <f t="shared" si="0"/>
        <v>-36091651.231098473</v>
      </c>
      <c r="G822" s="66">
        <f t="shared" si="56"/>
        <v>-11914300.343520926</v>
      </c>
      <c r="H822" s="66">
        <f t="shared" si="2"/>
        <v>24094896.131219245</v>
      </c>
      <c r="I822" s="66">
        <f t="shared" si="3"/>
        <v>722846.88393657736</v>
      </c>
      <c r="J822" s="67">
        <f t="shared" si="4"/>
        <v>-9022912.8077746183</v>
      </c>
    </row>
    <row r="823" spans="1:10" ht="13.2" x14ac:dyDescent="0.25">
      <c r="A823" s="60">
        <v>255</v>
      </c>
      <c r="B823" s="61">
        <v>15.341137233460907</v>
      </c>
      <c r="C823" s="61">
        <v>0.23698884758364314</v>
      </c>
      <c r="D823" s="61">
        <v>3009.9311252050302</v>
      </c>
      <c r="E823" s="61">
        <f t="shared" si="5"/>
        <v>-4120.7397044274294</v>
      </c>
      <c r="F823" s="61">
        <f t="shared" si="0"/>
        <v>-36097679.81078428</v>
      </c>
      <c r="G823" s="62">
        <f t="shared" si="56"/>
        <v>-11913953.8328929</v>
      </c>
      <c r="H823" s="62">
        <f t="shared" si="2"/>
        <v>24079449.001640242</v>
      </c>
      <c r="I823" s="62">
        <f t="shared" si="3"/>
        <v>722383.47004920722</v>
      </c>
      <c r="J823" s="63">
        <f t="shared" si="4"/>
        <v>-9024419.9526960701</v>
      </c>
    </row>
    <row r="824" spans="1:10" ht="13.2" x14ac:dyDescent="0.25">
      <c r="A824" s="64">
        <v>254</v>
      </c>
      <c r="B824" s="65">
        <v>15.335429196282121</v>
      </c>
      <c r="C824" s="65">
        <v>0.23605947955390336</v>
      </c>
      <c r="D824" s="65">
        <v>3008.8112083105525</v>
      </c>
      <c r="E824" s="65">
        <f t="shared" si="5"/>
        <v>-4121.1372957412677</v>
      </c>
      <c r="F824" s="65">
        <f t="shared" si="0"/>
        <v>-36101162.710693508</v>
      </c>
      <c r="G824" s="66">
        <f t="shared" si="56"/>
        <v>-11913749.437651508</v>
      </c>
      <c r="H824" s="66">
        <f t="shared" si="2"/>
        <v>24070489.666484419</v>
      </c>
      <c r="I824" s="66">
        <f t="shared" si="3"/>
        <v>722114.6899945325</v>
      </c>
      <c r="J824" s="67">
        <f t="shared" si="4"/>
        <v>-9025290.6776733771</v>
      </c>
    </row>
    <row r="825" spans="1:10" ht="13.2" x14ac:dyDescent="0.25">
      <c r="A825" s="60">
        <v>253</v>
      </c>
      <c r="B825" s="61">
        <v>15.321651175505741</v>
      </c>
      <c r="C825" s="61">
        <v>0.23513011152416358</v>
      </c>
      <c r="D825" s="61">
        <v>3006.1079606342264</v>
      </c>
      <c r="E825" s="61">
        <f t="shared" si="5"/>
        <v>-4122.0932304446524</v>
      </c>
      <c r="F825" s="61">
        <f t="shared" si="0"/>
        <v>-36109536.698695153</v>
      </c>
      <c r="G825" s="62">
        <f t="shared" si="56"/>
        <v>-11913247.816882646</v>
      </c>
      <c r="H825" s="62">
        <f t="shared" si="2"/>
        <v>24048863.685073812</v>
      </c>
      <c r="I825" s="62">
        <f t="shared" si="3"/>
        <v>721465.91055221437</v>
      </c>
      <c r="J825" s="63">
        <f t="shared" si="4"/>
        <v>-9027384.1746737882</v>
      </c>
    </row>
    <row r="826" spans="1:10" ht="13.2" x14ac:dyDescent="0.25">
      <c r="A826" s="64">
        <v>252</v>
      </c>
      <c r="B826" s="65">
        <v>15.319190814652815</v>
      </c>
      <c r="C826" s="65">
        <v>0.2342007434944238</v>
      </c>
      <c r="D826" s="65">
        <v>3005.6252378348827</v>
      </c>
      <c r="E826" s="65">
        <f t="shared" si="5"/>
        <v>-4122.2632601295509</v>
      </c>
      <c r="F826" s="65">
        <f t="shared" si="0"/>
        <v>-36111026.158734865</v>
      </c>
      <c r="G826" s="66">
        <f t="shared" si="56"/>
        <v>-11913156.768005203</v>
      </c>
      <c r="H826" s="66">
        <f t="shared" si="2"/>
        <v>24045001.90267906</v>
      </c>
      <c r="I826" s="66">
        <f t="shared" si="3"/>
        <v>721350.05708037177</v>
      </c>
      <c r="J826" s="67">
        <f t="shared" si="4"/>
        <v>-9027756.5396837164</v>
      </c>
    </row>
    <row r="827" spans="1:10" ht="13.2" x14ac:dyDescent="0.25">
      <c r="A827" s="60">
        <v>251</v>
      </c>
      <c r="B827" s="61">
        <v>15.31249863313286</v>
      </c>
      <c r="C827" s="61">
        <v>0.23327137546468402</v>
      </c>
      <c r="D827" s="61">
        <v>3004.312231820667</v>
      </c>
      <c r="E827" s="61">
        <f t="shared" si="5"/>
        <v>-4122.7239104737573</v>
      </c>
      <c r="F827" s="61">
        <f t="shared" si="0"/>
        <v>-36115061.455750115</v>
      </c>
      <c r="G827" s="62">
        <f t="shared" si="56"/>
        <v>-11912905.106485369</v>
      </c>
      <c r="H827" s="62">
        <f t="shared" si="2"/>
        <v>24034497.854565337</v>
      </c>
      <c r="I827" s="62">
        <f t="shared" si="3"/>
        <v>721034.93563696009</v>
      </c>
      <c r="J827" s="63">
        <f t="shared" si="4"/>
        <v>-9028765.3639375288</v>
      </c>
    </row>
    <row r="828" spans="1:10" ht="13.2" x14ac:dyDescent="0.25">
      <c r="A828" s="64">
        <v>250</v>
      </c>
      <c r="B828" s="65">
        <v>15.204636413340623</v>
      </c>
      <c r="C828" s="65">
        <v>0.23234200743494424</v>
      </c>
      <c r="D828" s="65">
        <v>2983.1496642974303</v>
      </c>
      <c r="E828" s="65">
        <f t="shared" si="5"/>
        <v>-4130.1190084186801</v>
      </c>
      <c r="F828" s="65">
        <f t="shared" si="0"/>
        <v>-36179842.51374764</v>
      </c>
      <c r="G828" s="66">
        <f t="shared" si="56"/>
        <v>-11908784.306162443</v>
      </c>
      <c r="H828" s="66">
        <f t="shared" si="2"/>
        <v>23865197.314379442</v>
      </c>
      <c r="I828" s="66">
        <f t="shared" si="3"/>
        <v>715955.91943138326</v>
      </c>
      <c r="J828" s="67">
        <f t="shared" si="4"/>
        <v>-9044960.62843691</v>
      </c>
    </row>
    <row r="829" spans="1:10" ht="13.2" x14ac:dyDescent="0.25">
      <c r="A829" s="60">
        <v>249</v>
      </c>
      <c r="B829" s="61">
        <v>15.198534718425369</v>
      </c>
      <c r="C829" s="61">
        <v>0.23141263940520446</v>
      </c>
      <c r="D829" s="61">
        <v>2981.9525117550575</v>
      </c>
      <c r="E829" s="61">
        <f t="shared" si="5"/>
        <v>-4130.535675358381</v>
      </c>
      <c r="F829" s="61">
        <f t="shared" si="0"/>
        <v>-36183492.516139418</v>
      </c>
      <c r="G829" s="62">
        <f>J829-(I829-(H829*$N$4))</f>
        <v>-7614535.9233924262</v>
      </c>
      <c r="H829" s="62">
        <f t="shared" si="2"/>
        <v>23855620.094040461</v>
      </c>
      <c r="I829" s="62">
        <f t="shared" si="3"/>
        <v>715668.60282121378</v>
      </c>
      <c r="J829" s="63">
        <f t="shared" si="4"/>
        <v>-9045873.1290348545</v>
      </c>
    </row>
    <row r="830" spans="1:10" ht="13.2" x14ac:dyDescent="0.25">
      <c r="A830" s="64">
        <v>248</v>
      </c>
      <c r="B830" s="65">
        <v>15.19154729360306</v>
      </c>
      <c r="C830" s="65">
        <v>0.23048327137546468</v>
      </c>
      <c r="D830" s="65">
        <v>2980.5815790049205</v>
      </c>
      <c r="E830" s="65">
        <f t="shared" si="5"/>
        <v>-4131.0109150570806</v>
      </c>
      <c r="F830" s="65">
        <f t="shared" si="0"/>
        <v>-36187655.615900025</v>
      </c>
      <c r="G830" s="66">
        <f t="shared" ref="G830:G844" si="57">J830-I830-(H830*$N$4)</f>
        <v>-11908272.219819728</v>
      </c>
      <c r="H830" s="66">
        <f t="shared" si="2"/>
        <v>23844652.632039364</v>
      </c>
      <c r="I830" s="66">
        <f t="shared" si="3"/>
        <v>715339.57896118087</v>
      </c>
      <c r="J830" s="67">
        <f t="shared" si="4"/>
        <v>-9046913.9039750062</v>
      </c>
    </row>
    <row r="831" spans="1:10" ht="13.2" x14ac:dyDescent="0.25">
      <c r="A831" s="60">
        <v>247</v>
      </c>
      <c r="B831" s="61">
        <v>15.177277200656095</v>
      </c>
      <c r="C831" s="61">
        <v>0.2295539033457249</v>
      </c>
      <c r="D831" s="61">
        <v>2977.7817867687259</v>
      </c>
      <c r="E831" s="61">
        <f t="shared" si="5"/>
        <v>-4131.9775719490381</v>
      </c>
      <c r="F831" s="61">
        <f t="shared" si="0"/>
        <v>-36196123.530273572</v>
      </c>
      <c r="G831" s="62">
        <f t="shared" si="57"/>
        <v>-11907701.39786637</v>
      </c>
      <c r="H831" s="62">
        <f t="shared" si="2"/>
        <v>23822254.294149809</v>
      </c>
      <c r="I831" s="62">
        <f t="shared" si="3"/>
        <v>714667.6288244942</v>
      </c>
      <c r="J831" s="63">
        <f t="shared" si="4"/>
        <v>-9049030.8825683929</v>
      </c>
    </row>
    <row r="832" spans="1:10" ht="13.2" x14ac:dyDescent="0.25">
      <c r="A832" s="64">
        <v>246</v>
      </c>
      <c r="B832" s="65">
        <v>15.170092946965555</v>
      </c>
      <c r="C832" s="65">
        <v>0.22862453531598512</v>
      </c>
      <c r="D832" s="65">
        <v>2976.3722361946425</v>
      </c>
      <c r="E832" s="65">
        <f t="shared" si="5"/>
        <v>-4132.4622687077845</v>
      </c>
      <c r="F832" s="65">
        <f t="shared" si="0"/>
        <v>-36200369.473880194</v>
      </c>
      <c r="G832" s="66">
        <f t="shared" si="57"/>
        <v>-11907409.715216905</v>
      </c>
      <c r="H832" s="66">
        <f t="shared" si="2"/>
        <v>23810977.889557138</v>
      </c>
      <c r="I832" s="66">
        <f t="shared" si="3"/>
        <v>714329.33668671409</v>
      </c>
      <c r="J832" s="67">
        <f t="shared" si="4"/>
        <v>-9050092.3684700485</v>
      </c>
    </row>
    <row r="833" spans="1:10" ht="13.2" x14ac:dyDescent="0.25">
      <c r="A833" s="60">
        <v>245</v>
      </c>
      <c r="B833" s="61">
        <v>15.125511208310551</v>
      </c>
      <c r="C833" s="61">
        <v>0.22769516728624536</v>
      </c>
      <c r="D833" s="61">
        <v>2967.6252990705307</v>
      </c>
      <c r="E833" s="61">
        <f t="shared" si="5"/>
        <v>-4135.4578507990809</v>
      </c>
      <c r="F833" s="61">
        <f t="shared" si="0"/>
        <v>-36226610.77299995</v>
      </c>
      <c r="G833" s="62">
        <f t="shared" si="57"/>
        <v>-11905572.980357695</v>
      </c>
      <c r="H833" s="62">
        <f t="shared" si="2"/>
        <v>23741002.392564245</v>
      </c>
      <c r="I833" s="62">
        <f t="shared" si="3"/>
        <v>712230.07177692733</v>
      </c>
      <c r="J833" s="63">
        <f t="shared" si="4"/>
        <v>-9056652.6932499874</v>
      </c>
    </row>
    <row r="834" spans="1:10" ht="13.2" x14ac:dyDescent="0.25">
      <c r="A834" s="64">
        <v>244</v>
      </c>
      <c r="B834" s="65">
        <v>15.116063422635319</v>
      </c>
      <c r="C834" s="65">
        <v>0.22676579925650558</v>
      </c>
      <c r="D834" s="65">
        <v>2965.77164352105</v>
      </c>
      <c r="E834" s="65">
        <f t="shared" si="5"/>
        <v>-4136.0900920506228</v>
      </c>
      <c r="F834" s="65">
        <f t="shared" si="0"/>
        <v>-36232149.206363454</v>
      </c>
      <c r="G834" s="66">
        <f t="shared" si="57"/>
        <v>-11905178.07937107</v>
      </c>
      <c r="H834" s="66">
        <f t="shared" si="2"/>
        <v>23726173.1481684</v>
      </c>
      <c r="I834" s="66">
        <f t="shared" si="3"/>
        <v>711785.19444505195</v>
      </c>
      <c r="J834" s="67">
        <f t="shared" si="4"/>
        <v>-9058037.3015908636</v>
      </c>
    </row>
    <row r="835" spans="1:10" ht="13.2" x14ac:dyDescent="0.25">
      <c r="A835" s="60">
        <v>243</v>
      </c>
      <c r="B835" s="61">
        <v>15.108190267905959</v>
      </c>
      <c r="C835" s="61">
        <v>0.2258364312267658</v>
      </c>
      <c r="D835" s="61">
        <v>2964.2269305631494</v>
      </c>
      <c r="E835" s="61">
        <f t="shared" si="5"/>
        <v>-4136.6148063499841</v>
      </c>
      <c r="F835" s="61">
        <f t="shared" si="0"/>
        <v>-36236745.703625858</v>
      </c>
      <c r="G835" s="62">
        <f t="shared" si="57"/>
        <v>-11904844.279247088</v>
      </c>
      <c r="H835" s="62">
        <f t="shared" si="2"/>
        <v>23713815.444505196</v>
      </c>
      <c r="I835" s="62">
        <f t="shared" si="3"/>
        <v>711414.46333515586</v>
      </c>
      <c r="J835" s="63">
        <f t="shared" si="4"/>
        <v>-9059186.4259064645</v>
      </c>
    </row>
    <row r="836" spans="1:10" ht="13.2" x14ac:dyDescent="0.25">
      <c r="A836" s="64">
        <v>242</v>
      </c>
      <c r="B836" s="65">
        <v>15.106615636960086</v>
      </c>
      <c r="C836" s="65">
        <v>0.22490706319702602</v>
      </c>
      <c r="D836" s="65">
        <v>2963.9179879715689</v>
      </c>
      <c r="E836" s="65">
        <f t="shared" si="5"/>
        <v>-4136.7193185278047</v>
      </c>
      <c r="F836" s="65">
        <f t="shared" si="0"/>
        <v>-36237661.230303571</v>
      </c>
      <c r="G836" s="66">
        <f t="shared" si="57"/>
        <v>-11904776.576028598</v>
      </c>
      <c r="H836" s="66">
        <f t="shared" si="2"/>
        <v>23711343.903772552</v>
      </c>
      <c r="I836" s="66">
        <f t="shared" si="3"/>
        <v>711340.31711317657</v>
      </c>
      <c r="J836" s="67">
        <f t="shared" si="4"/>
        <v>-9059415.3075758927</v>
      </c>
    </row>
    <row r="837" spans="1:10" ht="13.2" x14ac:dyDescent="0.25">
      <c r="A837" s="60">
        <v>241</v>
      </c>
      <c r="B837" s="61">
        <v>15.102482230727173</v>
      </c>
      <c r="C837" s="61">
        <v>0.22397769516728624</v>
      </c>
      <c r="D837" s="61">
        <v>2963.1070136686717</v>
      </c>
      <c r="E837" s="61">
        <f t="shared" si="5"/>
        <v>-4136.9925324541991</v>
      </c>
      <c r="F837" s="61">
        <f t="shared" si="0"/>
        <v>-36240054.58429879</v>
      </c>
      <c r="G837" s="62">
        <f t="shared" si="57"/>
        <v>-11904596.379196621</v>
      </c>
      <c r="H837" s="62">
        <f t="shared" si="2"/>
        <v>23704856.109349374</v>
      </c>
      <c r="I837" s="62">
        <f t="shared" si="3"/>
        <v>711145.68328048114</v>
      </c>
      <c r="J837" s="63">
        <f t="shared" si="4"/>
        <v>-9060013.6460746974</v>
      </c>
    </row>
    <row r="838" spans="1:10" ht="13.2" x14ac:dyDescent="0.25">
      <c r="A838" s="64">
        <v>240</v>
      </c>
      <c r="B838" s="65">
        <v>15.099037725533078</v>
      </c>
      <c r="C838" s="65">
        <v>0.22304832713754646</v>
      </c>
      <c r="D838" s="65">
        <v>2962.4312017495904</v>
      </c>
      <c r="E838" s="65">
        <f t="shared" si="5"/>
        <v>-4137.2192686092067</v>
      </c>
      <c r="F838" s="65">
        <f t="shared" si="0"/>
        <v>-36242040.79301665</v>
      </c>
      <c r="G838" s="66">
        <f t="shared" si="57"/>
        <v>-11904444.151933769</v>
      </c>
      <c r="H838" s="66">
        <f t="shared" si="2"/>
        <v>23699449.613996722</v>
      </c>
      <c r="I838" s="66">
        <f t="shared" si="3"/>
        <v>710983.48841990158</v>
      </c>
      <c r="J838" s="67">
        <f t="shared" si="4"/>
        <v>-9060510.1982541624</v>
      </c>
    </row>
    <row r="839" spans="1:10" ht="13.2" x14ac:dyDescent="0.25">
      <c r="A839" s="60">
        <v>239</v>
      </c>
      <c r="B839" s="61">
        <v>15.08614543466375</v>
      </c>
      <c r="C839" s="61">
        <v>0.22211895910780668</v>
      </c>
      <c r="D839" s="61">
        <v>2959.901734281028</v>
      </c>
      <c r="E839" s="61">
        <f t="shared" si="5"/>
        <v>-4138.0643834372258</v>
      </c>
      <c r="F839" s="61">
        <f t="shared" si="0"/>
        <v>-36249443.998910099</v>
      </c>
      <c r="G839" s="62">
        <f t="shared" si="57"/>
        <v>-11903866.664637312</v>
      </c>
      <c r="H839" s="62">
        <f t="shared" si="2"/>
        <v>23679213.874248225</v>
      </c>
      <c r="I839" s="62">
        <f t="shared" si="3"/>
        <v>710376.41622744675</v>
      </c>
      <c r="J839" s="63">
        <f t="shared" si="4"/>
        <v>-9062360.9997275248</v>
      </c>
    </row>
    <row r="840" spans="1:10" ht="13.2" x14ac:dyDescent="0.25">
      <c r="A840" s="64">
        <v>238</v>
      </c>
      <c r="B840" s="65">
        <v>15.077484964461453</v>
      </c>
      <c r="C840" s="65">
        <v>0.22118959107806691</v>
      </c>
      <c r="D840" s="65">
        <v>2958.2025500273376</v>
      </c>
      <c r="E840" s="65">
        <f t="shared" si="5"/>
        <v>-4138.6297254101082</v>
      </c>
      <c r="F840" s="65">
        <f t="shared" si="0"/>
        <v>-36254396.394592546</v>
      </c>
      <c r="G840" s="66">
        <f t="shared" si="57"/>
        <v>-11903473.546674382</v>
      </c>
      <c r="H840" s="66">
        <f t="shared" si="2"/>
        <v>23665620.400218699</v>
      </c>
      <c r="I840" s="66">
        <f t="shared" si="3"/>
        <v>709968.6120065609</v>
      </c>
      <c r="J840" s="67">
        <f t="shared" si="4"/>
        <v>-9063599.0986481365</v>
      </c>
    </row>
    <row r="841" spans="1:10" ht="13.2" x14ac:dyDescent="0.25">
      <c r="A841" s="60">
        <v>237</v>
      </c>
      <c r="B841" s="61">
        <v>15.064986331328594</v>
      </c>
      <c r="C841" s="61">
        <v>0.22026022304832713</v>
      </c>
      <c r="D841" s="61">
        <v>2955.7503182066703</v>
      </c>
      <c r="E841" s="61">
        <f t="shared" si="5"/>
        <v>-4139.4421981276437</v>
      </c>
      <c r="F841" s="61">
        <f t="shared" si="0"/>
        <v>-36261513.655598164</v>
      </c>
      <c r="G841" s="62">
        <f t="shared" si="57"/>
        <v>-11902898.719377944</v>
      </c>
      <c r="H841" s="62">
        <f t="shared" si="2"/>
        <v>23646002.545653362</v>
      </c>
      <c r="I841" s="62">
        <f t="shared" si="3"/>
        <v>709380.07636960084</v>
      </c>
      <c r="J841" s="63">
        <f t="shared" si="4"/>
        <v>-9065378.4138995409</v>
      </c>
    </row>
    <row r="842" spans="1:10" ht="13.2" x14ac:dyDescent="0.25">
      <c r="A842" s="64">
        <v>236</v>
      </c>
      <c r="B842" s="65">
        <v>15.038611262985238</v>
      </c>
      <c r="C842" s="65">
        <v>0.21933085501858737</v>
      </c>
      <c r="D842" s="65">
        <v>2950.5755297977039</v>
      </c>
      <c r="E842" s="65">
        <f t="shared" si="5"/>
        <v>-4141.1494935599703</v>
      </c>
      <c r="F842" s="65">
        <f t="shared" si="0"/>
        <v>-36276469.563585341</v>
      </c>
      <c r="G842" s="66">
        <f t="shared" si="57"/>
        <v>-11901669.89950213</v>
      </c>
      <c r="H842" s="66">
        <f t="shared" si="2"/>
        <v>23604604.238381632</v>
      </c>
      <c r="I842" s="66">
        <f t="shared" si="3"/>
        <v>708138.12715144898</v>
      </c>
      <c r="J842" s="67">
        <f t="shared" si="4"/>
        <v>-9069117.3908963352</v>
      </c>
    </row>
    <row r="843" spans="1:10" ht="13.2" x14ac:dyDescent="0.25">
      <c r="A843" s="60">
        <v>235</v>
      </c>
      <c r="B843" s="61">
        <v>15.029753963914708</v>
      </c>
      <c r="C843" s="61">
        <v>0.21840148698884759</v>
      </c>
      <c r="D843" s="61">
        <v>2948.8377277200657</v>
      </c>
      <c r="E843" s="61">
        <f t="shared" si="5"/>
        <v>-4141.7204164544364</v>
      </c>
      <c r="F843" s="61">
        <f t="shared" si="0"/>
        <v>-36281470.848140866</v>
      </c>
      <c r="G843" s="62">
        <f t="shared" si="57"/>
        <v>-11901251.930646479</v>
      </c>
      <c r="H843" s="62">
        <f t="shared" si="2"/>
        <v>23590701.821760524</v>
      </c>
      <c r="I843" s="62">
        <f t="shared" si="3"/>
        <v>707721.05465281568</v>
      </c>
      <c r="J843" s="63">
        <f t="shared" si="4"/>
        <v>-9070367.7120352164</v>
      </c>
    </row>
    <row r="844" spans="1:10" ht="13.2" x14ac:dyDescent="0.25">
      <c r="A844" s="64">
        <v>234</v>
      </c>
      <c r="B844" s="65">
        <v>14.963717878622198</v>
      </c>
      <c r="C844" s="65">
        <v>0.21747211895910781</v>
      </c>
      <c r="D844" s="65">
        <v>2935.8814477856754</v>
      </c>
      <c r="E844" s="65">
        <f t="shared" si="5"/>
        <v>-4145.958902083531</v>
      </c>
      <c r="F844" s="65">
        <f t="shared" si="0"/>
        <v>-36318599.982251734</v>
      </c>
      <c r="G844" s="66">
        <f t="shared" si="57"/>
        <v>-11898096.185437182</v>
      </c>
      <c r="H844" s="66">
        <f t="shared" si="2"/>
        <v>23487051.582285404</v>
      </c>
      <c r="I844" s="66">
        <f t="shared" si="3"/>
        <v>704611.54746856214</v>
      </c>
      <c r="J844" s="67">
        <f t="shared" si="4"/>
        <v>-9079649.9955629334</v>
      </c>
    </row>
    <row r="845" spans="1:10" ht="13.2" x14ac:dyDescent="0.25">
      <c r="A845" s="60">
        <v>233</v>
      </c>
      <c r="B845" s="61">
        <v>14.962438490978677</v>
      </c>
      <c r="C845" s="61">
        <v>0.21654275092936803</v>
      </c>
      <c r="D845" s="61">
        <v>2935.6304319300166</v>
      </c>
      <c r="E845" s="61">
        <f t="shared" si="5"/>
        <v>-4146.0406688655094</v>
      </c>
      <c r="F845" s="61">
        <f t="shared" si="0"/>
        <v>-36319316.259261861</v>
      </c>
      <c r="G845" s="62">
        <f>J845-(I845-(H845*$N$4))</f>
        <v>-7670726.4574890574</v>
      </c>
      <c r="H845" s="62">
        <f t="shared" si="2"/>
        <v>23485043.455440134</v>
      </c>
      <c r="I845" s="62">
        <f t="shared" si="3"/>
        <v>704551.30366320396</v>
      </c>
      <c r="J845" s="63">
        <f t="shared" si="4"/>
        <v>-9079829.0648154654</v>
      </c>
    </row>
    <row r="846" spans="1:10" ht="13.2" x14ac:dyDescent="0.25">
      <c r="A846" s="64">
        <v>232</v>
      </c>
      <c r="B846" s="65">
        <v>14.959879715691635</v>
      </c>
      <c r="C846" s="65">
        <v>0.21561338289962825</v>
      </c>
      <c r="D846" s="65">
        <v>2935.128400218699</v>
      </c>
      <c r="E846" s="65">
        <f t="shared" si="5"/>
        <v>-4146.203502571132</v>
      </c>
      <c r="F846" s="65">
        <f t="shared" si="0"/>
        <v>-36320742.682523116</v>
      </c>
      <c r="G846" s="66">
        <f t="shared" ref="G846:G860" si="58">J846-I846-(H846*$N$4)</f>
        <v>-11897908.934840729</v>
      </c>
      <c r="H846" s="66">
        <f t="shared" si="2"/>
        <v>23481027.201749593</v>
      </c>
      <c r="I846" s="66">
        <f t="shared" si="3"/>
        <v>704430.81605248782</v>
      </c>
      <c r="J846" s="67">
        <f t="shared" si="4"/>
        <v>-9080185.6706307791</v>
      </c>
    </row>
    <row r="847" spans="1:10" ht="13.2" x14ac:dyDescent="0.25">
      <c r="A847" s="60">
        <v>231</v>
      </c>
      <c r="B847" s="61">
        <v>14.953187534171679</v>
      </c>
      <c r="C847" s="61">
        <v>0.21468401486988847</v>
      </c>
      <c r="D847" s="61">
        <v>2933.8153942044833</v>
      </c>
      <c r="E847" s="61">
        <f t="shared" si="5"/>
        <v>-4146.627544940965</v>
      </c>
      <c r="F847" s="61">
        <f t="shared" si="0"/>
        <v>-36324457.293682851</v>
      </c>
      <c r="G847" s="62">
        <f t="shared" si="58"/>
        <v>-11897577.101857016</v>
      </c>
      <c r="H847" s="62">
        <f t="shared" si="2"/>
        <v>23470523.153635867</v>
      </c>
      <c r="I847" s="62">
        <f t="shared" si="3"/>
        <v>704115.69460907602</v>
      </c>
      <c r="J847" s="63">
        <f t="shared" si="4"/>
        <v>-9081114.3234207127</v>
      </c>
    </row>
    <row r="848" spans="1:10" ht="13.2" x14ac:dyDescent="0.25">
      <c r="A848" s="64">
        <v>230</v>
      </c>
      <c r="B848" s="65">
        <v>14.93271733187534</v>
      </c>
      <c r="C848" s="65">
        <v>0.21375464684014869</v>
      </c>
      <c r="D848" s="65">
        <v>2929.7991405139414</v>
      </c>
      <c r="E848" s="65">
        <f t="shared" si="5"/>
        <v>-4147.9190168526075</v>
      </c>
      <c r="F848" s="65">
        <f t="shared" si="0"/>
        <v>-36335770.587628841</v>
      </c>
      <c r="G848" s="66">
        <f t="shared" si="58"/>
        <v>-11896549.821800595</v>
      </c>
      <c r="H848" s="66">
        <f t="shared" si="2"/>
        <v>23438393.124111533</v>
      </c>
      <c r="I848" s="66">
        <f t="shared" si="3"/>
        <v>703151.79372334597</v>
      </c>
      <c r="J848" s="67">
        <f t="shared" si="4"/>
        <v>-9083942.6469072104</v>
      </c>
    </row>
    <row r="849" spans="1:10" ht="13.2" x14ac:dyDescent="0.25">
      <c r="A849" s="60">
        <v>229</v>
      </c>
      <c r="B849" s="61">
        <v>14.927501366867139</v>
      </c>
      <c r="C849" s="61">
        <v>0.21282527881040891</v>
      </c>
      <c r="D849" s="61">
        <v>2928.7757681793323</v>
      </c>
      <c r="E849" s="61">
        <f t="shared" si="5"/>
        <v>-4148.2466671957982</v>
      </c>
      <c r="F849" s="61">
        <f t="shared" si="0"/>
        <v>-36338640.804635189</v>
      </c>
      <c r="G849" s="62">
        <f t="shared" si="58"/>
        <v>-11896284.938610956</v>
      </c>
      <c r="H849" s="62">
        <f t="shared" si="2"/>
        <v>23430206.145434659</v>
      </c>
      <c r="I849" s="62">
        <f t="shared" si="3"/>
        <v>702906.18436303979</v>
      </c>
      <c r="J849" s="63">
        <f t="shared" si="4"/>
        <v>-9084660.2011587974</v>
      </c>
    </row>
    <row r="850" spans="1:10" ht="13.2" x14ac:dyDescent="0.25">
      <c r="A850" s="64">
        <v>228</v>
      </c>
      <c r="B850" s="65">
        <v>14.925041006014215</v>
      </c>
      <c r="C850" s="65">
        <v>0.21189591078066913</v>
      </c>
      <c r="D850" s="65">
        <v>2928.2930453799891</v>
      </c>
      <c r="E850" s="65">
        <f t="shared" si="5"/>
        <v>-4148.4005463037674</v>
      </c>
      <c r="F850" s="65">
        <f t="shared" si="0"/>
        <v>-36339988.785621002</v>
      </c>
      <c r="G850" s="66">
        <f t="shared" si="58"/>
        <v>-11896158.519970041</v>
      </c>
      <c r="H850" s="66">
        <f t="shared" si="2"/>
        <v>23426344.363039911</v>
      </c>
      <c r="I850" s="66">
        <f t="shared" si="3"/>
        <v>702790.33089119731</v>
      </c>
      <c r="J850" s="67">
        <f t="shared" si="4"/>
        <v>-9084997.1964052506</v>
      </c>
    </row>
    <row r="851" spans="1:10" ht="13.2" x14ac:dyDescent="0.25">
      <c r="A851" s="60">
        <v>227</v>
      </c>
      <c r="B851" s="61">
        <v>14.918053581191907</v>
      </c>
      <c r="C851" s="61">
        <v>0.21096654275092938</v>
      </c>
      <c r="D851" s="61">
        <v>2926.9221126298521</v>
      </c>
      <c r="E851" s="61">
        <f t="shared" si="5"/>
        <v>-4148.8356518187966</v>
      </c>
      <c r="F851" s="61">
        <f t="shared" si="0"/>
        <v>-36343800.309932657</v>
      </c>
      <c r="G851" s="62">
        <f t="shared" si="58"/>
        <v>-11895795.305607822</v>
      </c>
      <c r="H851" s="62">
        <f t="shared" si="2"/>
        <v>23415376.901038818</v>
      </c>
      <c r="I851" s="62">
        <f t="shared" si="3"/>
        <v>702461.30703116453</v>
      </c>
      <c r="J851" s="63">
        <f t="shared" si="4"/>
        <v>-9085950.0774831641</v>
      </c>
    </row>
    <row r="852" spans="1:10" ht="13.2" x14ac:dyDescent="0.25">
      <c r="A852" s="64">
        <v>226</v>
      </c>
      <c r="B852" s="65">
        <v>14.904177145981409</v>
      </c>
      <c r="C852" s="65">
        <v>0.2100371747211896</v>
      </c>
      <c r="D852" s="65">
        <v>2924.1995560415521</v>
      </c>
      <c r="E852" s="65">
        <f t="shared" si="5"/>
        <v>-4149.6959392165863</v>
      </c>
      <c r="F852" s="65">
        <f t="shared" si="0"/>
        <v>-36351336.4275373</v>
      </c>
      <c r="G852" s="66">
        <f t="shared" si="58"/>
        <v>-11895065.680684216</v>
      </c>
      <c r="H852" s="66">
        <f t="shared" si="2"/>
        <v>23393596.448332418</v>
      </c>
      <c r="I852" s="66">
        <f t="shared" si="3"/>
        <v>701807.8934499725</v>
      </c>
      <c r="J852" s="67">
        <f t="shared" si="4"/>
        <v>-9087834.1068843249</v>
      </c>
    </row>
    <row r="853" spans="1:10" ht="13.2" x14ac:dyDescent="0.25">
      <c r="A853" s="60">
        <v>225</v>
      </c>
      <c r="B853" s="61">
        <v>14.867370147621651</v>
      </c>
      <c r="C853" s="61">
        <v>0.20910780669144982</v>
      </c>
      <c r="D853" s="61">
        <v>2916.9780229633684</v>
      </c>
      <c r="E853" s="61">
        <f t="shared" si="5"/>
        <v>-4151.9677690929484</v>
      </c>
      <c r="F853" s="61">
        <f t="shared" si="0"/>
        <v>-36371237.657254227</v>
      </c>
      <c r="G853" s="62">
        <f t="shared" si="58"/>
        <v>-11893108.316358389</v>
      </c>
      <c r="H853" s="62">
        <f t="shared" si="2"/>
        <v>23335824.183706947</v>
      </c>
      <c r="I853" s="62">
        <f t="shared" si="3"/>
        <v>700074.72551120841</v>
      </c>
      <c r="J853" s="63">
        <f t="shared" si="4"/>
        <v>-9092809.4143135566</v>
      </c>
    </row>
    <row r="854" spans="1:10" ht="13.2" x14ac:dyDescent="0.25">
      <c r="A854" s="64">
        <v>224</v>
      </c>
      <c r="B854" s="65">
        <v>14.820229633679606</v>
      </c>
      <c r="C854" s="65">
        <v>0.20817843866171004</v>
      </c>
      <c r="D854" s="65">
        <v>2907.729054127939</v>
      </c>
      <c r="E854" s="65">
        <f t="shared" si="5"/>
        <v>-4154.8645186259782</v>
      </c>
      <c r="F854" s="65">
        <f t="shared" si="0"/>
        <v>-36396613.183163568</v>
      </c>
      <c r="G854" s="66">
        <f t="shared" si="58"/>
        <v>-11890573.187753713</v>
      </c>
      <c r="H854" s="66">
        <f t="shared" si="2"/>
        <v>23261832.433023512</v>
      </c>
      <c r="I854" s="66">
        <f t="shared" si="3"/>
        <v>697854.9729907054</v>
      </c>
      <c r="J854" s="67">
        <f t="shared" si="4"/>
        <v>-9099153.2957908921</v>
      </c>
    </row>
    <row r="855" spans="1:10" ht="13.2" x14ac:dyDescent="0.25">
      <c r="A855" s="60">
        <v>223</v>
      </c>
      <c r="B855" s="61">
        <v>14.759212684527064</v>
      </c>
      <c r="C855" s="61">
        <v>0.20724907063197026</v>
      </c>
      <c r="D855" s="61">
        <v>2895.7575287042105</v>
      </c>
      <c r="E855" s="61">
        <f t="shared" si="5"/>
        <v>-4158.5972758561466</v>
      </c>
      <c r="F855" s="61">
        <f t="shared" si="0"/>
        <v>-36429312.136499844</v>
      </c>
      <c r="G855" s="62">
        <f t="shared" si="58"/>
        <v>-11887255.261681003</v>
      </c>
      <c r="H855" s="62">
        <f t="shared" si="2"/>
        <v>23166060.229633685</v>
      </c>
      <c r="I855" s="62">
        <f t="shared" si="3"/>
        <v>694981.80688901048</v>
      </c>
      <c r="J855" s="63">
        <f t="shared" si="4"/>
        <v>-9107328.0341249611</v>
      </c>
    </row>
    <row r="856" spans="1:10" ht="13.2" x14ac:dyDescent="0.25">
      <c r="A856" s="64">
        <v>222</v>
      </c>
      <c r="B856" s="65">
        <v>14.747009294696555</v>
      </c>
      <c r="C856" s="65">
        <v>0.20631970260223048</v>
      </c>
      <c r="D856" s="65">
        <v>2893.3632236194649</v>
      </c>
      <c r="E856" s="65">
        <f t="shared" si="5"/>
        <v>-4159.3404895162812</v>
      </c>
      <c r="F856" s="65">
        <f t="shared" si="0"/>
        <v>-36435822.688162617</v>
      </c>
      <c r="G856" s="66">
        <f t="shared" si="58"/>
        <v>-11886584.36671534</v>
      </c>
      <c r="H856" s="66">
        <f t="shared" si="2"/>
        <v>23146905.788955718</v>
      </c>
      <c r="I856" s="66">
        <f t="shared" si="3"/>
        <v>694407.17366867152</v>
      </c>
      <c r="J856" s="67">
        <f t="shared" si="4"/>
        <v>-9108955.6720406543</v>
      </c>
    </row>
    <row r="857" spans="1:10" ht="13.2" x14ac:dyDescent="0.25">
      <c r="A857" s="60">
        <v>221</v>
      </c>
      <c r="B857" s="61">
        <v>14.715024603608528</v>
      </c>
      <c r="C857" s="61">
        <v>0.2053903345724907</v>
      </c>
      <c r="D857" s="61">
        <v>2887.0878272279929</v>
      </c>
      <c r="E857" s="61">
        <f t="shared" si="5"/>
        <v>-4161.2796803156907</v>
      </c>
      <c r="F857" s="61">
        <f t="shared" si="0"/>
        <v>-36452809.999565452</v>
      </c>
      <c r="G857" s="62">
        <f t="shared" si="58"/>
        <v>-11884806.814030237</v>
      </c>
      <c r="H857" s="62">
        <f t="shared" si="2"/>
        <v>23096702.617823943</v>
      </c>
      <c r="I857" s="62">
        <f t="shared" si="3"/>
        <v>692901.07853471825</v>
      </c>
      <c r="J857" s="63">
        <f t="shared" si="4"/>
        <v>-9113202.4998913631</v>
      </c>
    </row>
    <row r="858" spans="1:10" ht="13.2" x14ac:dyDescent="0.25">
      <c r="A858" s="64">
        <v>220</v>
      </c>
      <c r="B858" s="65">
        <v>14.699278294149808</v>
      </c>
      <c r="C858" s="65">
        <v>0.20446096654275092</v>
      </c>
      <c r="D858" s="65">
        <v>2883.998401312193</v>
      </c>
      <c r="E858" s="65">
        <f t="shared" si="5"/>
        <v>-4162.230052042577</v>
      </c>
      <c r="F858" s="65">
        <f t="shared" si="0"/>
        <v>-36461135.25589297</v>
      </c>
      <c r="G858" s="66">
        <f t="shared" si="58"/>
        <v>-11883922.279232949</v>
      </c>
      <c r="H858" s="66">
        <f t="shared" si="2"/>
        <v>23071987.210497543</v>
      </c>
      <c r="I858" s="66">
        <f t="shared" si="3"/>
        <v>692159.6163149263</v>
      </c>
      <c r="J858" s="67">
        <f t="shared" si="4"/>
        <v>-9115283.8139732424</v>
      </c>
    </row>
    <row r="859" spans="1:10" ht="13.2" x14ac:dyDescent="0.25">
      <c r="A859" s="60">
        <v>219</v>
      </c>
      <c r="B859" s="61">
        <v>14.669557135046475</v>
      </c>
      <c r="C859" s="61">
        <v>0.20353159851301114</v>
      </c>
      <c r="D859" s="61">
        <v>2878.1671098961183</v>
      </c>
      <c r="E859" s="61">
        <f t="shared" si="5"/>
        <v>-4164.0157495533549</v>
      </c>
      <c r="F859" s="61">
        <f t="shared" si="0"/>
        <v>-36476777.966087386</v>
      </c>
      <c r="G859" s="62">
        <f t="shared" si="58"/>
        <v>-11882234.91702212</v>
      </c>
      <c r="H859" s="62">
        <f t="shared" si="2"/>
        <v>23025336.879168946</v>
      </c>
      <c r="I859" s="62">
        <f t="shared" si="3"/>
        <v>690760.10637506831</v>
      </c>
      <c r="J859" s="63">
        <f t="shared" si="4"/>
        <v>-9119194.4915218465</v>
      </c>
    </row>
    <row r="860" spans="1:10" ht="13.2" x14ac:dyDescent="0.25">
      <c r="A860" s="64">
        <v>218</v>
      </c>
      <c r="B860" s="65">
        <v>14.667785675232366</v>
      </c>
      <c r="C860" s="65">
        <v>0.20260223048327136</v>
      </c>
      <c r="D860" s="65">
        <v>2877.8195494805905</v>
      </c>
      <c r="E860" s="65">
        <f t="shared" si="5"/>
        <v>-4164.1216973380142</v>
      </c>
      <c r="F860" s="65">
        <f t="shared" si="0"/>
        <v>-36477706.068681002</v>
      </c>
      <c r="G860" s="66">
        <f t="shared" si="58"/>
        <v>-11882133.284671618</v>
      </c>
      <c r="H860" s="66">
        <f t="shared" si="2"/>
        <v>23022556.395844724</v>
      </c>
      <c r="I860" s="66">
        <f t="shared" si="3"/>
        <v>690676.6918753417</v>
      </c>
      <c r="J860" s="67">
        <f t="shared" si="4"/>
        <v>-9119426.5171702504</v>
      </c>
    </row>
    <row r="861" spans="1:10" ht="13.2" x14ac:dyDescent="0.25">
      <c r="A861" s="60">
        <v>217</v>
      </c>
      <c r="B861" s="61">
        <v>14.660306178239475</v>
      </c>
      <c r="C861" s="61">
        <v>0.20167286245353161</v>
      </c>
      <c r="D861" s="61">
        <v>2876.352072170585</v>
      </c>
      <c r="E861" s="61">
        <f t="shared" si="5"/>
        <v>-4164.5669866890521</v>
      </c>
      <c r="F861" s="61">
        <f t="shared" si="0"/>
        <v>-36481606.803396091</v>
      </c>
      <c r="G861" s="62">
        <f>J861-(I861-(H861*$N$4))</f>
        <v>-7739752.7062071422</v>
      </c>
      <c r="H861" s="62">
        <f t="shared" si="2"/>
        <v>23010816.577364679</v>
      </c>
      <c r="I861" s="62">
        <f t="shared" si="3"/>
        <v>690324.49732094037</v>
      </c>
      <c r="J861" s="63">
        <f t="shared" si="4"/>
        <v>-9120401.7008490227</v>
      </c>
    </row>
    <row r="862" spans="1:10" ht="13.2" x14ac:dyDescent="0.25">
      <c r="A862" s="64">
        <v>216</v>
      </c>
      <c r="B862" s="65">
        <v>14.655483870967743</v>
      </c>
      <c r="C862" s="65">
        <v>0.20074349442379183</v>
      </c>
      <c r="D862" s="65">
        <v>2875.405935483871</v>
      </c>
      <c r="E862" s="65">
        <f t="shared" si="5"/>
        <v>-4164.852762175281</v>
      </c>
      <c r="F862" s="65">
        <f t="shared" si="0"/>
        <v>-36484110.196655467</v>
      </c>
      <c r="G862" s="66">
        <f t="shared" ref="G862:G876" si="59">J862-I862-(H862*$N$4)</f>
        <v>-11881417.247228382</v>
      </c>
      <c r="H862" s="66">
        <f t="shared" si="2"/>
        <v>23003247.483870968</v>
      </c>
      <c r="I862" s="66">
        <f t="shared" si="3"/>
        <v>690097.42451612907</v>
      </c>
      <c r="J862" s="67">
        <f t="shared" si="4"/>
        <v>-9121027.5491638668</v>
      </c>
    </row>
    <row r="863" spans="1:10" ht="13.2" x14ac:dyDescent="0.25">
      <c r="A863" s="60">
        <v>215</v>
      </c>
      <c r="B863" s="61">
        <v>14.630781848004373</v>
      </c>
      <c r="C863" s="61">
        <v>0.19981412639405205</v>
      </c>
      <c r="D863" s="61">
        <v>2870.5593985784581</v>
      </c>
      <c r="E863" s="61">
        <f t="shared" si="5"/>
        <v>-4166.3098761984229</v>
      </c>
      <c r="F863" s="61">
        <f t="shared" si="0"/>
        <v>-36496874.515498184</v>
      </c>
      <c r="G863" s="62">
        <f t="shared" si="59"/>
        <v>-11879955.651509866</v>
      </c>
      <c r="H863" s="62">
        <f t="shared" si="2"/>
        <v>22964475.188627664</v>
      </c>
      <c r="I863" s="62">
        <f t="shared" si="3"/>
        <v>688934.25565882993</v>
      </c>
      <c r="J863" s="63">
        <f t="shared" si="4"/>
        <v>-9124218.6288745459</v>
      </c>
    </row>
    <row r="864" spans="1:10" ht="13.2" x14ac:dyDescent="0.25">
      <c r="A864" s="64">
        <v>214</v>
      </c>
      <c r="B864" s="65">
        <v>14.63058501913614</v>
      </c>
      <c r="C864" s="65">
        <v>0.19888475836431227</v>
      </c>
      <c r="D864" s="65">
        <v>2870.5207807545112</v>
      </c>
      <c r="E864" s="65">
        <f t="shared" si="5"/>
        <v>-4166.3214328334698</v>
      </c>
      <c r="F864" s="65">
        <f t="shared" si="0"/>
        <v>-36496975.751621194</v>
      </c>
      <c r="G864" s="66">
        <f t="shared" si="59"/>
        <v>-11879943.887429629</v>
      </c>
      <c r="H864" s="66">
        <f t="shared" si="2"/>
        <v>22964166.24603609</v>
      </c>
      <c r="I864" s="66">
        <f t="shared" si="3"/>
        <v>688924.98738108273</v>
      </c>
      <c r="J864" s="67">
        <f t="shared" si="4"/>
        <v>-9124243.9379052985</v>
      </c>
    </row>
    <row r="865" spans="1:10" ht="13.2" x14ac:dyDescent="0.25">
      <c r="A865" s="60">
        <v>213</v>
      </c>
      <c r="B865" s="61">
        <v>14.618480043739748</v>
      </c>
      <c r="C865" s="61">
        <v>0.19795539033457249</v>
      </c>
      <c r="D865" s="61">
        <v>2868.1457845817386</v>
      </c>
      <c r="E865" s="61">
        <f t="shared" si="5"/>
        <v>-4167.0288550206196</v>
      </c>
      <c r="F865" s="61">
        <f t="shared" si="0"/>
        <v>-36503172.769980624</v>
      </c>
      <c r="G865" s="62">
        <f t="shared" si="59"/>
        <v>-11879213.145693626</v>
      </c>
      <c r="H865" s="62">
        <f t="shared" si="2"/>
        <v>22945166.276653908</v>
      </c>
      <c r="I865" s="62">
        <f t="shared" si="3"/>
        <v>688354.98829961719</v>
      </c>
      <c r="J865" s="63">
        <f t="shared" si="4"/>
        <v>-9125793.1924951561</v>
      </c>
    </row>
    <row r="866" spans="1:10" ht="13.2" x14ac:dyDescent="0.25">
      <c r="A866" s="64">
        <v>212</v>
      </c>
      <c r="B866" s="65">
        <v>14.598797156916348</v>
      </c>
      <c r="C866" s="65">
        <v>0.19702602230483271</v>
      </c>
      <c r="D866" s="65">
        <v>2864.284002186987</v>
      </c>
      <c r="E866" s="65">
        <f t="shared" si="5"/>
        <v>-4168.1737514740826</v>
      </c>
      <c r="F866" s="65">
        <f t="shared" si="0"/>
        <v>-36513202.062912963</v>
      </c>
      <c r="G866" s="66">
        <f t="shared" si="59"/>
        <v>-11878013.157827748</v>
      </c>
      <c r="H866" s="66">
        <f t="shared" si="2"/>
        <v>22914272.017495897</v>
      </c>
      <c r="I866" s="66">
        <f t="shared" si="3"/>
        <v>687428.1605248769</v>
      </c>
      <c r="J866" s="67">
        <f t="shared" si="4"/>
        <v>-9128300.5157282408</v>
      </c>
    </row>
    <row r="867" spans="1:10" ht="13.2" x14ac:dyDescent="0.25">
      <c r="A867" s="60">
        <v>211</v>
      </c>
      <c r="B867" s="61">
        <v>14.535811919081464</v>
      </c>
      <c r="C867" s="61">
        <v>0.19609665427509293</v>
      </c>
      <c r="D867" s="61">
        <v>2851.9262985237833</v>
      </c>
      <c r="E867" s="61">
        <f t="shared" si="5"/>
        <v>-4171.8201928431045</v>
      </c>
      <c r="F867" s="61">
        <f t="shared" si="0"/>
        <v>-36545144.889305592</v>
      </c>
      <c r="G867" s="62">
        <f t="shared" si="59"/>
        <v>-11874135.468909228</v>
      </c>
      <c r="H867" s="62">
        <f t="shared" si="2"/>
        <v>22815410.388190266</v>
      </c>
      <c r="I867" s="62">
        <f t="shared" si="3"/>
        <v>684462.31164570793</v>
      </c>
      <c r="J867" s="63">
        <f t="shared" si="4"/>
        <v>-9136286.2223263979</v>
      </c>
    </row>
    <row r="868" spans="1:10" ht="13.2" x14ac:dyDescent="0.25">
      <c r="A868" s="64">
        <v>210</v>
      </c>
      <c r="B868" s="65">
        <v>14.525084745762712</v>
      </c>
      <c r="C868" s="65">
        <v>0.19516728624535315</v>
      </c>
      <c r="D868" s="65">
        <v>2849.8216271186443</v>
      </c>
      <c r="E868" s="65">
        <f t="shared" si="5"/>
        <v>-4172.4382933672905</v>
      </c>
      <c r="F868" s="65">
        <f t="shared" si="0"/>
        <v>-36550559.449897468</v>
      </c>
      <c r="G868" s="66">
        <f t="shared" si="59"/>
        <v>-11873468.624508265</v>
      </c>
      <c r="H868" s="66">
        <f t="shared" si="2"/>
        <v>22798573.016949154</v>
      </c>
      <c r="I868" s="66">
        <f t="shared" si="3"/>
        <v>683957.1905084746</v>
      </c>
      <c r="J868" s="67">
        <f t="shared" si="4"/>
        <v>-9137639.862474367</v>
      </c>
    </row>
    <row r="869" spans="1:10" ht="13.2" x14ac:dyDescent="0.25">
      <c r="A869" s="60">
        <v>209</v>
      </c>
      <c r="B869" s="61">
        <v>14.452848551120832</v>
      </c>
      <c r="C869" s="61">
        <v>0.19423791821561337</v>
      </c>
      <c r="D869" s="61">
        <v>2835.6488857299078</v>
      </c>
      <c r="E869" s="61">
        <f t="shared" si="5"/>
        <v>-4176.5807907341659</v>
      </c>
      <c r="F869" s="61">
        <f t="shared" si="0"/>
        <v>-36586847.726831295</v>
      </c>
      <c r="G869" s="62">
        <f t="shared" si="59"/>
        <v>-11868934.862008534</v>
      </c>
      <c r="H869" s="62">
        <f t="shared" si="2"/>
        <v>22685191.08583926</v>
      </c>
      <c r="I869" s="62">
        <f t="shared" si="3"/>
        <v>680555.7325751778</v>
      </c>
      <c r="J869" s="63">
        <f t="shared" si="4"/>
        <v>-9146711.9317078236</v>
      </c>
    </row>
    <row r="870" spans="1:10" ht="13.2" x14ac:dyDescent="0.25">
      <c r="A870" s="64">
        <v>208</v>
      </c>
      <c r="B870" s="65">
        <v>14.441235647895024</v>
      </c>
      <c r="C870" s="65">
        <v>0.19330855018587362</v>
      </c>
      <c r="D870" s="65">
        <v>2833.3704341170037</v>
      </c>
      <c r="E870" s="65">
        <f t="shared" si="5"/>
        <v>-4177.2435745211906</v>
      </c>
      <c r="F870" s="65">
        <f t="shared" si="0"/>
        <v>-36592653.712805629</v>
      </c>
      <c r="G870" s="66">
        <f t="shared" si="59"/>
        <v>-11868199.044953732</v>
      </c>
      <c r="H870" s="66">
        <f t="shared" si="2"/>
        <v>22666963.47293603</v>
      </c>
      <c r="I870" s="66">
        <f t="shared" si="3"/>
        <v>680008.90418808092</v>
      </c>
      <c r="J870" s="67">
        <f t="shared" si="4"/>
        <v>-9148163.4282014072</v>
      </c>
    </row>
    <row r="871" spans="1:10" ht="13.2" x14ac:dyDescent="0.25">
      <c r="A871" s="60">
        <v>207</v>
      </c>
      <c r="B871" s="61">
        <v>14.440153089119738</v>
      </c>
      <c r="C871" s="61">
        <v>0.19237918215613384</v>
      </c>
      <c r="D871" s="61">
        <v>2833.1580360852927</v>
      </c>
      <c r="E871" s="61">
        <f t="shared" si="5"/>
        <v>-4177.305063356579</v>
      </c>
      <c r="F871" s="61">
        <f t="shared" si="0"/>
        <v>-36593192.355003633</v>
      </c>
      <c r="G871" s="62">
        <f t="shared" si="59"/>
        <v>-11868129.80339279</v>
      </c>
      <c r="H871" s="62">
        <f t="shared" si="2"/>
        <v>22665264.288682342</v>
      </c>
      <c r="I871" s="62">
        <f t="shared" si="3"/>
        <v>679957.92866047018</v>
      </c>
      <c r="J871" s="63">
        <f t="shared" si="4"/>
        <v>-9148298.0887509082</v>
      </c>
    </row>
    <row r="872" spans="1:10" ht="13.2" x14ac:dyDescent="0.25">
      <c r="A872" s="64">
        <v>206</v>
      </c>
      <c r="B872" s="65">
        <v>14.36978676872608</v>
      </c>
      <c r="C872" s="65">
        <v>0.19144981412639406</v>
      </c>
      <c r="D872" s="65">
        <v>2819.3521640240569</v>
      </c>
      <c r="E872" s="65">
        <f t="shared" si="5"/>
        <v>-4181.2825915526601</v>
      </c>
      <c r="F872" s="65">
        <f t="shared" si="0"/>
        <v>-36628035.502001308</v>
      </c>
      <c r="G872" s="66">
        <f t="shared" si="59"/>
        <v>-11863586.952963423</v>
      </c>
      <c r="H872" s="66">
        <f t="shared" si="2"/>
        <v>22554817.312192455</v>
      </c>
      <c r="I872" s="66">
        <f t="shared" si="3"/>
        <v>676644.51936577365</v>
      </c>
      <c r="J872" s="67">
        <f t="shared" si="4"/>
        <v>-9157008.875500327</v>
      </c>
    </row>
    <row r="873" spans="1:10" ht="13.2" x14ac:dyDescent="0.25">
      <c r="A873" s="60">
        <v>205</v>
      </c>
      <c r="B873" s="61">
        <v>14.339376708583924</v>
      </c>
      <c r="C873" s="61">
        <v>0.19052044609665428</v>
      </c>
      <c r="D873" s="61">
        <v>2813.3857102241659</v>
      </c>
      <c r="E873" s="61">
        <f t="shared" si="5"/>
        <v>-4182.9932337434284</v>
      </c>
      <c r="F873" s="61">
        <f t="shared" si="0"/>
        <v>-36643020.727592431</v>
      </c>
      <c r="G873" s="62">
        <f t="shared" si="59"/>
        <v>-11861605.463713307</v>
      </c>
      <c r="H873" s="62">
        <f t="shared" si="2"/>
        <v>22507085.681793328</v>
      </c>
      <c r="I873" s="62">
        <f t="shared" si="3"/>
        <v>675212.5704537998</v>
      </c>
      <c r="J873" s="63">
        <f t="shared" si="4"/>
        <v>-9160755.1818981078</v>
      </c>
    </row>
    <row r="874" spans="1:10" ht="13.2" x14ac:dyDescent="0.25">
      <c r="A874" s="64">
        <v>204</v>
      </c>
      <c r="B874" s="65">
        <v>14.312804811372335</v>
      </c>
      <c r="C874" s="65">
        <v>0.1895910780669145</v>
      </c>
      <c r="D874" s="65">
        <v>2808.1723039912522</v>
      </c>
      <c r="E874" s="65">
        <f t="shared" si="5"/>
        <v>-4184.480701878656</v>
      </c>
      <c r="F874" s="65">
        <f t="shared" si="0"/>
        <v>-36656050.948457025</v>
      </c>
      <c r="G874" s="66">
        <f t="shared" si="59"/>
        <v>-11859858.148945859</v>
      </c>
      <c r="H874" s="66">
        <f t="shared" si="2"/>
        <v>22465378.431930017</v>
      </c>
      <c r="I874" s="66">
        <f t="shared" si="3"/>
        <v>673961.3529579005</v>
      </c>
      <c r="J874" s="67">
        <f t="shared" si="4"/>
        <v>-9164012.7371142562</v>
      </c>
    </row>
    <row r="875" spans="1:10" ht="13.2" x14ac:dyDescent="0.25">
      <c r="A875" s="60">
        <v>203</v>
      </c>
      <c r="B875" s="61">
        <v>14.310836522689993</v>
      </c>
      <c r="C875" s="61">
        <v>0.18866171003717472</v>
      </c>
      <c r="D875" s="61">
        <v>2807.786125751777</v>
      </c>
      <c r="E875" s="61">
        <f t="shared" si="5"/>
        <v>-4184.590346350923</v>
      </c>
      <c r="F875" s="61">
        <f t="shared" si="0"/>
        <v>-36657011.434034087</v>
      </c>
      <c r="G875" s="62">
        <f t="shared" si="59"/>
        <v>-11859727.539230227</v>
      </c>
      <c r="H875" s="62">
        <f t="shared" si="2"/>
        <v>22462289.006014217</v>
      </c>
      <c r="I875" s="62">
        <f t="shared" si="3"/>
        <v>673868.67018042644</v>
      </c>
      <c r="J875" s="63">
        <f t="shared" si="4"/>
        <v>-9164252.8585085217</v>
      </c>
    </row>
    <row r="876" spans="1:10" ht="13.2" x14ac:dyDescent="0.25">
      <c r="A876" s="64">
        <v>202</v>
      </c>
      <c r="B876" s="65">
        <v>14.303357025697101</v>
      </c>
      <c r="C876" s="65">
        <v>0.18773234200743494</v>
      </c>
      <c r="D876" s="65">
        <v>2806.3186484417715</v>
      </c>
      <c r="E876" s="65">
        <f t="shared" si="5"/>
        <v>-4185.0049496057945</v>
      </c>
      <c r="F876" s="65">
        <f t="shared" si="0"/>
        <v>-36660643.358546764</v>
      </c>
      <c r="G876" s="66">
        <f t="shared" si="59"/>
        <v>-11859226.742140792</v>
      </c>
      <c r="H876" s="66">
        <f t="shared" si="2"/>
        <v>22450549.187534172</v>
      </c>
      <c r="I876" s="66">
        <f t="shared" si="3"/>
        <v>673516.47562602512</v>
      </c>
      <c r="J876" s="67">
        <f t="shared" si="4"/>
        <v>-9165160.8396366909</v>
      </c>
    </row>
    <row r="877" spans="1:10" ht="13.2" x14ac:dyDescent="0.25">
      <c r="A877" s="60">
        <v>201</v>
      </c>
      <c r="B877" s="61">
        <v>14.212126845270639</v>
      </c>
      <c r="C877" s="61">
        <v>0.18680297397769516</v>
      </c>
      <c r="D877" s="61">
        <v>2788.4192870420993</v>
      </c>
      <c r="E877" s="61">
        <f t="shared" si="5"/>
        <v>-4190.0370656126724</v>
      </c>
      <c r="F877" s="61">
        <f t="shared" si="0"/>
        <v>-36704724.694767013</v>
      </c>
      <c r="G877" s="62">
        <f>J877-(I877-(H877*$N$4))</f>
        <v>-7837739.915911546</v>
      </c>
      <c r="H877" s="62">
        <f t="shared" si="2"/>
        <v>22307354.296336796</v>
      </c>
      <c r="I877" s="62">
        <f t="shared" si="3"/>
        <v>669220.62889010389</v>
      </c>
      <c r="J877" s="63">
        <f t="shared" si="4"/>
        <v>-9176181.1736917533</v>
      </c>
    </row>
    <row r="878" spans="1:10" ht="13.2" x14ac:dyDescent="0.25">
      <c r="A878" s="64">
        <v>200</v>
      </c>
      <c r="B878" s="65">
        <v>14.204647348277748</v>
      </c>
      <c r="C878" s="65">
        <v>0.18587360594795538</v>
      </c>
      <c r="D878" s="65">
        <v>2786.9518097320943</v>
      </c>
      <c r="E878" s="65">
        <f t="shared" si="5"/>
        <v>-4190.4475773880549</v>
      </c>
      <c r="F878" s="65">
        <f t="shared" si="0"/>
        <v>-36708320.77791936</v>
      </c>
      <c r="G878" s="66">
        <f t="shared" ref="G878:G892" si="60">J878-I878-(H878*$N$4)</f>
        <v>-11852553.93182265</v>
      </c>
      <c r="H878" s="66">
        <f t="shared" si="2"/>
        <v>22295614.477856755</v>
      </c>
      <c r="I878" s="66">
        <f t="shared" si="3"/>
        <v>668868.43433570268</v>
      </c>
      <c r="J878" s="67">
        <f t="shared" si="4"/>
        <v>-9177080.1944798399</v>
      </c>
    </row>
    <row r="879" spans="1:10" ht="13.2" x14ac:dyDescent="0.25">
      <c r="A879" s="60">
        <v>199</v>
      </c>
      <c r="B879" s="61">
        <v>14.126407873154728</v>
      </c>
      <c r="C879" s="61">
        <v>0.18494423791821563</v>
      </c>
      <c r="D879" s="61">
        <v>2771.6012247129574</v>
      </c>
      <c r="E879" s="61">
        <f t="shared" si="5"/>
        <v>-4194.7203471029543</v>
      </c>
      <c r="F879" s="61">
        <f t="shared" si="0"/>
        <v>-36745750.24062188</v>
      </c>
      <c r="G879" s="62">
        <f t="shared" si="60"/>
        <v>-11847174.735879909</v>
      </c>
      <c r="H879" s="62">
        <f t="shared" si="2"/>
        <v>22172809.797703661</v>
      </c>
      <c r="I879" s="62">
        <f t="shared" si="3"/>
        <v>665184.29393110983</v>
      </c>
      <c r="J879" s="63">
        <f t="shared" si="4"/>
        <v>-9186437.5601554699</v>
      </c>
    </row>
    <row r="880" spans="1:10" ht="13.2" x14ac:dyDescent="0.25">
      <c r="A880" s="64">
        <v>198</v>
      </c>
      <c r="B880" s="65">
        <v>14.102985237834881</v>
      </c>
      <c r="C880" s="65">
        <v>0.18401486988847585</v>
      </c>
      <c r="D880" s="65">
        <v>2767.0057036632038</v>
      </c>
      <c r="E880" s="65">
        <f t="shared" si="5"/>
        <v>-4195.9930843453585</v>
      </c>
      <c r="F880" s="65">
        <f t="shared" si="0"/>
        <v>-36756899.418865338</v>
      </c>
      <c r="G880" s="66">
        <f t="shared" si="60"/>
        <v>-11845550.330233011</v>
      </c>
      <c r="H880" s="66">
        <f t="shared" si="2"/>
        <v>22136045.629305631</v>
      </c>
      <c r="I880" s="66">
        <f t="shared" si="3"/>
        <v>664081.36887916888</v>
      </c>
      <c r="J880" s="67">
        <f t="shared" si="4"/>
        <v>-9189224.8547163345</v>
      </c>
    </row>
    <row r="881" spans="1:10" ht="13.2" x14ac:dyDescent="0.25">
      <c r="A881" s="60">
        <v>197</v>
      </c>
      <c r="B881" s="61">
        <v>14.102591580098414</v>
      </c>
      <c r="C881" s="61">
        <v>0.18308550185873607</v>
      </c>
      <c r="D881" s="61">
        <v>2766.9284680153091</v>
      </c>
      <c r="E881" s="61">
        <f t="shared" si="5"/>
        <v>-4196.0143672167351</v>
      </c>
      <c r="F881" s="61">
        <f t="shared" si="0"/>
        <v>-36757085.856818594</v>
      </c>
      <c r="G881" s="62">
        <f t="shared" si="60"/>
        <v>-11845522.793499345</v>
      </c>
      <c r="H881" s="62">
        <f t="shared" si="2"/>
        <v>22135427.744122472</v>
      </c>
      <c r="I881" s="62">
        <f t="shared" si="3"/>
        <v>664062.83232367411</v>
      </c>
      <c r="J881" s="63">
        <f t="shared" si="4"/>
        <v>-9189271.4642046485</v>
      </c>
    </row>
    <row r="882" spans="1:10" ht="13.2" x14ac:dyDescent="0.25">
      <c r="A882" s="64">
        <v>196</v>
      </c>
      <c r="B882" s="65">
        <v>13.983903772553306</v>
      </c>
      <c r="C882" s="65">
        <v>0.18215613382899629</v>
      </c>
      <c r="D882" s="65">
        <v>2743.6419201749591</v>
      </c>
      <c r="E882" s="65">
        <f t="shared" si="5"/>
        <v>-4202.3986902770539</v>
      </c>
      <c r="F882" s="65">
        <f t="shared" si="0"/>
        <v>-36813012.526826993</v>
      </c>
      <c r="G882" s="66">
        <f t="shared" si="60"/>
        <v>-11837149.375074709</v>
      </c>
      <c r="H882" s="66">
        <f t="shared" si="2"/>
        <v>21949135.361399673</v>
      </c>
      <c r="I882" s="66">
        <f t="shared" si="3"/>
        <v>658474.06084199017</v>
      </c>
      <c r="J882" s="67">
        <f t="shared" si="4"/>
        <v>-9203253.1317067482</v>
      </c>
    </row>
    <row r="883" spans="1:10" ht="13.2" x14ac:dyDescent="0.25">
      <c r="A883" s="60">
        <v>195</v>
      </c>
      <c r="B883" s="61">
        <v>13.975243302351011</v>
      </c>
      <c r="C883" s="61">
        <v>0.18122676579925651</v>
      </c>
      <c r="D883" s="61">
        <v>2741.9427359212686</v>
      </c>
      <c r="E883" s="61">
        <f t="shared" si="5"/>
        <v>-4202.862175944766</v>
      </c>
      <c r="F883" s="61">
        <f t="shared" si="0"/>
        <v>-36817072.661276147</v>
      </c>
      <c r="G883" s="62">
        <f t="shared" si="60"/>
        <v>-11836533.191803453</v>
      </c>
      <c r="H883" s="62">
        <f t="shared" si="2"/>
        <v>21935541.887370151</v>
      </c>
      <c r="I883" s="62">
        <f t="shared" si="3"/>
        <v>658066.25662110455</v>
      </c>
      <c r="J883" s="63">
        <f t="shared" si="4"/>
        <v>-9204268.1653190367</v>
      </c>
    </row>
    <row r="884" spans="1:10" ht="13.2" x14ac:dyDescent="0.25">
      <c r="A884" s="64">
        <v>194</v>
      </c>
      <c r="B884" s="65">
        <v>13.940896664844177</v>
      </c>
      <c r="C884" s="65">
        <v>0.18029739776951673</v>
      </c>
      <c r="D884" s="65">
        <v>2735.2039256424277</v>
      </c>
      <c r="E884" s="65">
        <f t="shared" si="5"/>
        <v>-4204.6909237156042</v>
      </c>
      <c r="F884" s="65">
        <f t="shared" si="0"/>
        <v>-36833092.491748698</v>
      </c>
      <c r="G884" s="66">
        <f t="shared" si="60"/>
        <v>-11834068.891553905</v>
      </c>
      <c r="H884" s="66">
        <f t="shared" si="2"/>
        <v>21881631.40513942</v>
      </c>
      <c r="I884" s="66">
        <f t="shared" si="3"/>
        <v>656448.94215418259</v>
      </c>
      <c r="J884" s="67">
        <f t="shared" si="4"/>
        <v>-9208273.1229371745</v>
      </c>
    </row>
    <row r="885" spans="1:10" ht="13.2" x14ac:dyDescent="0.25">
      <c r="A885" s="60">
        <v>193</v>
      </c>
      <c r="B885" s="61">
        <v>13.870924002186987</v>
      </c>
      <c r="C885" s="61">
        <v>0.17936802973977695</v>
      </c>
      <c r="D885" s="61">
        <v>2721.4752892290867</v>
      </c>
      <c r="E885" s="61">
        <f t="shared" si="5"/>
        <v>-4208.3974003680905</v>
      </c>
      <c r="F885" s="61">
        <f t="shared" si="0"/>
        <v>-36865561.227224477</v>
      </c>
      <c r="G885" s="62">
        <f t="shared" si="60"/>
        <v>-11829006.584466042</v>
      </c>
      <c r="H885" s="62">
        <f t="shared" si="2"/>
        <v>21771802.313832693</v>
      </c>
      <c r="I885" s="62">
        <f t="shared" si="3"/>
        <v>653154.06941498071</v>
      </c>
      <c r="J885" s="63">
        <f t="shared" si="4"/>
        <v>-9216390.3068061192</v>
      </c>
    </row>
    <row r="886" spans="1:10" ht="13.2" x14ac:dyDescent="0.25">
      <c r="A886" s="64">
        <v>192</v>
      </c>
      <c r="B886" s="65">
        <v>13.866593767085838</v>
      </c>
      <c r="C886" s="65">
        <v>0.17843866171003717</v>
      </c>
      <c r="D886" s="65">
        <v>2720.6256971022412</v>
      </c>
      <c r="E886" s="65">
        <f t="shared" si="5"/>
        <v>-4208.625590075022</v>
      </c>
      <c r="F886" s="65">
        <f t="shared" si="0"/>
        <v>-36867560.16905719</v>
      </c>
      <c r="G886" s="66">
        <f t="shared" si="60"/>
        <v>-11828690.71148245</v>
      </c>
      <c r="H886" s="66">
        <f t="shared" si="2"/>
        <v>21765005.57681793</v>
      </c>
      <c r="I886" s="66">
        <f t="shared" si="3"/>
        <v>652950.16730453784</v>
      </c>
      <c r="J886" s="67">
        <f t="shared" si="4"/>
        <v>-9216890.0422642976</v>
      </c>
    </row>
    <row r="887" spans="1:10" ht="13.2" x14ac:dyDescent="0.25">
      <c r="A887" s="60">
        <v>191</v>
      </c>
      <c r="B887" s="61">
        <v>13.865314379442317</v>
      </c>
      <c r="C887" s="61">
        <v>0.17750929368029739</v>
      </c>
      <c r="D887" s="61">
        <v>2720.3746812465829</v>
      </c>
      <c r="E887" s="61">
        <f t="shared" si="5"/>
        <v>-4208.6926598319942</v>
      </c>
      <c r="F887" s="61">
        <f t="shared" si="0"/>
        <v>-36868147.700128265</v>
      </c>
      <c r="G887" s="62">
        <f t="shared" si="60"/>
        <v>-11828596.619028786</v>
      </c>
      <c r="H887" s="62">
        <f t="shared" si="2"/>
        <v>21762997.449972663</v>
      </c>
      <c r="I887" s="62">
        <f t="shared" si="3"/>
        <v>652889.92349917989</v>
      </c>
      <c r="J887" s="63">
        <f t="shared" si="4"/>
        <v>-9217036.9250320662</v>
      </c>
    </row>
    <row r="888" spans="1:10" ht="13.2" x14ac:dyDescent="0.25">
      <c r="A888" s="64">
        <v>190</v>
      </c>
      <c r="B888" s="65">
        <v>13.864527063969382</v>
      </c>
      <c r="C888" s="65">
        <v>0.17657992565055763</v>
      </c>
      <c r="D888" s="65">
        <v>2720.2202099507927</v>
      </c>
      <c r="E888" s="65">
        <f t="shared" si="5"/>
        <v>-4208.7337181875664</v>
      </c>
      <c r="F888" s="65">
        <f t="shared" si="0"/>
        <v>-36868507.371323079</v>
      </c>
      <c r="G888" s="66">
        <f t="shared" si="60"/>
        <v>-11828538.244383531</v>
      </c>
      <c r="H888" s="66">
        <f t="shared" si="2"/>
        <v>21761761.679606341</v>
      </c>
      <c r="I888" s="66">
        <f t="shared" si="3"/>
        <v>652852.85038819024</v>
      </c>
      <c r="J888" s="67">
        <f t="shared" si="4"/>
        <v>-9217126.8428307697</v>
      </c>
    </row>
    <row r="889" spans="1:10" ht="13.2" x14ac:dyDescent="0.25">
      <c r="A889" s="60">
        <v>189</v>
      </c>
      <c r="B889" s="61">
        <v>13.856752323674138</v>
      </c>
      <c r="C889" s="61">
        <v>0.17565055762081785</v>
      </c>
      <c r="D889" s="61">
        <v>2718.6948059048659</v>
      </c>
      <c r="E889" s="61">
        <f t="shared" si="5"/>
        <v>-4209.1370429562148</v>
      </c>
      <c r="F889" s="61">
        <f t="shared" si="0"/>
        <v>-36872040.496296436</v>
      </c>
      <c r="G889" s="62">
        <f t="shared" si="60"/>
        <v>-11827957.13774278</v>
      </c>
      <c r="H889" s="62">
        <f t="shared" si="2"/>
        <v>21749558.447238926</v>
      </c>
      <c r="I889" s="62">
        <f t="shared" si="3"/>
        <v>652486.7534171677</v>
      </c>
      <c r="J889" s="63">
        <f t="shared" si="4"/>
        <v>-9218010.1240741089</v>
      </c>
    </row>
    <row r="890" spans="1:10" ht="13.2" x14ac:dyDescent="0.25">
      <c r="A890" s="64">
        <v>188</v>
      </c>
      <c r="B890" s="65">
        <v>13.830180426462547</v>
      </c>
      <c r="C890" s="65">
        <v>0.17472118959107807</v>
      </c>
      <c r="D890" s="65">
        <v>2713.4813996719517</v>
      </c>
      <c r="E890" s="65">
        <f t="shared" si="5"/>
        <v>-4210.508226937548</v>
      </c>
      <c r="F890" s="65">
        <f t="shared" si="0"/>
        <v>-36884052.067972921</v>
      </c>
      <c r="G890" s="66">
        <f t="shared" si="60"/>
        <v>-11825955.160678303</v>
      </c>
      <c r="H890" s="66">
        <f t="shared" si="2"/>
        <v>21707851.197375614</v>
      </c>
      <c r="I890" s="66">
        <f t="shared" si="3"/>
        <v>651235.5359212684</v>
      </c>
      <c r="J890" s="67">
        <f t="shared" si="4"/>
        <v>-9221013.0169932302</v>
      </c>
    </row>
    <row r="891" spans="1:10" ht="13.2" x14ac:dyDescent="0.25">
      <c r="A891" s="60">
        <v>187</v>
      </c>
      <c r="B891" s="61">
        <v>13.777430289775833</v>
      </c>
      <c r="C891" s="61">
        <v>0.17379182156133829</v>
      </c>
      <c r="D891" s="61">
        <v>2703.1318228540181</v>
      </c>
      <c r="E891" s="61">
        <f t="shared" si="5"/>
        <v>-4213.2158532147305</v>
      </c>
      <c r="F891" s="61">
        <f t="shared" si="0"/>
        <v>-36907770.874161042</v>
      </c>
      <c r="G891" s="62">
        <f t="shared" si="60"/>
        <v>-11821949.268480118</v>
      </c>
      <c r="H891" s="62">
        <f t="shared" si="2"/>
        <v>21625054.582832146</v>
      </c>
      <c r="I891" s="62">
        <f t="shared" si="3"/>
        <v>648751.63748496433</v>
      </c>
      <c r="J891" s="63">
        <f t="shared" si="4"/>
        <v>-9226942.7185402606</v>
      </c>
    </row>
    <row r="892" spans="1:10" ht="13.2" x14ac:dyDescent="0.25">
      <c r="A892" s="64">
        <v>186</v>
      </c>
      <c r="B892" s="65">
        <v>13.724778567523236</v>
      </c>
      <c r="C892" s="65">
        <v>0.17286245353159851</v>
      </c>
      <c r="D892" s="65">
        <v>2692.8015549480588</v>
      </c>
      <c r="E892" s="65">
        <f t="shared" si="5"/>
        <v>-4215.9040270192554</v>
      </c>
      <c r="F892" s="65">
        <f t="shared" si="0"/>
        <v>-36931319.276688673</v>
      </c>
      <c r="G892" s="66">
        <f t="shared" si="60"/>
        <v>-11817919.311922304</v>
      </c>
      <c r="H892" s="66">
        <f t="shared" si="2"/>
        <v>21542412.439584471</v>
      </c>
      <c r="I892" s="66">
        <f t="shared" si="3"/>
        <v>646272.37318753416</v>
      </c>
      <c r="J892" s="67">
        <f t="shared" si="4"/>
        <v>-9232829.8191721682</v>
      </c>
    </row>
    <row r="893" spans="1:10" ht="13.2" x14ac:dyDescent="0.25">
      <c r="A893" s="60">
        <v>185</v>
      </c>
      <c r="B893" s="61">
        <v>13.697813012575176</v>
      </c>
      <c r="C893" s="61">
        <v>0.17193308550185873</v>
      </c>
      <c r="D893" s="61">
        <v>2687.5109130672495</v>
      </c>
      <c r="E893" s="61">
        <f t="shared" si="5"/>
        <v>-4217.2733985469558</v>
      </c>
      <c r="F893" s="61">
        <f t="shared" si="0"/>
        <v>-36943314.971271329</v>
      </c>
      <c r="G893" s="62">
        <f>J893-(I893-(H893*$N$4))</f>
        <v>-7945823.5045455527</v>
      </c>
      <c r="H893" s="62">
        <f t="shared" si="2"/>
        <v>21500087.304537997</v>
      </c>
      <c r="I893" s="62">
        <f t="shared" si="3"/>
        <v>645002.61913613987</v>
      </c>
      <c r="J893" s="63">
        <f t="shared" si="4"/>
        <v>-9235828.7428178322</v>
      </c>
    </row>
    <row r="894" spans="1:10" ht="13.2" x14ac:dyDescent="0.25">
      <c r="A894" s="64">
        <v>184</v>
      </c>
      <c r="B894" s="65">
        <v>13.663367960634226</v>
      </c>
      <c r="C894" s="65">
        <v>0.17100371747211895</v>
      </c>
      <c r="D894" s="65">
        <v>2680.7527938764351</v>
      </c>
      <c r="E894" s="65">
        <f t="shared" si="5"/>
        <v>-4219.0131745839963</v>
      </c>
      <c r="F894" s="65">
        <f t="shared" si="0"/>
        <v>-36958555.409355804</v>
      </c>
      <c r="G894" s="66">
        <f t="shared" ref="G894:G908" si="61">J894-I894-(H894*$N$4)</f>
        <v>-11813161.53446033</v>
      </c>
      <c r="H894" s="66">
        <f t="shared" si="2"/>
        <v>21446022.351011481</v>
      </c>
      <c r="I894" s="66">
        <f t="shared" si="3"/>
        <v>643380.67053034436</v>
      </c>
      <c r="J894" s="67">
        <f t="shared" si="4"/>
        <v>-9239638.8523389511</v>
      </c>
    </row>
    <row r="895" spans="1:10" ht="13.2" x14ac:dyDescent="0.25">
      <c r="A895" s="60">
        <v>183</v>
      </c>
      <c r="B895" s="61">
        <v>13.638567523236741</v>
      </c>
      <c r="C895" s="61">
        <v>0.17007434944237917</v>
      </c>
      <c r="D895" s="61">
        <v>2675.8869480590488</v>
      </c>
      <c r="E895" s="61">
        <f t="shared" si="5"/>
        <v>-4220.2590300883548</v>
      </c>
      <c r="F895" s="61">
        <f t="shared" si="0"/>
        <v>-36969469.103573985</v>
      </c>
      <c r="G895" s="62">
        <f t="shared" si="61"/>
        <v>-11811218.746030184</v>
      </c>
      <c r="H895" s="62">
        <f t="shared" si="2"/>
        <v>21407095.584472392</v>
      </c>
      <c r="I895" s="62">
        <f t="shared" si="3"/>
        <v>642212.86753417167</v>
      </c>
      <c r="J895" s="63">
        <f t="shared" si="4"/>
        <v>-9242367.2758934963</v>
      </c>
    </row>
    <row r="896" spans="1:10" ht="13.2" x14ac:dyDescent="0.25">
      <c r="A896" s="64">
        <v>182</v>
      </c>
      <c r="B896" s="65">
        <v>13.605598687807545</v>
      </c>
      <c r="C896" s="65">
        <v>0.16914498141263939</v>
      </c>
      <c r="D896" s="65">
        <v>2669.4184625478406</v>
      </c>
      <c r="E896" s="65">
        <f t="shared" si="5"/>
        <v>-4221.9062094843321</v>
      </c>
      <c r="F896" s="65">
        <f t="shared" si="0"/>
        <v>-36983898.395082749</v>
      </c>
      <c r="G896" s="66">
        <f t="shared" si="61"/>
        <v>-11808616.322816614</v>
      </c>
      <c r="H896" s="66">
        <f t="shared" si="2"/>
        <v>21355347.700382724</v>
      </c>
      <c r="I896" s="66">
        <f t="shared" si="3"/>
        <v>640660.43101148168</v>
      </c>
      <c r="J896" s="67">
        <f t="shared" si="4"/>
        <v>-9245974.5987706874</v>
      </c>
    </row>
    <row r="897" spans="1:10" ht="13.2" x14ac:dyDescent="0.25">
      <c r="A897" s="60">
        <v>181</v>
      </c>
      <c r="B897" s="61">
        <v>13.5387752870421</v>
      </c>
      <c r="C897" s="61">
        <v>0.16821561338289961</v>
      </c>
      <c r="D897" s="61">
        <v>2656.3077113176596</v>
      </c>
      <c r="E897" s="61">
        <f t="shared" si="5"/>
        <v>-4225.2265437875149</v>
      </c>
      <c r="F897" s="61">
        <f t="shared" si="0"/>
        <v>-37012984.523578636</v>
      </c>
      <c r="G897" s="62">
        <f t="shared" si="61"/>
        <v>-11803301.533759613</v>
      </c>
      <c r="H897" s="62">
        <f t="shared" si="2"/>
        <v>21250461.690541279</v>
      </c>
      <c r="I897" s="62">
        <f t="shared" si="3"/>
        <v>637513.85071623838</v>
      </c>
      <c r="J897" s="63">
        <f t="shared" si="4"/>
        <v>-9253246.1308946591</v>
      </c>
    </row>
    <row r="898" spans="1:10" ht="13.2" x14ac:dyDescent="0.25">
      <c r="A898" s="64">
        <v>180</v>
      </c>
      <c r="B898" s="65">
        <v>13.476577364680152</v>
      </c>
      <c r="C898" s="65">
        <v>0.16728624535315986</v>
      </c>
      <c r="D898" s="65">
        <v>2644.1044789502457</v>
      </c>
      <c r="E898" s="65">
        <f t="shared" si="5"/>
        <v>-4228.3000344674119</v>
      </c>
      <c r="F898" s="65">
        <f t="shared" si="0"/>
        <v>-37039908.301934533</v>
      </c>
      <c r="G898" s="66">
        <f t="shared" si="61"/>
        <v>-11798317.375275869</v>
      </c>
      <c r="H898" s="66">
        <f t="shared" si="2"/>
        <v>21152835.831601966</v>
      </c>
      <c r="I898" s="66">
        <f t="shared" si="3"/>
        <v>634585.07494805893</v>
      </c>
      <c r="J898" s="67">
        <f t="shared" si="4"/>
        <v>-9259977.0754836332</v>
      </c>
    </row>
    <row r="899" spans="1:10" ht="13.2" x14ac:dyDescent="0.25">
      <c r="A899" s="60">
        <v>179</v>
      </c>
      <c r="B899" s="61">
        <v>13.434357572443957</v>
      </c>
      <c r="C899" s="61">
        <v>0.16635687732342008</v>
      </c>
      <c r="D899" s="61">
        <v>2635.8209557135046</v>
      </c>
      <c r="E899" s="61">
        <f t="shared" si="5"/>
        <v>-4230.3747644974319</v>
      </c>
      <c r="F899" s="61">
        <f t="shared" si="0"/>
        <v>-37058082.936997503</v>
      </c>
      <c r="G899" s="62">
        <f t="shared" si="61"/>
        <v>-11794908.85173434</v>
      </c>
      <c r="H899" s="62">
        <f t="shared" si="2"/>
        <v>21086567.645708036</v>
      </c>
      <c r="I899" s="62">
        <f t="shared" si="3"/>
        <v>632597.02937124099</v>
      </c>
      <c r="J899" s="63">
        <f t="shared" si="4"/>
        <v>-9264520.7342493758</v>
      </c>
    </row>
    <row r="900" spans="1:10" ht="13.2" x14ac:dyDescent="0.25">
      <c r="A900" s="64">
        <v>178</v>
      </c>
      <c r="B900" s="65">
        <v>13.416052487698195</v>
      </c>
      <c r="C900" s="65">
        <v>0.1654275092936803</v>
      </c>
      <c r="D900" s="65">
        <v>2632.2294980863858</v>
      </c>
      <c r="E900" s="65">
        <f t="shared" si="5"/>
        <v>-4231.269291118313</v>
      </c>
      <c r="F900" s="65">
        <f t="shared" si="0"/>
        <v>-37065918.990196422</v>
      </c>
      <c r="G900" s="66">
        <f t="shared" si="61"/>
        <v>-11793420.065712037</v>
      </c>
      <c r="H900" s="66">
        <f t="shared" si="2"/>
        <v>21057835.984691087</v>
      </c>
      <c r="I900" s="66">
        <f t="shared" si="3"/>
        <v>631735.07954073255</v>
      </c>
      <c r="J900" s="67">
        <f t="shared" si="4"/>
        <v>-9266479.7475491054</v>
      </c>
    </row>
    <row r="901" spans="1:10" ht="13.2" x14ac:dyDescent="0.25">
      <c r="A901" s="60">
        <v>177</v>
      </c>
      <c r="B901" s="61">
        <v>13.415265172225258</v>
      </c>
      <c r="C901" s="61">
        <v>0.16449814126394052</v>
      </c>
      <c r="D901" s="61">
        <v>2632.0750267905955</v>
      </c>
      <c r="E901" s="61">
        <f t="shared" si="5"/>
        <v>-4231.3075500405512</v>
      </c>
      <c r="F901" s="61">
        <f t="shared" si="0"/>
        <v>-37066254.138355233</v>
      </c>
      <c r="G901" s="62">
        <f t="shared" si="61"/>
        <v>-11793355.56030778</v>
      </c>
      <c r="H901" s="62">
        <f t="shared" si="2"/>
        <v>21056600.214324765</v>
      </c>
      <c r="I901" s="62">
        <f t="shared" si="3"/>
        <v>631698.00642974291</v>
      </c>
      <c r="J901" s="63">
        <f t="shared" si="4"/>
        <v>-9266563.5345888082</v>
      </c>
    </row>
    <row r="902" spans="1:10" ht="13.2" x14ac:dyDescent="0.25">
      <c r="A902" s="64">
        <v>176</v>
      </c>
      <c r="B902" s="65">
        <v>13.40601421541826</v>
      </c>
      <c r="C902" s="65">
        <v>0.16356877323420074</v>
      </c>
      <c r="D902" s="65">
        <v>2630.2599890650627</v>
      </c>
      <c r="E902" s="65">
        <f t="shared" si="5"/>
        <v>-4231.7545621197951</v>
      </c>
      <c r="F902" s="65">
        <f t="shared" si="0"/>
        <v>-37070169.964169405</v>
      </c>
      <c r="G902" s="66">
        <f t="shared" si="61"/>
        <v>-11792592.080544811</v>
      </c>
      <c r="H902" s="66">
        <f t="shared" si="2"/>
        <v>21042079.912520502</v>
      </c>
      <c r="I902" s="66">
        <f t="shared" si="3"/>
        <v>631262.39737561508</v>
      </c>
      <c r="J902" s="67">
        <f t="shared" si="4"/>
        <v>-9267542.4910423514</v>
      </c>
    </row>
    <row r="903" spans="1:10" ht="13.2" x14ac:dyDescent="0.25">
      <c r="A903" s="60">
        <v>175</v>
      </c>
      <c r="B903" s="61">
        <v>13.394598141060689</v>
      </c>
      <c r="C903" s="61">
        <v>0.16263940520446096</v>
      </c>
      <c r="D903" s="61">
        <v>2628.0201552761073</v>
      </c>
      <c r="E903" s="61">
        <f t="shared" si="5"/>
        <v>-4232.3030716024996</v>
      </c>
      <c r="F903" s="61">
        <f t="shared" si="0"/>
        <v>-37074974.907237902</v>
      </c>
      <c r="G903" s="62">
        <f t="shared" si="61"/>
        <v>-11791643.075874539</v>
      </c>
      <c r="H903" s="62">
        <f t="shared" si="2"/>
        <v>21024161.242208857</v>
      </c>
      <c r="I903" s="62">
        <f t="shared" si="3"/>
        <v>630724.83726626565</v>
      </c>
      <c r="J903" s="63">
        <f t="shared" si="4"/>
        <v>-9268743.7268094756</v>
      </c>
    </row>
    <row r="904" spans="1:10" ht="13.2" x14ac:dyDescent="0.25">
      <c r="A904" s="64">
        <v>174</v>
      </c>
      <c r="B904" s="65">
        <v>13.380623291416073</v>
      </c>
      <c r="C904" s="65">
        <v>0.16171003717472118</v>
      </c>
      <c r="D904" s="65">
        <v>2625.2782897758339</v>
      </c>
      <c r="E904" s="65">
        <f t="shared" si="5"/>
        <v>-4232.9707005626033</v>
      </c>
      <c r="F904" s="65">
        <f t="shared" si="0"/>
        <v>-37080823.336928405</v>
      </c>
      <c r="G904" s="66">
        <f t="shared" si="61"/>
        <v>-11790472.992416903</v>
      </c>
      <c r="H904" s="66">
        <f t="shared" si="2"/>
        <v>21002226.318206672</v>
      </c>
      <c r="I904" s="66">
        <f t="shared" si="3"/>
        <v>630066.78954620007</v>
      </c>
      <c r="J904" s="67">
        <f t="shared" si="4"/>
        <v>-9270205.8342321012</v>
      </c>
    </row>
    <row r="905" spans="1:10" ht="13.2" x14ac:dyDescent="0.25">
      <c r="A905" s="60">
        <v>173</v>
      </c>
      <c r="B905" s="61">
        <v>13.376981957353744</v>
      </c>
      <c r="C905" s="61">
        <v>0.1607806691449814</v>
      </c>
      <c r="D905" s="61">
        <v>2624.5638600328048</v>
      </c>
      <c r="E905" s="61">
        <f t="shared" si="5"/>
        <v>-4233.1436642689778</v>
      </c>
      <c r="F905" s="61">
        <f t="shared" si="0"/>
        <v>-37082338.49899625</v>
      </c>
      <c r="G905" s="62">
        <f t="shared" si="61"/>
        <v>-11790165.930380557</v>
      </c>
      <c r="H905" s="62">
        <f t="shared" si="2"/>
        <v>20996510.880262438</v>
      </c>
      <c r="I905" s="62">
        <f t="shared" si="3"/>
        <v>629895.32640787307</v>
      </c>
      <c r="J905" s="63">
        <f t="shared" si="4"/>
        <v>-9270584.6247490626</v>
      </c>
    </row>
    <row r="906" spans="1:10" ht="13.2" x14ac:dyDescent="0.25">
      <c r="A906" s="64">
        <v>172</v>
      </c>
      <c r="B906" s="65">
        <v>13.359759431383269</v>
      </c>
      <c r="C906" s="65">
        <v>0.15985130111524162</v>
      </c>
      <c r="D906" s="65">
        <v>2621.1848004373978</v>
      </c>
      <c r="E906" s="65">
        <f t="shared" si="5"/>
        <v>-4233.9570252682443</v>
      </c>
      <c r="F906" s="65">
        <f t="shared" si="0"/>
        <v>-37089463.541349821</v>
      </c>
      <c r="G906" s="66">
        <f t="shared" si="61"/>
        <v>-11788703.293757357</v>
      </c>
      <c r="H906" s="66">
        <f t="shared" si="2"/>
        <v>20969478.403499182</v>
      </c>
      <c r="I906" s="66">
        <f t="shared" si="3"/>
        <v>629084.35210497549</v>
      </c>
      <c r="J906" s="67">
        <f t="shared" si="4"/>
        <v>-9272365.8853374552</v>
      </c>
    </row>
    <row r="907" spans="1:10" ht="13.2" x14ac:dyDescent="0.25">
      <c r="A907" s="60">
        <v>171</v>
      </c>
      <c r="B907" s="61">
        <v>13.353067249863312</v>
      </c>
      <c r="C907" s="61">
        <v>0.15892193308550187</v>
      </c>
      <c r="D907" s="61">
        <v>2619.8717944231821</v>
      </c>
      <c r="E907" s="61">
        <f t="shared" si="5"/>
        <v>-4234.2712437149548</v>
      </c>
      <c r="F907" s="61">
        <f t="shared" si="0"/>
        <v>-37092216.094943002</v>
      </c>
      <c r="G907" s="62">
        <f t="shared" si="61"/>
        <v>-11788130.946382005</v>
      </c>
      <c r="H907" s="62">
        <f t="shared" si="2"/>
        <v>20958974.355385456</v>
      </c>
      <c r="I907" s="62">
        <f t="shared" si="3"/>
        <v>628769.23066156369</v>
      </c>
      <c r="J907" s="63">
        <f t="shared" si="4"/>
        <v>-9273054.0237357505</v>
      </c>
    </row>
    <row r="908" spans="1:10" ht="13.2" x14ac:dyDescent="0.25">
      <c r="A908" s="64">
        <v>170</v>
      </c>
      <c r="B908" s="65">
        <v>13.333581191908147</v>
      </c>
      <c r="C908" s="65">
        <v>0.15799256505576209</v>
      </c>
      <c r="D908" s="65">
        <v>2616.0486298523783</v>
      </c>
      <c r="E908" s="65">
        <f t="shared" si="5"/>
        <v>-4235.1808442076372</v>
      </c>
      <c r="F908" s="65">
        <f t="shared" si="0"/>
        <v>-37100184.195258901</v>
      </c>
      <c r="G908" s="66">
        <f t="shared" si="61"/>
        <v>-11786452.733473008</v>
      </c>
      <c r="H908" s="66">
        <f t="shared" si="2"/>
        <v>20928389.038819026</v>
      </c>
      <c r="I908" s="66">
        <f t="shared" si="3"/>
        <v>627851.67116457073</v>
      </c>
      <c r="J908" s="67">
        <f t="shared" si="4"/>
        <v>-9275046.0488147251</v>
      </c>
    </row>
    <row r="909" spans="1:10" ht="13.2" x14ac:dyDescent="0.25">
      <c r="A909" s="60">
        <v>169</v>
      </c>
      <c r="B909" s="61">
        <v>13.291951886276653</v>
      </c>
      <c r="C909" s="61">
        <v>0.15706319702602231</v>
      </c>
      <c r="D909" s="61">
        <v>2607.8809600874797</v>
      </c>
      <c r="E909" s="61">
        <f t="shared" si="5"/>
        <v>-4237.1126954670854</v>
      </c>
      <c r="F909" s="61">
        <f t="shared" si="0"/>
        <v>-37117107.212291665</v>
      </c>
      <c r="G909" s="62">
        <f>J909-(I909-(H909*$N$4))</f>
        <v>-8027493.9422309268</v>
      </c>
      <c r="H909" s="62">
        <f t="shared" si="2"/>
        <v>20863047.680699836</v>
      </c>
      <c r="I909" s="62">
        <f t="shared" si="3"/>
        <v>625891.43042099511</v>
      </c>
      <c r="J909" s="63">
        <f t="shared" si="4"/>
        <v>-9279276.8030729163</v>
      </c>
    </row>
    <row r="910" spans="1:10" ht="13.2" x14ac:dyDescent="0.25">
      <c r="A910" s="64">
        <v>168</v>
      </c>
      <c r="B910" s="65">
        <v>13.283783488244943</v>
      </c>
      <c r="C910" s="65">
        <v>0.15613382899628253</v>
      </c>
      <c r="D910" s="65">
        <v>2606.2783203936579</v>
      </c>
      <c r="E910" s="65">
        <f t="shared" si="5"/>
        <v>-4237.4895243170267</v>
      </c>
      <c r="F910" s="65">
        <f t="shared" si="0"/>
        <v>-37120408.233017154</v>
      </c>
      <c r="G910" s="66">
        <f t="shared" ref="G910:G924" si="62">J910-I910-(H910*$N$4)</f>
        <v>-11782129.245832199</v>
      </c>
      <c r="H910" s="66">
        <f t="shared" si="2"/>
        <v>20850226.563149262</v>
      </c>
      <c r="I910" s="66">
        <f t="shared" si="3"/>
        <v>625506.7968944778</v>
      </c>
      <c r="J910" s="67">
        <f t="shared" si="4"/>
        <v>-9280102.0582542885</v>
      </c>
    </row>
    <row r="911" spans="1:10" ht="13.2" x14ac:dyDescent="0.25">
      <c r="A911" s="60">
        <v>167</v>
      </c>
      <c r="B911" s="61">
        <v>13.279551667577911</v>
      </c>
      <c r="C911" s="61">
        <v>0.15520446096654275</v>
      </c>
      <c r="D911" s="61">
        <v>2605.4480371787859</v>
      </c>
      <c r="E911" s="61">
        <f t="shared" si="5"/>
        <v>-4237.6835914439225</v>
      </c>
      <c r="F911" s="61">
        <f t="shared" si="0"/>
        <v>-37122108.261048764</v>
      </c>
      <c r="G911" s="62">
        <f t="shared" si="62"/>
        <v>-11781757.180953825</v>
      </c>
      <c r="H911" s="62">
        <f t="shared" si="2"/>
        <v>20843584.297430288</v>
      </c>
      <c r="I911" s="62">
        <f t="shared" si="3"/>
        <v>625307.52892290859</v>
      </c>
      <c r="J911" s="63">
        <f t="shared" si="4"/>
        <v>-9280527.065262191</v>
      </c>
    </row>
    <row r="912" spans="1:10" ht="13.2" x14ac:dyDescent="0.25">
      <c r="A912" s="64">
        <v>166</v>
      </c>
      <c r="B912" s="65">
        <v>13.270497539639146</v>
      </c>
      <c r="C912" s="65">
        <v>0.15427509293680297</v>
      </c>
      <c r="D912" s="65">
        <v>2603.6716172772008</v>
      </c>
      <c r="E912" s="65">
        <f t="shared" si="5"/>
        <v>-4238.0963284099043</v>
      </c>
      <c r="F912" s="65">
        <f t="shared" si="0"/>
        <v>-37125723.83687076</v>
      </c>
      <c r="G912" s="66">
        <f t="shared" si="62"/>
        <v>-11780955.711803801</v>
      </c>
      <c r="H912" s="66">
        <f t="shared" si="2"/>
        <v>20829372.938217606</v>
      </c>
      <c r="I912" s="66">
        <f t="shared" si="3"/>
        <v>624881.18814652821</v>
      </c>
      <c r="J912" s="67">
        <f t="shared" si="4"/>
        <v>-9281430.9592176899</v>
      </c>
    </row>
    <row r="913" spans="1:10" ht="13.2" x14ac:dyDescent="0.25">
      <c r="A913" s="60">
        <v>165</v>
      </c>
      <c r="B913" s="61">
        <v>13.265478403499181</v>
      </c>
      <c r="C913" s="61">
        <v>0.15334572490706319</v>
      </c>
      <c r="D913" s="61">
        <v>2602.6868627665399</v>
      </c>
      <c r="E913" s="61">
        <f t="shared" si="5"/>
        <v>-4238.3237554507032</v>
      </c>
      <c r="F913" s="61">
        <f t="shared" si="0"/>
        <v>-37127716.09774816</v>
      </c>
      <c r="G913" s="62">
        <f t="shared" si="62"/>
        <v>-11780508.412692919</v>
      </c>
      <c r="H913" s="62">
        <f t="shared" si="2"/>
        <v>20821494.902132317</v>
      </c>
      <c r="I913" s="62">
        <f t="shared" si="3"/>
        <v>624644.84706396947</v>
      </c>
      <c r="J913" s="63">
        <f t="shared" si="4"/>
        <v>-9281929.0244370401</v>
      </c>
    </row>
    <row r="914" spans="1:10" ht="13.2" x14ac:dyDescent="0.25">
      <c r="A914" s="64">
        <v>164</v>
      </c>
      <c r="B914" s="65">
        <v>13.213121924548934</v>
      </c>
      <c r="C914" s="65">
        <v>0.15241635687732341</v>
      </c>
      <c r="D914" s="65">
        <v>2592.4145215965009</v>
      </c>
      <c r="E914" s="65">
        <f t="shared" si="5"/>
        <v>-4240.6818114627849</v>
      </c>
      <c r="F914" s="65">
        <f t="shared" si="0"/>
        <v>-37148372.668413997</v>
      </c>
      <c r="G914" s="66">
        <f t="shared" si="62"/>
        <v>-11775811.10783614</v>
      </c>
      <c r="H914" s="66">
        <f t="shared" si="2"/>
        <v>20739316.172772009</v>
      </c>
      <c r="I914" s="66">
        <f t="shared" si="3"/>
        <v>622179.48518316029</v>
      </c>
      <c r="J914" s="67">
        <f t="shared" si="4"/>
        <v>-9287093.1671034992</v>
      </c>
    </row>
    <row r="915" spans="1:10" ht="13.2" x14ac:dyDescent="0.25">
      <c r="A915" s="60">
        <v>163</v>
      </c>
      <c r="B915" s="61">
        <v>13.208201202843082</v>
      </c>
      <c r="C915" s="61">
        <v>0.15148698884758363</v>
      </c>
      <c r="D915" s="61">
        <v>2591.4490759978125</v>
      </c>
      <c r="E915" s="61">
        <f t="shared" si="5"/>
        <v>-4240.9020873870213</v>
      </c>
      <c r="F915" s="61">
        <f t="shared" si="0"/>
        <v>-37150302.285510309</v>
      </c>
      <c r="G915" s="62">
        <f t="shared" si="62"/>
        <v>-11775366.684335478</v>
      </c>
      <c r="H915" s="62">
        <f t="shared" si="2"/>
        <v>20731592.607982501</v>
      </c>
      <c r="I915" s="62">
        <f t="shared" si="3"/>
        <v>621947.77823947498</v>
      </c>
      <c r="J915" s="63">
        <f t="shared" si="4"/>
        <v>-9287575.5713775773</v>
      </c>
    </row>
    <row r="916" spans="1:10" ht="13.2" x14ac:dyDescent="0.25">
      <c r="A916" s="64">
        <v>162</v>
      </c>
      <c r="B916" s="65">
        <v>13.199540732640788</v>
      </c>
      <c r="C916" s="65">
        <v>0.15055762081784388</v>
      </c>
      <c r="D916" s="65">
        <v>2589.749891744123</v>
      </c>
      <c r="E916" s="65">
        <f t="shared" si="5"/>
        <v>-4241.2874042623935</v>
      </c>
      <c r="F916" s="65">
        <f t="shared" si="0"/>
        <v>-37153677.661338568</v>
      </c>
      <c r="G916" s="66">
        <f t="shared" si="62"/>
        <v>-11774579.311408998</v>
      </c>
      <c r="H916" s="66">
        <f t="shared" si="2"/>
        <v>20717999.133952983</v>
      </c>
      <c r="I916" s="66">
        <f t="shared" si="3"/>
        <v>621539.97401858948</v>
      </c>
      <c r="J916" s="67">
        <f t="shared" si="4"/>
        <v>-9288419.4153346419</v>
      </c>
    </row>
    <row r="917" spans="1:10" ht="13.2" x14ac:dyDescent="0.25">
      <c r="A917" s="60">
        <v>161</v>
      </c>
      <c r="B917" s="61">
        <v>13.172772006560962</v>
      </c>
      <c r="C917" s="61">
        <v>0.1496282527881041</v>
      </c>
      <c r="D917" s="61">
        <v>2584.4978676872606</v>
      </c>
      <c r="E917" s="61">
        <f t="shared" si="5"/>
        <v>-4242.4710621004879</v>
      </c>
      <c r="F917" s="61">
        <f t="shared" si="0"/>
        <v>-37164046.504000269</v>
      </c>
      <c r="G917" s="62">
        <f t="shared" si="62"/>
        <v>-11772129.578979839</v>
      </c>
      <c r="H917" s="62">
        <f t="shared" si="2"/>
        <v>20675982.941498086</v>
      </c>
      <c r="I917" s="62">
        <f t="shared" si="3"/>
        <v>620279.48824494251</v>
      </c>
      <c r="J917" s="63">
        <f t="shared" si="4"/>
        <v>-9291011.6260000672</v>
      </c>
    </row>
    <row r="918" spans="1:10" ht="13.2" x14ac:dyDescent="0.25">
      <c r="A918" s="64">
        <v>160</v>
      </c>
      <c r="B918" s="65">
        <v>13.107129579004921</v>
      </c>
      <c r="C918" s="65">
        <v>0.14869888475836432</v>
      </c>
      <c r="D918" s="65">
        <v>2571.6188234007655</v>
      </c>
      <c r="E918" s="65">
        <f t="shared" si="5"/>
        <v>-4245.3556807557343</v>
      </c>
      <c r="F918" s="65">
        <f t="shared" si="0"/>
        <v>-37189315.763420232</v>
      </c>
      <c r="G918" s="66">
        <f t="shared" si="62"/>
        <v>-11766083.011319794</v>
      </c>
      <c r="H918" s="66">
        <f t="shared" si="2"/>
        <v>20572950.587206125</v>
      </c>
      <c r="I918" s="66">
        <f t="shared" si="3"/>
        <v>617188.51761618373</v>
      </c>
      <c r="J918" s="67">
        <f t="shared" si="4"/>
        <v>-9297328.9408550579</v>
      </c>
    </row>
    <row r="919" spans="1:10" ht="13.2" x14ac:dyDescent="0.25">
      <c r="A919" s="60">
        <v>159</v>
      </c>
      <c r="B919" s="61">
        <v>13.049557135046474</v>
      </c>
      <c r="C919" s="61">
        <v>0.14776951672862454</v>
      </c>
      <c r="D919" s="61">
        <v>2560.3231098961182</v>
      </c>
      <c r="E919" s="61">
        <f t="shared" si="5"/>
        <v>-4247.8699218192687</v>
      </c>
      <c r="F919" s="61">
        <f t="shared" si="0"/>
        <v>-37211340.515136793</v>
      </c>
      <c r="G919" s="62">
        <f t="shared" si="62"/>
        <v>-11760745.314284472</v>
      </c>
      <c r="H919" s="62">
        <f t="shared" si="2"/>
        <v>20482584.879168946</v>
      </c>
      <c r="I919" s="62">
        <f t="shared" si="3"/>
        <v>614477.54637506837</v>
      </c>
      <c r="J919" s="63">
        <f t="shared" si="4"/>
        <v>-9302835.1287841983</v>
      </c>
    </row>
    <row r="920" spans="1:10" ht="13.2" x14ac:dyDescent="0.25">
      <c r="A920" s="64">
        <v>158</v>
      </c>
      <c r="B920" s="65">
        <v>13.033810825587752</v>
      </c>
      <c r="C920" s="65">
        <v>0.14684014869888476</v>
      </c>
      <c r="D920" s="65">
        <v>2557.2336839803174</v>
      </c>
      <c r="E920" s="65">
        <f t="shared" si="5"/>
        <v>-4248.5532706742506</v>
      </c>
      <c r="F920" s="65">
        <f t="shared" si="0"/>
        <v>-37217326.651106432</v>
      </c>
      <c r="G920" s="66">
        <f t="shared" si="62"/>
        <v>-11759275.999397714</v>
      </c>
      <c r="H920" s="66">
        <f t="shared" si="2"/>
        <v>20457869.471842539</v>
      </c>
      <c r="I920" s="66">
        <f t="shared" si="3"/>
        <v>613736.08415527618</v>
      </c>
      <c r="J920" s="67">
        <f t="shared" si="4"/>
        <v>-9304331.662776608</v>
      </c>
    </row>
    <row r="921" spans="1:10" ht="13.2" x14ac:dyDescent="0.25">
      <c r="A921" s="60">
        <v>157</v>
      </c>
      <c r="B921" s="61">
        <v>12.955571350464735</v>
      </c>
      <c r="C921" s="61">
        <v>0.14591078066914498</v>
      </c>
      <c r="D921" s="61">
        <v>2541.8830989611815</v>
      </c>
      <c r="E921" s="61">
        <f t="shared" si="5"/>
        <v>-4251.9272607830108</v>
      </c>
      <c r="F921" s="61">
        <f t="shared" si="0"/>
        <v>-37246882.804459177</v>
      </c>
      <c r="G921" s="62">
        <f t="shared" si="62"/>
        <v>-11751928.476117529</v>
      </c>
      <c r="H921" s="62">
        <f t="shared" si="2"/>
        <v>20335064.791689452</v>
      </c>
      <c r="I921" s="62">
        <f t="shared" si="3"/>
        <v>610051.94375068357</v>
      </c>
      <c r="J921" s="63">
        <f t="shared" si="4"/>
        <v>-9311720.7011147942</v>
      </c>
    </row>
    <row r="922" spans="1:10" ht="13.2" x14ac:dyDescent="0.25">
      <c r="A922" s="64">
        <v>156</v>
      </c>
      <c r="B922" s="65">
        <v>12.919354838709676</v>
      </c>
      <c r="C922" s="65">
        <v>0.1449814126394052</v>
      </c>
      <c r="D922" s="65">
        <v>2534.7774193548385</v>
      </c>
      <c r="E922" s="65">
        <f t="shared" si="5"/>
        <v>-4253.4791517751028</v>
      </c>
      <c r="F922" s="65">
        <f t="shared" si="0"/>
        <v>-37260477.3695499</v>
      </c>
      <c r="G922" s="66">
        <f t="shared" si="62"/>
        <v>-11748505.66496812</v>
      </c>
      <c r="H922" s="66">
        <f t="shared" si="2"/>
        <v>20278219.354838707</v>
      </c>
      <c r="I922" s="66">
        <f t="shared" si="3"/>
        <v>608346.58064516122</v>
      </c>
      <c r="J922" s="67">
        <f t="shared" si="4"/>
        <v>-9315119.3423874751</v>
      </c>
    </row>
    <row r="923" spans="1:10" ht="13.2" x14ac:dyDescent="0.25">
      <c r="A923" s="60">
        <v>155</v>
      </c>
      <c r="B923" s="61">
        <v>12.891503553854564</v>
      </c>
      <c r="C923" s="61">
        <v>0.14405204460966542</v>
      </c>
      <c r="D923" s="61">
        <v>2529.3129972662655</v>
      </c>
      <c r="E923" s="61">
        <f t="shared" si="5"/>
        <v>-4254.6649719959969</v>
      </c>
      <c r="F923" s="61">
        <f t="shared" si="0"/>
        <v>-37270865.154684931</v>
      </c>
      <c r="G923" s="62">
        <f t="shared" si="62"/>
        <v>-11745856.766046846</v>
      </c>
      <c r="H923" s="62">
        <f t="shared" si="2"/>
        <v>20234503.978130125</v>
      </c>
      <c r="I923" s="62">
        <f t="shared" si="3"/>
        <v>607035.11934390373</v>
      </c>
      <c r="J923" s="63">
        <f t="shared" si="4"/>
        <v>-9317716.2886712328</v>
      </c>
    </row>
    <row r="924" spans="1:10" ht="13.2" x14ac:dyDescent="0.25">
      <c r="A924" s="64">
        <v>154</v>
      </c>
      <c r="B924" s="65">
        <v>12.877725533078184</v>
      </c>
      <c r="C924" s="65">
        <v>0.14312267657992564</v>
      </c>
      <c r="D924" s="65">
        <v>2526.6097495899403</v>
      </c>
      <c r="E924" s="65">
        <f t="shared" si="5"/>
        <v>-4255.2478283723049</v>
      </c>
      <c r="F924" s="65">
        <f t="shared" si="0"/>
        <v>-37275970.976541393</v>
      </c>
      <c r="G924" s="66">
        <f t="shared" si="62"/>
        <v>-11744538.103741691</v>
      </c>
      <c r="H924" s="66">
        <f t="shared" si="2"/>
        <v>20212877.996719521</v>
      </c>
      <c r="I924" s="66">
        <f t="shared" si="3"/>
        <v>606386.3399015856</v>
      </c>
      <c r="J924" s="67">
        <f t="shared" si="4"/>
        <v>-9318992.7441353481</v>
      </c>
    </row>
    <row r="925" spans="1:10" ht="13.2" x14ac:dyDescent="0.25">
      <c r="A925" s="60">
        <v>153</v>
      </c>
      <c r="B925" s="61">
        <v>12.835997813012575</v>
      </c>
      <c r="C925" s="61">
        <v>0.14219330855018589</v>
      </c>
      <c r="D925" s="61">
        <v>2518.4227709130673</v>
      </c>
      <c r="E925" s="61">
        <f t="shared" si="5"/>
        <v>-4257.0016374661891</v>
      </c>
      <c r="F925" s="61">
        <f t="shared" si="0"/>
        <v>-37291334.344203815</v>
      </c>
      <c r="G925" s="62">
        <f>J925-(I925-(H925*$N$4))</f>
        <v>-8113990.6560126813</v>
      </c>
      <c r="H925" s="62">
        <f t="shared" si="2"/>
        <v>20147382.167304538</v>
      </c>
      <c r="I925" s="62">
        <f t="shared" si="3"/>
        <v>604421.46501913609</v>
      </c>
      <c r="J925" s="63">
        <f t="shared" si="4"/>
        <v>-9322833.5860509537</v>
      </c>
    </row>
    <row r="926" spans="1:10" ht="13.2" x14ac:dyDescent="0.25">
      <c r="A926" s="64">
        <v>152</v>
      </c>
      <c r="B926" s="65">
        <v>12.773701476216511</v>
      </c>
      <c r="C926" s="65">
        <v>0.14126394052044611</v>
      </c>
      <c r="D926" s="65">
        <v>2506.2002296336796</v>
      </c>
      <c r="E926" s="65">
        <f t="shared" si="5"/>
        <v>-4259.6029032217466</v>
      </c>
      <c r="F926" s="65">
        <f t="shared" si="0"/>
        <v>-37314121.4322225</v>
      </c>
      <c r="G926" s="66">
        <f t="shared" ref="G926:G940" si="63">J926-I926-(H926*$N$4)</f>
        <v>-11734482.578503957</v>
      </c>
      <c r="H926" s="66">
        <f t="shared" si="2"/>
        <v>20049601.837069437</v>
      </c>
      <c r="I926" s="66">
        <f t="shared" si="3"/>
        <v>601488.05511208309</v>
      </c>
      <c r="J926" s="67">
        <f t="shared" si="4"/>
        <v>-9328530.3580556251</v>
      </c>
    </row>
    <row r="927" spans="1:10" ht="13.2" x14ac:dyDescent="0.25">
      <c r="A927" s="60">
        <v>151</v>
      </c>
      <c r="B927" s="61">
        <v>12.755986878075451</v>
      </c>
      <c r="C927" s="61">
        <v>0.14033457249070633</v>
      </c>
      <c r="D927" s="61">
        <v>2502.7246254784036</v>
      </c>
      <c r="E927" s="61">
        <f t="shared" si="5"/>
        <v>-4260.3377544720488</v>
      </c>
      <c r="F927" s="61">
        <f t="shared" si="0"/>
        <v>-37320558.729175143</v>
      </c>
      <c r="G927" s="62">
        <f t="shared" si="63"/>
        <v>-11732755.322753053</v>
      </c>
      <c r="H927" s="62">
        <f t="shared" si="2"/>
        <v>20021797.003827229</v>
      </c>
      <c r="I927" s="62">
        <f t="shared" si="3"/>
        <v>600653.91011481686</v>
      </c>
      <c r="J927" s="63">
        <f t="shared" si="4"/>
        <v>-9330139.6822937857</v>
      </c>
    </row>
    <row r="928" spans="1:10" ht="13.2" x14ac:dyDescent="0.25">
      <c r="A928" s="64">
        <v>150</v>
      </c>
      <c r="B928" s="65">
        <v>12.71396391470749</v>
      </c>
      <c r="C928" s="65">
        <v>0.13940520446096655</v>
      </c>
      <c r="D928" s="65">
        <v>2494.4797200656099</v>
      </c>
      <c r="E928" s="65">
        <f t="shared" si="5"/>
        <v>-4262.0694911107958</v>
      </c>
      <c r="F928" s="65">
        <f t="shared" si="0"/>
        <v>-37335728.74213057</v>
      </c>
      <c r="G928" s="66">
        <f t="shared" si="63"/>
        <v>-11728632.716795629</v>
      </c>
      <c r="H928" s="66">
        <f t="shared" si="2"/>
        <v>19955837.76052488</v>
      </c>
      <c r="I928" s="66">
        <f t="shared" si="3"/>
        <v>598675.13281574636</v>
      </c>
      <c r="J928" s="67">
        <f t="shared" si="4"/>
        <v>-9333932.1855326425</v>
      </c>
    </row>
    <row r="929" spans="1:10" ht="13.2" x14ac:dyDescent="0.25">
      <c r="A929" s="60">
        <v>149</v>
      </c>
      <c r="B929" s="61">
        <v>12.705106615636961</v>
      </c>
      <c r="C929" s="61">
        <v>0.13847583643122677</v>
      </c>
      <c r="D929" s="61">
        <v>2492.7419179879721</v>
      </c>
      <c r="E929" s="61">
        <f t="shared" si="5"/>
        <v>-4262.4320715628683</v>
      </c>
      <c r="F929" s="61">
        <f t="shared" si="0"/>
        <v>-37338904.946890727</v>
      </c>
      <c r="G929" s="62">
        <f t="shared" si="63"/>
        <v>-11727758.477991136</v>
      </c>
      <c r="H929" s="62">
        <f t="shared" si="2"/>
        <v>19941935.343903776</v>
      </c>
      <c r="I929" s="62">
        <f t="shared" si="3"/>
        <v>598258.0603171133</v>
      </c>
      <c r="J929" s="63">
        <f t="shared" si="4"/>
        <v>-9334726.2367226817</v>
      </c>
    </row>
    <row r="930" spans="1:10" ht="13.2" x14ac:dyDescent="0.25">
      <c r="A930" s="64">
        <v>148</v>
      </c>
      <c r="B930" s="65">
        <v>12.701071623838162</v>
      </c>
      <c r="C930" s="65">
        <v>0.13754646840148699</v>
      </c>
      <c r="D930" s="65">
        <v>2491.9502525970479</v>
      </c>
      <c r="E930" s="65">
        <f t="shared" si="5"/>
        <v>-4262.596143479389</v>
      </c>
      <c r="F930" s="65">
        <f t="shared" si="0"/>
        <v>-37340342.216879442</v>
      </c>
      <c r="G930" s="66">
        <f t="shared" si="63"/>
        <v>-11727357.796713026</v>
      </c>
      <c r="H930" s="66">
        <f t="shared" si="2"/>
        <v>19935602.020776384</v>
      </c>
      <c r="I930" s="66">
        <f t="shared" si="3"/>
        <v>598068.06062329153</v>
      </c>
      <c r="J930" s="67">
        <f t="shared" si="4"/>
        <v>-9335085.5542198606</v>
      </c>
    </row>
    <row r="931" spans="1:10" ht="13.2" x14ac:dyDescent="0.25">
      <c r="A931" s="60">
        <v>147</v>
      </c>
      <c r="B931" s="61">
        <v>12.671940951339529</v>
      </c>
      <c r="C931" s="61">
        <v>0.13661710037174721</v>
      </c>
      <c r="D931" s="61">
        <v>2486.2348146528161</v>
      </c>
      <c r="E931" s="61">
        <f t="shared" si="5"/>
        <v>-4263.7726950636334</v>
      </c>
      <c r="F931" s="61">
        <f t="shared" si="0"/>
        <v>-37350648.808757432</v>
      </c>
      <c r="G931" s="62">
        <f t="shared" si="63"/>
        <v>-11724447.624256061</v>
      </c>
      <c r="H931" s="62">
        <f t="shared" si="2"/>
        <v>19889878.517222527</v>
      </c>
      <c r="I931" s="62">
        <f t="shared" si="3"/>
        <v>596696.35551667574</v>
      </c>
      <c r="J931" s="63">
        <f t="shared" si="4"/>
        <v>-9337662.202189358</v>
      </c>
    </row>
    <row r="932" spans="1:10" ht="13.2" x14ac:dyDescent="0.25">
      <c r="A932" s="64">
        <v>146</v>
      </c>
      <c r="B932" s="65">
        <v>12.651765992345544</v>
      </c>
      <c r="C932" s="65">
        <v>0.13568773234200743</v>
      </c>
      <c r="D932" s="65">
        <v>2482.2764876981955</v>
      </c>
      <c r="E932" s="65">
        <f t="shared" si="5"/>
        <v>-4264.5820184186678</v>
      </c>
      <c r="F932" s="65">
        <f t="shared" si="0"/>
        <v>-37357738.481347531</v>
      </c>
      <c r="G932" s="66">
        <f t="shared" si="63"/>
        <v>-11722420.048527151</v>
      </c>
      <c r="H932" s="66">
        <f t="shared" si="2"/>
        <v>19858211.901585564</v>
      </c>
      <c r="I932" s="66">
        <f t="shared" si="3"/>
        <v>595746.35704756691</v>
      </c>
      <c r="J932" s="67">
        <f t="shared" si="4"/>
        <v>-9339434.6203368828</v>
      </c>
    </row>
    <row r="933" spans="1:10" ht="13.2" x14ac:dyDescent="0.25">
      <c r="A933" s="60">
        <v>145</v>
      </c>
      <c r="B933" s="61">
        <v>12.598425369054127</v>
      </c>
      <c r="C933" s="61">
        <v>0.13475836431226765</v>
      </c>
      <c r="D933" s="61">
        <v>2471.8110574084194</v>
      </c>
      <c r="E933" s="61">
        <f t="shared" si="5"/>
        <v>-4266.707201056508</v>
      </c>
      <c r="F933" s="61">
        <f t="shared" si="0"/>
        <v>-37376355.081255011</v>
      </c>
      <c r="G933" s="62">
        <f t="shared" si="63"/>
        <v>-11717027.385425836</v>
      </c>
      <c r="H933" s="62">
        <f t="shared" si="2"/>
        <v>19774488.459267356</v>
      </c>
      <c r="I933" s="62">
        <f t="shared" si="3"/>
        <v>593234.65377802064</v>
      </c>
      <c r="J933" s="63">
        <f t="shared" si="4"/>
        <v>-9344088.7703137528</v>
      </c>
    </row>
    <row r="934" spans="1:10" ht="13.2" x14ac:dyDescent="0.25">
      <c r="A934" s="64">
        <v>144</v>
      </c>
      <c r="B934" s="65">
        <v>12.589371241115362</v>
      </c>
      <c r="C934" s="65">
        <v>0.13382899628252787</v>
      </c>
      <c r="D934" s="65">
        <v>2470.0346375068343</v>
      </c>
      <c r="E934" s="65">
        <f t="shared" si="5"/>
        <v>-4267.0654567429801</v>
      </c>
      <c r="F934" s="65">
        <f t="shared" si="0"/>
        <v>-37379493.401068501</v>
      </c>
      <c r="G934" s="66">
        <f t="shared" si="63"/>
        <v>-11716106.602273686</v>
      </c>
      <c r="H934" s="66">
        <f t="shared" si="2"/>
        <v>19760277.100054674</v>
      </c>
      <c r="I934" s="66">
        <f t="shared" si="3"/>
        <v>592808.31300164014</v>
      </c>
      <c r="J934" s="67">
        <f t="shared" si="4"/>
        <v>-9344873.3502671253</v>
      </c>
    </row>
    <row r="935" spans="1:10" ht="13.2" x14ac:dyDescent="0.25">
      <c r="A935" s="60">
        <v>143</v>
      </c>
      <c r="B935" s="61">
        <v>12.586418808091853</v>
      </c>
      <c r="C935" s="61">
        <v>0.13289962825278812</v>
      </c>
      <c r="D935" s="61">
        <v>2469.4553701476216</v>
      </c>
      <c r="E935" s="61">
        <f t="shared" si="5"/>
        <v>-4267.1814717205916</v>
      </c>
      <c r="F935" s="61">
        <f t="shared" si="0"/>
        <v>-37380509.69227238</v>
      </c>
      <c r="G935" s="62">
        <f t="shared" si="63"/>
        <v>-11715804.578409811</v>
      </c>
      <c r="H935" s="62">
        <f t="shared" si="2"/>
        <v>19755642.961180974</v>
      </c>
      <c r="I935" s="62">
        <f t="shared" si="3"/>
        <v>592669.28883542924</v>
      </c>
      <c r="J935" s="63">
        <f t="shared" si="4"/>
        <v>-9345127.423068095</v>
      </c>
    </row>
    <row r="936" spans="1:10" ht="13.2" x14ac:dyDescent="0.25">
      <c r="A936" s="64">
        <v>142</v>
      </c>
      <c r="B936" s="65">
        <v>12.483477310005467</v>
      </c>
      <c r="C936" s="65">
        <v>0.13197026022304834</v>
      </c>
      <c r="D936" s="65">
        <v>2449.2582482230728</v>
      </c>
      <c r="E936" s="65">
        <f t="shared" si="5"/>
        <v>-4271.1983714342105</v>
      </c>
      <c r="F936" s="65">
        <f t="shared" si="0"/>
        <v>-37415697.733763687</v>
      </c>
      <c r="G936" s="66">
        <f t="shared" si="63"/>
        <v>-11705212.35173507</v>
      </c>
      <c r="H936" s="66">
        <f t="shared" si="2"/>
        <v>19594065.985784583</v>
      </c>
      <c r="I936" s="66">
        <f t="shared" si="3"/>
        <v>587821.97957353748</v>
      </c>
      <c r="J936" s="67">
        <f t="shared" si="4"/>
        <v>-9353924.4334409218</v>
      </c>
    </row>
    <row r="937" spans="1:10" ht="13.2" x14ac:dyDescent="0.25">
      <c r="A937" s="60">
        <v>141</v>
      </c>
      <c r="B937" s="61">
        <v>12.327687260798252</v>
      </c>
      <c r="C937" s="61">
        <v>0.13104089219330856</v>
      </c>
      <c r="D937" s="61">
        <v>2418.6922405686169</v>
      </c>
      <c r="E937" s="61">
        <f t="shared" si="5"/>
        <v>-4277.2348738752626</v>
      </c>
      <c r="F937" s="61">
        <f t="shared" si="0"/>
        <v>-37468577.495147303</v>
      </c>
      <c r="G937" s="62">
        <f t="shared" si="63"/>
        <v>-11689088.924732698</v>
      </c>
      <c r="H937" s="62">
        <f t="shared" si="2"/>
        <v>19349537.924548935</v>
      </c>
      <c r="I937" s="62">
        <f t="shared" si="3"/>
        <v>580486.13773646799</v>
      </c>
      <c r="J937" s="63">
        <f t="shared" si="4"/>
        <v>-9367144.3737868257</v>
      </c>
    </row>
    <row r="938" spans="1:10" ht="13.2" x14ac:dyDescent="0.25">
      <c r="A938" s="64">
        <v>140</v>
      </c>
      <c r="B938" s="65">
        <v>12.32345544013122</v>
      </c>
      <c r="C938" s="65">
        <v>0.13011152416356878</v>
      </c>
      <c r="D938" s="65">
        <v>2417.8619573537458</v>
      </c>
      <c r="E938" s="65">
        <f t="shared" si="5"/>
        <v>-4277.3976896357999</v>
      </c>
      <c r="F938" s="65">
        <f t="shared" si="0"/>
        <v>-37470003.761209607</v>
      </c>
      <c r="G938" s="66">
        <f t="shared" si="63"/>
        <v>-11688648.419361997</v>
      </c>
      <c r="H938" s="66">
        <f t="shared" si="2"/>
        <v>19342895.658829965</v>
      </c>
      <c r="I938" s="66">
        <f t="shared" si="3"/>
        <v>580286.8697648989</v>
      </c>
      <c r="J938" s="67">
        <f t="shared" si="4"/>
        <v>-9367500.9403024018</v>
      </c>
    </row>
    <row r="939" spans="1:10" ht="13.2" x14ac:dyDescent="0.25">
      <c r="A939" s="60">
        <v>139</v>
      </c>
      <c r="B939" s="61">
        <v>12.244625478403499</v>
      </c>
      <c r="C939" s="61">
        <v>0.129182156133829</v>
      </c>
      <c r="D939" s="61">
        <v>2402.3955188627665</v>
      </c>
      <c r="E939" s="61">
        <f t="shared" si="5"/>
        <v>-4280.4090454572315</v>
      </c>
      <c r="F939" s="61">
        <f t="shared" si="0"/>
        <v>-37496383.238205343</v>
      </c>
      <c r="G939" s="62">
        <f t="shared" si="63"/>
        <v>-11680395.507659592</v>
      </c>
      <c r="H939" s="62">
        <f t="shared" si="2"/>
        <v>19219164.150902133</v>
      </c>
      <c r="I939" s="62">
        <f t="shared" si="3"/>
        <v>576574.92452706397</v>
      </c>
      <c r="J939" s="63">
        <f t="shared" si="4"/>
        <v>-9374095.8095513359</v>
      </c>
    </row>
    <row r="940" spans="1:10" ht="13.2" x14ac:dyDescent="0.25">
      <c r="A940" s="64">
        <v>138</v>
      </c>
      <c r="B940" s="65">
        <v>12.232225259704755</v>
      </c>
      <c r="C940" s="65">
        <v>0.12825278810408922</v>
      </c>
      <c r="D940" s="65">
        <v>2399.9625959540731</v>
      </c>
      <c r="E940" s="65">
        <f t="shared" si="5"/>
        <v>-4280.8793502574254</v>
      </c>
      <c r="F940" s="65">
        <f t="shared" si="0"/>
        <v>-37500503.108255044</v>
      </c>
      <c r="G940" s="66">
        <f t="shared" si="63"/>
        <v>-11679089.86917967</v>
      </c>
      <c r="H940" s="66">
        <f t="shared" si="2"/>
        <v>19199700.767632585</v>
      </c>
      <c r="I940" s="66">
        <f t="shared" si="3"/>
        <v>575991.02302897756</v>
      </c>
      <c r="J940" s="67">
        <f t="shared" si="4"/>
        <v>-9375125.7770637609</v>
      </c>
    </row>
    <row r="941" spans="1:10" ht="13.2" x14ac:dyDescent="0.25">
      <c r="A941" s="60">
        <v>137</v>
      </c>
      <c r="B941" s="61">
        <v>12.227304537998906</v>
      </c>
      <c r="C941" s="61">
        <v>0.12732342007434944</v>
      </c>
      <c r="D941" s="61">
        <v>2398.9971503553852</v>
      </c>
      <c r="E941" s="61">
        <f t="shared" si="5"/>
        <v>-4281.0646332649803</v>
      </c>
      <c r="F941" s="61">
        <f t="shared" si="0"/>
        <v>-37502126.187401228</v>
      </c>
      <c r="G941" s="62">
        <f>J941-(I941-(H941*$N$4))</f>
        <v>-8224012.9146797219</v>
      </c>
      <c r="H941" s="62">
        <f t="shared" si="2"/>
        <v>19191977.202843081</v>
      </c>
      <c r="I941" s="62">
        <f t="shared" si="3"/>
        <v>575759.31608529238</v>
      </c>
      <c r="J941" s="63">
        <f t="shared" si="4"/>
        <v>-9375531.5468503069</v>
      </c>
    </row>
    <row r="942" spans="1:10" ht="13.2" x14ac:dyDescent="0.25">
      <c r="A942" s="64">
        <v>136</v>
      </c>
      <c r="B942" s="65">
        <v>12.207818480043739</v>
      </c>
      <c r="C942" s="65">
        <v>0.12639405204460966</v>
      </c>
      <c r="D942" s="65">
        <v>2395.1739857845819</v>
      </c>
      <c r="E942" s="65">
        <f t="shared" si="5"/>
        <v>-4281.7930242845105</v>
      </c>
      <c r="F942" s="65">
        <f t="shared" si="0"/>
        <v>-37508506.892732315</v>
      </c>
      <c r="G942" s="66">
        <f t="shared" ref="G942:G956" si="64">J942-I942-(H942*$N$4)</f>
        <v>-11676493.749536276</v>
      </c>
      <c r="H942" s="66">
        <f t="shared" si="2"/>
        <v>19161391.886276655</v>
      </c>
      <c r="I942" s="66">
        <f t="shared" si="3"/>
        <v>574841.75658829964</v>
      </c>
      <c r="J942" s="67">
        <f t="shared" si="4"/>
        <v>-9377126.7231830787</v>
      </c>
    </row>
    <row r="943" spans="1:10" ht="13.2" x14ac:dyDescent="0.25">
      <c r="A943" s="60">
        <v>135</v>
      </c>
      <c r="B943" s="61">
        <v>12.155462001093493</v>
      </c>
      <c r="C943" s="61">
        <v>0.12546468401486988</v>
      </c>
      <c r="D943" s="61">
        <v>2384.9016446145438</v>
      </c>
      <c r="E943" s="61">
        <f t="shared" si="5"/>
        <v>-4283.7357951284721</v>
      </c>
      <c r="F943" s="61">
        <f t="shared" si="0"/>
        <v>-37525525.565325417</v>
      </c>
      <c r="G943" s="62">
        <f t="shared" si="64"/>
        <v>-11670886.970161315</v>
      </c>
      <c r="H943" s="62">
        <f t="shared" si="2"/>
        <v>19079213.15691635</v>
      </c>
      <c r="I943" s="62">
        <f t="shared" si="3"/>
        <v>572376.39470749046</v>
      </c>
      <c r="J943" s="63">
        <f t="shared" si="4"/>
        <v>-9381381.3913313542</v>
      </c>
    </row>
    <row r="944" spans="1:10" ht="13.2" x14ac:dyDescent="0.25">
      <c r="A944" s="64">
        <v>134</v>
      </c>
      <c r="B944" s="65">
        <v>12.153100054674686</v>
      </c>
      <c r="C944" s="65">
        <v>0.12453531598513011</v>
      </c>
      <c r="D944" s="65">
        <v>2384.4382307271735</v>
      </c>
      <c r="E944" s="65">
        <f t="shared" si="5"/>
        <v>-4283.8227929028671</v>
      </c>
      <c r="F944" s="65">
        <f t="shared" si="0"/>
        <v>-37526287.665829115</v>
      </c>
      <c r="G944" s="66">
        <f t="shared" si="64"/>
        <v>-11670632.617955364</v>
      </c>
      <c r="H944" s="66">
        <f t="shared" si="2"/>
        <v>19075505.845817387</v>
      </c>
      <c r="I944" s="66">
        <f t="shared" si="3"/>
        <v>572265.17537452164</v>
      </c>
      <c r="J944" s="67">
        <f t="shared" si="4"/>
        <v>-9381571.9164572787</v>
      </c>
    </row>
    <row r="945" spans="1:10" ht="13.2" x14ac:dyDescent="0.25">
      <c r="A945" s="60">
        <v>133</v>
      </c>
      <c r="B945" s="61">
        <v>12.135582285401858</v>
      </c>
      <c r="C945" s="61">
        <v>0.12360594795539033</v>
      </c>
      <c r="D945" s="61">
        <v>2381.0012443958449</v>
      </c>
      <c r="E945" s="61">
        <f t="shared" si="5"/>
        <v>-4284.4632350584725</v>
      </c>
      <c r="F945" s="61">
        <f t="shared" si="0"/>
        <v>-37531897.939112216</v>
      </c>
      <c r="G945" s="62">
        <f t="shared" si="64"/>
        <v>-11668735.679398065</v>
      </c>
      <c r="H945" s="62">
        <f t="shared" si="2"/>
        <v>19048009.955166761</v>
      </c>
      <c r="I945" s="62">
        <f t="shared" si="3"/>
        <v>571440.29865500284</v>
      </c>
      <c r="J945" s="63">
        <f t="shared" si="4"/>
        <v>-9382974.4847780541</v>
      </c>
    </row>
    <row r="946" spans="1:10" ht="13.2" x14ac:dyDescent="0.25">
      <c r="A946" s="64">
        <v>132</v>
      </c>
      <c r="B946" s="65">
        <v>12.113537452159649</v>
      </c>
      <c r="C946" s="65">
        <v>0.12267657992565056</v>
      </c>
      <c r="D946" s="65">
        <v>2376.6760481137235</v>
      </c>
      <c r="E946" s="65">
        <f t="shared" si="5"/>
        <v>-4285.2631551887162</v>
      </c>
      <c r="F946" s="65">
        <f t="shared" si="0"/>
        <v>-37538905.239453152</v>
      </c>
      <c r="G946" s="66">
        <f t="shared" si="64"/>
        <v>-11666335.316052463</v>
      </c>
      <c r="H946" s="66">
        <f t="shared" si="2"/>
        <v>19013408.384909786</v>
      </c>
      <c r="I946" s="66">
        <f t="shared" si="3"/>
        <v>570402.25154729362</v>
      </c>
      <c r="J946" s="67">
        <f t="shared" si="4"/>
        <v>-9384726.309863288</v>
      </c>
    </row>
    <row r="947" spans="1:10" ht="13.2" x14ac:dyDescent="0.25">
      <c r="A947" s="60">
        <v>131</v>
      </c>
      <c r="B947" s="61">
        <v>12.093756150902133</v>
      </c>
      <c r="C947" s="61">
        <v>0.12174721189591078</v>
      </c>
      <c r="D947" s="61">
        <v>2372.7949568069989</v>
      </c>
      <c r="E947" s="61">
        <f t="shared" si="5"/>
        <v>-4285.9755302194581</v>
      </c>
      <c r="F947" s="61">
        <f t="shared" si="0"/>
        <v>-37545145.644722454</v>
      </c>
      <c r="G947" s="62">
        <f t="shared" si="64"/>
        <v>-11664169.569715332</v>
      </c>
      <c r="H947" s="62">
        <f t="shared" si="2"/>
        <v>18982359.65445599</v>
      </c>
      <c r="I947" s="62">
        <f t="shared" si="3"/>
        <v>569470.78963367967</v>
      </c>
      <c r="J947" s="63">
        <f t="shared" si="4"/>
        <v>-9386286.4111806136</v>
      </c>
    </row>
    <row r="948" spans="1:10" ht="13.2" x14ac:dyDescent="0.25">
      <c r="A948" s="64">
        <v>130</v>
      </c>
      <c r="B948" s="65">
        <v>12.091492618917442</v>
      </c>
      <c r="C948" s="65">
        <v>0.120817843866171</v>
      </c>
      <c r="D948" s="65">
        <v>2372.3508518316025</v>
      </c>
      <c r="E948" s="65">
        <f t="shared" si="5"/>
        <v>-4286.0564266647907</v>
      </c>
      <c r="F948" s="65">
        <f t="shared" si="0"/>
        <v>-37545854.297583565</v>
      </c>
      <c r="G948" s="66">
        <f t="shared" si="64"/>
        <v>-11663920.39215423</v>
      </c>
      <c r="H948" s="66">
        <f t="shared" si="2"/>
        <v>18978806.814652819</v>
      </c>
      <c r="I948" s="66">
        <f t="shared" si="3"/>
        <v>569364.20443958452</v>
      </c>
      <c r="J948" s="67">
        <f t="shared" si="4"/>
        <v>-9386463.5743958913</v>
      </c>
    </row>
    <row r="949" spans="1:10" ht="13.2" x14ac:dyDescent="0.25">
      <c r="A949" s="60">
        <v>129</v>
      </c>
      <c r="B949" s="61">
        <v>12.05507927829415</v>
      </c>
      <c r="C949" s="61">
        <v>0.11988847583643122</v>
      </c>
      <c r="D949" s="61">
        <v>2365.2065544013126</v>
      </c>
      <c r="E949" s="61">
        <f t="shared" si="5"/>
        <v>-4287.3478447411771</v>
      </c>
      <c r="F949" s="61">
        <f t="shared" si="0"/>
        <v>-37557167.119932711</v>
      </c>
      <c r="G949" s="62">
        <f t="shared" si="64"/>
        <v>-11659890.072208436</v>
      </c>
      <c r="H949" s="62">
        <f t="shared" si="2"/>
        <v>18921652.4352105</v>
      </c>
      <c r="I949" s="62">
        <f t="shared" si="3"/>
        <v>567649.57305631496</v>
      </c>
      <c r="J949" s="63">
        <f t="shared" si="4"/>
        <v>-9389291.7799831778</v>
      </c>
    </row>
    <row r="950" spans="1:10" ht="13.2" x14ac:dyDescent="0.25">
      <c r="A950" s="64">
        <v>128</v>
      </c>
      <c r="B950" s="65">
        <v>12.035101148168398</v>
      </c>
      <c r="C950" s="65">
        <v>0.11895910780669144</v>
      </c>
      <c r="D950" s="65">
        <v>2361.2868452706398</v>
      </c>
      <c r="E950" s="65">
        <f t="shared" si="5"/>
        <v>-4288.0509152450986</v>
      </c>
      <c r="F950" s="65">
        <f t="shared" si="0"/>
        <v>-37563326.017547064</v>
      </c>
      <c r="G950" s="66">
        <f t="shared" si="64"/>
        <v>-11657666.87584658</v>
      </c>
      <c r="H950" s="66">
        <f t="shared" si="2"/>
        <v>18890294.762165118</v>
      </c>
      <c r="I950" s="66">
        <f t="shared" si="3"/>
        <v>566708.84286495356</v>
      </c>
      <c r="J950" s="67">
        <f t="shared" si="4"/>
        <v>-9390831.5043867659</v>
      </c>
    </row>
    <row r="951" spans="1:10" ht="13.2" x14ac:dyDescent="0.25">
      <c r="A951" s="60">
        <v>127</v>
      </c>
      <c r="B951" s="61">
        <v>11.913460907599781</v>
      </c>
      <c r="C951" s="61">
        <v>0.11802973977695168</v>
      </c>
      <c r="D951" s="61">
        <v>2337.421030071077</v>
      </c>
      <c r="E951" s="61">
        <f t="shared" si="5"/>
        <v>-4292.2984093071027</v>
      </c>
      <c r="F951" s="61">
        <f t="shared" si="0"/>
        <v>-37600534.065530218</v>
      </c>
      <c r="G951" s="62">
        <f t="shared" si="64"/>
        <v>-11644057.705250788</v>
      </c>
      <c r="H951" s="62">
        <f t="shared" si="2"/>
        <v>18699368.240568615</v>
      </c>
      <c r="I951" s="62">
        <f t="shared" si="3"/>
        <v>560981.04721705848</v>
      </c>
      <c r="J951" s="63">
        <f t="shared" si="4"/>
        <v>-9400133.5163825545</v>
      </c>
    </row>
    <row r="952" spans="1:10" ht="13.2" x14ac:dyDescent="0.25">
      <c r="A952" s="64">
        <v>126</v>
      </c>
      <c r="B952" s="65">
        <v>11.886396938217604</v>
      </c>
      <c r="C952" s="65">
        <v>0.1171003717472119</v>
      </c>
      <c r="D952" s="65">
        <v>2332.1110792782938</v>
      </c>
      <c r="E952" s="65">
        <f t="shared" si="5"/>
        <v>-4293.2360400233001</v>
      </c>
      <c r="F952" s="65">
        <f t="shared" si="0"/>
        <v>-37608747.710604109</v>
      </c>
      <c r="G952" s="66">
        <f t="shared" si="64"/>
        <v>-11641013.563758189</v>
      </c>
      <c r="H952" s="66">
        <f t="shared" si="2"/>
        <v>18656888.634226352</v>
      </c>
      <c r="I952" s="66">
        <f t="shared" si="3"/>
        <v>559706.65902679053</v>
      </c>
      <c r="J952" s="67">
        <f t="shared" si="4"/>
        <v>-9402186.9276510272</v>
      </c>
    </row>
    <row r="953" spans="1:10" ht="13.2" x14ac:dyDescent="0.25">
      <c r="A953" s="60">
        <v>125</v>
      </c>
      <c r="B953" s="61">
        <v>11.873110989611808</v>
      </c>
      <c r="C953" s="61">
        <v>0.11617100371747212</v>
      </c>
      <c r="D953" s="61">
        <v>2329.5043761618372</v>
      </c>
      <c r="E953" s="61">
        <f t="shared" si="5"/>
        <v>-4293.6926975859878</v>
      </c>
      <c r="F953" s="61">
        <f t="shared" si="0"/>
        <v>-37612748.030853257</v>
      </c>
      <c r="G953" s="62">
        <f t="shared" si="64"/>
        <v>-11639511.208828676</v>
      </c>
      <c r="H953" s="62">
        <f t="shared" si="2"/>
        <v>18636035.009294696</v>
      </c>
      <c r="I953" s="62">
        <f t="shared" si="3"/>
        <v>559081.05027884082</v>
      </c>
      <c r="J953" s="63">
        <f t="shared" si="4"/>
        <v>-9403187.0077133141</v>
      </c>
    </row>
    <row r="954" spans="1:10" ht="13.2" x14ac:dyDescent="0.25">
      <c r="A954" s="64">
        <v>124</v>
      </c>
      <c r="B954" s="65">
        <v>11.856675779114271</v>
      </c>
      <c r="C954" s="65">
        <v>0.11524163568773234</v>
      </c>
      <c r="D954" s="65">
        <v>2326.2797878622205</v>
      </c>
      <c r="E954" s="65">
        <f t="shared" si="5"/>
        <v>-4294.2531046603635</v>
      </c>
      <c r="F954" s="65">
        <f t="shared" si="0"/>
        <v>-37617657.196824782</v>
      </c>
      <c r="G954" s="66">
        <f t="shared" si="64"/>
        <v>-11637642.895553928</v>
      </c>
      <c r="H954" s="66">
        <f t="shared" si="2"/>
        <v>18610238.302897763</v>
      </c>
      <c r="I954" s="66">
        <f t="shared" si="3"/>
        <v>558307.14908693288</v>
      </c>
      <c r="J954" s="67">
        <f t="shared" si="4"/>
        <v>-9404414.2992061954</v>
      </c>
    </row>
    <row r="955" spans="1:10" ht="13.2" x14ac:dyDescent="0.25">
      <c r="A955" s="60">
        <v>123</v>
      </c>
      <c r="B955" s="61">
        <v>11.851164570803718</v>
      </c>
      <c r="C955" s="61">
        <v>0.11431226765799256</v>
      </c>
      <c r="D955" s="61">
        <v>2325.1984887916897</v>
      </c>
      <c r="E955" s="61">
        <f t="shared" si="5"/>
        <v>-4294.4395182083035</v>
      </c>
      <c r="F955" s="61">
        <f t="shared" si="0"/>
        <v>-37619290.179504745</v>
      </c>
      <c r="G955" s="62">
        <f t="shared" si="64"/>
        <v>-11637013.094116209</v>
      </c>
      <c r="H955" s="62">
        <f t="shared" si="2"/>
        <v>18601587.910333518</v>
      </c>
      <c r="I955" s="62">
        <f t="shared" si="3"/>
        <v>558047.63731000549</v>
      </c>
      <c r="J955" s="63">
        <f t="shared" si="4"/>
        <v>-9404822.5448761862</v>
      </c>
    </row>
    <row r="956" spans="1:10" ht="13.2" x14ac:dyDescent="0.25">
      <c r="A956" s="64">
        <v>122</v>
      </c>
      <c r="B956" s="65">
        <v>11.833154729360306</v>
      </c>
      <c r="C956" s="65">
        <v>0.11338289962825279</v>
      </c>
      <c r="D956" s="65">
        <v>2321.664957900492</v>
      </c>
      <c r="E956" s="65">
        <f t="shared" si="5"/>
        <v>-4295.0437651265011</v>
      </c>
      <c r="F956" s="65">
        <f t="shared" si="0"/>
        <v>-37624583.382508144</v>
      </c>
      <c r="G956" s="66">
        <f t="shared" si="64"/>
        <v>-11634944.205211509</v>
      </c>
      <c r="H956" s="66">
        <f t="shared" si="2"/>
        <v>18573319.663203936</v>
      </c>
      <c r="I956" s="66">
        <f t="shared" si="3"/>
        <v>557199.58989611804</v>
      </c>
      <c r="J956" s="67">
        <f t="shared" si="4"/>
        <v>-9406145.8456270359</v>
      </c>
    </row>
    <row r="957" spans="1:10" ht="13.2" x14ac:dyDescent="0.25">
      <c r="A957" s="60">
        <v>121</v>
      </c>
      <c r="B957" s="61">
        <v>11.827741935483871</v>
      </c>
      <c r="C957" s="61">
        <v>0.11245353159851301</v>
      </c>
      <c r="D957" s="61">
        <v>2320.6029677419356</v>
      </c>
      <c r="E957" s="61">
        <f t="shared" si="5"/>
        <v>-4295.2238889219807</v>
      </c>
      <c r="F957" s="61">
        <f t="shared" si="0"/>
        <v>-37626161.266956553</v>
      </c>
      <c r="G957" s="62">
        <f>J957-(I957-(H957*$N$4))</f>
        <v>-8292650.8922230098</v>
      </c>
      <c r="H957" s="62">
        <f t="shared" si="2"/>
        <v>18564823.741935484</v>
      </c>
      <c r="I957" s="62">
        <f t="shared" si="3"/>
        <v>556944.71225806454</v>
      </c>
      <c r="J957" s="63">
        <f t="shared" si="4"/>
        <v>-9406540.3167391382</v>
      </c>
    </row>
    <row r="958" spans="1:10" ht="13.2" x14ac:dyDescent="0.25">
      <c r="A958" s="64">
        <v>120</v>
      </c>
      <c r="B958" s="65">
        <v>11.819868780754511</v>
      </c>
      <c r="C958" s="65">
        <v>0.11152416356877323</v>
      </c>
      <c r="D958" s="65">
        <v>2319.0582547840354</v>
      </c>
      <c r="E958" s="65">
        <f t="shared" si="5"/>
        <v>-4295.4837337596946</v>
      </c>
      <c r="F958" s="65">
        <f t="shared" si="0"/>
        <v>-37628437.507734925</v>
      </c>
      <c r="G958" s="66">
        <f t="shared" ref="G958:G972" si="65">J958-I958-(H958*$N$4)</f>
        <v>-11633405.301526405</v>
      </c>
      <c r="H958" s="66">
        <f t="shared" si="2"/>
        <v>18552466.038272284</v>
      </c>
      <c r="I958" s="66">
        <f t="shared" si="3"/>
        <v>556573.98114816844</v>
      </c>
      <c r="J958" s="67">
        <f t="shared" si="4"/>
        <v>-9407109.3769337311</v>
      </c>
    </row>
    <row r="959" spans="1:10" ht="13.2" x14ac:dyDescent="0.25">
      <c r="A959" s="60">
        <v>119</v>
      </c>
      <c r="B959" s="61">
        <v>11.7827665390924</v>
      </c>
      <c r="C959" s="61">
        <v>0.11059479553903345</v>
      </c>
      <c r="D959" s="61">
        <v>2311.7787949699291</v>
      </c>
      <c r="E959" s="61">
        <f t="shared" si="5"/>
        <v>-4296.6981046115834</v>
      </c>
      <c r="F959" s="61">
        <f t="shared" si="0"/>
        <v>-37639075.396397471</v>
      </c>
      <c r="G959" s="62">
        <f t="shared" si="65"/>
        <v>-11629076.492270499</v>
      </c>
      <c r="H959" s="62">
        <f t="shared" si="2"/>
        <v>18494230.359759431</v>
      </c>
      <c r="I959" s="62">
        <f t="shared" si="3"/>
        <v>554826.9107927829</v>
      </c>
      <c r="J959" s="63">
        <f t="shared" si="4"/>
        <v>-9409768.8490993679</v>
      </c>
    </row>
    <row r="960" spans="1:10" ht="13.2" x14ac:dyDescent="0.25">
      <c r="A960" s="64">
        <v>118</v>
      </c>
      <c r="B960" s="65">
        <v>11.717419354838709</v>
      </c>
      <c r="C960" s="65">
        <v>0.10966542750929369</v>
      </c>
      <c r="D960" s="65">
        <v>2298.9576774193547</v>
      </c>
      <c r="E960" s="65">
        <f t="shared" si="5"/>
        <v>-4298.8190701543363</v>
      </c>
      <c r="F960" s="65">
        <f t="shared" si="0"/>
        <v>-37657655.054551989</v>
      </c>
      <c r="G960" s="66">
        <f t="shared" si="65"/>
        <v>-11621413.133960577</v>
      </c>
      <c r="H960" s="66">
        <f t="shared" si="2"/>
        <v>18391661.419354837</v>
      </c>
      <c r="I960" s="66">
        <f t="shared" si="3"/>
        <v>551749.84258064511</v>
      </c>
      <c r="J960" s="67">
        <f t="shared" si="4"/>
        <v>-9414413.7636379972</v>
      </c>
    </row>
    <row r="961" spans="1:10" ht="13.2" x14ac:dyDescent="0.25">
      <c r="A961" s="60">
        <v>117</v>
      </c>
      <c r="B961" s="61">
        <v>11.686714051394205</v>
      </c>
      <c r="C961" s="61">
        <v>0.10873605947955391</v>
      </c>
      <c r="D961" s="61">
        <v>2292.9332968835429</v>
      </c>
      <c r="E961" s="61">
        <f t="shared" si="5"/>
        <v>-4299.8072701214096</v>
      </c>
      <c r="F961" s="61">
        <f t="shared" si="0"/>
        <v>-37666311.686263546</v>
      </c>
      <c r="G961" s="62">
        <f t="shared" si="65"/>
        <v>-11617793.886574088</v>
      </c>
      <c r="H961" s="62">
        <f t="shared" si="2"/>
        <v>18343466.375068344</v>
      </c>
      <c r="I961" s="62">
        <f t="shared" si="3"/>
        <v>550303.99125205027</v>
      </c>
      <c r="J961" s="63">
        <f t="shared" si="4"/>
        <v>-9416577.9215658866</v>
      </c>
    </row>
    <row r="962" spans="1:10" ht="13.2" x14ac:dyDescent="0.25">
      <c r="A962" s="64">
        <v>116</v>
      </c>
      <c r="B962" s="65">
        <v>11.636030617823947</v>
      </c>
      <c r="C962" s="65">
        <v>0.10780669144981413</v>
      </c>
      <c r="D962" s="65">
        <v>2282.9892072170587</v>
      </c>
      <c r="E962" s="65">
        <f t="shared" si="5"/>
        <v>-4301.4245709500665</v>
      </c>
      <c r="F962" s="65">
        <f t="shared" si="0"/>
        <v>-37680479.24152258</v>
      </c>
      <c r="G962" s="66">
        <f t="shared" si="65"/>
        <v>-11611789.449309021</v>
      </c>
      <c r="H962" s="66">
        <f t="shared" si="2"/>
        <v>18263913.657736469</v>
      </c>
      <c r="I962" s="66">
        <f t="shared" si="3"/>
        <v>547917.40973209403</v>
      </c>
      <c r="J962" s="67">
        <f t="shared" si="4"/>
        <v>-9420119.8103806451</v>
      </c>
    </row>
    <row r="963" spans="1:10" ht="13.2" x14ac:dyDescent="0.25">
      <c r="A963" s="60">
        <v>115</v>
      </c>
      <c r="B963" s="61">
        <v>11.614773100054673</v>
      </c>
      <c r="C963" s="61">
        <v>0.10687732342007435</v>
      </c>
      <c r="D963" s="61">
        <v>2278.8184822307271</v>
      </c>
      <c r="E963" s="61">
        <f t="shared" si="5"/>
        <v>-4302.0970809734199</v>
      </c>
      <c r="F963" s="61">
        <f t="shared" si="0"/>
        <v>-37686370.429327153</v>
      </c>
      <c r="G963" s="62">
        <f t="shared" si="65"/>
        <v>-11609258.350273287</v>
      </c>
      <c r="H963" s="62">
        <f t="shared" si="2"/>
        <v>18230547.857845817</v>
      </c>
      <c r="I963" s="62">
        <f t="shared" si="3"/>
        <v>546916.43573537446</v>
      </c>
      <c r="J963" s="63">
        <f t="shared" si="4"/>
        <v>-9421592.6073317882</v>
      </c>
    </row>
    <row r="964" spans="1:10" ht="13.2" x14ac:dyDescent="0.25">
      <c r="A964" s="64">
        <v>114</v>
      </c>
      <c r="B964" s="65">
        <v>11.543816293056313</v>
      </c>
      <c r="C964" s="65">
        <v>0.10594795539033457</v>
      </c>
      <c r="D964" s="65">
        <v>2264.8967566976485</v>
      </c>
      <c r="E964" s="65">
        <f t="shared" si="5"/>
        <v>-4304.322486913652</v>
      </c>
      <c r="F964" s="65">
        <f t="shared" si="0"/>
        <v>-37705864.985363595</v>
      </c>
      <c r="G964" s="66">
        <f t="shared" si="65"/>
        <v>-11600767.132770641</v>
      </c>
      <c r="H964" s="66">
        <f t="shared" si="2"/>
        <v>18119174.053581189</v>
      </c>
      <c r="I964" s="66">
        <f t="shared" si="3"/>
        <v>543575.22160743561</v>
      </c>
      <c r="J964" s="67">
        <f t="shared" si="4"/>
        <v>-9426466.2463408988</v>
      </c>
    </row>
    <row r="965" spans="1:10" ht="13.2" x14ac:dyDescent="0.25">
      <c r="A965" s="60">
        <v>113</v>
      </c>
      <c r="B965" s="61">
        <v>11.542241662110442</v>
      </c>
      <c r="C965" s="61">
        <v>0.1050185873605948</v>
      </c>
      <c r="D965" s="61">
        <v>2264.5878141060689</v>
      </c>
      <c r="E965" s="61">
        <f t="shared" si="5"/>
        <v>-4304.371441106834</v>
      </c>
      <c r="F965" s="61">
        <f t="shared" si="0"/>
        <v>-37706293.824095868</v>
      </c>
      <c r="G965" s="62">
        <f t="shared" si="65"/>
        <v>-11600577.757565793</v>
      </c>
      <c r="H965" s="62">
        <f t="shared" si="2"/>
        <v>18116702.512848552</v>
      </c>
      <c r="I965" s="62">
        <f t="shared" si="3"/>
        <v>543501.07538545656</v>
      </c>
      <c r="J965" s="63">
        <f t="shared" si="4"/>
        <v>-9426573.4560239669</v>
      </c>
    </row>
    <row r="966" spans="1:10" ht="13.2" x14ac:dyDescent="0.25">
      <c r="A966" s="64">
        <v>112</v>
      </c>
      <c r="B966" s="65">
        <v>11.533974849644613</v>
      </c>
      <c r="C966" s="65">
        <v>0.10408921933085502</v>
      </c>
      <c r="D966" s="65">
        <v>2262.9658655002731</v>
      </c>
      <c r="E966" s="65">
        <f t="shared" si="5"/>
        <v>-4304.6261895402722</v>
      </c>
      <c r="F966" s="65">
        <f t="shared" si="0"/>
        <v>-37708525.420372784</v>
      </c>
      <c r="G966" s="66">
        <f t="shared" si="65"/>
        <v>-11599578.585973458</v>
      </c>
      <c r="H966" s="66">
        <f t="shared" si="2"/>
        <v>18103726.924002185</v>
      </c>
      <c r="I966" s="66">
        <f t="shared" si="3"/>
        <v>543111.80772006558</v>
      </c>
      <c r="J966" s="67">
        <f t="shared" si="4"/>
        <v>-9427131.355093196</v>
      </c>
    </row>
    <row r="967" spans="1:10" ht="13.2" x14ac:dyDescent="0.25">
      <c r="A967" s="60">
        <v>111</v>
      </c>
      <c r="B967" s="61">
        <v>11.519311098961181</v>
      </c>
      <c r="C967" s="61">
        <v>0.10315985130111524</v>
      </c>
      <c r="D967" s="61">
        <v>2260.0888376161838</v>
      </c>
      <c r="E967" s="61">
        <f t="shared" si="5"/>
        <v>-4305.0740540110764</v>
      </c>
      <c r="F967" s="61">
        <f t="shared" si="0"/>
        <v>-37712448.713137031</v>
      </c>
      <c r="G967" s="62">
        <f t="shared" si="65"/>
        <v>-11597797.462395795</v>
      </c>
      <c r="H967" s="62">
        <f t="shared" si="2"/>
        <v>18080710.70092947</v>
      </c>
      <c r="I967" s="62">
        <f t="shared" si="3"/>
        <v>542421.32102788414</v>
      </c>
      <c r="J967" s="63">
        <f t="shared" si="4"/>
        <v>-9428112.1782842577</v>
      </c>
    </row>
    <row r="968" spans="1:10" ht="13.2" x14ac:dyDescent="0.25">
      <c r="A968" s="64">
        <v>110</v>
      </c>
      <c r="B968" s="65">
        <v>11.488212137780208</v>
      </c>
      <c r="C968" s="65">
        <v>0.10223048327137546</v>
      </c>
      <c r="D968" s="65">
        <v>2253.9872214324769</v>
      </c>
      <c r="E968" s="65">
        <f t="shared" si="5"/>
        <v>-4306.0153814148825</v>
      </c>
      <c r="F968" s="65">
        <f t="shared" si="0"/>
        <v>-37720694.741194367</v>
      </c>
      <c r="G968" s="66">
        <f t="shared" si="65"/>
        <v>-11594001.41787377</v>
      </c>
      <c r="H968" s="66">
        <f t="shared" si="2"/>
        <v>18031897.771459814</v>
      </c>
      <c r="I968" s="66">
        <f t="shared" si="3"/>
        <v>540956.93314379442</v>
      </c>
      <c r="J968" s="67">
        <f t="shared" si="4"/>
        <v>-9430173.6852985919</v>
      </c>
    </row>
    <row r="969" spans="1:10" ht="13.2" x14ac:dyDescent="0.25">
      <c r="A969" s="60">
        <v>109</v>
      </c>
      <c r="B969" s="61">
        <v>11.445500273373426</v>
      </c>
      <c r="C969" s="61">
        <v>0.10130111524163568</v>
      </c>
      <c r="D969" s="61">
        <v>2245.6071536358663</v>
      </c>
      <c r="E969" s="61">
        <f t="shared" si="5"/>
        <v>-4307.2965349023752</v>
      </c>
      <c r="F969" s="61">
        <f t="shared" si="0"/>
        <v>-37731917.645744808</v>
      </c>
      <c r="G969" s="62">
        <f t="shared" si="65"/>
        <v>-11588762.278926633</v>
      </c>
      <c r="H969" s="62">
        <f t="shared" si="2"/>
        <v>17964857.229086932</v>
      </c>
      <c r="I969" s="62">
        <f t="shared" si="3"/>
        <v>538945.71687260794</v>
      </c>
      <c r="J969" s="63">
        <f t="shared" si="4"/>
        <v>-9432979.411436202</v>
      </c>
    </row>
    <row r="970" spans="1:10" ht="13.2" x14ac:dyDescent="0.25">
      <c r="A970" s="64">
        <v>108</v>
      </c>
      <c r="B970" s="65">
        <v>11.365981410606889</v>
      </c>
      <c r="C970" s="65">
        <v>0.10037174721189591</v>
      </c>
      <c r="D970" s="65">
        <v>2230.0055527610712</v>
      </c>
      <c r="E970" s="65">
        <f t="shared" si="5"/>
        <v>-4309.6599744401001</v>
      </c>
      <c r="F970" s="65">
        <f t="shared" si="0"/>
        <v>-37752621.37609528</v>
      </c>
      <c r="G970" s="66">
        <f t="shared" si="65"/>
        <v>-11578960.674674448</v>
      </c>
      <c r="H970" s="66">
        <f t="shared" si="2"/>
        <v>17840044.422088571</v>
      </c>
      <c r="I970" s="66">
        <f t="shared" si="3"/>
        <v>535201.33266265714</v>
      </c>
      <c r="J970" s="67">
        <f t="shared" si="4"/>
        <v>-9438155.34402382</v>
      </c>
    </row>
    <row r="971" spans="1:10" ht="13.2" x14ac:dyDescent="0.25">
      <c r="A971" s="60">
        <v>107</v>
      </c>
      <c r="B971" s="61">
        <v>11.358009841443412</v>
      </c>
      <c r="C971" s="61">
        <v>9.9442379182156135E-2</v>
      </c>
      <c r="D971" s="61">
        <v>2228.4415308911975</v>
      </c>
      <c r="E971" s="61">
        <f t="shared" si="5"/>
        <v>-4309.8947230757731</v>
      </c>
      <c r="F971" s="61">
        <f t="shared" si="0"/>
        <v>-37754677.77414377</v>
      </c>
      <c r="G971" s="62">
        <f t="shared" si="65"/>
        <v>-11577973.313191492</v>
      </c>
      <c r="H971" s="62">
        <f t="shared" si="2"/>
        <v>17827532.247129582</v>
      </c>
      <c r="I971" s="62">
        <f t="shared" si="3"/>
        <v>534825.96741388738</v>
      </c>
      <c r="J971" s="63">
        <f t="shared" si="4"/>
        <v>-9438669.4435359426</v>
      </c>
    </row>
    <row r="972" spans="1:10" ht="13.2" x14ac:dyDescent="0.25">
      <c r="A972" s="64">
        <v>106</v>
      </c>
      <c r="B972" s="65">
        <v>11.357124111536359</v>
      </c>
      <c r="C972" s="65">
        <v>9.8513011152416355E-2</v>
      </c>
      <c r="D972" s="65">
        <v>2228.2677506834339</v>
      </c>
      <c r="E972" s="65">
        <f t="shared" si="5"/>
        <v>-4309.9205639988604</v>
      </c>
      <c r="F972" s="65">
        <f t="shared" si="0"/>
        <v>-37754904.140630014</v>
      </c>
      <c r="G972" s="66">
        <f t="shared" si="65"/>
        <v>-11577863.075813601</v>
      </c>
      <c r="H972" s="66">
        <f t="shared" si="2"/>
        <v>17826142.005467471</v>
      </c>
      <c r="I972" s="66">
        <f t="shared" si="3"/>
        <v>534784.26016402408</v>
      </c>
      <c r="J972" s="67">
        <f t="shared" si="4"/>
        <v>-9438726.0351575036</v>
      </c>
    </row>
    <row r="973" spans="1:10" ht="13.2" x14ac:dyDescent="0.25">
      <c r="A973" s="60">
        <v>105</v>
      </c>
      <c r="B973" s="61">
        <v>11.338326954620012</v>
      </c>
      <c r="C973" s="61">
        <v>9.7583643122676575E-2</v>
      </c>
      <c r="D973" s="61">
        <v>2224.5797484964464</v>
      </c>
      <c r="E973" s="61">
        <f t="shared" si="5"/>
        <v>-4310.4638245440628</v>
      </c>
      <c r="F973" s="61">
        <f t="shared" si="0"/>
        <v>-37759663.10300599</v>
      </c>
      <c r="G973" s="62">
        <f>J973-(I973-(H973*$N$4))</f>
        <v>-8372117.4964732034</v>
      </c>
      <c r="H973" s="62">
        <f t="shared" si="2"/>
        <v>17796637.98797157</v>
      </c>
      <c r="I973" s="62">
        <f t="shared" si="3"/>
        <v>533899.13963914709</v>
      </c>
      <c r="J973" s="63">
        <f t="shared" si="4"/>
        <v>-9439915.7757514976</v>
      </c>
    </row>
    <row r="974" spans="1:10" ht="13.2" x14ac:dyDescent="0.25">
      <c r="A974" s="64">
        <v>104</v>
      </c>
      <c r="B974" s="65">
        <v>11.270224166211044</v>
      </c>
      <c r="C974" s="65">
        <v>9.6654275092936809E-2</v>
      </c>
      <c r="D974" s="65">
        <v>2211.2179814106071</v>
      </c>
      <c r="E974" s="65">
        <f t="shared" si="5"/>
        <v>-4312.4134504106769</v>
      </c>
      <c r="F974" s="65">
        <f t="shared" si="0"/>
        <v>-37776741.825597532</v>
      </c>
      <c r="G974" s="66">
        <f t="shared" ref="G974:G988" si="66">J974-I974-(H974*$N$4)</f>
        <v>-11566954.718553565</v>
      </c>
      <c r="H974" s="66">
        <f t="shared" si="2"/>
        <v>17689743.851284858</v>
      </c>
      <c r="I974" s="66">
        <f t="shared" si="3"/>
        <v>530692.31553854572</v>
      </c>
      <c r="J974" s="67">
        <f t="shared" si="4"/>
        <v>-9444185.456399383</v>
      </c>
    </row>
    <row r="975" spans="1:10" ht="13.2" x14ac:dyDescent="0.25">
      <c r="A975" s="60">
        <v>103</v>
      </c>
      <c r="B975" s="61">
        <v>11.221705850191361</v>
      </c>
      <c r="C975" s="61">
        <v>9.5724907063197029E-2</v>
      </c>
      <c r="D975" s="61">
        <v>2201.6986878075454</v>
      </c>
      <c r="E975" s="61">
        <f t="shared" si="5"/>
        <v>-4313.7891475810075</v>
      </c>
      <c r="F975" s="61">
        <f t="shared" si="0"/>
        <v>-37788792.932809629</v>
      </c>
      <c r="G975" s="62">
        <f t="shared" si="66"/>
        <v>-11560828.973497652</v>
      </c>
      <c r="H975" s="62">
        <f t="shared" si="2"/>
        <v>17613589.502460364</v>
      </c>
      <c r="I975" s="62">
        <f t="shared" si="3"/>
        <v>528407.68507381086</v>
      </c>
      <c r="J975" s="63">
        <f t="shared" si="4"/>
        <v>-9447198.2332024071</v>
      </c>
    </row>
    <row r="976" spans="1:10" ht="13.2" x14ac:dyDescent="0.25">
      <c r="A976" s="64">
        <v>102</v>
      </c>
      <c r="B976" s="65">
        <v>11.172006560962274</v>
      </c>
      <c r="C976" s="65">
        <v>9.4795539033457249E-2</v>
      </c>
      <c r="D976" s="65">
        <v>2191.9476872607984</v>
      </c>
      <c r="E976" s="65">
        <f t="shared" si="5"/>
        <v>-4315.1847368785902</v>
      </c>
      <c r="F976" s="65">
        <f t="shared" si="0"/>
        <v>-37801018.295056455</v>
      </c>
      <c r="G976" s="66">
        <f t="shared" si="66"/>
        <v>-11554524.353534481</v>
      </c>
      <c r="H976" s="66">
        <f t="shared" si="2"/>
        <v>17535581.498086385</v>
      </c>
      <c r="I976" s="66">
        <f t="shared" si="3"/>
        <v>526067.4449425916</v>
      </c>
      <c r="J976" s="67">
        <f t="shared" si="4"/>
        <v>-9450254.5737641137</v>
      </c>
    </row>
    <row r="977" spans="1:10" ht="13.2" x14ac:dyDescent="0.25">
      <c r="A977" s="60">
        <v>101</v>
      </c>
      <c r="B977" s="61">
        <v>11.102033898305086</v>
      </c>
      <c r="C977" s="61">
        <v>9.3866171003717469E-2</v>
      </c>
      <c r="D977" s="61">
        <v>2178.2190508474582</v>
      </c>
      <c r="E977" s="61">
        <f t="shared" si="5"/>
        <v>-4317.1304776341985</v>
      </c>
      <c r="F977" s="61">
        <f t="shared" si="0"/>
        <v>-37818062.984075576</v>
      </c>
      <c r="G977" s="62">
        <f t="shared" si="66"/>
        <v>-11545606.034832453</v>
      </c>
      <c r="H977" s="62">
        <f t="shared" si="2"/>
        <v>17425752.406779665</v>
      </c>
      <c r="I977" s="62">
        <f t="shared" si="3"/>
        <v>522772.57220338995</v>
      </c>
      <c r="J977" s="63">
        <f t="shared" si="4"/>
        <v>-9454515.746018894</v>
      </c>
    </row>
    <row r="978" spans="1:10" ht="13.2" x14ac:dyDescent="0.25">
      <c r="A978" s="64">
        <v>100</v>
      </c>
      <c r="B978" s="65">
        <v>11.098983050847457</v>
      </c>
      <c r="C978" s="65">
        <v>9.2936802973977689E-2</v>
      </c>
      <c r="D978" s="65">
        <v>2177.6204745762711</v>
      </c>
      <c r="E978" s="65">
        <f t="shared" si="5"/>
        <v>-4317.2144785793189</v>
      </c>
      <c r="F978" s="65">
        <f t="shared" si="0"/>
        <v>-37818798.832354836</v>
      </c>
      <c r="G978" s="66">
        <f t="shared" si="66"/>
        <v>-11545215.363681931</v>
      </c>
      <c r="H978" s="66">
        <f t="shared" si="2"/>
        <v>17420963.796610169</v>
      </c>
      <c r="I978" s="66">
        <f t="shared" si="3"/>
        <v>522628.91389830504</v>
      </c>
      <c r="J978" s="67">
        <f t="shared" si="4"/>
        <v>-9454699.708088709</v>
      </c>
    </row>
    <row r="979" spans="1:10" ht="13.2" x14ac:dyDescent="0.25">
      <c r="A979" s="60">
        <v>99</v>
      </c>
      <c r="B979" s="61">
        <v>11.07132859486058</v>
      </c>
      <c r="C979" s="61">
        <v>9.2007434944237923E-2</v>
      </c>
      <c r="D979" s="61">
        <v>2172.1946703116455</v>
      </c>
      <c r="E979" s="61">
        <f t="shared" si="5"/>
        <v>-4317.9683426476849</v>
      </c>
      <c r="F979" s="61">
        <f t="shared" si="0"/>
        <v>-37825402.681593724</v>
      </c>
      <c r="G979" s="62">
        <f t="shared" si="66"/>
        <v>-11541657.553897612</v>
      </c>
      <c r="H979" s="62">
        <f t="shared" si="2"/>
        <v>17377557.362493165</v>
      </c>
      <c r="I979" s="62">
        <f t="shared" si="3"/>
        <v>521326.72087479493</v>
      </c>
      <c r="J979" s="63">
        <f t="shared" si="4"/>
        <v>-9456350.6703984309</v>
      </c>
    </row>
    <row r="980" spans="1:10" ht="13.2" x14ac:dyDescent="0.25">
      <c r="A980" s="64">
        <v>98</v>
      </c>
      <c r="B980" s="65">
        <v>11.050956806998359</v>
      </c>
      <c r="C980" s="65">
        <v>9.1078066914498143E-2</v>
      </c>
      <c r="D980" s="65">
        <v>2168.1977255330785</v>
      </c>
      <c r="E980" s="65">
        <f t="shared" si="5"/>
        <v>-4318.5181082863728</v>
      </c>
      <c r="F980" s="65">
        <f t="shared" si="0"/>
        <v>-37830218.628588624</v>
      </c>
      <c r="G980" s="66">
        <f t="shared" si="66"/>
        <v>-11539024.473658912</v>
      </c>
      <c r="H980" s="66">
        <f t="shared" si="2"/>
        <v>17345581.804264627</v>
      </c>
      <c r="I980" s="66">
        <f t="shared" si="3"/>
        <v>520367.45412793878</v>
      </c>
      <c r="J980" s="67">
        <f t="shared" si="4"/>
        <v>-9457554.6571471561</v>
      </c>
    </row>
    <row r="981" spans="1:10" ht="13.2" x14ac:dyDescent="0.25">
      <c r="A981" s="60">
        <v>97</v>
      </c>
      <c r="B981" s="61">
        <v>11.037966101694915</v>
      </c>
      <c r="C981" s="61">
        <v>9.0148698884758363E-2</v>
      </c>
      <c r="D981" s="61">
        <v>2165.6489491525422</v>
      </c>
      <c r="E981" s="61">
        <f t="shared" si="5"/>
        <v>-4318.8651303493361</v>
      </c>
      <c r="F981" s="61">
        <f t="shared" si="0"/>
        <v>-37833258.541860186</v>
      </c>
      <c r="G981" s="62">
        <f t="shared" si="66"/>
        <v>-11537337.626651486</v>
      </c>
      <c r="H981" s="62">
        <f t="shared" si="2"/>
        <v>17325191.593220338</v>
      </c>
      <c r="I981" s="62">
        <f t="shared" si="3"/>
        <v>519755.74779661011</v>
      </c>
      <c r="J981" s="63">
        <f t="shared" si="4"/>
        <v>-9458314.6354650464</v>
      </c>
    </row>
    <row r="982" spans="1:10" ht="13.2" x14ac:dyDescent="0.25">
      <c r="A982" s="64">
        <v>96</v>
      </c>
      <c r="B982" s="65">
        <v>11.037572443958448</v>
      </c>
      <c r="C982" s="65">
        <v>8.9219330855018583E-2</v>
      </c>
      <c r="D982" s="65">
        <v>2165.5717135046475</v>
      </c>
      <c r="E982" s="65">
        <f t="shared" si="5"/>
        <v>-4318.8755384989126</v>
      </c>
      <c r="F982" s="65">
        <f t="shared" si="0"/>
        <v>-37833349.717250474</v>
      </c>
      <c r="G982" s="66">
        <f t="shared" si="66"/>
        <v>-11537286.27427708</v>
      </c>
      <c r="H982" s="66">
        <f t="shared" si="2"/>
        <v>17324573.708037179</v>
      </c>
      <c r="I982" s="66">
        <f t="shared" si="3"/>
        <v>519737.21124111535</v>
      </c>
      <c r="J982" s="67">
        <f t="shared" si="4"/>
        <v>-9458337.4293126184</v>
      </c>
    </row>
    <row r="983" spans="1:10" ht="13.2" x14ac:dyDescent="0.25">
      <c r="A983" s="60">
        <v>95</v>
      </c>
      <c r="B983" s="61">
        <v>11.027632586112629</v>
      </c>
      <c r="C983" s="61">
        <v>8.8289962825278817E-2</v>
      </c>
      <c r="D983" s="61">
        <v>2163.6215133952983</v>
      </c>
      <c r="E983" s="61">
        <f t="shared" si="5"/>
        <v>-4319.1356255952805</v>
      </c>
      <c r="F983" s="61">
        <f t="shared" si="0"/>
        <v>-37835628.080214657</v>
      </c>
      <c r="G983" s="62">
        <f t="shared" si="66"/>
        <v>-11535983.672913151</v>
      </c>
      <c r="H983" s="62">
        <f t="shared" si="2"/>
        <v>17308972.107162386</v>
      </c>
      <c r="I983" s="62">
        <f t="shared" si="3"/>
        <v>519269.16321487154</v>
      </c>
      <c r="J983" s="63">
        <f t="shared" si="4"/>
        <v>-9458907.0200536642</v>
      </c>
    </row>
    <row r="984" spans="1:10" ht="13.2" x14ac:dyDescent="0.25">
      <c r="A984" s="64">
        <v>94</v>
      </c>
      <c r="B984" s="65">
        <v>11.021826134499728</v>
      </c>
      <c r="C984" s="65">
        <v>8.7360594795539037E-2</v>
      </c>
      <c r="D984" s="65">
        <v>2162.4822875888467</v>
      </c>
      <c r="E984" s="65">
        <f t="shared" si="5"/>
        <v>-4319.2859695214111</v>
      </c>
      <c r="F984" s="65">
        <f t="shared" si="0"/>
        <v>-37836945.093007565</v>
      </c>
      <c r="G984" s="66">
        <f t="shared" si="66"/>
        <v>-11535219.269337185</v>
      </c>
      <c r="H984" s="66">
        <f t="shared" si="2"/>
        <v>17299858.300710775</v>
      </c>
      <c r="I984" s="66">
        <f t="shared" si="3"/>
        <v>518995.74902132322</v>
      </c>
      <c r="J984" s="67">
        <f t="shared" si="4"/>
        <v>-9459236.2732518911</v>
      </c>
    </row>
    <row r="985" spans="1:10" ht="13.2" x14ac:dyDescent="0.25">
      <c r="A985" s="60">
        <v>93</v>
      </c>
      <c r="B985" s="61">
        <v>10.955790049207218</v>
      </c>
      <c r="C985" s="61">
        <v>8.6431226765799257E-2</v>
      </c>
      <c r="D985" s="61">
        <v>2149.5260076544564</v>
      </c>
      <c r="E985" s="61">
        <f t="shared" si="5"/>
        <v>-4320.9777514273419</v>
      </c>
      <c r="F985" s="61">
        <f t="shared" si="0"/>
        <v>-37851765.102503516</v>
      </c>
      <c r="G985" s="62">
        <f t="shared" si="66"/>
        <v>-11526486.242974157</v>
      </c>
      <c r="H985" s="62">
        <f t="shared" si="2"/>
        <v>17196208.061235651</v>
      </c>
      <c r="I985" s="62">
        <f t="shared" si="3"/>
        <v>515886.24183706951</v>
      </c>
      <c r="J985" s="63">
        <f t="shared" si="4"/>
        <v>-9462941.2756258789</v>
      </c>
    </row>
    <row r="986" spans="1:10" ht="13.2" x14ac:dyDescent="0.25">
      <c r="A986" s="64">
        <v>92</v>
      </c>
      <c r="B986" s="65">
        <v>10.954707490431929</v>
      </c>
      <c r="C986" s="65">
        <v>8.5501858736059477E-2</v>
      </c>
      <c r="D986" s="65">
        <v>2149.3136096227449</v>
      </c>
      <c r="E986" s="65">
        <f t="shared" si="5"/>
        <v>-4321.0051894630369</v>
      </c>
      <c r="F986" s="65">
        <f t="shared" si="0"/>
        <v>-37852005.459696203</v>
      </c>
      <c r="G986" s="66">
        <f t="shared" si="66"/>
        <v>-11526342.430161886</v>
      </c>
      <c r="H986" s="66">
        <f t="shared" si="2"/>
        <v>17194508.876981959</v>
      </c>
      <c r="I986" s="66">
        <f t="shared" si="3"/>
        <v>515835.26630945876</v>
      </c>
      <c r="J986" s="67">
        <f t="shared" si="4"/>
        <v>-9463001.3649240509</v>
      </c>
    </row>
    <row r="987" spans="1:10" ht="13.2" x14ac:dyDescent="0.25">
      <c r="A987" s="60">
        <v>91</v>
      </c>
      <c r="B987" s="61">
        <v>10.921246582832149</v>
      </c>
      <c r="C987" s="61">
        <v>8.4572490706319697E-2</v>
      </c>
      <c r="D987" s="61">
        <v>2142.7485795516677</v>
      </c>
      <c r="E987" s="61">
        <f t="shared" si="5"/>
        <v>-4321.8441222091087</v>
      </c>
      <c r="F987" s="61">
        <f t="shared" si="0"/>
        <v>-37859354.510551788</v>
      </c>
      <c r="G987" s="62">
        <f t="shared" si="66"/>
        <v>-11521877.264007548</v>
      </c>
      <c r="H987" s="62">
        <f t="shared" si="2"/>
        <v>17141988.636413343</v>
      </c>
      <c r="I987" s="62">
        <f t="shared" si="3"/>
        <v>514259.65909240028</v>
      </c>
      <c r="J987" s="63">
        <f t="shared" si="4"/>
        <v>-9464838.627637947</v>
      </c>
    </row>
    <row r="988" spans="1:10" ht="13.2" x14ac:dyDescent="0.25">
      <c r="A988" s="64">
        <v>90</v>
      </c>
      <c r="B988" s="65">
        <v>10.916719518862765</v>
      </c>
      <c r="C988" s="65">
        <v>8.3643122676579931E-2</v>
      </c>
      <c r="D988" s="65">
        <v>2141.8603696008749</v>
      </c>
      <c r="E988" s="65">
        <f t="shared" si="5"/>
        <v>-4321.9563866638555</v>
      </c>
      <c r="F988" s="65">
        <f t="shared" si="0"/>
        <v>-37860337.947175369</v>
      </c>
      <c r="G988" s="66">
        <f t="shared" si="66"/>
        <v>-11521270.441610683</v>
      </c>
      <c r="H988" s="66">
        <f t="shared" si="2"/>
        <v>17134882.956806999</v>
      </c>
      <c r="I988" s="66">
        <f t="shared" si="3"/>
        <v>514046.48870420991</v>
      </c>
      <c r="J988" s="67">
        <f t="shared" si="4"/>
        <v>-9465084.4867938422</v>
      </c>
    </row>
    <row r="989" spans="1:10" ht="13.2" x14ac:dyDescent="0.25">
      <c r="A989" s="60">
        <v>89</v>
      </c>
      <c r="B989" s="61">
        <v>10.776577364680154</v>
      </c>
      <c r="C989" s="61">
        <v>8.2713754646840151E-2</v>
      </c>
      <c r="D989" s="61">
        <v>2114.3644789502464</v>
      </c>
      <c r="E989" s="61">
        <f t="shared" si="5"/>
        <v>-4325.3933729951841</v>
      </c>
      <c r="F989" s="61">
        <f t="shared" si="0"/>
        <v>-37890445.947437815</v>
      </c>
      <c r="G989" s="62">
        <f>J989-(I989-(H989*$N$4))</f>
        <v>-8457716.5369633362</v>
      </c>
      <c r="H989" s="62">
        <f t="shared" si="2"/>
        <v>16914915.83160197</v>
      </c>
      <c r="I989" s="62">
        <f t="shared" si="3"/>
        <v>507447.47494805907</v>
      </c>
      <c r="J989" s="63">
        <f t="shared" si="4"/>
        <v>-9472611.4868594538</v>
      </c>
    </row>
    <row r="990" spans="1:10" ht="13.2" x14ac:dyDescent="0.25">
      <c r="A990" s="64">
        <v>88</v>
      </c>
      <c r="B990" s="65">
        <v>10.755910333515581</v>
      </c>
      <c r="C990" s="65">
        <v>8.1784386617100371E-2</v>
      </c>
      <c r="D990" s="65">
        <v>2110.3096074357572</v>
      </c>
      <c r="E990" s="65">
        <f t="shared" si="5"/>
        <v>-4325.8945792325694</v>
      </c>
      <c r="F990" s="65">
        <f t="shared" si="0"/>
        <v>-37894836.514077313</v>
      </c>
      <c r="G990" s="66">
        <f t="shared" ref="G990:G1004" si="67">J990-I990-(H990*$N$4)</f>
        <v>-11499606.351657655</v>
      </c>
      <c r="H990" s="66">
        <f t="shared" si="2"/>
        <v>16882476.859486058</v>
      </c>
      <c r="I990" s="66">
        <f t="shared" si="3"/>
        <v>506474.30578458175</v>
      </c>
      <c r="J990" s="67">
        <f t="shared" si="4"/>
        <v>-9473709.1285193283</v>
      </c>
    </row>
    <row r="991" spans="1:10" ht="13.2" x14ac:dyDescent="0.25">
      <c r="A991" s="60">
        <v>87</v>
      </c>
      <c r="B991" s="61">
        <v>10.624723892837615</v>
      </c>
      <c r="C991" s="61">
        <v>8.0855018587360591E-2</v>
      </c>
      <c r="D991" s="61">
        <v>2084.5708277747403</v>
      </c>
      <c r="E991" s="61">
        <f t="shared" si="5"/>
        <v>-4329.0401642933721</v>
      </c>
      <c r="F991" s="61">
        <f t="shared" si="0"/>
        <v>-37922391.839209937</v>
      </c>
      <c r="G991" s="62">
        <f t="shared" si="67"/>
        <v>-11481785.954466235</v>
      </c>
      <c r="H991" s="62">
        <f t="shared" si="2"/>
        <v>16676566.622197922</v>
      </c>
      <c r="I991" s="62">
        <f t="shared" si="3"/>
        <v>500296.99866593763</v>
      </c>
      <c r="J991" s="63">
        <f t="shared" si="4"/>
        <v>-9480597.9598024841</v>
      </c>
    </row>
    <row r="992" spans="1:10" ht="13.2" x14ac:dyDescent="0.25">
      <c r="A992" s="64">
        <v>86</v>
      </c>
      <c r="B992" s="65">
        <v>10.608288682340076</v>
      </c>
      <c r="C992" s="65">
        <v>7.9925650557620811E-2</v>
      </c>
      <c r="D992" s="65">
        <v>2081.3462394751232</v>
      </c>
      <c r="E992" s="65">
        <f t="shared" si="5"/>
        <v>-4329.4297520990876</v>
      </c>
      <c r="F992" s="65">
        <f t="shared" si="0"/>
        <v>-37925804.62838801</v>
      </c>
      <c r="G992" s="66">
        <f t="shared" si="67"/>
        <v>-11479543.54699312</v>
      </c>
      <c r="H992" s="66">
        <f t="shared" si="2"/>
        <v>16650769.915800985</v>
      </c>
      <c r="I992" s="66">
        <f t="shared" si="3"/>
        <v>499523.09747402952</v>
      </c>
      <c r="J992" s="67">
        <f t="shared" si="4"/>
        <v>-9481451.1570970025</v>
      </c>
    </row>
    <row r="993" spans="1:10" ht="13.2" x14ac:dyDescent="0.25">
      <c r="A993" s="60">
        <v>85</v>
      </c>
      <c r="B993" s="61">
        <v>10.546484417714598</v>
      </c>
      <c r="C993" s="61">
        <v>7.8996282527881045E-2</v>
      </c>
      <c r="D993" s="61">
        <v>2069.2202427556044</v>
      </c>
      <c r="E993" s="61">
        <f t="shared" si="5"/>
        <v>-4330.8778846069481</v>
      </c>
      <c r="F993" s="61">
        <f t="shared" si="0"/>
        <v>-37938490.269156866</v>
      </c>
      <c r="G993" s="62">
        <f t="shared" si="67"/>
        <v>-11471074.000334596</v>
      </c>
      <c r="H993" s="62">
        <f t="shared" si="2"/>
        <v>16553761.942044836</v>
      </c>
      <c r="I993" s="62">
        <f t="shared" si="3"/>
        <v>496612.85826134507</v>
      </c>
      <c r="J993" s="63">
        <f t="shared" si="4"/>
        <v>-9484622.5672892164</v>
      </c>
    </row>
    <row r="994" spans="1:10" ht="13.2" x14ac:dyDescent="0.25">
      <c r="A994" s="64">
        <v>84</v>
      </c>
      <c r="B994" s="65">
        <v>10.515090213231273</v>
      </c>
      <c r="C994" s="65">
        <v>7.8066914498141265E-2</v>
      </c>
      <c r="D994" s="65">
        <v>2063.0606998359763</v>
      </c>
      <c r="E994" s="65">
        <f t="shared" si="5"/>
        <v>-4331.6048938548965</v>
      </c>
      <c r="F994" s="65">
        <f t="shared" si="0"/>
        <v>-37944858.870168895</v>
      </c>
      <c r="G994" s="66">
        <f t="shared" si="67"/>
        <v>-11466752.989384761</v>
      </c>
      <c r="H994" s="66">
        <f t="shared" si="2"/>
        <v>16504485.598687811</v>
      </c>
      <c r="I994" s="66">
        <f t="shared" si="3"/>
        <v>495134.5679606343</v>
      </c>
      <c r="J994" s="67">
        <f t="shared" si="4"/>
        <v>-9486214.7175422236</v>
      </c>
    </row>
    <row r="995" spans="1:10" ht="13.2" x14ac:dyDescent="0.25">
      <c r="A995" s="60">
        <v>83</v>
      </c>
      <c r="B995" s="61">
        <v>10.446692181519957</v>
      </c>
      <c r="C995" s="61">
        <v>7.7137546468401486E-2</v>
      </c>
      <c r="D995" s="61">
        <v>2049.6410060142157</v>
      </c>
      <c r="E995" s="61">
        <f t="shared" si="5"/>
        <v>-4333.1701090729548</v>
      </c>
      <c r="F995" s="61">
        <f t="shared" si="0"/>
        <v>-37958570.155479081</v>
      </c>
      <c r="G995" s="62">
        <f t="shared" si="67"/>
        <v>-11457297.904643418</v>
      </c>
      <c r="H995" s="62">
        <f t="shared" si="2"/>
        <v>16397128.048113726</v>
      </c>
      <c r="I995" s="62">
        <f t="shared" si="3"/>
        <v>491913.84144341177</v>
      </c>
      <c r="J995" s="63">
        <f t="shared" si="4"/>
        <v>-9489642.5388697702</v>
      </c>
    </row>
    <row r="996" spans="1:10" ht="13.2" x14ac:dyDescent="0.25">
      <c r="A996" s="64">
        <v>82</v>
      </c>
      <c r="B996" s="65">
        <v>10.423860032804811</v>
      </c>
      <c r="C996" s="65">
        <v>7.6208178438661706E-2</v>
      </c>
      <c r="D996" s="65">
        <v>2045.1613384363038</v>
      </c>
      <c r="E996" s="65">
        <f t="shared" si="5"/>
        <v>-4333.6863532919706</v>
      </c>
      <c r="F996" s="65">
        <f t="shared" si="0"/>
        <v>-37963092.454837665</v>
      </c>
      <c r="G996" s="66">
        <f t="shared" si="67"/>
        <v>-11454127.998608267</v>
      </c>
      <c r="H996" s="66">
        <f t="shared" si="2"/>
        <v>16361290.707490431</v>
      </c>
      <c r="I996" s="66">
        <f t="shared" si="3"/>
        <v>490838.72122471291</v>
      </c>
      <c r="J996" s="67">
        <f t="shared" si="4"/>
        <v>-9490773.1137094162</v>
      </c>
    </row>
    <row r="997" spans="1:10" ht="13.2" x14ac:dyDescent="0.25">
      <c r="A997" s="60">
        <v>81</v>
      </c>
      <c r="B997" s="61">
        <v>10.4012247129579</v>
      </c>
      <c r="C997" s="61">
        <v>7.527881040892194E-2</v>
      </c>
      <c r="D997" s="61">
        <v>2040.72028868234</v>
      </c>
      <c r="E997" s="61">
        <f t="shared" si="5"/>
        <v>-4334.1919560752985</v>
      </c>
      <c r="F997" s="61">
        <f t="shared" si="0"/>
        <v>-37967521.535219617</v>
      </c>
      <c r="G997" s="62">
        <f t="shared" si="67"/>
        <v>-11450971.860939952</v>
      </c>
      <c r="H997" s="62">
        <f t="shared" si="2"/>
        <v>16325762.30945872</v>
      </c>
      <c r="I997" s="62">
        <f t="shared" si="3"/>
        <v>489772.8692837616</v>
      </c>
      <c r="J997" s="63">
        <f t="shared" si="4"/>
        <v>-9491880.3838049043</v>
      </c>
    </row>
    <row r="998" spans="1:10" ht="13.2" x14ac:dyDescent="0.25">
      <c r="A998" s="64">
        <v>80</v>
      </c>
      <c r="B998" s="65">
        <v>10.376030617823949</v>
      </c>
      <c r="C998" s="65">
        <v>7.434944237918216E-2</v>
      </c>
      <c r="D998" s="65">
        <v>2035.7772072170587</v>
      </c>
      <c r="E998" s="65">
        <f t="shared" si="5"/>
        <v>-4334.7478230430488</v>
      </c>
      <c r="F998" s="65">
        <f t="shared" si="0"/>
        <v>-37972390.929857105</v>
      </c>
      <c r="G998" s="66">
        <f t="shared" si="67"/>
        <v>-11447443.851392651</v>
      </c>
      <c r="H998" s="66">
        <f t="shared" si="2"/>
        <v>16286217.657736469</v>
      </c>
      <c r="I998" s="66">
        <f t="shared" si="3"/>
        <v>488586.52973209403</v>
      </c>
      <c r="J998" s="67">
        <f t="shared" si="4"/>
        <v>-9493097.7324642763</v>
      </c>
    </row>
    <row r="999" spans="1:10" ht="13.2" x14ac:dyDescent="0.25">
      <c r="A999" s="60">
        <v>79</v>
      </c>
      <c r="B999" s="61">
        <v>10.316981957353745</v>
      </c>
      <c r="C999" s="61">
        <v>7.342007434944238E-2</v>
      </c>
      <c r="D999" s="61">
        <v>2024.1918600328047</v>
      </c>
      <c r="E999" s="61">
        <f t="shared" si="5"/>
        <v>-4336.0344856717829</v>
      </c>
      <c r="F999" s="61">
        <f t="shared" si="0"/>
        <v>-37983662.094484821</v>
      </c>
      <c r="G999" s="62">
        <f t="shared" si="67"/>
        <v>-11439139.709252696</v>
      </c>
      <c r="H999" s="62">
        <f t="shared" si="2"/>
        <v>16193534.880262438</v>
      </c>
      <c r="I999" s="62">
        <f t="shared" si="3"/>
        <v>485806.0464078731</v>
      </c>
      <c r="J999" s="63">
        <f t="shared" si="4"/>
        <v>-9495915.5236212052</v>
      </c>
    </row>
    <row r="1000" spans="1:10" ht="13.2" x14ac:dyDescent="0.25">
      <c r="A1000" s="64">
        <v>78</v>
      </c>
      <c r="B1000" s="65">
        <v>10.303991252050301</v>
      </c>
      <c r="C1000" s="65">
        <v>7.24907063197026E-2</v>
      </c>
      <c r="D1000" s="65">
        <v>2021.6430836522688</v>
      </c>
      <c r="E1000" s="65">
        <f t="shared" si="5"/>
        <v>-4336.3139983231804</v>
      </c>
      <c r="F1000" s="65">
        <f t="shared" si="0"/>
        <v>-37986110.625311054</v>
      </c>
      <c r="G1000" s="66">
        <f t="shared" si="67"/>
        <v>-11437305.016633943</v>
      </c>
      <c r="H1000" s="66">
        <f t="shared" si="2"/>
        <v>16173144.669218151</v>
      </c>
      <c r="I1000" s="66">
        <f t="shared" si="3"/>
        <v>485194.3400765445</v>
      </c>
      <c r="J1000" s="67">
        <f t="shared" si="4"/>
        <v>-9496527.6563277636</v>
      </c>
    </row>
    <row r="1001" spans="1:10" ht="13.2" x14ac:dyDescent="0.25">
      <c r="A1001" s="60">
        <v>77</v>
      </c>
      <c r="B1001" s="61">
        <v>10.299759431383269</v>
      </c>
      <c r="C1001" s="61">
        <v>7.156133828996282E-2</v>
      </c>
      <c r="D1001" s="61">
        <v>2020.8128004373973</v>
      </c>
      <c r="E1001" s="61">
        <f t="shared" si="5"/>
        <v>-4336.4038942288798</v>
      </c>
      <c r="F1001" s="61">
        <f t="shared" si="0"/>
        <v>-37986898.113444991</v>
      </c>
      <c r="G1001" s="62">
        <f t="shared" si="67"/>
        <v>-11436704.81678115</v>
      </c>
      <c r="H1001" s="62">
        <f t="shared" si="2"/>
        <v>16166502.403499179</v>
      </c>
      <c r="I1001" s="62">
        <f t="shared" si="3"/>
        <v>484995.07210497535</v>
      </c>
      <c r="J1001" s="63">
        <f t="shared" si="4"/>
        <v>-9496724.5283612479</v>
      </c>
    </row>
    <row r="1002" spans="1:10" ht="13.2" x14ac:dyDescent="0.25">
      <c r="A1002" s="64">
        <v>76</v>
      </c>
      <c r="B1002" s="65">
        <v>10.295035538545653</v>
      </c>
      <c r="C1002" s="65">
        <v>7.0631970260223054E-2</v>
      </c>
      <c r="D1002" s="65">
        <v>2019.885972662657</v>
      </c>
      <c r="E1002" s="65">
        <f t="shared" si="5"/>
        <v>-4336.5029511007151</v>
      </c>
      <c r="F1002" s="65">
        <f t="shared" si="0"/>
        <v>-37987765.851642258</v>
      </c>
      <c r="G1002" s="66">
        <f t="shared" si="67"/>
        <v>-11436031.996666715</v>
      </c>
      <c r="H1002" s="66">
        <f t="shared" si="2"/>
        <v>16159087.781301256</v>
      </c>
      <c r="I1002" s="66">
        <f t="shared" si="3"/>
        <v>484772.63343903766</v>
      </c>
      <c r="J1002" s="67">
        <f t="shared" si="4"/>
        <v>-9496941.4629105646</v>
      </c>
    </row>
    <row r="1003" spans="1:10" ht="13.2" x14ac:dyDescent="0.25">
      <c r="A1003" s="60">
        <v>75</v>
      </c>
      <c r="B1003" s="61">
        <v>10.278797156916347</v>
      </c>
      <c r="C1003" s="61">
        <v>6.9702602230483274E-2</v>
      </c>
      <c r="D1003" s="61">
        <v>2016.7000021869876</v>
      </c>
      <c r="E1003" s="61">
        <f t="shared" si="5"/>
        <v>-4336.8390176889943</v>
      </c>
      <c r="F1003" s="61">
        <f t="shared" si="0"/>
        <v>-37990709.794955589</v>
      </c>
      <c r="G1003" s="62">
        <f t="shared" si="67"/>
        <v>-11433709.450838406</v>
      </c>
      <c r="H1003" s="62">
        <f t="shared" si="2"/>
        <v>16133600.0174959</v>
      </c>
      <c r="I1003" s="62">
        <f t="shared" si="3"/>
        <v>484008.00052487699</v>
      </c>
      <c r="J1003" s="63">
        <f t="shared" si="4"/>
        <v>-9497677.4487388972</v>
      </c>
    </row>
    <row r="1004" spans="1:10" ht="13.2" x14ac:dyDescent="0.25">
      <c r="A1004" s="64">
        <v>74</v>
      </c>
      <c r="B1004" s="65">
        <v>10.249568069983598</v>
      </c>
      <c r="C1004" s="65">
        <v>6.8773234200743494E-2</v>
      </c>
      <c r="D1004" s="65">
        <v>2010.9652553307817</v>
      </c>
      <c r="E1004" s="65">
        <f t="shared" si="5"/>
        <v>-4337.4359430123168</v>
      </c>
      <c r="F1004" s="65">
        <f t="shared" si="0"/>
        <v>-37995938.860787898</v>
      </c>
      <c r="G1004" s="66">
        <f t="shared" si="67"/>
        <v>-11429511.360314526</v>
      </c>
      <c r="H1004" s="66">
        <f t="shared" si="2"/>
        <v>16087722.042646253</v>
      </c>
      <c r="I1004" s="66">
        <f t="shared" si="3"/>
        <v>482631.6612793876</v>
      </c>
      <c r="J1004" s="67">
        <f t="shared" si="4"/>
        <v>-9498984.7151969746</v>
      </c>
    </row>
    <row r="1005" spans="1:10" ht="13.2" x14ac:dyDescent="0.25">
      <c r="A1005" s="60">
        <v>73</v>
      </c>
      <c r="B1005" s="61">
        <v>10.141213778020777</v>
      </c>
      <c r="C1005" s="61">
        <v>6.7843866171003714E-2</v>
      </c>
      <c r="D1005" s="61">
        <v>1989.7061432476769</v>
      </c>
      <c r="E1005" s="61">
        <f t="shared" si="5"/>
        <v>-4339.6191510840481</v>
      </c>
      <c r="F1005" s="61">
        <f t="shared" si="0"/>
        <v>-38015063.763496265</v>
      </c>
      <c r="G1005" s="62">
        <f>J1005-(I1005-(H1005*$N$4))</f>
        <v>-8548706.9921151809</v>
      </c>
      <c r="H1005" s="62">
        <f t="shared" si="2"/>
        <v>15917649.145981414</v>
      </c>
      <c r="I1005" s="62">
        <f t="shared" si="3"/>
        <v>477529.4743794424</v>
      </c>
      <c r="J1005" s="63">
        <f t="shared" si="4"/>
        <v>-9503765.9408740662</v>
      </c>
    </row>
    <row r="1006" spans="1:10" ht="13.2" x14ac:dyDescent="0.25">
      <c r="A1006" s="64">
        <v>72</v>
      </c>
      <c r="B1006" s="65">
        <v>10.111394204483323</v>
      </c>
      <c r="C1006" s="65">
        <v>6.6914498141263934E-2</v>
      </c>
      <c r="D1006" s="65">
        <v>1983.8555429196283</v>
      </c>
      <c r="E1006" s="65">
        <f t="shared" si="5"/>
        <v>-4340.2118234221125</v>
      </c>
      <c r="F1006" s="65">
        <f t="shared" si="0"/>
        <v>-38020255.573177703</v>
      </c>
      <c r="G1006" s="66">
        <f t="shared" ref="G1006:G1020" si="68">J1006-I1006-(H1006*$N$4)</f>
        <v>-11409565.214497268</v>
      </c>
      <c r="H1006" s="66">
        <f t="shared" si="2"/>
        <v>15870844.343357027</v>
      </c>
      <c r="I1006" s="66">
        <f t="shared" si="3"/>
        <v>476125.3303007108</v>
      </c>
      <c r="J1006" s="67">
        <f t="shared" si="4"/>
        <v>-9505063.8932944257</v>
      </c>
    </row>
    <row r="1007" spans="1:10" ht="13.2" x14ac:dyDescent="0.25">
      <c r="A1007" s="60">
        <v>71</v>
      </c>
      <c r="B1007" s="61">
        <v>10.109622744669219</v>
      </c>
      <c r="C1007" s="61">
        <v>6.5985130111524168E-2</v>
      </c>
      <c r="D1007" s="61">
        <v>1983.5079825041009</v>
      </c>
      <c r="E1007" s="61">
        <f t="shared" si="5"/>
        <v>-4340.246547162511</v>
      </c>
      <c r="F1007" s="61">
        <f t="shared" si="0"/>
        <v>-38020559.753143594</v>
      </c>
      <c r="G1007" s="62">
        <f t="shared" si="68"/>
        <v>-11409307.601489836</v>
      </c>
      <c r="H1007" s="62">
        <f t="shared" si="2"/>
        <v>15868063.860032808</v>
      </c>
      <c r="I1007" s="62">
        <f t="shared" si="3"/>
        <v>476041.91580098425</v>
      </c>
      <c r="J1007" s="63">
        <f t="shared" si="4"/>
        <v>-9505139.9382858984</v>
      </c>
    </row>
    <row r="1008" spans="1:10" ht="13.2" x14ac:dyDescent="0.25">
      <c r="A1008" s="64">
        <v>70</v>
      </c>
      <c r="B1008" s="65">
        <v>10.003630399125205</v>
      </c>
      <c r="C1008" s="65">
        <v>6.5055762081784388E-2</v>
      </c>
      <c r="D1008" s="65">
        <v>1962.7122843083653</v>
      </c>
      <c r="E1008" s="65">
        <f t="shared" si="5"/>
        <v>-4342.2951940107896</v>
      </c>
      <c r="F1008" s="65">
        <f t="shared" si="0"/>
        <v>-38038505.899534516</v>
      </c>
      <c r="G1008" s="66">
        <f t="shared" si="68"/>
        <v>-11393830.267819658</v>
      </c>
      <c r="H1008" s="66">
        <f t="shared" si="2"/>
        <v>15701698.274466923</v>
      </c>
      <c r="I1008" s="66">
        <f t="shared" si="3"/>
        <v>471050.94823400764</v>
      </c>
      <c r="J1008" s="67">
        <f t="shared" si="4"/>
        <v>-9509626.474883629</v>
      </c>
    </row>
    <row r="1009" spans="1:10" ht="13.2" x14ac:dyDescent="0.25">
      <c r="A1009" s="60">
        <v>69</v>
      </c>
      <c r="B1009" s="61">
        <v>9.9861126298523786</v>
      </c>
      <c r="C1009" s="61">
        <v>6.4126394052044608E-2</v>
      </c>
      <c r="D1009" s="61">
        <v>1959.2752979770366</v>
      </c>
      <c r="E1009" s="61">
        <f t="shared" si="5"/>
        <v>-4342.6289905457561</v>
      </c>
      <c r="F1009" s="61">
        <f t="shared" si="0"/>
        <v>-38041429.95718082</v>
      </c>
      <c r="G1009" s="62">
        <f t="shared" si="68"/>
        <v>-11391261.77535316</v>
      </c>
      <c r="H1009" s="62">
        <f t="shared" si="2"/>
        <v>15674202.383816293</v>
      </c>
      <c r="I1009" s="62">
        <f t="shared" si="3"/>
        <v>470226.07151448878</v>
      </c>
      <c r="J1009" s="63">
        <f t="shared" si="4"/>
        <v>-9510357.4892952051</v>
      </c>
    </row>
    <row r="1010" spans="1:10" ht="13.2" x14ac:dyDescent="0.25">
      <c r="A1010" s="64">
        <v>68</v>
      </c>
      <c r="B1010" s="65">
        <v>9.9464516129032248</v>
      </c>
      <c r="C1010" s="65">
        <v>6.3197026022304828E-2</v>
      </c>
      <c r="D1010" s="65">
        <v>1951.4938064516132</v>
      </c>
      <c r="E1010" s="65">
        <f t="shared" si="5"/>
        <v>-4343.3738730988407</v>
      </c>
      <c r="F1010" s="65">
        <f t="shared" si="0"/>
        <v>-38047955.128345847</v>
      </c>
      <c r="G1010" s="66">
        <f t="shared" si="68"/>
        <v>-11385422.836280011</v>
      </c>
      <c r="H1010" s="66">
        <f t="shared" si="2"/>
        <v>15611950.451612905</v>
      </c>
      <c r="I1010" s="66">
        <f t="shared" si="3"/>
        <v>468358.5135483871</v>
      </c>
      <c r="J1010" s="67">
        <f t="shared" si="4"/>
        <v>-9511988.7820864618</v>
      </c>
    </row>
    <row r="1011" spans="1:10" ht="13.2" x14ac:dyDescent="0.25">
      <c r="A1011" s="60">
        <v>67</v>
      </c>
      <c r="B1011" s="61">
        <v>9.9201749589939858</v>
      </c>
      <c r="C1011" s="61">
        <v>6.2267657992565055E-2</v>
      </c>
      <c r="D1011" s="61">
        <v>1946.3383269546202</v>
      </c>
      <c r="E1011" s="61">
        <f t="shared" si="5"/>
        <v>-4343.8601938878228</v>
      </c>
      <c r="F1011" s="61">
        <f t="shared" si="0"/>
        <v>-38052215.298457325</v>
      </c>
      <c r="G1011" s="62">
        <f t="shared" si="68"/>
        <v>-11381538.618490765</v>
      </c>
      <c r="H1011" s="62">
        <f t="shared" si="2"/>
        <v>15570706.615636962</v>
      </c>
      <c r="I1011" s="62">
        <f t="shared" si="3"/>
        <v>467121.19846910884</v>
      </c>
      <c r="J1011" s="63">
        <f t="shared" si="4"/>
        <v>-9513053.8246143311</v>
      </c>
    </row>
    <row r="1012" spans="1:10" ht="13.2" x14ac:dyDescent="0.25">
      <c r="A1012" s="64">
        <v>66</v>
      </c>
      <c r="B1012" s="65">
        <v>9.8826790595954073</v>
      </c>
      <c r="C1012" s="65">
        <v>6.1338289962825282E-2</v>
      </c>
      <c r="D1012" s="65">
        <v>1938.9816314926193</v>
      </c>
      <c r="E1012" s="65">
        <f t="shared" si="5"/>
        <v>-4344.5439016445143</v>
      </c>
      <c r="F1012" s="65">
        <f t="shared" si="0"/>
        <v>-38058204.578405946</v>
      </c>
      <c r="G1012" s="66">
        <f t="shared" si="68"/>
        <v>-11375973.510834401</v>
      </c>
      <c r="H1012" s="66">
        <f t="shared" si="2"/>
        <v>15511853.051940953</v>
      </c>
      <c r="I1012" s="66">
        <f t="shared" si="3"/>
        <v>465355.5915582286</v>
      </c>
      <c r="J1012" s="67">
        <f t="shared" si="4"/>
        <v>-9514551.1446014866</v>
      </c>
    </row>
    <row r="1013" spans="1:10" ht="13.2" x14ac:dyDescent="0.25">
      <c r="A1013" s="60">
        <v>65</v>
      </c>
      <c r="B1013" s="61">
        <v>9.8415418261344989</v>
      </c>
      <c r="C1013" s="61">
        <v>6.0408921933085502E-2</v>
      </c>
      <c r="D1013" s="61">
        <v>1930.9105062875888</v>
      </c>
      <c r="E1013" s="61">
        <f t="shared" si="5"/>
        <v>-4345.2827546488779</v>
      </c>
      <c r="F1013" s="61">
        <f t="shared" si="0"/>
        <v>-38064676.930724174</v>
      </c>
      <c r="G1013" s="62">
        <f t="shared" si="68"/>
        <v>-11369843.31871713</v>
      </c>
      <c r="H1013" s="62">
        <f t="shared" si="2"/>
        <v>15447284.05030071</v>
      </c>
      <c r="I1013" s="62">
        <f t="shared" si="3"/>
        <v>463418.52150902129</v>
      </c>
      <c r="J1013" s="63">
        <f t="shared" si="4"/>
        <v>-9516169.2326810434</v>
      </c>
    </row>
    <row r="1014" spans="1:10" ht="13.2" x14ac:dyDescent="0.25">
      <c r="A1014" s="64">
        <v>64</v>
      </c>
      <c r="B1014" s="65">
        <v>9.7954838709677414</v>
      </c>
      <c r="C1014" s="65">
        <v>5.9479553903345722E-2</v>
      </c>
      <c r="D1014" s="65">
        <v>1921.8739354838708</v>
      </c>
      <c r="E1014" s="65">
        <f t="shared" si="5"/>
        <v>-4346.0973897492131</v>
      </c>
      <c r="F1014" s="65">
        <f t="shared" si="0"/>
        <v>-38071813.134203106</v>
      </c>
      <c r="G1014" s="66">
        <f t="shared" si="68"/>
        <v>-11362952.261615291</v>
      </c>
      <c r="H1014" s="66">
        <f t="shared" si="2"/>
        <v>15374991.483870966</v>
      </c>
      <c r="I1014" s="66">
        <f t="shared" si="3"/>
        <v>461249.74451612897</v>
      </c>
      <c r="J1014" s="67">
        <f t="shared" si="4"/>
        <v>-9517953.2835507765</v>
      </c>
    </row>
    <row r="1015" spans="1:10" ht="13.2" x14ac:dyDescent="0.25">
      <c r="A1015" s="60">
        <v>63</v>
      </c>
      <c r="B1015" s="61">
        <v>9.7739311098961181</v>
      </c>
      <c r="C1015" s="61">
        <v>5.8550185873605949E-2</v>
      </c>
      <c r="D1015" s="61">
        <v>1917.6452837616187</v>
      </c>
      <c r="E1015" s="61">
        <f t="shared" si="5"/>
        <v>-4346.4727022394318</v>
      </c>
      <c r="F1015" s="61">
        <f t="shared" si="0"/>
        <v>-38075100.871617422</v>
      </c>
      <c r="G1015" s="62">
        <f t="shared" si="68"/>
        <v>-11359714.690315509</v>
      </c>
      <c r="H1015" s="62">
        <f t="shared" si="2"/>
        <v>15341162.270092949</v>
      </c>
      <c r="I1015" s="62">
        <f t="shared" si="3"/>
        <v>460234.86810278846</v>
      </c>
      <c r="J1015" s="63">
        <f t="shared" si="4"/>
        <v>-9518775.2179043554</v>
      </c>
    </row>
    <row r="1016" spans="1:10" ht="13.2" x14ac:dyDescent="0.25">
      <c r="A1016" s="64">
        <v>62</v>
      </c>
      <c r="B1016" s="65">
        <v>9.609480590486605</v>
      </c>
      <c r="C1016" s="65">
        <v>5.7620817843866169E-2</v>
      </c>
      <c r="D1016" s="65">
        <v>1885.3800918534719</v>
      </c>
      <c r="E1016" s="65">
        <f t="shared" si="5"/>
        <v>-4349.29140859572</v>
      </c>
      <c r="F1016" s="65">
        <f t="shared" si="0"/>
        <v>-38099792.739298508</v>
      </c>
      <c r="G1016" s="66">
        <f t="shared" si="68"/>
        <v>-11334913.073003959</v>
      </c>
      <c r="H1016" s="66">
        <f t="shared" si="2"/>
        <v>15083040.734827776</v>
      </c>
      <c r="I1016" s="66">
        <f t="shared" si="3"/>
        <v>452491.22204483324</v>
      </c>
      <c r="J1016" s="67">
        <f t="shared" si="4"/>
        <v>-9524948.1848246269</v>
      </c>
    </row>
    <row r="1017" spans="1:10" ht="13.2" x14ac:dyDescent="0.25">
      <c r="A1017" s="60">
        <v>61</v>
      </c>
      <c r="B1017" s="61">
        <v>9.6024931656642956</v>
      </c>
      <c r="C1017" s="61">
        <v>5.6691449814126396E-2</v>
      </c>
      <c r="D1017" s="61">
        <v>1884.0091591033347</v>
      </c>
      <c r="E1017" s="61">
        <f t="shared" si="5"/>
        <v>-4349.4092629445931</v>
      </c>
      <c r="F1017" s="61">
        <f t="shared" si="0"/>
        <v>-38100825.143394634</v>
      </c>
      <c r="G1017" s="62">
        <f t="shared" si="68"/>
        <v>-11333855.07858786</v>
      </c>
      <c r="H1017" s="62">
        <f t="shared" si="2"/>
        <v>15072073.272826677</v>
      </c>
      <c r="I1017" s="62">
        <f t="shared" si="3"/>
        <v>452162.19818480028</v>
      </c>
      <c r="J1017" s="63">
        <f t="shared" si="4"/>
        <v>-9525206.2858486585</v>
      </c>
    </row>
    <row r="1018" spans="1:10" ht="13.2" x14ac:dyDescent="0.25">
      <c r="A1018" s="64">
        <v>60</v>
      </c>
      <c r="B1018" s="65">
        <v>9.5653909240021875</v>
      </c>
      <c r="C1018" s="65">
        <v>5.5762081784386616E-2</v>
      </c>
      <c r="D1018" s="65">
        <v>1876.7296992892295</v>
      </c>
      <c r="E1018" s="65">
        <f t="shared" si="5"/>
        <v>-4350.0249049920685</v>
      </c>
      <c r="F1018" s="65">
        <f t="shared" si="0"/>
        <v>-38106218.167730525</v>
      </c>
      <c r="G1018" s="66">
        <f t="shared" si="68"/>
        <v>-11328215.053250292</v>
      </c>
      <c r="H1018" s="66">
        <f t="shared" si="2"/>
        <v>15013837.594313836</v>
      </c>
      <c r="I1018" s="66">
        <f t="shared" si="3"/>
        <v>450415.12782941508</v>
      </c>
      <c r="J1018" s="67">
        <f t="shared" si="4"/>
        <v>-9526554.5419326313</v>
      </c>
    </row>
    <row r="1019" spans="1:10" ht="13.2" x14ac:dyDescent="0.25">
      <c r="A1019" s="60">
        <v>59</v>
      </c>
      <c r="B1019" s="61">
        <v>9.543641334062329</v>
      </c>
      <c r="C1019" s="61">
        <v>5.4832713754646843E-2</v>
      </c>
      <c r="D1019" s="61">
        <v>1872.4624297430289</v>
      </c>
      <c r="E1019" s="61">
        <f t="shared" si="5"/>
        <v>-4350.3798498102706</v>
      </c>
      <c r="F1019" s="61">
        <f t="shared" si="0"/>
        <v>-38109327.484337971</v>
      </c>
      <c r="G1019" s="62">
        <f t="shared" si="68"/>
        <v>-11324895.803637801</v>
      </c>
      <c r="H1019" s="62">
        <f t="shared" si="2"/>
        <v>14979699.437944232</v>
      </c>
      <c r="I1019" s="62">
        <f t="shared" si="3"/>
        <v>449390.9831383269</v>
      </c>
      <c r="J1019" s="63">
        <f t="shared" si="4"/>
        <v>-9527331.8710844927</v>
      </c>
    </row>
    <row r="1020" spans="1:10" ht="13.2" x14ac:dyDescent="0.25">
      <c r="A1020" s="64">
        <v>58</v>
      </c>
      <c r="B1020" s="65">
        <v>9.5342919628212144</v>
      </c>
      <c r="C1020" s="65">
        <v>5.3903345724907063E-2</v>
      </c>
      <c r="D1020" s="65">
        <v>1870.6280831055221</v>
      </c>
      <c r="E1020" s="65">
        <f t="shared" si="5"/>
        <v>-4350.5298707248621</v>
      </c>
      <c r="F1020" s="65">
        <f t="shared" si="0"/>
        <v>-38110641.667549789</v>
      </c>
      <c r="G1020" s="66">
        <f t="shared" si="68"/>
        <v>-11323463.376668749</v>
      </c>
      <c r="H1020" s="66">
        <f t="shared" si="2"/>
        <v>14965024.664844178</v>
      </c>
      <c r="I1020" s="66">
        <f t="shared" si="3"/>
        <v>448950.7399453253</v>
      </c>
      <c r="J1020" s="67">
        <f t="shared" si="4"/>
        <v>-9527660.4168874472</v>
      </c>
    </row>
    <row r="1021" spans="1:10" ht="13.2" x14ac:dyDescent="0.25">
      <c r="A1021" s="60">
        <v>57</v>
      </c>
      <c r="B1021" s="61">
        <v>9.5319300164024039</v>
      </c>
      <c r="C1021" s="61">
        <v>5.2973977695167283E-2</v>
      </c>
      <c r="D1021" s="61">
        <v>1870.1646692181519</v>
      </c>
      <c r="E1021" s="61">
        <f t="shared" si="5"/>
        <v>-4350.5671247223136</v>
      </c>
      <c r="F1021" s="61">
        <f t="shared" si="0"/>
        <v>-38110968.012567461</v>
      </c>
      <c r="G1021" s="62">
        <f>J1021-(I1021-(H1021*$N$4))</f>
        <v>-8630062.9619171526</v>
      </c>
      <c r="H1021" s="62">
        <f t="shared" si="2"/>
        <v>14961317.353745215</v>
      </c>
      <c r="I1021" s="62">
        <f t="shared" si="3"/>
        <v>448839.52061235643</v>
      </c>
      <c r="J1021" s="63">
        <f t="shared" si="4"/>
        <v>-9527742.0031418651</v>
      </c>
    </row>
    <row r="1022" spans="1:10" ht="13.2" x14ac:dyDescent="0.25">
      <c r="A1022" s="64">
        <v>56</v>
      </c>
      <c r="B1022" s="65">
        <v>9.44699835975943</v>
      </c>
      <c r="C1022" s="65">
        <v>5.204460966542751E-2</v>
      </c>
      <c r="D1022" s="65">
        <v>1853.5010781848</v>
      </c>
      <c r="E1022" s="65">
        <f t="shared" si="5"/>
        <v>-4351.8834864675136</v>
      </c>
      <c r="F1022" s="65">
        <f t="shared" si="0"/>
        <v>-38122499.341455422</v>
      </c>
      <c r="G1022" s="66">
        <f t="shared" ref="G1022:G1036" si="69">J1022-I1022-(H1022*$N$4)</f>
        <v>-11309985.870421264</v>
      </c>
      <c r="H1022" s="66">
        <f t="shared" si="2"/>
        <v>14828008.6254784</v>
      </c>
      <c r="I1022" s="66">
        <f t="shared" si="3"/>
        <v>444840.25876435201</v>
      </c>
      <c r="J1022" s="67">
        <f t="shared" si="4"/>
        <v>-9530624.8353638556</v>
      </c>
    </row>
    <row r="1023" spans="1:10" ht="13.2" x14ac:dyDescent="0.25">
      <c r="A1023" s="60">
        <v>55</v>
      </c>
      <c r="B1023" s="61">
        <v>9.4357791142700922</v>
      </c>
      <c r="C1023" s="61">
        <v>5.111524163568773E-2</v>
      </c>
      <c r="D1023" s="61">
        <v>1851.2998622197917</v>
      </c>
      <c r="E1023" s="61">
        <f t="shared" si="5"/>
        <v>-4352.0543057361738</v>
      </c>
      <c r="F1023" s="61">
        <f t="shared" si="0"/>
        <v>-38123995.718248881</v>
      </c>
      <c r="G1023" s="62">
        <f t="shared" si="69"/>
        <v>-11308246.79729322</v>
      </c>
      <c r="H1023" s="62">
        <f t="shared" si="2"/>
        <v>14810398.897758335</v>
      </c>
      <c r="I1023" s="62">
        <f t="shared" si="3"/>
        <v>444311.96693275002</v>
      </c>
      <c r="J1023" s="63">
        <f t="shared" si="4"/>
        <v>-9530998.9295622203</v>
      </c>
    </row>
    <row r="1024" spans="1:10" ht="13.2" x14ac:dyDescent="0.25">
      <c r="A1024" s="64">
        <v>54</v>
      </c>
      <c r="B1024" s="65">
        <v>9.2622744669218147</v>
      </c>
      <c r="C1024" s="65">
        <v>5.0185873605947957E-2</v>
      </c>
      <c r="D1024" s="65">
        <v>1817.2582504100603</v>
      </c>
      <c r="E1024" s="65">
        <f t="shared" si="5"/>
        <v>-4354.6485549633098</v>
      </c>
      <c r="F1024" s="65">
        <f t="shared" si="0"/>
        <v>-38146721.341478594</v>
      </c>
      <c r="G1024" s="66">
        <f t="shared" si="69"/>
        <v>-11281248.255763307</v>
      </c>
      <c r="H1024" s="66">
        <f t="shared" si="2"/>
        <v>14538066.003280483</v>
      </c>
      <c r="I1024" s="66">
        <f t="shared" si="3"/>
        <v>436141.98009841447</v>
      </c>
      <c r="J1024" s="67">
        <f t="shared" si="4"/>
        <v>-9536680.3353696484</v>
      </c>
    </row>
    <row r="1025" spans="1:10" ht="13.2" x14ac:dyDescent="0.25">
      <c r="A1025" s="60">
        <v>53</v>
      </c>
      <c r="B1025" s="61">
        <v>9.2525314379442314</v>
      </c>
      <c r="C1025" s="61">
        <v>4.9256505576208177E-2</v>
      </c>
      <c r="D1025" s="61">
        <v>1815.3466681246582</v>
      </c>
      <c r="E1025" s="61">
        <f t="shared" si="5"/>
        <v>-4354.7915683220226</v>
      </c>
      <c r="F1025" s="61">
        <f t="shared" si="0"/>
        <v>-38147974.138500914</v>
      </c>
      <c r="G1025" s="62">
        <f t="shared" si="69"/>
        <v>-11279726.336024899</v>
      </c>
      <c r="H1025" s="62">
        <f t="shared" si="2"/>
        <v>14522773.344997266</v>
      </c>
      <c r="I1025" s="62">
        <f t="shared" si="3"/>
        <v>435683.20034991798</v>
      </c>
      <c r="J1025" s="63">
        <f t="shared" si="4"/>
        <v>-9536993.5346252285</v>
      </c>
    </row>
    <row r="1026" spans="1:10" ht="13.2" x14ac:dyDescent="0.25">
      <c r="A1026" s="64">
        <v>52</v>
      </c>
      <c r="B1026" s="65">
        <v>9.2406232914160746</v>
      </c>
      <c r="C1026" s="65">
        <v>4.8327137546468404E-2</v>
      </c>
      <c r="D1026" s="65">
        <v>1813.0102897758343</v>
      </c>
      <c r="E1026" s="65">
        <f t="shared" si="5"/>
        <v>-4354.9631053941021</v>
      </c>
      <c r="F1026" s="65">
        <f t="shared" si="0"/>
        <v>-38149476.803252339</v>
      </c>
      <c r="G1026" s="66">
        <f t="shared" si="69"/>
        <v>-11277859.078997886</v>
      </c>
      <c r="H1026" s="66">
        <f t="shared" si="2"/>
        <v>14504082.318206673</v>
      </c>
      <c r="I1026" s="66">
        <f t="shared" si="3"/>
        <v>435122.46954620018</v>
      </c>
      <c r="J1026" s="67">
        <f t="shared" si="4"/>
        <v>-9537369.2008130848</v>
      </c>
    </row>
    <row r="1027" spans="1:10" ht="13.2" x14ac:dyDescent="0.25">
      <c r="A1027" s="60">
        <v>51</v>
      </c>
      <c r="B1027" s="61">
        <v>9.166123564789503</v>
      </c>
      <c r="C1027" s="61">
        <v>4.7397769516728624E-2</v>
      </c>
      <c r="D1027" s="61">
        <v>1798.3934434117004</v>
      </c>
      <c r="E1027" s="61">
        <f t="shared" si="5"/>
        <v>-4356.0158986963515</v>
      </c>
      <c r="F1027" s="61">
        <f t="shared" si="0"/>
        <v>-38158699.272580042</v>
      </c>
      <c r="G1027" s="62">
        <f t="shared" si="69"/>
        <v>-11266132.523820242</v>
      </c>
      <c r="H1027" s="62">
        <f t="shared" si="2"/>
        <v>14387147.547293603</v>
      </c>
      <c r="I1027" s="62">
        <f t="shared" si="3"/>
        <v>431614.42641880811</v>
      </c>
      <c r="J1027" s="63">
        <f t="shared" si="4"/>
        <v>-9539674.8181450106</v>
      </c>
    </row>
    <row r="1028" spans="1:10" ht="13.2" x14ac:dyDescent="0.25">
      <c r="A1028" s="64">
        <v>50</v>
      </c>
      <c r="B1028" s="65">
        <v>9.00787315472936</v>
      </c>
      <c r="C1028" s="65">
        <v>4.6468401486988845E-2</v>
      </c>
      <c r="D1028" s="65">
        <v>1767.3447129579004</v>
      </c>
      <c r="E1028" s="65">
        <f t="shared" si="5"/>
        <v>-4358.208931702382</v>
      </c>
      <c r="F1028" s="65">
        <f t="shared" si="0"/>
        <v>-38177910.241712868</v>
      </c>
      <c r="G1028" s="66">
        <f t="shared" si="69"/>
        <v>-11241128.484867802</v>
      </c>
      <c r="H1028" s="66">
        <f t="shared" si="2"/>
        <v>14138757.703663202</v>
      </c>
      <c r="I1028" s="66">
        <f t="shared" si="3"/>
        <v>424162.73110989603</v>
      </c>
      <c r="J1028" s="67">
        <f t="shared" si="4"/>
        <v>-9544477.5604282171</v>
      </c>
    </row>
    <row r="1029" spans="1:10" ht="13.2" x14ac:dyDescent="0.25">
      <c r="A1029" s="60">
        <v>49</v>
      </c>
      <c r="B1029" s="61">
        <v>8.9737233460907593</v>
      </c>
      <c r="C1029" s="61">
        <v>4.5539033457249072E-2</v>
      </c>
      <c r="D1029" s="61">
        <v>1760.644520503007</v>
      </c>
      <c r="E1029" s="61">
        <f t="shared" si="5"/>
        <v>-4358.6728390796025</v>
      </c>
      <c r="F1029" s="61">
        <f t="shared" si="0"/>
        <v>-38181974.070337318</v>
      </c>
      <c r="G1029" s="62">
        <f t="shared" si="69"/>
        <v>-11235712.257267218</v>
      </c>
      <c r="H1029" s="62">
        <f t="shared" si="2"/>
        <v>14085156.164024057</v>
      </c>
      <c r="I1029" s="62">
        <f t="shared" si="3"/>
        <v>422554.68492072169</v>
      </c>
      <c r="J1029" s="63">
        <f t="shared" si="4"/>
        <v>-9545493.5175843295</v>
      </c>
    </row>
    <row r="1030" spans="1:10" ht="13.2" x14ac:dyDescent="0.25">
      <c r="A1030" s="64">
        <v>48</v>
      </c>
      <c r="B1030" s="65">
        <v>8.8568069983597582</v>
      </c>
      <c r="C1030" s="65">
        <v>4.4609665427509292E-2</v>
      </c>
      <c r="D1030" s="65">
        <v>1737.7055330781845</v>
      </c>
      <c r="E1030" s="65">
        <f t="shared" si="5"/>
        <v>-4360.2291086725509</v>
      </c>
      <c r="F1030" s="65">
        <f t="shared" si="0"/>
        <v>-38195606.991971545</v>
      </c>
      <c r="G1030" s="66">
        <f t="shared" si="69"/>
        <v>-11217099.059747942</v>
      </c>
      <c r="H1030" s="66">
        <f t="shared" si="2"/>
        <v>13901644.264625477</v>
      </c>
      <c r="I1030" s="66">
        <f t="shared" si="3"/>
        <v>417049.3279387643</v>
      </c>
      <c r="J1030" s="67">
        <f t="shared" si="4"/>
        <v>-9548901.7479928862</v>
      </c>
    </row>
    <row r="1031" spans="1:10" ht="13.2" x14ac:dyDescent="0.25">
      <c r="A1031" s="60">
        <v>47</v>
      </c>
      <c r="B1031" s="61">
        <v>8.6876325861126293</v>
      </c>
      <c r="C1031" s="61">
        <v>4.3680297397769519E-2</v>
      </c>
      <c r="D1031" s="61">
        <v>1704.5135133952981</v>
      </c>
      <c r="E1031" s="61">
        <f t="shared" si="5"/>
        <v>-4362.4347122109584</v>
      </c>
      <c r="F1031" s="61">
        <f t="shared" si="0"/>
        <v>-38214928.078967996</v>
      </c>
      <c r="G1031" s="62">
        <f t="shared" si="69"/>
        <v>-11190064.992601486</v>
      </c>
      <c r="H1031" s="62">
        <f t="shared" si="2"/>
        <v>13636108.107162384</v>
      </c>
      <c r="I1031" s="62">
        <f t="shared" si="3"/>
        <v>409083.2432148715</v>
      </c>
      <c r="J1031" s="63">
        <f t="shared" si="4"/>
        <v>-9553732.019741999</v>
      </c>
    </row>
    <row r="1032" spans="1:10" ht="13.2" x14ac:dyDescent="0.25">
      <c r="A1032" s="64">
        <v>46</v>
      </c>
      <c r="B1032" s="65">
        <v>8.686057955166758</v>
      </c>
      <c r="C1032" s="65">
        <v>4.2750929368029739E-2</v>
      </c>
      <c r="D1032" s="65">
        <v>1704.2045708037181</v>
      </c>
      <c r="E1032" s="65">
        <f t="shared" si="5"/>
        <v>-4362.454810706693</v>
      </c>
      <c r="F1032" s="65">
        <f t="shared" si="0"/>
        <v>-38215104.141790628</v>
      </c>
      <c r="G1032" s="66">
        <f t="shared" si="69"/>
        <v>-11189812.423419228</v>
      </c>
      <c r="H1032" s="66">
        <f t="shared" si="2"/>
        <v>13633636.566429745</v>
      </c>
      <c r="I1032" s="66">
        <f t="shared" si="3"/>
        <v>409009.09699289233</v>
      </c>
      <c r="J1032" s="67">
        <f t="shared" si="4"/>
        <v>-9553776.0354476571</v>
      </c>
    </row>
    <row r="1033" spans="1:10" ht="13.2" x14ac:dyDescent="0.25">
      <c r="A1033" s="60">
        <v>45</v>
      </c>
      <c r="B1033" s="61">
        <v>8.5810497539639154</v>
      </c>
      <c r="C1033" s="61">
        <v>4.1821561338289966E-2</v>
      </c>
      <c r="D1033" s="61">
        <v>1683.6019617277202</v>
      </c>
      <c r="E1033" s="61">
        <f t="shared" si="5"/>
        <v>-4363.7664080316981</v>
      </c>
      <c r="F1033" s="61">
        <f t="shared" si="0"/>
        <v>-38226593.734357677</v>
      </c>
      <c r="G1033" s="62">
        <f t="shared" si="69"/>
        <v>-11172906.31684803</v>
      </c>
      <c r="H1033" s="62">
        <f t="shared" si="2"/>
        <v>13468815.693821762</v>
      </c>
      <c r="I1033" s="62">
        <f t="shared" si="3"/>
        <v>404064.47081465286</v>
      </c>
      <c r="J1033" s="63">
        <f t="shared" si="4"/>
        <v>-9556648.4335894194</v>
      </c>
    </row>
    <row r="1034" spans="1:10" ht="13.2" x14ac:dyDescent="0.25">
      <c r="A1034" s="64">
        <v>44</v>
      </c>
      <c r="B1034" s="65">
        <v>8.5531984691088034</v>
      </c>
      <c r="C1034" s="65">
        <v>4.0892193308550186E-2</v>
      </c>
      <c r="D1034" s="65">
        <v>1678.1375396391472</v>
      </c>
      <c r="E1034" s="65">
        <f t="shared" si="5"/>
        <v>-4364.1066647974367</v>
      </c>
      <c r="F1034" s="65">
        <f t="shared" si="0"/>
        <v>-38229574.383625545</v>
      </c>
      <c r="G1034" s="66">
        <f t="shared" si="69"/>
        <v>-11168405.633959968</v>
      </c>
      <c r="H1034" s="66">
        <f t="shared" si="2"/>
        <v>13425100.317113178</v>
      </c>
      <c r="I1034" s="66">
        <f t="shared" si="3"/>
        <v>402753.00951339531</v>
      </c>
      <c r="J1034" s="67">
        <f t="shared" si="4"/>
        <v>-9557393.5959063862</v>
      </c>
    </row>
    <row r="1035" spans="1:10" ht="13.2" x14ac:dyDescent="0.25">
      <c r="A1035" s="60">
        <v>43</v>
      </c>
      <c r="B1035" s="61">
        <v>8.3314707490431932</v>
      </c>
      <c r="C1035" s="61">
        <v>3.9962825278810406E-2</v>
      </c>
      <c r="D1035" s="61">
        <v>1634.6345609622747</v>
      </c>
      <c r="E1035" s="61">
        <f t="shared" si="5"/>
        <v>-4366.7548479789748</v>
      </c>
      <c r="F1035" s="61">
        <f t="shared" si="0"/>
        <v>-38252772.46829582</v>
      </c>
      <c r="G1035" s="62">
        <f t="shared" si="69"/>
        <v>-11132442.29559774</v>
      </c>
      <c r="H1035" s="62">
        <f t="shared" si="2"/>
        <v>13077076.487698197</v>
      </c>
      <c r="I1035" s="62">
        <f t="shared" si="3"/>
        <v>392312.29463094589</v>
      </c>
      <c r="J1035" s="63">
        <f t="shared" si="4"/>
        <v>-9563193.117073955</v>
      </c>
    </row>
    <row r="1036" spans="1:10" ht="13.2" x14ac:dyDescent="0.25">
      <c r="A1036" s="64">
        <v>42</v>
      </c>
      <c r="B1036" s="65">
        <v>8.3271405139420445</v>
      </c>
      <c r="C1036" s="65">
        <v>3.9033457249070633E-2</v>
      </c>
      <c r="D1036" s="65">
        <v>1633.7849688354293</v>
      </c>
      <c r="E1036" s="65">
        <f t="shared" si="5"/>
        <v>-4366.8053813396791</v>
      </c>
      <c r="F1036" s="65">
        <f t="shared" si="0"/>
        <v>-38253215.140535586</v>
      </c>
      <c r="G1036" s="66">
        <f t="shared" si="69"/>
        <v>-11131737.355215907</v>
      </c>
      <c r="H1036" s="66">
        <f t="shared" si="2"/>
        <v>13070279.750683434</v>
      </c>
      <c r="I1036" s="66">
        <f t="shared" si="3"/>
        <v>392108.39252050302</v>
      </c>
      <c r="J1036" s="67">
        <f t="shared" si="4"/>
        <v>-9563303.7851338964</v>
      </c>
    </row>
    <row r="1037" spans="1:10" ht="13.2" x14ac:dyDescent="0.25">
      <c r="A1037" s="60">
        <v>41</v>
      </c>
      <c r="B1037" s="61">
        <v>8.2587424822307263</v>
      </c>
      <c r="C1037" s="61">
        <v>3.8104089219330853E-2</v>
      </c>
      <c r="D1037" s="61">
        <v>1620.3652750136682</v>
      </c>
      <c r="E1037" s="61">
        <f t="shared" si="5"/>
        <v>-4367.5848709901065</v>
      </c>
      <c r="F1037" s="61">
        <f t="shared" si="0"/>
        <v>-38260043.469873331</v>
      </c>
      <c r="G1037" s="62">
        <f>J1037-(I1037-(H1037*$N$4))</f>
        <v>-8787235.5354617722</v>
      </c>
      <c r="H1037" s="62">
        <f t="shared" si="2"/>
        <v>12962922.200109346</v>
      </c>
      <c r="I1037" s="62">
        <f t="shared" si="3"/>
        <v>388887.66600328038</v>
      </c>
      <c r="J1037" s="63">
        <f t="shared" si="4"/>
        <v>-9565010.8674683329</v>
      </c>
    </row>
    <row r="1038" spans="1:10" ht="13.2" x14ac:dyDescent="0.25">
      <c r="A1038" s="64">
        <v>40</v>
      </c>
      <c r="B1038" s="65">
        <v>8.2305959540732641</v>
      </c>
      <c r="C1038" s="65">
        <v>3.717472118959108E-2</v>
      </c>
      <c r="D1038" s="65">
        <v>1614.8429261891745</v>
      </c>
      <c r="E1038" s="65">
        <f t="shared" si="5"/>
        <v>-4367.8979409513468</v>
      </c>
      <c r="F1038" s="65">
        <f t="shared" si="0"/>
        <v>-38262785.962733798</v>
      </c>
      <c r="G1038" s="66">
        <f t="shared" ref="G1038:G1052" si="70">J1038-I1038-(H1038*$N$4)</f>
        <v>-11115945.699825056</v>
      </c>
      <c r="H1038" s="66">
        <f t="shared" si="2"/>
        <v>12918743.409513395</v>
      </c>
      <c r="I1038" s="66">
        <f t="shared" si="3"/>
        <v>387562.30228540185</v>
      </c>
      <c r="J1038" s="67">
        <f t="shared" si="4"/>
        <v>-9565696.4906834494</v>
      </c>
    </row>
    <row r="1039" spans="1:10" ht="13.2" x14ac:dyDescent="0.25">
      <c r="A1039" s="60">
        <v>39</v>
      </c>
      <c r="B1039" s="61">
        <v>8.1804045926735931</v>
      </c>
      <c r="C1039" s="61">
        <v>3.62453531598513E-2</v>
      </c>
      <c r="D1039" s="61">
        <v>1604.9953810825593</v>
      </c>
      <c r="E1039" s="61">
        <f t="shared" si="5"/>
        <v>-4368.4424845701606</v>
      </c>
      <c r="F1039" s="61">
        <f t="shared" si="0"/>
        <v>-38267556.164834604</v>
      </c>
      <c r="G1039" s="62">
        <f t="shared" si="70"/>
        <v>-11107684.607047906</v>
      </c>
      <c r="H1039" s="62">
        <f t="shared" si="2"/>
        <v>12839963.048660474</v>
      </c>
      <c r="I1039" s="62">
        <f t="shared" si="3"/>
        <v>385198.89145981421</v>
      </c>
      <c r="J1039" s="63">
        <f t="shared" si="4"/>
        <v>-9566889.0412086509</v>
      </c>
    </row>
    <row r="1040" spans="1:10" ht="13.2" x14ac:dyDescent="0.25">
      <c r="A1040" s="64">
        <v>38</v>
      </c>
      <c r="B1040" s="65">
        <v>8.0694915254237287</v>
      </c>
      <c r="C1040" s="65">
        <v>3.5315985130111527E-2</v>
      </c>
      <c r="D1040" s="65">
        <v>1583.2342372881358</v>
      </c>
      <c r="E1040" s="65">
        <f t="shared" si="5"/>
        <v>-4369.6154830274809</v>
      </c>
      <c r="F1040" s="65">
        <f t="shared" si="0"/>
        <v>-38277831.63132073</v>
      </c>
      <c r="G1040" s="66">
        <f t="shared" si="70"/>
        <v>-11089362.775626792</v>
      </c>
      <c r="H1040" s="66">
        <f t="shared" si="2"/>
        <v>12665873.898305086</v>
      </c>
      <c r="I1040" s="66">
        <f t="shared" si="3"/>
        <v>379976.21694915259</v>
      </c>
      <c r="J1040" s="67">
        <f t="shared" si="4"/>
        <v>-9569457.9078301825</v>
      </c>
    </row>
    <row r="1041" spans="1:10" ht="13.2" x14ac:dyDescent="0.25">
      <c r="A1041" s="60">
        <v>37</v>
      </c>
      <c r="B1041" s="61">
        <v>8.0404592673592123</v>
      </c>
      <c r="C1041" s="61">
        <v>3.4386617100371747E-2</v>
      </c>
      <c r="D1041" s="61">
        <v>1577.5381082558777</v>
      </c>
      <c r="E1041" s="61">
        <f t="shared" si="5"/>
        <v>-4369.9145827396769</v>
      </c>
      <c r="F1041" s="61">
        <f t="shared" si="0"/>
        <v>-38280451.744799569</v>
      </c>
      <c r="G1041" s="62">
        <f t="shared" si="70"/>
        <v>-11084549.520125534</v>
      </c>
      <c r="H1041" s="62">
        <f t="shared" si="2"/>
        <v>12620304.866047021</v>
      </c>
      <c r="I1041" s="62">
        <f t="shared" si="3"/>
        <v>378609.14598141063</v>
      </c>
      <c r="J1041" s="63">
        <f t="shared" si="4"/>
        <v>-9570112.9361998923</v>
      </c>
    </row>
    <row r="1042" spans="1:10" ht="13.2" x14ac:dyDescent="0.25">
      <c r="A1042" s="64">
        <v>36</v>
      </c>
      <c r="B1042" s="65">
        <v>8.0057189721159112</v>
      </c>
      <c r="C1042" s="65">
        <v>3.3457249070631967E-2</v>
      </c>
      <c r="D1042" s="65">
        <v>1570.7220623291419</v>
      </c>
      <c r="E1042" s="65">
        <f t="shared" si="5"/>
        <v>-4370.2629865742219</v>
      </c>
      <c r="F1042" s="65">
        <f t="shared" si="0"/>
        <v>-38283503.762390181</v>
      </c>
      <c r="G1042" s="66">
        <f t="shared" si="70"/>
        <v>-11078769.120433521</v>
      </c>
      <c r="H1042" s="66">
        <f t="shared" si="2"/>
        <v>12565776.498633135</v>
      </c>
      <c r="I1042" s="66">
        <f t="shared" si="3"/>
        <v>376973.29495899403</v>
      </c>
      <c r="J1042" s="67">
        <f t="shared" si="4"/>
        <v>-9570875.9405975454</v>
      </c>
    </row>
    <row r="1043" spans="1:10" ht="13.2" x14ac:dyDescent="0.25">
      <c r="A1043" s="60">
        <v>35</v>
      </c>
      <c r="B1043" s="61">
        <v>7.9914488791689449</v>
      </c>
      <c r="C1043" s="61">
        <v>3.2527881040892194E-2</v>
      </c>
      <c r="D1043" s="61">
        <v>1567.9222700929472</v>
      </c>
      <c r="E1043" s="61">
        <f t="shared" si="5"/>
        <v>-4370.402195574813</v>
      </c>
      <c r="F1043" s="61">
        <f t="shared" si="0"/>
        <v>-38284723.233235359</v>
      </c>
      <c r="G1043" s="62">
        <f t="shared" si="70"/>
        <v>-11076386.18759807</v>
      </c>
      <c r="H1043" s="62">
        <f t="shared" si="2"/>
        <v>12543378.160743577</v>
      </c>
      <c r="I1043" s="62">
        <f t="shared" si="3"/>
        <v>376301.34482230729</v>
      </c>
      <c r="J1043" s="63">
        <f t="shared" si="4"/>
        <v>-9571180.8083088398</v>
      </c>
    </row>
    <row r="1044" spans="1:10" ht="13.2" x14ac:dyDescent="0.25">
      <c r="A1044" s="64">
        <v>34</v>
      </c>
      <c r="B1044" s="65">
        <v>7.9818042646254783</v>
      </c>
      <c r="C1044" s="65">
        <v>3.1598513011152414E-2</v>
      </c>
      <c r="D1044" s="65">
        <v>1566.029996719519</v>
      </c>
      <c r="E1044" s="65">
        <f t="shared" si="5"/>
        <v>-4370.4936437304059</v>
      </c>
      <c r="F1044" s="65">
        <f t="shared" si="0"/>
        <v>-38285524.319078356</v>
      </c>
      <c r="G1044" s="66">
        <f t="shared" si="70"/>
        <v>-11074769.876620328</v>
      </c>
      <c r="H1044" s="66">
        <f t="shared" si="2"/>
        <v>12528239.973756151</v>
      </c>
      <c r="I1044" s="66">
        <f t="shared" si="3"/>
        <v>375847.19921268453</v>
      </c>
      <c r="J1044" s="67">
        <f t="shared" si="4"/>
        <v>-9571381.079769589</v>
      </c>
    </row>
    <row r="1045" spans="1:10" ht="13.2" x14ac:dyDescent="0.25">
      <c r="A1045" s="60">
        <v>33</v>
      </c>
      <c r="B1045" s="61">
        <v>7.9741279387643527</v>
      </c>
      <c r="C1045" s="61">
        <v>3.0669144981412641E-2</v>
      </c>
      <c r="D1045" s="61">
        <v>1564.5239015855661</v>
      </c>
      <c r="E1045" s="61">
        <f t="shared" si="5"/>
        <v>-4370.5643294221018</v>
      </c>
      <c r="F1045" s="61">
        <f t="shared" si="0"/>
        <v>-38286143.525737613</v>
      </c>
      <c r="G1045" s="62">
        <f t="shared" si="70"/>
        <v>-11073478.826956548</v>
      </c>
      <c r="H1045" s="62">
        <f t="shared" si="2"/>
        <v>12516191.212684529</v>
      </c>
      <c r="I1045" s="62">
        <f t="shared" si="3"/>
        <v>375485.73638053588</v>
      </c>
      <c r="J1045" s="63">
        <f t="shared" si="4"/>
        <v>-9571535.8814344034</v>
      </c>
    </row>
    <row r="1046" spans="1:10" ht="13.2" x14ac:dyDescent="0.25">
      <c r="A1046" s="64">
        <v>32</v>
      </c>
      <c r="B1046" s="65">
        <v>7.9618261344997263</v>
      </c>
      <c r="C1046" s="65">
        <v>2.9739776951672861E-2</v>
      </c>
      <c r="D1046" s="65">
        <v>1562.1102875888466</v>
      </c>
      <c r="E1046" s="65">
        <f t="shared" si="5"/>
        <v>-4370.6742430706508</v>
      </c>
      <c r="F1046" s="65">
        <f t="shared" si="0"/>
        <v>-38287106.369298905</v>
      </c>
      <c r="G1046" s="66">
        <f t="shared" si="70"/>
        <v>-11071402.468410021</v>
      </c>
      <c r="H1046" s="66">
        <f t="shared" si="2"/>
        <v>12496882.300710773</v>
      </c>
      <c r="I1046" s="66">
        <f t="shared" si="3"/>
        <v>374906.4690213232</v>
      </c>
      <c r="J1046" s="67">
        <f t="shared" si="4"/>
        <v>-9571776.5923247263</v>
      </c>
    </row>
    <row r="1047" spans="1:10" ht="13.2" x14ac:dyDescent="0.25">
      <c r="A1047" s="60">
        <v>31</v>
      </c>
      <c r="B1047" s="61">
        <v>7.7944231820667031</v>
      </c>
      <c r="C1047" s="61">
        <v>2.8810408921933085E-2</v>
      </c>
      <c r="D1047" s="61">
        <v>1529.2658283214871</v>
      </c>
      <c r="E1047" s="61">
        <f t="shared" si="5"/>
        <v>-4372.1241611145169</v>
      </c>
      <c r="F1047" s="61">
        <f t="shared" si="0"/>
        <v>-38299807.651363172</v>
      </c>
      <c r="G1047" s="62">
        <f t="shared" si="70"/>
        <v>-11043047.10802942</v>
      </c>
      <c r="H1047" s="62">
        <f t="shared" si="2"/>
        <v>12234126.626571897</v>
      </c>
      <c r="I1047" s="62">
        <f t="shared" si="3"/>
        <v>367023.79879715689</v>
      </c>
      <c r="J1047" s="63">
        <f t="shared" si="4"/>
        <v>-9574951.9128407929</v>
      </c>
    </row>
    <row r="1048" spans="1:10" ht="13.2" x14ac:dyDescent="0.25">
      <c r="A1048" s="64">
        <v>30</v>
      </c>
      <c r="B1048" s="65">
        <v>7.7301585565882993</v>
      </c>
      <c r="C1048" s="65">
        <v>2.7881040892193308E-2</v>
      </c>
      <c r="D1048" s="65">
        <v>1516.6571088026244</v>
      </c>
      <c r="E1048" s="65">
        <f t="shared" si="5"/>
        <v>-4372.6631955920893</v>
      </c>
      <c r="F1048" s="65">
        <f t="shared" si="0"/>
        <v>-38304529.593386702</v>
      </c>
      <c r="G1048" s="66">
        <f t="shared" si="70"/>
        <v>-11032123.222797196</v>
      </c>
      <c r="H1048" s="66">
        <f t="shared" si="2"/>
        <v>12133256.870420996</v>
      </c>
      <c r="I1048" s="66">
        <f t="shared" si="3"/>
        <v>363997.70611262985</v>
      </c>
      <c r="J1048" s="67">
        <f t="shared" si="4"/>
        <v>-9576132.3983466756</v>
      </c>
    </row>
    <row r="1049" spans="1:10" ht="13.2" x14ac:dyDescent="0.25">
      <c r="A1049" s="60">
        <v>29</v>
      </c>
      <c r="B1049" s="61">
        <v>7.4973100054674688</v>
      </c>
      <c r="C1049" s="61">
        <v>2.6951672862453532E-2</v>
      </c>
      <c r="D1049" s="61">
        <v>1470.9722230727177</v>
      </c>
      <c r="E1049" s="61">
        <f t="shared" si="5"/>
        <v>-4374.5525798067556</v>
      </c>
      <c r="F1049" s="61">
        <f t="shared" si="0"/>
        <v>-38321080.599107176</v>
      </c>
      <c r="G1049" s="62">
        <f t="shared" si="70"/>
        <v>-10992403.483926602</v>
      </c>
      <c r="H1049" s="62">
        <f t="shared" si="2"/>
        <v>11767777.784581741</v>
      </c>
      <c r="I1049" s="62">
        <f t="shared" si="3"/>
        <v>353033.33353745221</v>
      </c>
      <c r="J1049" s="63">
        <f t="shared" si="4"/>
        <v>-9580270.149776794</v>
      </c>
    </row>
    <row r="1050" spans="1:10" ht="13.2" x14ac:dyDescent="0.25">
      <c r="A1050" s="64">
        <v>28</v>
      </c>
      <c r="B1050" s="65">
        <v>7.4106068890103884</v>
      </c>
      <c r="C1050" s="65">
        <v>2.6022304832713755E-2</v>
      </c>
      <c r="D1050" s="65">
        <v>1453.9610716238385</v>
      </c>
      <c r="E1050" s="65">
        <f t="shared" si="5"/>
        <v>-4375.2323934798987</v>
      </c>
      <c r="F1050" s="65">
        <f t="shared" si="0"/>
        <v>-38327035.76688391</v>
      </c>
      <c r="G1050" s="66">
        <f t="shared" si="70"/>
        <v>-10977561.570479862</v>
      </c>
      <c r="H1050" s="66">
        <f t="shared" si="2"/>
        <v>11631688.572990708</v>
      </c>
      <c r="I1050" s="66">
        <f t="shared" si="3"/>
        <v>348950.65718972124</v>
      </c>
      <c r="J1050" s="67">
        <f t="shared" si="4"/>
        <v>-9581758.9417209774</v>
      </c>
    </row>
    <row r="1051" spans="1:10" ht="13.2" x14ac:dyDescent="0.25">
      <c r="A1051" s="60">
        <v>27</v>
      </c>
      <c r="B1051" s="61">
        <v>7.3611044286495355</v>
      </c>
      <c r="C1051" s="61">
        <v>2.5092936802973979E-2</v>
      </c>
      <c r="D1051" s="61">
        <v>1444.2486889010388</v>
      </c>
      <c r="E1051" s="61">
        <f t="shared" si="5"/>
        <v>-4375.6069881666981</v>
      </c>
      <c r="F1051" s="61">
        <f t="shared" si="0"/>
        <v>-38330317.216340274</v>
      </c>
      <c r="G1051" s="62">
        <f t="shared" si="70"/>
        <v>-10969058.045430066</v>
      </c>
      <c r="H1051" s="62">
        <f t="shared" si="2"/>
        <v>11553989.511208311</v>
      </c>
      <c r="I1051" s="62">
        <f t="shared" si="3"/>
        <v>346619.6853362493</v>
      </c>
      <c r="J1051" s="63">
        <f t="shared" si="4"/>
        <v>-9582579.3040850684</v>
      </c>
    </row>
    <row r="1052" spans="1:10" ht="13.2" x14ac:dyDescent="0.25">
      <c r="A1052" s="64">
        <v>26</v>
      </c>
      <c r="B1052" s="65">
        <v>7.2275560415527611</v>
      </c>
      <c r="C1052" s="65">
        <v>2.4163568773234202E-2</v>
      </c>
      <c r="D1052" s="65">
        <v>1418.0464953526516</v>
      </c>
      <c r="E1052" s="65">
        <f t="shared" si="5"/>
        <v>-4376.5810474064147</v>
      </c>
      <c r="F1052" s="65">
        <f t="shared" si="0"/>
        <v>-38338849.975280195</v>
      </c>
      <c r="G1052" s="66">
        <f t="shared" si="70"/>
        <v>-10946037.129358595</v>
      </c>
      <c r="H1052" s="66">
        <f t="shared" si="2"/>
        <v>11344371.962821214</v>
      </c>
      <c r="I1052" s="66">
        <f t="shared" si="3"/>
        <v>340331.15888463642</v>
      </c>
      <c r="J1052" s="67">
        <f t="shared" si="4"/>
        <v>-9584712.4938200489</v>
      </c>
    </row>
    <row r="1053" spans="1:10" ht="13.2" x14ac:dyDescent="0.25">
      <c r="A1053" s="60">
        <v>25</v>
      </c>
      <c r="B1053" s="61">
        <v>7.2145653362493167</v>
      </c>
      <c r="C1053" s="61">
        <v>2.3234200743494422E-2</v>
      </c>
      <c r="D1053" s="61">
        <v>1415.497718972116</v>
      </c>
      <c r="E1053" s="61">
        <f t="shared" si="5"/>
        <v>-4376.6722443308108</v>
      </c>
      <c r="F1053" s="61">
        <f t="shared" si="0"/>
        <v>-38339648.860337906</v>
      </c>
      <c r="G1053" s="62">
        <f>J1053-(I1053-(H1053*$N$4))</f>
        <v>-8905473.3099778611</v>
      </c>
      <c r="H1053" s="62">
        <f t="shared" si="2"/>
        <v>11323981.751776928</v>
      </c>
      <c r="I1053" s="62">
        <f t="shared" si="3"/>
        <v>339719.45255330781</v>
      </c>
      <c r="J1053" s="63">
        <f t="shared" si="4"/>
        <v>-9584912.2150844764</v>
      </c>
    </row>
    <row r="1054" spans="1:10" ht="13.2" x14ac:dyDescent="0.25">
      <c r="A1054" s="64">
        <v>24</v>
      </c>
      <c r="B1054" s="65">
        <v>7.2098414434117002</v>
      </c>
      <c r="C1054" s="65">
        <v>2.2304832713754646E-2</v>
      </c>
      <c r="D1054" s="65">
        <v>1414.5708911973757</v>
      </c>
      <c r="E1054" s="65">
        <f t="shared" si="5"/>
        <v>-4376.7041148026192</v>
      </c>
      <c r="F1054" s="65">
        <f t="shared" si="0"/>
        <v>-38339928.045670949</v>
      </c>
      <c r="G1054" s="66">
        <f t="shared" ref="G1054:G1067" si="71">J1054-I1054-(H1054*$N$4)</f>
        <v>-10942970.066967217</v>
      </c>
      <c r="H1054" s="66">
        <f t="shared" si="2"/>
        <v>11316567.129579006</v>
      </c>
      <c r="I1054" s="66">
        <f t="shared" si="3"/>
        <v>339497.01388737018</v>
      </c>
      <c r="J1054" s="67">
        <f t="shared" si="4"/>
        <v>-9584982.0114177372</v>
      </c>
    </row>
    <row r="1055" spans="1:10" ht="13.2" x14ac:dyDescent="0.25">
      <c r="A1055" s="60">
        <v>23</v>
      </c>
      <c r="B1055" s="61">
        <v>7.1689010388190262</v>
      </c>
      <c r="C1055" s="61">
        <v>2.1375464684014869E-2</v>
      </c>
      <c r="D1055" s="61">
        <v>1406.5383838162929</v>
      </c>
      <c r="E1055" s="61">
        <f t="shared" si="5"/>
        <v>-4376.9691278249502</v>
      </c>
      <c r="F1055" s="61">
        <f t="shared" si="0"/>
        <v>-38342249.559746563</v>
      </c>
      <c r="G1055" s="62">
        <f t="shared" si="71"/>
        <v>-10935839.238400282</v>
      </c>
      <c r="H1055" s="62">
        <f t="shared" si="2"/>
        <v>11252307.070530344</v>
      </c>
      <c r="I1055" s="62">
        <f t="shared" si="3"/>
        <v>337569.21211591031</v>
      </c>
      <c r="J1055" s="63">
        <f t="shared" si="4"/>
        <v>-9585562.3899366409</v>
      </c>
    </row>
    <row r="1056" spans="1:10" ht="13.2" x14ac:dyDescent="0.25">
      <c r="A1056" s="64">
        <v>22</v>
      </c>
      <c r="B1056" s="65">
        <v>7.1033570256971021</v>
      </c>
      <c r="C1056" s="65">
        <v>2.0446096654275093E-2</v>
      </c>
      <c r="D1056" s="65">
        <v>1393.6786484417714</v>
      </c>
      <c r="E1056" s="65">
        <f t="shared" si="5"/>
        <v>-4377.3754763405022</v>
      </c>
      <c r="F1056" s="65">
        <f t="shared" si="0"/>
        <v>-38345809.172742799</v>
      </c>
      <c r="G1056" s="66">
        <f t="shared" si="71"/>
        <v>-10924383.795689801</v>
      </c>
      <c r="H1056" s="66">
        <f t="shared" si="2"/>
        <v>11149429.187534172</v>
      </c>
      <c r="I1056" s="66">
        <f t="shared" si="3"/>
        <v>334482.87562602514</v>
      </c>
      <c r="J1056" s="67">
        <f t="shared" si="4"/>
        <v>-9586452.2931856997</v>
      </c>
    </row>
    <row r="1057" spans="1:12" ht="13.2" x14ac:dyDescent="0.25">
      <c r="A1057" s="60">
        <v>21</v>
      </c>
      <c r="B1057" s="61">
        <v>7.0585784581738649</v>
      </c>
      <c r="C1057" s="61">
        <v>1.9516728624535316E-2</v>
      </c>
      <c r="D1057" s="61">
        <v>1384.8930934937121</v>
      </c>
      <c r="E1057" s="61">
        <f t="shared" si="5"/>
        <v>-4377.6408392920002</v>
      </c>
      <c r="F1057" s="61">
        <f t="shared" si="0"/>
        <v>-38348133.752197921</v>
      </c>
      <c r="G1057" s="62">
        <f t="shared" si="71"/>
        <v>-10916530.807803445</v>
      </c>
      <c r="H1057" s="62">
        <f t="shared" si="2"/>
        <v>11079144.747949697</v>
      </c>
      <c r="I1057" s="62">
        <f t="shared" si="3"/>
        <v>332374.34243849089</v>
      </c>
      <c r="J1057" s="63">
        <f t="shared" si="4"/>
        <v>-9587033.4380494803</v>
      </c>
    </row>
    <row r="1058" spans="1:12" ht="13.2" x14ac:dyDescent="0.25">
      <c r="A1058" s="64">
        <v>20</v>
      </c>
      <c r="B1058" s="65">
        <v>6.9480590486604692</v>
      </c>
      <c r="C1058" s="65">
        <v>1.858736059479554E-2</v>
      </c>
      <c r="D1058" s="65">
        <v>1363.2091853471841</v>
      </c>
      <c r="E1058" s="65">
        <f t="shared" si="5"/>
        <v>-4378.2655615527274</v>
      </c>
      <c r="F1058" s="65">
        <f t="shared" si="0"/>
        <v>-38353606.319201894</v>
      </c>
      <c r="G1058" s="66">
        <f t="shared" si="71"/>
        <v>-10897082.39773377</v>
      </c>
      <c r="H1058" s="66">
        <f t="shared" si="2"/>
        <v>10905673.482777473</v>
      </c>
      <c r="I1058" s="66">
        <f t="shared" si="3"/>
        <v>327170.20448332414</v>
      </c>
      <c r="J1058" s="67">
        <f t="shared" si="4"/>
        <v>-9588401.5798004735</v>
      </c>
    </row>
    <row r="1059" spans="1:12" ht="13.2" x14ac:dyDescent="0.25">
      <c r="A1059" s="60">
        <v>19</v>
      </c>
      <c r="B1059" s="61">
        <v>6.9066265718972115</v>
      </c>
      <c r="C1059" s="61">
        <v>1.7657992565055763E-2</v>
      </c>
      <c r="D1059" s="61">
        <v>1355.080133406233</v>
      </c>
      <c r="E1059" s="61">
        <f t="shared" si="5"/>
        <v>-4378.4884305418145</v>
      </c>
      <c r="F1059" s="61">
        <f t="shared" si="0"/>
        <v>-38355558.651546292</v>
      </c>
      <c r="G1059" s="62">
        <f t="shared" si="71"/>
        <v>-10889766.590956558</v>
      </c>
      <c r="H1059" s="62">
        <f t="shared" si="2"/>
        <v>10840641.067249864</v>
      </c>
      <c r="I1059" s="62">
        <f t="shared" si="3"/>
        <v>325219.2320174959</v>
      </c>
      <c r="J1059" s="63">
        <f t="shared" si="4"/>
        <v>-9588889.662886573</v>
      </c>
    </row>
    <row r="1060" spans="1:12" ht="13.2" x14ac:dyDescent="0.25">
      <c r="A1060" s="64">
        <v>18</v>
      </c>
      <c r="B1060" s="65">
        <v>6.8494477856752329</v>
      </c>
      <c r="C1060" s="65">
        <v>1.6728624535315983E-2</v>
      </c>
      <c r="D1060" s="65">
        <v>1343.8616555494807</v>
      </c>
      <c r="E1060" s="65">
        <f t="shared" si="5"/>
        <v>-4378.7803611923619</v>
      </c>
      <c r="F1060" s="65">
        <f t="shared" si="0"/>
        <v>-38358115.964045085</v>
      </c>
      <c r="G1060" s="66">
        <f t="shared" si="71"/>
        <v>-10879636.180338772</v>
      </c>
      <c r="H1060" s="66">
        <f t="shared" si="2"/>
        <v>10750893.244395847</v>
      </c>
      <c r="I1060" s="66">
        <f t="shared" si="3"/>
        <v>322526.79733187536</v>
      </c>
      <c r="J1060" s="67">
        <f t="shared" si="4"/>
        <v>-9589528.9910112713</v>
      </c>
    </row>
    <row r="1061" spans="1:12" ht="13.2" x14ac:dyDescent="0.25">
      <c r="A1061" s="60">
        <v>17</v>
      </c>
      <c r="B1061" s="61">
        <v>6.6557681793329682</v>
      </c>
      <c r="C1061" s="61">
        <v>1.5799256505576207E-2</v>
      </c>
      <c r="D1061" s="61">
        <v>1305.8617167851285</v>
      </c>
      <c r="E1061" s="61">
        <f t="shared" si="5"/>
        <v>-4379.7162332901826</v>
      </c>
      <c r="F1061" s="61">
        <f t="shared" si="0"/>
        <v>-38366314.203621998</v>
      </c>
      <c r="G1061" s="62">
        <f t="shared" si="71"/>
        <v>-10845205.799019223</v>
      </c>
      <c r="H1061" s="62">
        <f t="shared" si="2"/>
        <v>10446893.734281028</v>
      </c>
      <c r="I1061" s="62">
        <f t="shared" si="3"/>
        <v>313406.81202843081</v>
      </c>
      <c r="J1061" s="63">
        <f t="shared" si="4"/>
        <v>-9591578.5509054996</v>
      </c>
    </row>
    <row r="1062" spans="1:12" ht="13.2" x14ac:dyDescent="0.25">
      <c r="A1062" s="64">
        <v>16</v>
      </c>
      <c r="B1062" s="65">
        <v>6.6269327501366861</v>
      </c>
      <c r="C1062" s="65">
        <v>1.4869888475836431E-2</v>
      </c>
      <c r="D1062" s="65">
        <v>1300.2042055768179</v>
      </c>
      <c r="E1062" s="65">
        <f t="shared" si="5"/>
        <v>-4379.8476810413049</v>
      </c>
      <c r="F1062" s="65">
        <f t="shared" si="0"/>
        <v>-38367465.685921833</v>
      </c>
      <c r="G1062" s="66">
        <f t="shared" si="71"/>
        <v>-10840062.458834203</v>
      </c>
      <c r="H1062" s="66">
        <f t="shared" si="2"/>
        <v>10401633.644614544</v>
      </c>
      <c r="I1062" s="66">
        <f t="shared" si="3"/>
        <v>312049.0093384363</v>
      </c>
      <c r="J1062" s="67">
        <f t="shared" si="4"/>
        <v>-9591866.4214804582</v>
      </c>
    </row>
    <row r="1063" spans="1:12" ht="13.2" x14ac:dyDescent="0.25">
      <c r="A1063" s="60">
        <v>15</v>
      </c>
      <c r="B1063" s="61">
        <v>6.4633679606342263</v>
      </c>
      <c r="C1063" s="61">
        <v>1.3940520446096654E-2</v>
      </c>
      <c r="D1063" s="61">
        <v>1268.1127938764353</v>
      </c>
      <c r="E1063" s="61">
        <f t="shared" si="5"/>
        <v>-4380.5485622447986</v>
      </c>
      <c r="F1063" s="61">
        <f t="shared" si="0"/>
        <v>-38373605.40526443</v>
      </c>
      <c r="G1063" s="62">
        <f t="shared" si="71"/>
        <v>-10810789.633437485</v>
      </c>
      <c r="H1063" s="62">
        <f t="shared" si="2"/>
        <v>10144902.351011483</v>
      </c>
      <c r="I1063" s="62">
        <f t="shared" si="3"/>
        <v>304347.0705303445</v>
      </c>
      <c r="J1063" s="63">
        <f t="shared" si="4"/>
        <v>-9593401.3513161074</v>
      </c>
    </row>
    <row r="1064" spans="1:12" ht="13.2" x14ac:dyDescent="0.25">
      <c r="A1064" s="64">
        <v>14</v>
      </c>
      <c r="B1064" s="65">
        <v>6.4480153089119732</v>
      </c>
      <c r="C1064" s="65">
        <v>1.3011152416356878E-2</v>
      </c>
      <c r="D1064" s="65">
        <v>1265.1006036085294</v>
      </c>
      <c r="E1064" s="65">
        <f t="shared" si="5"/>
        <v>-4380.6101497781574</v>
      </c>
      <c r="F1064" s="65">
        <f t="shared" si="0"/>
        <v>-38374144.912056662</v>
      </c>
      <c r="G1064" s="66">
        <f t="shared" si="71"/>
        <v>-10808032.807478353</v>
      </c>
      <c r="H1064" s="66">
        <f t="shared" si="2"/>
        <v>10120804.828868235</v>
      </c>
      <c r="I1064" s="66">
        <f t="shared" si="3"/>
        <v>303624.14486604702</v>
      </c>
      <c r="J1064" s="67">
        <f t="shared" si="4"/>
        <v>-9593536.2280141655</v>
      </c>
    </row>
    <row r="1065" spans="1:12" ht="13.2" x14ac:dyDescent="0.25">
      <c r="A1065" s="60">
        <v>13</v>
      </c>
      <c r="B1065" s="61">
        <v>6.3378895571350462</v>
      </c>
      <c r="C1065" s="61">
        <v>1.2081784386617101E-2</v>
      </c>
      <c r="D1065" s="61">
        <v>1243.493931109896</v>
      </c>
      <c r="E1065" s="61">
        <f t="shared" si="5"/>
        <v>-4381.0218010664676</v>
      </c>
      <c r="F1065" s="61">
        <f t="shared" si="0"/>
        <v>-38377750.977342255</v>
      </c>
      <c r="G1065" s="62">
        <f t="shared" si="71"/>
        <v>-10788191.918201063</v>
      </c>
      <c r="H1065" s="62">
        <f t="shared" si="2"/>
        <v>9947951.4488791674</v>
      </c>
      <c r="I1065" s="62">
        <f t="shared" si="3"/>
        <v>298438.54346637503</v>
      </c>
      <c r="J1065" s="63">
        <f t="shared" si="4"/>
        <v>-9594437.7443355639</v>
      </c>
    </row>
    <row r="1066" spans="1:12" ht="13.2" x14ac:dyDescent="0.25">
      <c r="A1066" s="64">
        <v>12</v>
      </c>
      <c r="B1066" s="65">
        <v>6.2253034445051938</v>
      </c>
      <c r="C1066" s="65">
        <v>1.1152416356877323E-2</v>
      </c>
      <c r="D1066" s="65">
        <v>1221.404535811919</v>
      </c>
      <c r="E1066" s="65">
        <f t="shared" si="5"/>
        <v>-4381.4118554444058</v>
      </c>
      <c r="F1066" s="65">
        <f t="shared" si="0"/>
        <v>-38381167.853692994</v>
      </c>
      <c r="G1066" s="66">
        <f t="shared" si="71"/>
        <v>-10767840.317802692</v>
      </c>
      <c r="H1066" s="66">
        <f t="shared" si="2"/>
        <v>9771236.2864953522</v>
      </c>
      <c r="I1066" s="66">
        <f t="shared" si="3"/>
        <v>293137.08859486057</v>
      </c>
      <c r="J1066" s="67">
        <f t="shared" si="4"/>
        <v>-9595291.9634232484</v>
      </c>
    </row>
    <row r="1067" spans="1:12" ht="13.2" x14ac:dyDescent="0.25">
      <c r="A1067" s="60">
        <v>11</v>
      </c>
      <c r="B1067" s="61">
        <v>6.0759103335155817</v>
      </c>
      <c r="C1067" s="61">
        <v>1.0223048327137546E-2</v>
      </c>
      <c r="D1067" s="61">
        <v>1192.0936074357571</v>
      </c>
      <c r="E1067" s="61">
        <f t="shared" si="5"/>
        <v>-4381.8885666401147</v>
      </c>
      <c r="F1067" s="61">
        <f t="shared" si="0"/>
        <v>-38385343.843767405</v>
      </c>
      <c r="G1067" s="62">
        <f t="shared" si="71"/>
        <v>-10740745.824080177</v>
      </c>
      <c r="H1067" s="62">
        <f t="shared" si="2"/>
        <v>9536748.8594860565</v>
      </c>
      <c r="I1067" s="62">
        <f t="shared" si="3"/>
        <v>286102.46578458167</v>
      </c>
      <c r="J1067" s="63">
        <f t="shared" si="4"/>
        <v>-9596335.9609418511</v>
      </c>
    </row>
    <row r="1068" spans="1:12" ht="15.75" customHeight="1" x14ac:dyDescent="0.25">
      <c r="A1068" s="64">
        <v>10</v>
      </c>
      <c r="B1068" s="65">
        <v>5.8655002733734278</v>
      </c>
      <c r="C1068" s="65">
        <v>9.2936802973977699E-3</v>
      </c>
      <c r="D1068" s="65">
        <v>1150.8111536358667</v>
      </c>
      <c r="E1068" s="65">
        <f t="shared" si="5"/>
        <v>-4382.5024321241281</v>
      </c>
      <c r="F1068" s="65">
        <f t="shared" ref="F1068:F1077" si="72">E1068*24*365</f>
        <v>-38390721.30540736</v>
      </c>
      <c r="G1068" s="66">
        <f t="shared" ref="G1068:G1077" si="73">J1068-I1068-(H1068*$N$4)</f>
        <v>-10702459.033842271</v>
      </c>
      <c r="H1068" s="66">
        <f t="shared" ref="H1068:H1077" si="74">$N$3*D1068</f>
        <v>9206489.2290869337</v>
      </c>
      <c r="I1068" s="66">
        <f t="shared" ref="I1068:I1077" si="75">H1068*0.03</f>
        <v>276194.67687260802</v>
      </c>
      <c r="J1068" s="67">
        <f t="shared" ref="J1068:J1077" si="76">F1068*$N$2</f>
        <v>-9597680.32635184</v>
      </c>
    </row>
    <row r="1069" spans="1:12" ht="15.75" customHeight="1" x14ac:dyDescent="0.25">
      <c r="A1069" s="60">
        <v>9</v>
      </c>
      <c r="B1069" s="61">
        <v>5.7172881355932201</v>
      </c>
      <c r="C1069" s="61">
        <v>8.3643122676579917E-3</v>
      </c>
      <c r="D1069" s="61">
        <v>1121.73193220339</v>
      </c>
      <c r="E1069" s="61">
        <f t="shared" ref="E1069:E1077" si="77">(C1068+C1069/2)*(D1069-D1068)+E1068</f>
        <v>-4382.8942989556999</v>
      </c>
      <c r="F1069" s="61">
        <f t="shared" si="72"/>
        <v>-38394154.058851935</v>
      </c>
      <c r="G1069" s="62">
        <f t="shared" si="73"/>
        <v>-10675401.169628236</v>
      </c>
      <c r="H1069" s="62">
        <f t="shared" si="74"/>
        <v>8973855.4576271195</v>
      </c>
      <c r="I1069" s="62">
        <f t="shared" si="75"/>
        <v>269215.66372881358</v>
      </c>
      <c r="J1069" s="63">
        <f t="shared" si="76"/>
        <v>-9598538.5147129837</v>
      </c>
      <c r="K1069" s="33"/>
      <c r="L1069" s="33"/>
    </row>
    <row r="1070" spans="1:12" ht="15.75" customHeight="1" x14ac:dyDescent="0.25">
      <c r="A1070" s="64">
        <v>8</v>
      </c>
      <c r="B1070" s="65">
        <v>5.5250847457627117</v>
      </c>
      <c r="C1070" s="65">
        <v>7.4349442379182153E-3</v>
      </c>
      <c r="D1070" s="65">
        <v>1084.0216271186441</v>
      </c>
      <c r="E1070" s="65">
        <f t="shared" si="77"/>
        <v>-4383.3499067308876</v>
      </c>
      <c r="F1070" s="65">
        <f t="shared" si="72"/>
        <v>-38398145.182962574</v>
      </c>
      <c r="G1070" s="66">
        <f t="shared" si="73"/>
        <v>-10640197.05777454</v>
      </c>
      <c r="H1070" s="66">
        <f t="shared" si="74"/>
        <v>8672173.0169491526</v>
      </c>
      <c r="I1070" s="66">
        <f t="shared" si="75"/>
        <v>260165.19050847457</v>
      </c>
      <c r="J1070" s="67">
        <f t="shared" si="76"/>
        <v>-9599536.2957406435</v>
      </c>
    </row>
    <row r="1071" spans="1:12" ht="15.75" customHeight="1" x14ac:dyDescent="0.25">
      <c r="A1071" s="60">
        <v>7</v>
      </c>
      <c r="B1071" s="61">
        <v>5.1736468015308903</v>
      </c>
      <c r="C1071" s="61">
        <v>6.5055762081784388E-3</v>
      </c>
      <c r="D1071" s="61">
        <v>1015.0695024603607</v>
      </c>
      <c r="E1071" s="61">
        <f t="shared" si="77"/>
        <v>-4384.0868485836481</v>
      </c>
      <c r="F1071" s="61">
        <f t="shared" si="72"/>
        <v>-38404600.793592758</v>
      </c>
      <c r="G1071" s="62">
        <f t="shared" si="73"/>
        <v>-10575616.920760136</v>
      </c>
      <c r="H1071" s="62">
        <f t="shared" si="74"/>
        <v>8120556.0196828851</v>
      </c>
      <c r="I1071" s="62">
        <f t="shared" si="75"/>
        <v>243616.68059048653</v>
      </c>
      <c r="J1071" s="63">
        <f t="shared" si="76"/>
        <v>-9601150.1983981896</v>
      </c>
    </row>
    <row r="1072" spans="1:12" ht="15.75" customHeight="1" x14ac:dyDescent="0.25">
      <c r="A1072" s="64">
        <v>6</v>
      </c>
      <c r="B1072" s="65">
        <v>5.0894040459267362</v>
      </c>
      <c r="C1072" s="65">
        <v>5.5762081784386614E-3</v>
      </c>
      <c r="D1072" s="65">
        <v>998.54107381082554</v>
      </c>
      <c r="E1072" s="65">
        <f t="shared" si="77"/>
        <v>-4384.2404585153354</v>
      </c>
      <c r="F1072" s="65">
        <f t="shared" si="72"/>
        <v>-38405946.416594341</v>
      </c>
      <c r="G1072" s="66">
        <f t="shared" si="73"/>
        <v>-10560086.035006979</v>
      </c>
      <c r="H1072" s="66">
        <f t="shared" si="74"/>
        <v>7988328.5904866047</v>
      </c>
      <c r="I1072" s="66">
        <f t="shared" si="75"/>
        <v>239649.85771459813</v>
      </c>
      <c r="J1072" s="67">
        <f t="shared" si="76"/>
        <v>-9601486.6041485853</v>
      </c>
    </row>
    <row r="1073" spans="1:10" ht="15.75" customHeight="1" x14ac:dyDescent="0.25">
      <c r="A1073" s="60">
        <v>5</v>
      </c>
      <c r="B1073" s="61">
        <v>5.0289775833788957</v>
      </c>
      <c r="C1073" s="61">
        <v>4.646840148698885E-3</v>
      </c>
      <c r="D1073" s="61">
        <v>986.68540185893937</v>
      </c>
      <c r="E1073" s="61">
        <f t="shared" si="77"/>
        <v>-4384.3341139164422</v>
      </c>
      <c r="F1073" s="61">
        <f t="shared" si="72"/>
        <v>-38406766.837908037</v>
      </c>
      <c r="G1073" s="62">
        <f t="shared" si="73"/>
        <v>-10548909.695261592</v>
      </c>
      <c r="H1073" s="62">
        <f t="shared" si="74"/>
        <v>7893483.2148715146</v>
      </c>
      <c r="I1073" s="62">
        <f t="shared" si="75"/>
        <v>236804.49644614544</v>
      </c>
      <c r="J1073" s="63">
        <f t="shared" si="76"/>
        <v>-9601691.7094770093</v>
      </c>
    </row>
    <row r="1074" spans="1:10" ht="15.75" customHeight="1" x14ac:dyDescent="0.25">
      <c r="A1074" s="64">
        <v>4</v>
      </c>
      <c r="B1074" s="65">
        <v>4.5494040459267362</v>
      </c>
      <c r="C1074" s="65">
        <v>3.7174721189591076E-3</v>
      </c>
      <c r="D1074" s="65">
        <v>892.59307381082556</v>
      </c>
      <c r="E1074" s="65">
        <f t="shared" si="77"/>
        <v>-4384.9462387271642</v>
      </c>
      <c r="F1074" s="65">
        <f t="shared" si="72"/>
        <v>-38412129.051249959</v>
      </c>
      <c r="G1074" s="66">
        <f t="shared" si="73"/>
        <v>-10459921.613670882</v>
      </c>
      <c r="H1074" s="66">
        <f t="shared" si="74"/>
        <v>7140744.5904866047</v>
      </c>
      <c r="I1074" s="66">
        <f t="shared" si="75"/>
        <v>214222.33771459814</v>
      </c>
      <c r="J1074" s="67">
        <f t="shared" si="76"/>
        <v>-9603032.2628124896</v>
      </c>
    </row>
    <row r="1075" spans="1:10" ht="15.75" customHeight="1" x14ac:dyDescent="0.25">
      <c r="A1075" s="60">
        <v>3</v>
      </c>
      <c r="B1075" s="61">
        <v>4.5253909240021866</v>
      </c>
      <c r="C1075" s="61">
        <v>2.7881040892193307E-3</v>
      </c>
      <c r="D1075" s="61">
        <v>887.881699289229</v>
      </c>
      <c r="E1075" s="61">
        <f t="shared" si="77"/>
        <v>-4384.9703210318748</v>
      </c>
      <c r="F1075" s="61">
        <f t="shared" si="72"/>
        <v>-38412340.012239225</v>
      </c>
      <c r="G1075" s="62">
        <f t="shared" si="73"/>
        <v>-10455451.434377465</v>
      </c>
      <c r="H1075" s="62">
        <f t="shared" si="74"/>
        <v>7103053.594313832</v>
      </c>
      <c r="I1075" s="62">
        <f t="shared" si="75"/>
        <v>213091.60782941495</v>
      </c>
      <c r="J1075" s="63">
        <f t="shared" si="76"/>
        <v>-9603085.0030598063</v>
      </c>
    </row>
    <row r="1076" spans="1:10" ht="15.75" customHeight="1" x14ac:dyDescent="0.25">
      <c r="A1076" s="64">
        <v>2</v>
      </c>
      <c r="B1076" s="65">
        <v>4.0467031164570804</v>
      </c>
      <c r="C1076" s="65">
        <v>1.8587360594795538E-3</v>
      </c>
      <c r="D1076" s="65">
        <v>793.96315144887933</v>
      </c>
      <c r="E1076" s="65">
        <f t="shared" si="77"/>
        <v>-4385.3194606149245</v>
      </c>
      <c r="F1076" s="65">
        <f t="shared" si="72"/>
        <v>-38415398.474986739</v>
      </c>
      <c r="G1076" s="66">
        <f t="shared" si="73"/>
        <v>-10366054.244137609</v>
      </c>
      <c r="H1076" s="66">
        <f t="shared" si="74"/>
        <v>6351705.2115910342</v>
      </c>
      <c r="I1076" s="66">
        <f t="shared" si="75"/>
        <v>190551.15634773101</v>
      </c>
      <c r="J1076" s="67">
        <f t="shared" si="76"/>
        <v>-9603849.6187466849</v>
      </c>
    </row>
    <row r="1077" spans="1:10" ht="15.75" customHeight="1" x14ac:dyDescent="0.25">
      <c r="A1077" s="55">
        <v>1</v>
      </c>
      <c r="B1077" s="56">
        <v>3.2229743028977582</v>
      </c>
      <c r="C1077" s="56">
        <v>9.2936802973977691E-4</v>
      </c>
      <c r="D1077" s="56">
        <v>632.34755822854015</v>
      </c>
      <c r="E1077" s="56">
        <f t="shared" si="77"/>
        <v>-4385.6949615285403</v>
      </c>
      <c r="F1077" s="56">
        <f t="shared" si="72"/>
        <v>-38418687.862990007</v>
      </c>
      <c r="G1077" s="69">
        <f t="shared" si="73"/>
        <v>-10211725.6216469</v>
      </c>
      <c r="H1077" s="69">
        <f t="shared" si="74"/>
        <v>5058780.4658283209</v>
      </c>
      <c r="I1077" s="69">
        <f t="shared" si="75"/>
        <v>151763.41397484962</v>
      </c>
      <c r="J1077" s="70">
        <f t="shared" si="76"/>
        <v>-9604671.9657475017</v>
      </c>
    </row>
  </sheetData>
  <sortState xmlns:xlrd2="http://schemas.microsoft.com/office/spreadsheetml/2017/richdata2" ref="D4:D1077">
    <sortCondition descending="1" ref="D3:D1077"/>
  </sortState>
  <mergeCells count="1">
    <mergeCell ref="K1069:L1069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A272B-8399-47B6-AC3E-88546E04D8CE}">
  <dimension ref="A1:K34"/>
  <sheetViews>
    <sheetView topLeftCell="A13" workbookViewId="0">
      <selection activeCell="F10" sqref="F10"/>
    </sheetView>
  </sheetViews>
  <sheetFormatPr defaultRowHeight="13.2" x14ac:dyDescent="0.25"/>
  <cols>
    <col min="1" max="1" width="19" bestFit="1" customWidth="1"/>
    <col min="2" max="2" width="25.21875" bestFit="1" customWidth="1"/>
    <col min="3" max="3" width="31.33203125" bestFit="1" customWidth="1"/>
    <col min="4" max="4" width="27.109375" bestFit="1" customWidth="1"/>
    <col min="5" max="5" width="27.44140625" bestFit="1" customWidth="1"/>
    <col min="6" max="6" width="27.44140625" style="14" customWidth="1"/>
    <col min="7" max="7" width="16.6640625" bestFit="1" customWidth="1"/>
    <col min="8" max="8" width="29.21875" bestFit="1" customWidth="1"/>
    <col min="9" max="9" width="31" bestFit="1" customWidth="1"/>
  </cols>
  <sheetData>
    <row r="1" spans="1:11" ht="13.2" customHeight="1" x14ac:dyDescent="0.25">
      <c r="A1" s="17" t="s">
        <v>70</v>
      </c>
      <c r="B1" s="17" t="s">
        <v>79</v>
      </c>
      <c r="C1" s="17" t="s">
        <v>47</v>
      </c>
      <c r="D1" s="17" t="s">
        <v>48</v>
      </c>
      <c r="E1" s="3" t="s">
        <v>49</v>
      </c>
      <c r="F1" s="3"/>
      <c r="G1" s="34" t="s">
        <v>50</v>
      </c>
      <c r="H1" s="35"/>
      <c r="I1" s="35"/>
      <c r="J1" s="18"/>
      <c r="K1" s="17"/>
    </row>
    <row r="2" spans="1:11" x14ac:dyDescent="0.25">
      <c r="A2" s="3" t="s">
        <v>71</v>
      </c>
      <c r="B2" s="17">
        <v>0.62</v>
      </c>
      <c r="C2" s="19">
        <v>5.68</v>
      </c>
      <c r="D2" s="17">
        <f>C15*B4*B8*B6</f>
        <v>2.300805</v>
      </c>
      <c r="E2" s="17">
        <f>ROUNDUP((A17/30)/D2,0)</f>
        <v>7</v>
      </c>
      <c r="F2" s="17"/>
      <c r="G2" s="35"/>
      <c r="H2" s="35"/>
      <c r="I2" s="35"/>
      <c r="J2" s="18"/>
      <c r="K2" s="18"/>
    </row>
    <row r="3" spans="1:11" x14ac:dyDescent="0.25">
      <c r="A3" s="17" t="s">
        <v>72</v>
      </c>
      <c r="B3" s="17" t="s">
        <v>51</v>
      </c>
      <c r="C3" s="19">
        <v>5.87</v>
      </c>
      <c r="D3" s="17" t="s">
        <v>52</v>
      </c>
      <c r="E3" s="17" t="s">
        <v>53</v>
      </c>
      <c r="F3" s="17"/>
      <c r="G3" s="36" t="s">
        <v>54</v>
      </c>
      <c r="H3" s="35"/>
      <c r="I3" s="17" t="s">
        <v>55</v>
      </c>
      <c r="J3" s="3" t="s">
        <v>56</v>
      </c>
      <c r="K3" s="18"/>
    </row>
    <row r="4" spans="1:11" x14ac:dyDescent="0.25">
      <c r="A4" s="17">
        <v>490</v>
      </c>
      <c r="B4" s="17">
        <v>2.7</v>
      </c>
      <c r="C4" s="19">
        <v>5.0199999999999996</v>
      </c>
      <c r="D4" s="17">
        <f>B8*D6*B2/1000</f>
        <v>2.2970999999999998E-3</v>
      </c>
      <c r="E4" s="17">
        <f>B2*E2/1000</f>
        <v>4.3400000000000001E-3</v>
      </c>
      <c r="F4" s="17"/>
      <c r="G4" s="37">
        <v>0.87743000000000004</v>
      </c>
      <c r="H4" s="35"/>
      <c r="I4" s="17">
        <f>G4*E2*D2*30</f>
        <v>423.94701954149997</v>
      </c>
      <c r="J4" s="3">
        <v>0.23</v>
      </c>
      <c r="K4" s="18"/>
    </row>
    <row r="5" spans="1:11" x14ac:dyDescent="0.25">
      <c r="A5" s="17">
        <v>400</v>
      </c>
      <c r="B5" s="17" t="s">
        <v>57</v>
      </c>
      <c r="C5" s="19">
        <v>4.6399999999999997</v>
      </c>
      <c r="D5" s="17" t="s">
        <v>58</v>
      </c>
      <c r="E5" s="3" t="s">
        <v>59</v>
      </c>
      <c r="F5" s="3"/>
      <c r="G5" s="17" t="s">
        <v>60</v>
      </c>
      <c r="H5" s="17"/>
      <c r="I5" s="20">
        <v>5.0000000000000001E-3</v>
      </c>
      <c r="J5" s="3" t="s">
        <v>61</v>
      </c>
      <c r="K5" s="17"/>
    </row>
    <row r="6" spans="1:11" x14ac:dyDescent="0.25">
      <c r="A6" s="17">
        <v>450</v>
      </c>
      <c r="B6" s="17">
        <v>0.23</v>
      </c>
      <c r="C6" s="19">
        <v>3.93</v>
      </c>
      <c r="D6" s="17">
        <f>C15/1</f>
        <v>4.9399999999999995</v>
      </c>
      <c r="E6" s="17">
        <f>D2*E2/C15</f>
        <v>3.2602500000000001</v>
      </c>
      <c r="F6" s="17"/>
      <c r="G6" s="21" t="s">
        <v>62</v>
      </c>
      <c r="H6" s="22" t="s">
        <v>63</v>
      </c>
      <c r="I6" s="21" t="s">
        <v>64</v>
      </c>
      <c r="J6" s="17">
        <v>5000</v>
      </c>
      <c r="K6" s="17"/>
    </row>
    <row r="7" spans="1:11" x14ac:dyDescent="0.25">
      <c r="A7" s="17">
        <v>497</v>
      </c>
      <c r="B7" s="17" t="s">
        <v>65</v>
      </c>
      <c r="C7" s="23">
        <v>3.72</v>
      </c>
      <c r="D7" s="17"/>
      <c r="E7" s="17"/>
      <c r="F7" s="17"/>
      <c r="G7" s="24">
        <v>2025</v>
      </c>
      <c r="H7" s="25">
        <v>0.45</v>
      </c>
      <c r="I7" s="21">
        <f t="shared" ref="I7:I27" si="0">($I$4*12)-($J$4*$D$2*H7*365*$E$2)</f>
        <v>4478.9336082854998</v>
      </c>
      <c r="J7" s="17" t="s">
        <v>66</v>
      </c>
      <c r="K7" s="17"/>
    </row>
    <row r="8" spans="1:11" x14ac:dyDescent="0.25">
      <c r="A8" s="17">
        <v>510</v>
      </c>
      <c r="B8" s="17">
        <v>0.75</v>
      </c>
      <c r="C8" s="19">
        <v>3.99</v>
      </c>
      <c r="D8" s="17"/>
      <c r="E8" s="17"/>
      <c r="F8" s="17"/>
      <c r="G8" s="24">
        <f t="shared" ref="G8:G27" si="1">G7+1</f>
        <v>2026</v>
      </c>
      <c r="H8" s="25">
        <v>0.6</v>
      </c>
      <c r="I8" s="21">
        <f t="shared" si="0"/>
        <v>4276.1233995479997</v>
      </c>
      <c r="J8" s="17">
        <f>J6*E4</f>
        <v>21.7</v>
      </c>
      <c r="K8" s="17"/>
    </row>
    <row r="9" spans="1:11" x14ac:dyDescent="0.25">
      <c r="A9" s="17">
        <v>427</v>
      </c>
      <c r="B9" s="17"/>
      <c r="C9" s="26">
        <v>4.92</v>
      </c>
      <c r="D9" s="17"/>
      <c r="E9" s="17"/>
      <c r="F9" s="17"/>
      <c r="G9" s="24">
        <f t="shared" si="1"/>
        <v>2027</v>
      </c>
      <c r="H9" s="25">
        <v>0.75</v>
      </c>
      <c r="I9" s="21">
        <f t="shared" si="0"/>
        <v>4073.3131908104997</v>
      </c>
      <c r="J9" s="17" t="s">
        <v>67</v>
      </c>
      <c r="K9" s="17"/>
    </row>
    <row r="10" spans="1:11" x14ac:dyDescent="0.25">
      <c r="A10" s="17">
        <v>376</v>
      </c>
      <c r="B10" s="17"/>
      <c r="C10" s="19">
        <v>5.12</v>
      </c>
      <c r="D10" s="17"/>
      <c r="E10" s="17"/>
      <c r="F10" s="17"/>
      <c r="G10" s="24">
        <f t="shared" si="1"/>
        <v>2028</v>
      </c>
      <c r="H10" s="25">
        <v>0.9</v>
      </c>
      <c r="I10" s="21">
        <f t="shared" si="0"/>
        <v>3870.5029820729997</v>
      </c>
      <c r="J10" s="17">
        <f>0.01*J8</f>
        <v>0.217</v>
      </c>
      <c r="K10" s="17"/>
    </row>
    <row r="11" spans="1:11" x14ac:dyDescent="0.25">
      <c r="A11" s="17">
        <v>407</v>
      </c>
      <c r="B11" s="17"/>
      <c r="C11" s="19">
        <v>5.41</v>
      </c>
      <c r="D11" s="17"/>
      <c r="E11" s="17"/>
      <c r="F11" s="17"/>
      <c r="G11" s="24">
        <f t="shared" si="1"/>
        <v>2029</v>
      </c>
      <c r="H11" s="25">
        <v>1</v>
      </c>
      <c r="I11" s="21">
        <f t="shared" si="0"/>
        <v>3735.2961762479999</v>
      </c>
      <c r="J11" s="17" t="s">
        <v>68</v>
      </c>
      <c r="K11" s="17"/>
    </row>
    <row r="12" spans="1:11" x14ac:dyDescent="0.25">
      <c r="A12" s="17">
        <v>392</v>
      </c>
      <c r="B12" s="17"/>
      <c r="C12" s="19">
        <v>5.26</v>
      </c>
      <c r="D12" s="17"/>
      <c r="E12" s="17"/>
      <c r="F12" s="17"/>
      <c r="G12" s="24">
        <f t="shared" si="1"/>
        <v>2030</v>
      </c>
      <c r="H12" s="25">
        <v>1</v>
      </c>
      <c r="I12" s="21">
        <f t="shared" si="0"/>
        <v>3735.2961762479999</v>
      </c>
      <c r="J12" s="17">
        <f>ROUNDUP(J8/(AVERAGE(I7:I27)-J10),0)</f>
        <v>1</v>
      </c>
      <c r="K12" s="17"/>
    </row>
    <row r="13" spans="1:11" x14ac:dyDescent="0.25">
      <c r="A13" s="17">
        <v>447</v>
      </c>
      <c r="B13" s="17"/>
      <c r="C13" s="19">
        <v>5.72</v>
      </c>
      <c r="D13" s="17"/>
      <c r="E13" s="17"/>
      <c r="F13" s="17"/>
      <c r="G13" s="24">
        <f t="shared" si="1"/>
        <v>2031</v>
      </c>
      <c r="H13" s="25">
        <v>1</v>
      </c>
      <c r="I13" s="21">
        <f t="shared" si="0"/>
        <v>3735.2961762479999</v>
      </c>
      <c r="J13" s="18"/>
      <c r="K13" s="17"/>
    </row>
    <row r="14" spans="1:11" x14ac:dyDescent="0.25">
      <c r="A14" s="17">
        <v>428</v>
      </c>
      <c r="B14" s="17"/>
      <c r="C14" s="17" t="s">
        <v>69</v>
      </c>
      <c r="D14" s="17"/>
      <c r="E14" s="17"/>
      <c r="F14" s="17"/>
      <c r="G14" s="24">
        <f t="shared" si="1"/>
        <v>2032</v>
      </c>
      <c r="H14" s="25">
        <v>1</v>
      </c>
      <c r="I14" s="21">
        <f t="shared" si="0"/>
        <v>3735.2961762479999</v>
      </c>
      <c r="J14" s="18"/>
      <c r="K14" s="17"/>
    </row>
    <row r="15" spans="1:11" x14ac:dyDescent="0.25">
      <c r="A15" s="17">
        <v>395</v>
      </c>
      <c r="B15" s="17"/>
      <c r="C15" s="17">
        <f>AVERAGE(C2:C13)</f>
        <v>4.9399999999999995</v>
      </c>
      <c r="D15" s="17"/>
      <c r="E15" s="17"/>
      <c r="F15" s="17"/>
      <c r="G15" s="24">
        <f t="shared" si="1"/>
        <v>2033</v>
      </c>
      <c r="H15" s="25">
        <v>1</v>
      </c>
      <c r="I15" s="21">
        <f t="shared" si="0"/>
        <v>3735.2961762479999</v>
      </c>
      <c r="J15" s="18"/>
      <c r="K15" s="17"/>
    </row>
    <row r="16" spans="1:11" x14ac:dyDescent="0.25">
      <c r="A16" s="17" t="s">
        <v>69</v>
      </c>
      <c r="B16" s="17"/>
      <c r="C16" s="17"/>
      <c r="D16" s="17"/>
      <c r="E16" s="17"/>
      <c r="F16" s="17"/>
      <c r="G16" s="24">
        <f t="shared" si="1"/>
        <v>2034</v>
      </c>
      <c r="H16" s="25">
        <v>1</v>
      </c>
      <c r="I16" s="21">
        <f t="shared" si="0"/>
        <v>3735.2961762479999</v>
      </c>
      <c r="J16" s="18"/>
      <c r="K16" s="17"/>
    </row>
    <row r="17" spans="1:11" x14ac:dyDescent="0.25">
      <c r="A17" s="17">
        <f>AVERAGE(A4:A16)</f>
        <v>434.91666666666669</v>
      </c>
      <c r="B17" s="17"/>
      <c r="C17" s="17"/>
      <c r="D17" s="17"/>
      <c r="E17" s="17"/>
      <c r="F17" s="17"/>
      <c r="G17" s="24">
        <f t="shared" si="1"/>
        <v>2035</v>
      </c>
      <c r="H17" s="25">
        <v>1</v>
      </c>
      <c r="I17" s="21">
        <f t="shared" si="0"/>
        <v>3735.2961762479999</v>
      </c>
      <c r="J17" s="18"/>
      <c r="K17" s="17"/>
    </row>
    <row r="18" spans="1:11" x14ac:dyDescent="0.25">
      <c r="A18" s="17"/>
      <c r="B18" s="17"/>
      <c r="C18" s="17"/>
      <c r="D18" s="17"/>
      <c r="E18" s="17"/>
      <c r="F18" s="17"/>
      <c r="G18" s="24">
        <f t="shared" si="1"/>
        <v>2036</v>
      </c>
      <c r="H18" s="25">
        <v>1</v>
      </c>
      <c r="I18" s="21">
        <f t="shared" si="0"/>
        <v>3735.2961762479999</v>
      </c>
      <c r="J18" s="18"/>
      <c r="K18" s="17"/>
    </row>
    <row r="19" spans="1:11" x14ac:dyDescent="0.25">
      <c r="A19" s="17"/>
      <c r="B19" s="17"/>
      <c r="C19" s="17"/>
      <c r="D19" s="17"/>
      <c r="E19" s="17"/>
      <c r="F19" s="17"/>
      <c r="G19" s="24">
        <f t="shared" si="1"/>
        <v>2037</v>
      </c>
      <c r="H19" s="25">
        <v>1</v>
      </c>
      <c r="I19" s="21">
        <f t="shared" si="0"/>
        <v>3735.2961762479999</v>
      </c>
      <c r="J19" s="18"/>
      <c r="K19" s="17"/>
    </row>
    <row r="20" spans="1:11" x14ac:dyDescent="0.25">
      <c r="A20" s="17"/>
      <c r="B20" s="17"/>
      <c r="C20" s="17"/>
      <c r="D20" s="17"/>
      <c r="E20" s="17"/>
      <c r="F20" s="17"/>
      <c r="G20" s="24">
        <f t="shared" si="1"/>
        <v>2038</v>
      </c>
      <c r="H20" s="25">
        <v>1</v>
      </c>
      <c r="I20" s="21">
        <f t="shared" si="0"/>
        <v>3735.2961762479999</v>
      </c>
      <c r="J20" s="18"/>
      <c r="K20" s="17"/>
    </row>
    <row r="21" spans="1:11" x14ac:dyDescent="0.25">
      <c r="A21" s="17"/>
      <c r="B21" s="17"/>
      <c r="C21" s="17"/>
      <c r="D21" s="17"/>
      <c r="E21" s="17"/>
      <c r="F21" s="17"/>
      <c r="G21" s="24">
        <f t="shared" si="1"/>
        <v>2039</v>
      </c>
      <c r="H21" s="25">
        <v>1</v>
      </c>
      <c r="I21" s="21">
        <f t="shared" si="0"/>
        <v>3735.2961762479999</v>
      </c>
      <c r="J21" s="18"/>
      <c r="K21" s="17"/>
    </row>
    <row r="22" spans="1:11" x14ac:dyDescent="0.25">
      <c r="A22" s="17" t="s">
        <v>73</v>
      </c>
      <c r="B22" s="27">
        <v>26500</v>
      </c>
      <c r="C22" s="17" t="s">
        <v>74</v>
      </c>
      <c r="D22" s="17"/>
      <c r="E22" s="17"/>
      <c r="F22" s="17"/>
      <c r="G22" s="24">
        <f t="shared" si="1"/>
        <v>2040</v>
      </c>
      <c r="H22" s="25">
        <v>1</v>
      </c>
      <c r="I22" s="21">
        <f t="shared" si="0"/>
        <v>3735.2961762479999</v>
      </c>
      <c r="J22" s="18"/>
      <c r="K22" s="17"/>
    </row>
    <row r="23" spans="1:11" x14ac:dyDescent="0.25">
      <c r="A23" s="17"/>
      <c r="B23" s="17"/>
      <c r="C23" s="17"/>
      <c r="D23" s="17"/>
      <c r="E23" s="17"/>
      <c r="F23" s="17"/>
      <c r="G23" s="24">
        <f t="shared" si="1"/>
        <v>2041</v>
      </c>
      <c r="H23" s="25">
        <v>1</v>
      </c>
      <c r="I23" s="21">
        <f t="shared" si="0"/>
        <v>3735.2961762479999</v>
      </c>
      <c r="J23" s="18"/>
      <c r="K23" s="17"/>
    </row>
    <row r="24" spans="1:11" x14ac:dyDescent="0.25">
      <c r="A24" s="28" t="s">
        <v>75</v>
      </c>
      <c r="B24" s="28" t="s">
        <v>76</v>
      </c>
      <c r="C24" s="31" t="s">
        <v>77</v>
      </c>
      <c r="D24" s="31" t="s">
        <v>78</v>
      </c>
      <c r="E24" s="31" t="s">
        <v>80</v>
      </c>
      <c r="F24" s="17"/>
      <c r="G24" s="24">
        <f t="shared" si="1"/>
        <v>2042</v>
      </c>
      <c r="H24" s="25">
        <v>1</v>
      </c>
      <c r="I24" s="21">
        <f t="shared" si="0"/>
        <v>3735.2961762479999</v>
      </c>
      <c r="J24" s="18"/>
      <c r="K24" s="17"/>
    </row>
    <row r="25" spans="1:11" x14ac:dyDescent="0.25">
      <c r="A25" s="29">
        <v>0.1</v>
      </c>
      <c r="B25" s="30">
        <v>2650</v>
      </c>
      <c r="C25" s="27">
        <f>ROUNDUP(B25/$B$4,0)</f>
        <v>982</v>
      </c>
      <c r="D25" s="17">
        <f>C25*$B$2</f>
        <v>608.84</v>
      </c>
      <c r="E25" s="32">
        <f>D25*$D$6*365</f>
        <v>1097799.4039999999</v>
      </c>
      <c r="F25" s="17"/>
      <c r="G25" s="24">
        <f t="shared" si="1"/>
        <v>2043</v>
      </c>
      <c r="H25" s="25">
        <v>1</v>
      </c>
      <c r="I25" s="21">
        <f t="shared" si="0"/>
        <v>3735.2961762479999</v>
      </c>
      <c r="J25" s="18"/>
      <c r="K25" s="17"/>
    </row>
    <row r="26" spans="1:11" x14ac:dyDescent="0.25">
      <c r="A26" s="29">
        <v>0.25</v>
      </c>
      <c r="B26" s="30">
        <v>6625</v>
      </c>
      <c r="C26" s="27">
        <f t="shared" ref="C26:C29" si="2">ROUNDUP(B26/$B$4,0)</f>
        <v>2454</v>
      </c>
      <c r="D26" s="17">
        <f t="shared" ref="D26:D29" si="3">C26*$B$2</f>
        <v>1521.48</v>
      </c>
      <c r="E26" s="32">
        <f t="shared" ref="E26:E29" si="4">D26*$D$6*365</f>
        <v>2743380.588</v>
      </c>
      <c r="F26" s="17"/>
      <c r="G26" s="24">
        <f t="shared" si="1"/>
        <v>2044</v>
      </c>
      <c r="H26" s="25">
        <v>1</v>
      </c>
      <c r="I26" s="21">
        <f t="shared" si="0"/>
        <v>3735.2961762479999</v>
      </c>
      <c r="J26" s="18"/>
      <c r="K26" s="17"/>
    </row>
    <row r="27" spans="1:11" x14ac:dyDescent="0.25">
      <c r="A27" s="29">
        <v>0.5</v>
      </c>
      <c r="B27" s="30">
        <v>13250</v>
      </c>
      <c r="C27" s="27">
        <f t="shared" si="2"/>
        <v>4908</v>
      </c>
      <c r="D27" s="17">
        <f t="shared" si="3"/>
        <v>3042.96</v>
      </c>
      <c r="E27" s="32">
        <f t="shared" si="4"/>
        <v>5486761.176</v>
      </c>
      <c r="F27" s="17"/>
      <c r="G27" s="24">
        <f t="shared" si="1"/>
        <v>2045</v>
      </c>
      <c r="H27" s="25">
        <v>1</v>
      </c>
      <c r="I27" s="21">
        <f t="shared" si="0"/>
        <v>3735.2961762479999</v>
      </c>
      <c r="J27" s="18"/>
      <c r="K27" s="17"/>
    </row>
    <row r="28" spans="1:11" x14ac:dyDescent="0.25">
      <c r="A28" s="29">
        <v>0.75</v>
      </c>
      <c r="B28" s="30">
        <v>19875</v>
      </c>
      <c r="C28" s="27">
        <f t="shared" si="2"/>
        <v>7362</v>
      </c>
      <c r="D28" s="17">
        <f t="shared" si="3"/>
        <v>4564.4399999999996</v>
      </c>
      <c r="E28" s="32">
        <f t="shared" si="4"/>
        <v>8230141.7639999976</v>
      </c>
      <c r="F28" s="17"/>
      <c r="G28" s="17"/>
      <c r="H28" s="17"/>
      <c r="I28" s="17"/>
      <c r="J28" s="17"/>
      <c r="K28" s="17"/>
    </row>
    <row r="29" spans="1:11" x14ac:dyDescent="0.25">
      <c r="A29" s="29">
        <v>1</v>
      </c>
      <c r="B29" s="30">
        <v>26500</v>
      </c>
      <c r="C29" s="27">
        <f t="shared" si="2"/>
        <v>9815</v>
      </c>
      <c r="D29" s="17">
        <f t="shared" si="3"/>
        <v>6085.3</v>
      </c>
      <c r="E29" s="32">
        <f t="shared" si="4"/>
        <v>10972404.43</v>
      </c>
      <c r="F29" s="17"/>
      <c r="G29" s="17"/>
      <c r="H29" s="17"/>
      <c r="I29" s="17"/>
      <c r="J29" s="17"/>
      <c r="K29" s="17"/>
    </row>
    <row r="30" spans="1:11" x14ac:dyDescent="0.25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spans="1:11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spans="1:11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spans="1:11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spans="1:11" x14ac:dyDescent="0.2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</sheetData>
  <mergeCells count="3">
    <mergeCell ref="G1:I2"/>
    <mergeCell ref="G3:H3"/>
    <mergeCell ref="G4:H4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5D0BF-1478-46DC-92D5-CB70FFC35286}">
  <dimension ref="A1"/>
  <sheetViews>
    <sheetView workbookViewId="0"/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1066"/>
  <sheetViews>
    <sheetView workbookViewId="0">
      <selection activeCell="A2" sqref="A2"/>
    </sheetView>
  </sheetViews>
  <sheetFormatPr defaultColWidth="12.6640625" defaultRowHeight="15.75" customHeight="1" x14ac:dyDescent="0.25"/>
  <cols>
    <col min="1" max="1" width="6.44140625" bestFit="1" customWidth="1"/>
    <col min="2" max="2" width="27.109375" bestFit="1" customWidth="1"/>
    <col min="3" max="3" width="22.109375" bestFit="1" customWidth="1"/>
    <col min="4" max="4" width="17.88671875" bestFit="1" customWidth="1"/>
    <col min="5" max="6" width="12" bestFit="1" customWidth="1"/>
    <col min="7" max="7" width="27.5546875" bestFit="1" customWidth="1"/>
    <col min="8" max="8" width="17.21875" bestFit="1" customWidth="1"/>
    <col min="9" max="9" width="39.21875" bestFit="1" customWidth="1"/>
    <col min="10" max="11" width="23.88671875" bestFit="1" customWidth="1"/>
    <col min="12" max="12" width="32.21875" bestFit="1" customWidth="1"/>
    <col min="13" max="13" width="33.88671875" bestFit="1" customWidth="1"/>
  </cols>
  <sheetData>
    <row r="1" spans="1:13" x14ac:dyDescent="0.25">
      <c r="A1" s="1" t="s">
        <v>2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2" t="s">
        <v>33</v>
      </c>
      <c r="L1" s="2" t="s">
        <v>34</v>
      </c>
      <c r="M1" s="2" t="s">
        <v>35</v>
      </c>
    </row>
    <row r="2" spans="1:13" x14ac:dyDescent="0.25">
      <c r="A2" s="4">
        <v>1</v>
      </c>
      <c r="B2" s="3">
        <v>4.385357142857143</v>
      </c>
      <c r="C2" s="3">
        <v>9.3808630393996248E-4</v>
      </c>
      <c r="D2" s="7">
        <v>1290.6106071428574</v>
      </c>
      <c r="E2" s="3">
        <f t="shared" ref="E2:E1066" si="0">D2*C2</f>
        <v>1.2107041342803539</v>
      </c>
      <c r="F2" s="3">
        <f t="shared" ref="F2:F1066" si="1">E2*24*365</f>
        <v>10605.768216295901</v>
      </c>
      <c r="G2" s="3">
        <f t="shared" ref="G2:G1066" si="2">J2-I2-(H2*$M$2)</f>
        <v>3283861083.4611602</v>
      </c>
      <c r="H2" s="3">
        <f t="shared" ref="H2:H1066" si="3">$L$2*D2</f>
        <v>10324884.857142858</v>
      </c>
      <c r="I2" s="3">
        <f t="shared" ref="I2:I1066" si="4">H2*0.03</f>
        <v>309746.54571428575</v>
      </c>
      <c r="J2" s="3">
        <f t="shared" ref="J2:J1066" si="5">F2*$I$2</f>
        <v>3285100069.6440172</v>
      </c>
      <c r="K2" s="5">
        <v>0.25</v>
      </c>
      <c r="L2" s="5">
        <v>8000</v>
      </c>
      <c r="M2" s="5">
        <v>0.09</v>
      </c>
    </row>
    <row r="3" spans="1:13" x14ac:dyDescent="0.25">
      <c r="A3" s="3">
        <v>2</v>
      </c>
      <c r="B3" s="3">
        <v>4.8187500000000005</v>
      </c>
      <c r="C3" s="3">
        <v>1.876172607879925E-3</v>
      </c>
      <c r="D3" s="3">
        <v>1418.1581250000004</v>
      </c>
      <c r="E3" s="3">
        <f t="shared" si="0"/>
        <v>2.6607094277673555</v>
      </c>
      <c r="F3" s="3">
        <f t="shared" si="1"/>
        <v>23307.814587242035</v>
      </c>
      <c r="G3" s="3">
        <f t="shared" si="2"/>
        <v>7218153624.747261</v>
      </c>
      <c r="H3" s="3">
        <f t="shared" si="3"/>
        <v>11345265.000000004</v>
      </c>
      <c r="I3" s="3">
        <f t="shared" si="4"/>
        <v>340357.95000000013</v>
      </c>
      <c r="J3" s="3">
        <f t="shared" si="5"/>
        <v>7219515056.5472612</v>
      </c>
      <c r="K3" s="8" t="s">
        <v>36</v>
      </c>
      <c r="L3" s="8" t="s">
        <v>37</v>
      </c>
      <c r="M3" s="8" t="s">
        <v>38</v>
      </c>
    </row>
    <row r="4" spans="1:13" x14ac:dyDescent="0.25">
      <c r="A4" s="3">
        <v>3</v>
      </c>
      <c r="B4" s="3">
        <v>5.3292857142857146</v>
      </c>
      <c r="C4" s="3">
        <v>2.8142589118198874E-3</v>
      </c>
      <c r="D4" s="3">
        <v>1568.4087857142858</v>
      </c>
      <c r="E4" s="3">
        <f t="shared" si="0"/>
        <v>4.4139084025730373</v>
      </c>
      <c r="F4" s="3">
        <f t="shared" si="1"/>
        <v>38665.837606539804</v>
      </c>
      <c r="G4" s="3">
        <f t="shared" si="2"/>
        <v>11975103963.340944</v>
      </c>
      <c r="H4" s="3">
        <f t="shared" si="3"/>
        <v>12547270.285714287</v>
      </c>
      <c r="I4" s="3">
        <f t="shared" si="4"/>
        <v>376418.10857142863</v>
      </c>
      <c r="J4" s="3">
        <f t="shared" si="5"/>
        <v>11976609635.77523</v>
      </c>
    </row>
    <row r="5" spans="1:13" x14ac:dyDescent="0.25">
      <c r="A5" s="3">
        <v>4</v>
      </c>
      <c r="B5" s="3">
        <v>5.3667857142857134</v>
      </c>
      <c r="C5" s="3">
        <v>3.7523452157598499E-3</v>
      </c>
      <c r="D5" s="3">
        <v>1579.4450357142857</v>
      </c>
      <c r="E5" s="3">
        <f t="shared" si="0"/>
        <v>5.9266230233181449</v>
      </c>
      <c r="F5" s="3">
        <f t="shared" si="1"/>
        <v>51917.217684266958</v>
      </c>
      <c r="G5" s="3">
        <f t="shared" si="2"/>
        <v>16079662573.564034</v>
      </c>
      <c r="H5" s="3">
        <f t="shared" si="3"/>
        <v>12635560.285714285</v>
      </c>
      <c r="I5" s="3">
        <f t="shared" si="4"/>
        <v>379066.80857142853</v>
      </c>
      <c r="J5" s="3">
        <f t="shared" si="5"/>
        <v>16081178840.798319</v>
      </c>
    </row>
    <row r="6" spans="1:13" x14ac:dyDescent="0.25">
      <c r="A6" s="3">
        <v>5</v>
      </c>
      <c r="B6" s="3">
        <v>5.380178571428571</v>
      </c>
      <c r="C6" s="3">
        <v>4.6904315196998128E-3</v>
      </c>
      <c r="D6" s="3">
        <v>1583.3865535714287</v>
      </c>
      <c r="E6" s="3">
        <f t="shared" si="0"/>
        <v>7.4267661987402853</v>
      </c>
      <c r="F6" s="3">
        <f t="shared" si="1"/>
        <v>65058.471900964898</v>
      </c>
      <c r="G6" s="3">
        <f t="shared" si="2"/>
        <v>20150116889.682369</v>
      </c>
      <c r="H6" s="3">
        <f t="shared" si="3"/>
        <v>12667092.428571429</v>
      </c>
      <c r="I6" s="3">
        <f t="shared" si="4"/>
        <v>380012.77285714285</v>
      </c>
      <c r="J6" s="3">
        <f t="shared" si="5"/>
        <v>20151636940.7738</v>
      </c>
    </row>
    <row r="7" spans="1:13" x14ac:dyDescent="0.25">
      <c r="A7" s="3">
        <v>6</v>
      </c>
      <c r="B7" s="3">
        <v>5.427142857142857</v>
      </c>
      <c r="C7" s="3">
        <v>5.6285178236397749E-3</v>
      </c>
      <c r="D7" s="3">
        <v>1597.208142857143</v>
      </c>
      <c r="E7" s="3">
        <f t="shared" si="0"/>
        <v>8.9899145001340131</v>
      </c>
      <c r="F7" s="3">
        <f t="shared" si="1"/>
        <v>78751.651021173951</v>
      </c>
      <c r="G7" s="3">
        <f t="shared" si="2"/>
        <v>24391518553.288391</v>
      </c>
      <c r="H7" s="3">
        <f t="shared" si="3"/>
        <v>12777665.142857144</v>
      </c>
      <c r="I7" s="3">
        <f t="shared" si="4"/>
        <v>383329.95428571431</v>
      </c>
      <c r="J7" s="3">
        <f t="shared" si="5"/>
        <v>24393051873.105534</v>
      </c>
    </row>
    <row r="8" spans="1:13" x14ac:dyDescent="0.25">
      <c r="A8" s="3">
        <v>7</v>
      </c>
      <c r="B8" s="3">
        <v>5.4289285714285711</v>
      </c>
      <c r="C8" s="3">
        <v>6.5666041275797378E-3</v>
      </c>
      <c r="D8" s="3">
        <v>1597.7336785714285</v>
      </c>
      <c r="E8" s="3">
        <f t="shared" si="0"/>
        <v>10.4916845684803</v>
      </c>
      <c r="F8" s="3">
        <f t="shared" si="1"/>
        <v>91907.15681988743</v>
      </c>
      <c r="G8" s="3">
        <f t="shared" si="2"/>
        <v>28466390527.049858</v>
      </c>
      <c r="H8" s="3">
        <f t="shared" si="3"/>
        <v>12781869.428571429</v>
      </c>
      <c r="I8" s="3">
        <f t="shared" si="4"/>
        <v>383456.08285714284</v>
      </c>
      <c r="J8" s="3">
        <f t="shared" si="5"/>
        <v>28467924351.38129</v>
      </c>
    </row>
    <row r="9" spans="1:13" x14ac:dyDescent="0.25">
      <c r="A9" s="3">
        <v>8</v>
      </c>
      <c r="B9" s="3">
        <v>5.7551785714285719</v>
      </c>
      <c r="C9" s="3">
        <v>7.5046904315196998E-3</v>
      </c>
      <c r="D9" s="3">
        <v>1693.7490535714289</v>
      </c>
      <c r="E9" s="3">
        <f t="shared" si="0"/>
        <v>12.71106231573305</v>
      </c>
      <c r="F9" s="3">
        <f t="shared" si="1"/>
        <v>111348.90588582151</v>
      </c>
      <c r="G9" s="3">
        <f t="shared" si="2"/>
        <v>34488312968.106888</v>
      </c>
      <c r="H9" s="3">
        <f t="shared" si="3"/>
        <v>13549992.428571431</v>
      </c>
      <c r="I9" s="3">
        <f t="shared" si="4"/>
        <v>406499.7728571429</v>
      </c>
      <c r="J9" s="3">
        <f t="shared" si="5"/>
        <v>34489938967.198318</v>
      </c>
    </row>
    <row r="10" spans="1:13" x14ac:dyDescent="0.25">
      <c r="A10" s="3">
        <v>9</v>
      </c>
      <c r="B10" s="3">
        <v>5.8394642857142856</v>
      </c>
      <c r="C10" s="3">
        <v>8.4427767354596627E-3</v>
      </c>
      <c r="D10" s="3">
        <v>1718.5543392857141</v>
      </c>
      <c r="E10" s="3">
        <f t="shared" si="0"/>
        <v>14.509370594344679</v>
      </c>
      <c r="F10" s="3">
        <f t="shared" si="1"/>
        <v>127102.08640645938</v>
      </c>
      <c r="G10" s="3">
        <f t="shared" si="2"/>
        <v>39367782405.313759</v>
      </c>
      <c r="H10" s="3">
        <f t="shared" si="3"/>
        <v>13748434.714285713</v>
      </c>
      <c r="I10" s="3">
        <f t="shared" si="4"/>
        <v>412453.04142857139</v>
      </c>
      <c r="J10" s="3">
        <f t="shared" si="5"/>
        <v>39369432217.479469</v>
      </c>
    </row>
    <row r="11" spans="1:13" x14ac:dyDescent="0.25">
      <c r="A11" s="3">
        <v>10</v>
      </c>
      <c r="B11" s="3">
        <v>5.875</v>
      </c>
      <c r="C11" s="3">
        <v>9.3808630393996256E-3</v>
      </c>
      <c r="D11" s="3">
        <v>1729.0125</v>
      </c>
      <c r="E11" s="3">
        <f t="shared" si="0"/>
        <v>16.219629455909946</v>
      </c>
      <c r="F11" s="3">
        <f t="shared" si="1"/>
        <v>142083.95403377112</v>
      </c>
      <c r="G11" s="3">
        <f t="shared" si="2"/>
        <v>44008354111.387962</v>
      </c>
      <c r="H11" s="3">
        <f t="shared" si="3"/>
        <v>13832100</v>
      </c>
      <c r="I11" s="3">
        <f t="shared" si="4"/>
        <v>414963</v>
      </c>
      <c r="J11" s="3">
        <f t="shared" si="5"/>
        <v>44010013963.387962</v>
      </c>
    </row>
    <row r="12" spans="1:13" x14ac:dyDescent="0.25">
      <c r="A12" s="3">
        <v>11</v>
      </c>
      <c r="B12" s="3">
        <v>5.9285714285714279</v>
      </c>
      <c r="C12" s="3">
        <v>1.0318949343339587E-2</v>
      </c>
      <c r="D12" s="3">
        <v>1744.7785714285715</v>
      </c>
      <c r="E12" s="3">
        <f t="shared" si="0"/>
        <v>18.004281693915839</v>
      </c>
      <c r="F12" s="3">
        <f t="shared" si="1"/>
        <v>157717.50763870275</v>
      </c>
      <c r="G12" s="3">
        <f t="shared" si="2"/>
        <v>48850778202.326088</v>
      </c>
      <c r="H12" s="3">
        <f t="shared" si="3"/>
        <v>13958228.571428571</v>
      </c>
      <c r="I12" s="3">
        <f t="shared" si="4"/>
        <v>418746.8571428571</v>
      </c>
      <c r="J12" s="3">
        <f t="shared" si="5"/>
        <v>48852453189.754654</v>
      </c>
    </row>
    <row r="13" spans="1:13" x14ac:dyDescent="0.25">
      <c r="A13" s="3">
        <v>12</v>
      </c>
      <c r="B13" s="3">
        <v>6.0892857142857144</v>
      </c>
      <c r="C13" s="3">
        <v>1.125703564727955E-2</v>
      </c>
      <c r="D13" s="3">
        <v>1792.076785714286</v>
      </c>
      <c r="E13" s="3">
        <f t="shared" si="0"/>
        <v>20.173472259447873</v>
      </c>
      <c r="F13" s="3">
        <f t="shared" si="1"/>
        <v>176719.61699276336</v>
      </c>
      <c r="G13" s="3">
        <f t="shared" si="2"/>
        <v>54736570529.745758</v>
      </c>
      <c r="H13" s="3">
        <f t="shared" si="3"/>
        <v>14336614.285714287</v>
      </c>
      <c r="I13" s="3">
        <f t="shared" si="4"/>
        <v>430098.42857142858</v>
      </c>
      <c r="J13" s="3">
        <f t="shared" si="5"/>
        <v>54738290923.460045</v>
      </c>
    </row>
    <row r="14" spans="1:13" x14ac:dyDescent="0.25">
      <c r="A14" s="3">
        <v>13</v>
      </c>
      <c r="B14" s="3">
        <v>6.1251785714285711</v>
      </c>
      <c r="C14" s="3">
        <v>1.2195121951219513E-2</v>
      </c>
      <c r="D14" s="3">
        <v>1802.6400535714288</v>
      </c>
      <c r="E14" s="3">
        <f t="shared" si="0"/>
        <v>21.983415287456449</v>
      </c>
      <c r="F14" s="3">
        <f t="shared" si="1"/>
        <v>192574.71791811849</v>
      </c>
      <c r="G14" s="3">
        <f t="shared" si="2"/>
        <v>59647623132.588745</v>
      </c>
      <c r="H14" s="3">
        <f t="shared" si="3"/>
        <v>14421120.428571431</v>
      </c>
      <c r="I14" s="3">
        <f t="shared" si="4"/>
        <v>432633.61285714293</v>
      </c>
      <c r="J14" s="3">
        <f t="shared" si="5"/>
        <v>59649353667.040169</v>
      </c>
    </row>
    <row r="15" spans="1:13" x14ac:dyDescent="0.25">
      <c r="A15" s="3">
        <v>14</v>
      </c>
      <c r="B15" s="3">
        <v>6.231071428571429</v>
      </c>
      <c r="C15" s="3">
        <v>1.3133208255159476E-2</v>
      </c>
      <c r="D15" s="3">
        <v>1833.8043214285715</v>
      </c>
      <c r="E15" s="3">
        <f t="shared" si="0"/>
        <v>24.083734052532837</v>
      </c>
      <c r="F15" s="3">
        <f t="shared" si="1"/>
        <v>210973.51030018766</v>
      </c>
      <c r="G15" s="3">
        <f t="shared" si="2"/>
        <v>65346555600.551842</v>
      </c>
      <c r="H15" s="3">
        <f t="shared" si="3"/>
        <v>14670434.571428573</v>
      </c>
      <c r="I15" s="3">
        <f t="shared" si="4"/>
        <v>440113.03714285715</v>
      </c>
      <c r="J15" s="3">
        <f t="shared" si="5"/>
        <v>65348316052.700409</v>
      </c>
    </row>
    <row r="16" spans="1:13" x14ac:dyDescent="0.25">
      <c r="A16" s="3">
        <v>15</v>
      </c>
      <c r="B16" s="3">
        <v>6.2555357142857142</v>
      </c>
      <c r="C16" s="3">
        <v>1.4071294559099437E-2</v>
      </c>
      <c r="D16" s="3">
        <v>1841.0041607142857</v>
      </c>
      <c r="E16" s="3">
        <f t="shared" si="0"/>
        <v>25.905311829938352</v>
      </c>
      <c r="F16" s="3">
        <f t="shared" si="1"/>
        <v>226930.53163025997</v>
      </c>
      <c r="G16" s="3">
        <f t="shared" si="2"/>
        <v>70289180925.585205</v>
      </c>
      <c r="H16" s="3">
        <f t="shared" si="3"/>
        <v>14728033.285714285</v>
      </c>
      <c r="I16" s="3">
        <f t="shared" si="4"/>
        <v>441840.99857142853</v>
      </c>
      <c r="J16" s="3">
        <f t="shared" si="5"/>
        <v>70290948289.579483</v>
      </c>
    </row>
    <row r="17" spans="1:10" x14ac:dyDescent="0.25">
      <c r="A17" s="3">
        <v>16</v>
      </c>
      <c r="B17" s="3">
        <v>6.2978571428571435</v>
      </c>
      <c r="C17" s="3">
        <v>1.50093808630394E-2</v>
      </c>
      <c r="D17" s="3">
        <v>1853.4593571428572</v>
      </c>
      <c r="E17" s="3">
        <f t="shared" si="0"/>
        <v>27.819277405521309</v>
      </c>
      <c r="F17" s="3">
        <f t="shared" si="1"/>
        <v>243696.87007236667</v>
      </c>
      <c r="G17" s="3">
        <f t="shared" si="2"/>
        <v>75482484385.315826</v>
      </c>
      <c r="H17" s="3">
        <f t="shared" si="3"/>
        <v>14827674.857142858</v>
      </c>
      <c r="I17" s="3">
        <f t="shared" si="4"/>
        <v>444830.2457142857</v>
      </c>
      <c r="J17" s="3">
        <f t="shared" si="5"/>
        <v>75484263706.298676</v>
      </c>
    </row>
    <row r="18" spans="1:10" x14ac:dyDescent="0.25">
      <c r="A18" s="3">
        <v>17</v>
      </c>
      <c r="B18" s="3">
        <v>6.3989285714285717</v>
      </c>
      <c r="C18" s="3">
        <v>1.5947467166979361E-2</v>
      </c>
      <c r="D18" s="3">
        <v>1883.2046785714288</v>
      </c>
      <c r="E18" s="3">
        <f t="shared" si="0"/>
        <v>30.03234478021978</v>
      </c>
      <c r="F18" s="3">
        <f t="shared" si="1"/>
        <v>263083.34027472528</v>
      </c>
      <c r="G18" s="3">
        <f t="shared" si="2"/>
        <v>81487348008.58075</v>
      </c>
      <c r="H18" s="3">
        <f t="shared" si="3"/>
        <v>15065637.428571431</v>
      </c>
      <c r="I18" s="3">
        <f t="shared" si="4"/>
        <v>451969.12285714294</v>
      </c>
      <c r="J18" s="3">
        <f t="shared" si="5"/>
        <v>81489155885.072189</v>
      </c>
    </row>
    <row r="19" spans="1:10" x14ac:dyDescent="0.25">
      <c r="A19" s="3">
        <v>18</v>
      </c>
      <c r="B19" s="3">
        <v>6.4623214285714283</v>
      </c>
      <c r="C19" s="3">
        <v>1.6885553470919325E-2</v>
      </c>
      <c r="D19" s="3">
        <v>1901.8611964285715</v>
      </c>
      <c r="E19" s="3">
        <f t="shared" si="0"/>
        <v>32.113978926561245</v>
      </c>
      <c r="F19" s="3">
        <f t="shared" si="1"/>
        <v>281318.45539667649</v>
      </c>
      <c r="G19" s="3">
        <f t="shared" si="2"/>
        <v>87135594018.050339</v>
      </c>
      <c r="H19" s="3">
        <f t="shared" si="3"/>
        <v>15214889.571428571</v>
      </c>
      <c r="I19" s="3">
        <f t="shared" si="4"/>
        <v>456446.68714285712</v>
      </c>
      <c r="J19" s="3">
        <f t="shared" si="5"/>
        <v>87137419804.79892</v>
      </c>
    </row>
    <row r="20" spans="1:10" x14ac:dyDescent="0.25">
      <c r="A20" s="3">
        <v>19</v>
      </c>
      <c r="B20" s="3">
        <v>6.4642857142857144</v>
      </c>
      <c r="C20" s="3">
        <v>1.7823639774859287E-2</v>
      </c>
      <c r="D20" s="3">
        <v>1902.4392857142859</v>
      </c>
      <c r="E20" s="3">
        <f t="shared" si="0"/>
        <v>33.908392522112038</v>
      </c>
      <c r="F20" s="3">
        <f t="shared" si="1"/>
        <v>297037.51849370147</v>
      </c>
      <c r="G20" s="3">
        <f t="shared" si="2"/>
        <v>92004518959.253006</v>
      </c>
      <c r="H20" s="3">
        <f t="shared" si="3"/>
        <v>15219514.285714287</v>
      </c>
      <c r="I20" s="3">
        <f t="shared" si="4"/>
        <v>456585.42857142858</v>
      </c>
      <c r="J20" s="3">
        <f t="shared" si="5"/>
        <v>92006345300.9673</v>
      </c>
    </row>
    <row r="21" spans="1:10" x14ac:dyDescent="0.25">
      <c r="A21" s="3">
        <v>20</v>
      </c>
      <c r="B21" s="3">
        <v>6.5014285714285709</v>
      </c>
      <c r="C21" s="3">
        <v>1.8761726078799251E-2</v>
      </c>
      <c r="D21" s="3">
        <v>1913.3704285714286</v>
      </c>
      <c r="E21" s="3">
        <f t="shared" si="0"/>
        <v>35.89813186813187</v>
      </c>
      <c r="F21" s="3">
        <f t="shared" si="1"/>
        <v>314467.6351648352</v>
      </c>
      <c r="G21" s="3">
        <f t="shared" si="2"/>
        <v>97403426895.63652</v>
      </c>
      <c r="H21" s="3">
        <f t="shared" si="3"/>
        <v>15306963.428571429</v>
      </c>
      <c r="I21" s="3">
        <f t="shared" si="4"/>
        <v>459208.90285714285</v>
      </c>
      <c r="J21" s="3">
        <f t="shared" si="5"/>
        <v>97405263731.247955</v>
      </c>
    </row>
    <row r="22" spans="1:10" x14ac:dyDescent="0.25">
      <c r="A22" s="3">
        <v>21</v>
      </c>
      <c r="B22" s="3">
        <v>6.5083928571428569</v>
      </c>
      <c r="C22" s="3">
        <v>1.9699812382739212E-2</v>
      </c>
      <c r="D22" s="3">
        <v>1915.420017857143</v>
      </c>
      <c r="E22" s="3">
        <f t="shared" si="0"/>
        <v>37.733414985928711</v>
      </c>
      <c r="F22" s="3">
        <f t="shared" si="1"/>
        <v>330544.71527673554</v>
      </c>
      <c r="G22" s="3">
        <f t="shared" si="2"/>
        <v>102383244957.86378</v>
      </c>
      <c r="H22" s="3">
        <f t="shared" si="3"/>
        <v>15323360.142857144</v>
      </c>
      <c r="I22" s="3">
        <f t="shared" si="4"/>
        <v>459700.80428571429</v>
      </c>
      <c r="J22" s="3">
        <f t="shared" si="5"/>
        <v>102385083761.08093</v>
      </c>
    </row>
    <row r="23" spans="1:10" x14ac:dyDescent="0.25">
      <c r="A23" s="3">
        <v>22</v>
      </c>
      <c r="B23" s="3">
        <v>6.5094642857142864</v>
      </c>
      <c r="C23" s="3">
        <v>2.0637898686679174E-2</v>
      </c>
      <c r="D23" s="3">
        <v>1915.7353392857146</v>
      </c>
      <c r="E23" s="3">
        <f t="shared" si="0"/>
        <v>39.536751842669531</v>
      </c>
      <c r="F23" s="3">
        <f t="shared" si="1"/>
        <v>346341.94614178507</v>
      </c>
      <c r="G23" s="3">
        <f t="shared" si="2"/>
        <v>107276382347.4554</v>
      </c>
      <c r="H23" s="3">
        <f t="shared" si="3"/>
        <v>15325882.714285716</v>
      </c>
      <c r="I23" s="3">
        <f t="shared" si="4"/>
        <v>459776.48142857145</v>
      </c>
      <c r="J23" s="3">
        <f t="shared" si="5"/>
        <v>107278221453.38112</v>
      </c>
    </row>
    <row r="24" spans="1:10" x14ac:dyDescent="0.25">
      <c r="A24" s="3">
        <v>23</v>
      </c>
      <c r="B24" s="3">
        <v>6.5464285714285708</v>
      </c>
      <c r="C24" s="3">
        <v>2.1575984990619138E-2</v>
      </c>
      <c r="D24" s="3">
        <v>1926.6139285714287</v>
      </c>
      <c r="E24" s="3">
        <f t="shared" si="0"/>
        <v>41.568593205574921</v>
      </c>
      <c r="F24" s="3">
        <f t="shared" si="1"/>
        <v>364140.8764808363</v>
      </c>
      <c r="G24" s="3">
        <f t="shared" si="2"/>
        <v>112789529093.94003</v>
      </c>
      <c r="H24" s="3">
        <f t="shared" si="3"/>
        <v>15412911.428571429</v>
      </c>
      <c r="I24" s="3">
        <f t="shared" si="4"/>
        <v>462387.34285714285</v>
      </c>
      <c r="J24" s="3">
        <f t="shared" si="5"/>
        <v>112791378643.31145</v>
      </c>
    </row>
    <row r="25" spans="1:10" x14ac:dyDescent="0.25">
      <c r="A25" s="3">
        <v>24</v>
      </c>
      <c r="B25" s="3">
        <v>6.5710714285714289</v>
      </c>
      <c r="C25" s="3">
        <v>2.2514071294559099E-2</v>
      </c>
      <c r="D25" s="3">
        <v>1933.8663214285716</v>
      </c>
      <c r="E25" s="3">
        <f t="shared" si="0"/>
        <v>43.539204234789608</v>
      </c>
      <c r="F25" s="3">
        <f t="shared" si="1"/>
        <v>381403.42909675691</v>
      </c>
      <c r="G25" s="3">
        <f t="shared" si="2"/>
        <v>118136538174.63538</v>
      </c>
      <c r="H25" s="3">
        <f t="shared" si="3"/>
        <v>15470930.571428573</v>
      </c>
      <c r="I25" s="3">
        <f t="shared" si="4"/>
        <v>464127.91714285716</v>
      </c>
      <c r="J25" s="3">
        <f t="shared" si="5"/>
        <v>118138394686.30396</v>
      </c>
    </row>
    <row r="26" spans="1:10" x14ac:dyDescent="0.25">
      <c r="A26" s="3">
        <v>25</v>
      </c>
      <c r="B26" s="3">
        <v>6.6037500000000007</v>
      </c>
      <c r="C26" s="3">
        <v>2.3452157598499061E-2</v>
      </c>
      <c r="D26" s="3">
        <v>1943.4836250000005</v>
      </c>
      <c r="E26" s="3">
        <f t="shared" si="0"/>
        <v>45.578884263602262</v>
      </c>
      <c r="F26" s="3">
        <f t="shared" si="1"/>
        <v>399271.02614915575</v>
      </c>
      <c r="G26" s="3">
        <f t="shared" si="2"/>
        <v>123670955409.21924</v>
      </c>
      <c r="H26" s="3">
        <f t="shared" si="3"/>
        <v>15547869.000000004</v>
      </c>
      <c r="I26" s="3">
        <f t="shared" si="4"/>
        <v>466436.07000000012</v>
      </c>
      <c r="J26" s="3">
        <f t="shared" si="5"/>
        <v>123672821153.49925</v>
      </c>
    </row>
    <row r="27" spans="1:10" x14ac:dyDescent="0.25">
      <c r="A27" s="3">
        <v>26</v>
      </c>
      <c r="B27" s="3">
        <v>6.7155357142857142</v>
      </c>
      <c r="C27" s="3">
        <v>2.4390243902439025E-2</v>
      </c>
      <c r="D27" s="3">
        <v>1976.3821607142856</v>
      </c>
      <c r="E27" s="3">
        <f t="shared" si="0"/>
        <v>48.204442944250872</v>
      </c>
      <c r="F27" s="3">
        <f t="shared" si="1"/>
        <v>422270.92019163765</v>
      </c>
      <c r="G27" s="3">
        <f t="shared" si="2"/>
        <v>130795061558.07832</v>
      </c>
      <c r="H27" s="3">
        <f t="shared" si="3"/>
        <v>15811057.285714285</v>
      </c>
      <c r="I27" s="3">
        <f t="shared" si="4"/>
        <v>474331.71857142856</v>
      </c>
      <c r="J27" s="3">
        <f t="shared" si="5"/>
        <v>130796958884.95261</v>
      </c>
    </row>
    <row r="28" spans="1:10" x14ac:dyDescent="0.25">
      <c r="A28" s="3">
        <v>27</v>
      </c>
      <c r="B28" s="3">
        <v>6.7321428571428577</v>
      </c>
      <c r="C28" s="3">
        <v>2.5328330206378986E-2</v>
      </c>
      <c r="D28" s="3">
        <v>1981.2696428571433</v>
      </c>
      <c r="E28" s="3">
        <f t="shared" si="0"/>
        <v>50.18225174216029</v>
      </c>
      <c r="F28" s="3">
        <f t="shared" si="1"/>
        <v>439596.52526132407</v>
      </c>
      <c r="G28" s="3">
        <f t="shared" si="2"/>
        <v>136161603188.84076</v>
      </c>
      <c r="H28" s="3">
        <f t="shared" si="3"/>
        <v>15850157.142857146</v>
      </c>
      <c r="I28" s="3">
        <f t="shared" si="4"/>
        <v>475504.71428571432</v>
      </c>
      <c r="J28" s="3">
        <f t="shared" si="5"/>
        <v>136163505207.69789</v>
      </c>
    </row>
    <row r="29" spans="1:10" x14ac:dyDescent="0.25">
      <c r="A29" s="3">
        <v>28</v>
      </c>
      <c r="B29" s="3">
        <v>6.8178571428571431</v>
      </c>
      <c r="C29" s="3">
        <v>2.6266416510318951E-2</v>
      </c>
      <c r="D29" s="3">
        <v>2006.4953571428573</v>
      </c>
      <c r="E29" s="3">
        <f t="shared" si="0"/>
        <v>52.703442776735464</v>
      </c>
      <c r="F29" s="3">
        <f t="shared" si="1"/>
        <v>461682.15872420266</v>
      </c>
      <c r="G29" s="3">
        <f t="shared" si="2"/>
        <v>143002527647.19351</v>
      </c>
      <c r="H29" s="3">
        <f t="shared" si="3"/>
        <v>16051962.857142858</v>
      </c>
      <c r="I29" s="3">
        <f t="shared" si="4"/>
        <v>481558.88571428572</v>
      </c>
      <c r="J29" s="3">
        <f t="shared" si="5"/>
        <v>143004453882.73636</v>
      </c>
    </row>
    <row r="30" spans="1:10" x14ac:dyDescent="0.25">
      <c r="A30" s="3">
        <v>29</v>
      </c>
      <c r="B30" s="3">
        <v>6.8342857142857136</v>
      </c>
      <c r="C30" s="3">
        <v>2.7204502814258912E-2</v>
      </c>
      <c r="D30" s="3">
        <v>2011.3302857142858</v>
      </c>
      <c r="E30" s="3">
        <f t="shared" si="0"/>
        <v>54.717240418118472</v>
      </c>
      <c r="F30" s="3">
        <f t="shared" si="1"/>
        <v>479323.02606271778</v>
      </c>
      <c r="G30" s="3">
        <f t="shared" si="2"/>
        <v>148466720727.17108</v>
      </c>
      <c r="H30" s="3">
        <f t="shared" si="3"/>
        <v>16090642.285714285</v>
      </c>
      <c r="I30" s="3">
        <f t="shared" si="4"/>
        <v>482719.26857142855</v>
      </c>
      <c r="J30" s="3">
        <f t="shared" si="5"/>
        <v>148468651604.24539</v>
      </c>
    </row>
    <row r="31" spans="1:10" x14ac:dyDescent="0.25">
      <c r="A31" s="3">
        <v>30</v>
      </c>
      <c r="B31" s="3">
        <v>6.863035714285715</v>
      </c>
      <c r="C31" s="3">
        <v>2.8142589118198873E-2</v>
      </c>
      <c r="D31" s="3">
        <v>2019.7914107142858</v>
      </c>
      <c r="E31" s="3">
        <f t="shared" si="0"/>
        <v>56.842159776199409</v>
      </c>
      <c r="F31" s="3">
        <f t="shared" si="1"/>
        <v>497937.31963950681</v>
      </c>
      <c r="G31" s="3">
        <f t="shared" si="2"/>
        <v>154232425740.81314</v>
      </c>
      <c r="H31" s="3">
        <f t="shared" si="3"/>
        <v>16158331.285714287</v>
      </c>
      <c r="I31" s="3">
        <f t="shared" si="4"/>
        <v>484749.93857142859</v>
      </c>
      <c r="J31" s="3">
        <f t="shared" si="5"/>
        <v>154234364740.56741</v>
      </c>
    </row>
    <row r="32" spans="1:10" x14ac:dyDescent="0.25">
      <c r="A32" s="3">
        <v>31</v>
      </c>
      <c r="B32" s="3">
        <v>6.9146428571428569</v>
      </c>
      <c r="C32" s="3">
        <v>2.9080675422138838E-2</v>
      </c>
      <c r="D32" s="3">
        <v>2034.979392857143</v>
      </c>
      <c r="E32" s="3">
        <f t="shared" si="0"/>
        <v>59.17857521441973</v>
      </c>
      <c r="F32" s="3">
        <f t="shared" si="1"/>
        <v>518404.31887831684</v>
      </c>
      <c r="G32" s="3">
        <f t="shared" si="2"/>
        <v>160571993475.70856</v>
      </c>
      <c r="H32" s="3">
        <f t="shared" si="3"/>
        <v>16279835.142857144</v>
      </c>
      <c r="I32" s="3">
        <f t="shared" si="4"/>
        <v>488395.05428571429</v>
      </c>
      <c r="J32" s="3">
        <f t="shared" si="5"/>
        <v>160573947055.92572</v>
      </c>
    </row>
    <row r="33" spans="1:10" x14ac:dyDescent="0.25">
      <c r="A33" s="3">
        <v>32</v>
      </c>
      <c r="B33" s="3">
        <v>6.9637500000000001</v>
      </c>
      <c r="C33" s="3">
        <v>3.0018761726078799E-2</v>
      </c>
      <c r="D33" s="3">
        <v>2049.4316250000002</v>
      </c>
      <c r="E33" s="3">
        <f t="shared" si="0"/>
        <v>61.521399624765486</v>
      </c>
      <c r="F33" s="3">
        <f t="shared" si="1"/>
        <v>538927.46071294567</v>
      </c>
      <c r="G33" s="3">
        <f t="shared" si="2"/>
        <v>166928951892.04639</v>
      </c>
      <c r="H33" s="3">
        <f t="shared" si="3"/>
        <v>16395453.000000002</v>
      </c>
      <c r="I33" s="3">
        <f t="shared" si="4"/>
        <v>491863.59</v>
      </c>
      <c r="J33" s="3">
        <f t="shared" si="5"/>
        <v>166930919346.40637</v>
      </c>
    </row>
    <row r="34" spans="1:10" x14ac:dyDescent="0.25">
      <c r="A34" s="3">
        <v>33</v>
      </c>
      <c r="B34" s="3">
        <v>6.98</v>
      </c>
      <c r="C34" s="3">
        <v>3.095684803001876E-2</v>
      </c>
      <c r="D34" s="3">
        <v>2054.2139999999999</v>
      </c>
      <c r="E34" s="3">
        <f t="shared" si="0"/>
        <v>63.591990619136958</v>
      </c>
      <c r="F34" s="3">
        <f t="shared" si="1"/>
        <v>557065.83782363974</v>
      </c>
      <c r="G34" s="3">
        <f t="shared" si="2"/>
        <v>172547246955.86694</v>
      </c>
      <c r="H34" s="3">
        <f t="shared" si="3"/>
        <v>16433712</v>
      </c>
      <c r="I34" s="3">
        <f t="shared" si="4"/>
        <v>493011.36</v>
      </c>
      <c r="J34" s="3">
        <f t="shared" si="5"/>
        <v>172549219001.30692</v>
      </c>
    </row>
    <row r="35" spans="1:10" x14ac:dyDescent="0.25">
      <c r="A35" s="3">
        <v>34</v>
      </c>
      <c r="B35" s="3">
        <v>7.0376785714285717</v>
      </c>
      <c r="C35" s="3">
        <v>3.1894934333958722E-2</v>
      </c>
      <c r="D35" s="3">
        <v>2071.1888035714287</v>
      </c>
      <c r="E35" s="3">
        <f t="shared" si="0"/>
        <v>66.060430883141251</v>
      </c>
      <c r="F35" s="3">
        <f t="shared" si="1"/>
        <v>578689.37453631742</v>
      </c>
      <c r="G35" s="3">
        <f t="shared" si="2"/>
        <v>179245046462.93344</v>
      </c>
      <c r="H35" s="3">
        <f t="shared" si="3"/>
        <v>16569510.428571429</v>
      </c>
      <c r="I35" s="3">
        <f t="shared" si="4"/>
        <v>497085.31285714288</v>
      </c>
      <c r="J35" s="3">
        <f t="shared" si="5"/>
        <v>179247034804.18488</v>
      </c>
    </row>
    <row r="36" spans="1:10" x14ac:dyDescent="0.25">
      <c r="A36" s="3">
        <v>35</v>
      </c>
      <c r="B36" s="3">
        <v>7.0892857142857144</v>
      </c>
      <c r="C36" s="3">
        <v>3.283302063789869E-2</v>
      </c>
      <c r="D36" s="3">
        <v>2086.3767857142857</v>
      </c>
      <c r="E36" s="3">
        <f t="shared" si="0"/>
        <v>68.502052063789876</v>
      </c>
      <c r="F36" s="3">
        <f t="shared" si="1"/>
        <v>600077.97607879934</v>
      </c>
      <c r="G36" s="3">
        <f t="shared" si="2"/>
        <v>185870077327.91364</v>
      </c>
      <c r="H36" s="3">
        <f t="shared" si="3"/>
        <v>16691014.285714285</v>
      </c>
      <c r="I36" s="3">
        <f t="shared" si="4"/>
        <v>500730.42857142852</v>
      </c>
      <c r="J36" s="3">
        <f t="shared" si="5"/>
        <v>185872080249.6279</v>
      </c>
    </row>
    <row r="37" spans="1:10" x14ac:dyDescent="0.25">
      <c r="A37" s="3">
        <v>36</v>
      </c>
      <c r="B37" s="3">
        <v>7.1078571428571422</v>
      </c>
      <c r="C37" s="3">
        <v>3.3771106941838651E-2</v>
      </c>
      <c r="D37" s="3">
        <v>2091.8423571428571</v>
      </c>
      <c r="E37" s="3">
        <f t="shared" si="0"/>
        <v>70.643831948539273</v>
      </c>
      <c r="F37" s="3">
        <f t="shared" si="1"/>
        <v>618839.967869204</v>
      </c>
      <c r="G37" s="3">
        <f t="shared" si="2"/>
        <v>191681534228.76266</v>
      </c>
      <c r="H37" s="3">
        <f t="shared" si="3"/>
        <v>16734738.857142856</v>
      </c>
      <c r="I37" s="3">
        <f t="shared" si="4"/>
        <v>502042.16571428569</v>
      </c>
      <c r="J37" s="3">
        <f t="shared" si="5"/>
        <v>191683542397.42551</v>
      </c>
    </row>
    <row r="38" spans="1:10" x14ac:dyDescent="0.25">
      <c r="A38" s="3">
        <v>37</v>
      </c>
      <c r="B38" s="3">
        <v>7.1117857142857144</v>
      </c>
      <c r="C38" s="3">
        <v>3.4709193245778612E-2</v>
      </c>
      <c r="D38" s="3">
        <v>2092.9985357142859</v>
      </c>
      <c r="E38" s="3">
        <f t="shared" si="0"/>
        <v>72.646290639238813</v>
      </c>
      <c r="F38" s="3">
        <f t="shared" si="1"/>
        <v>636381.50599973195</v>
      </c>
      <c r="G38" s="3">
        <f t="shared" si="2"/>
        <v>197114963961.27771</v>
      </c>
      <c r="H38" s="3">
        <f t="shared" si="3"/>
        <v>16743988.285714287</v>
      </c>
      <c r="I38" s="3">
        <f t="shared" si="4"/>
        <v>502319.64857142861</v>
      </c>
      <c r="J38" s="3">
        <f t="shared" si="5"/>
        <v>197116973239.87198</v>
      </c>
    </row>
    <row r="39" spans="1:10" x14ac:dyDescent="0.25">
      <c r="A39" s="3">
        <v>38</v>
      </c>
      <c r="B39" s="3">
        <v>7.1287500000000001</v>
      </c>
      <c r="C39" s="3">
        <v>3.5647279549718573E-2</v>
      </c>
      <c r="D39" s="3">
        <v>2097.991125</v>
      </c>
      <c r="E39" s="3">
        <f t="shared" si="0"/>
        <v>74.78767612570357</v>
      </c>
      <c r="F39" s="3">
        <f t="shared" si="1"/>
        <v>655140.04286116327</v>
      </c>
      <c r="G39" s="3">
        <f t="shared" si="2"/>
        <v>202925351163.87445</v>
      </c>
      <c r="H39" s="3">
        <f t="shared" si="3"/>
        <v>16783929</v>
      </c>
      <c r="I39" s="3">
        <f t="shared" si="4"/>
        <v>503517.87</v>
      </c>
      <c r="J39" s="3">
        <f t="shared" si="5"/>
        <v>202927365235.35443</v>
      </c>
    </row>
    <row r="40" spans="1:10" x14ac:dyDescent="0.25">
      <c r="A40" s="3">
        <v>39</v>
      </c>
      <c r="B40" s="3">
        <v>7.2142857142857144</v>
      </c>
      <c r="C40" s="3">
        <v>3.6585365853658534E-2</v>
      </c>
      <c r="D40" s="3">
        <v>2123.1642857142861</v>
      </c>
      <c r="E40" s="3">
        <f t="shared" si="0"/>
        <v>77.676742160278749</v>
      </c>
      <c r="F40" s="3">
        <f t="shared" si="1"/>
        <v>680448.26132404176</v>
      </c>
      <c r="G40" s="3">
        <f t="shared" si="2"/>
        <v>210764460244.69928</v>
      </c>
      <c r="H40" s="3">
        <f t="shared" si="3"/>
        <v>16985314.285714287</v>
      </c>
      <c r="I40" s="3">
        <f t="shared" si="4"/>
        <v>509559.42857142858</v>
      </c>
      <c r="J40" s="3">
        <f t="shared" si="5"/>
        <v>210766498482.41354</v>
      </c>
    </row>
    <row r="41" spans="1:10" x14ac:dyDescent="0.25">
      <c r="A41" s="3">
        <v>40</v>
      </c>
      <c r="B41" s="3">
        <v>7.4142857142857146</v>
      </c>
      <c r="C41" s="3">
        <v>3.7523452157598502E-2</v>
      </c>
      <c r="D41" s="3">
        <v>2182.0242857142857</v>
      </c>
      <c r="E41" s="3">
        <f t="shared" si="0"/>
        <v>81.877083891718044</v>
      </c>
      <c r="F41" s="3">
        <f t="shared" si="1"/>
        <v>717243.25489145005</v>
      </c>
      <c r="G41" s="3">
        <f t="shared" si="2"/>
        <v>222161525896.18335</v>
      </c>
      <c r="H41" s="3">
        <f t="shared" si="3"/>
        <v>17456194.285714287</v>
      </c>
      <c r="I41" s="3">
        <f t="shared" si="4"/>
        <v>523685.8285714286</v>
      </c>
      <c r="J41" s="3">
        <f t="shared" si="5"/>
        <v>222163620639.49765</v>
      </c>
    </row>
    <row r="42" spans="1:10" x14ac:dyDescent="0.25">
      <c r="A42" s="3">
        <v>41</v>
      </c>
      <c r="B42" s="3">
        <v>7.4630357142857138</v>
      </c>
      <c r="C42" s="3">
        <v>3.8461538461538464E-2</v>
      </c>
      <c r="D42" s="3">
        <v>2196.371410714286</v>
      </c>
      <c r="E42" s="3">
        <f t="shared" si="0"/>
        <v>84.475823489011006</v>
      </c>
      <c r="F42" s="3">
        <f t="shared" si="1"/>
        <v>740008.21376373642</v>
      </c>
      <c r="G42" s="3">
        <f t="shared" si="2"/>
        <v>229212879496.96182</v>
      </c>
      <c r="H42" s="3">
        <f t="shared" si="3"/>
        <v>17570971.285714287</v>
      </c>
      <c r="I42" s="3">
        <f t="shared" si="4"/>
        <v>527129.1385714286</v>
      </c>
      <c r="J42" s="3">
        <f t="shared" si="5"/>
        <v>229214988013.51611</v>
      </c>
    </row>
    <row r="43" spans="1:10" x14ac:dyDescent="0.25">
      <c r="A43" s="3">
        <v>42</v>
      </c>
      <c r="B43" s="3">
        <v>7.4785714285714278</v>
      </c>
      <c r="C43" s="3">
        <v>3.9399624765478425E-2</v>
      </c>
      <c r="D43" s="3">
        <v>2200.9435714285714</v>
      </c>
      <c r="E43" s="3">
        <f t="shared" si="0"/>
        <v>86.71635084427767</v>
      </c>
      <c r="F43" s="3">
        <f t="shared" si="1"/>
        <v>759635.2333958724</v>
      </c>
      <c r="G43" s="3">
        <f t="shared" si="2"/>
        <v>235292276641.40814</v>
      </c>
      <c r="H43" s="3">
        <f t="shared" si="3"/>
        <v>17607548.571428571</v>
      </c>
      <c r="I43" s="3">
        <f t="shared" si="4"/>
        <v>528226.45714285714</v>
      </c>
      <c r="J43" s="3">
        <f t="shared" si="5"/>
        <v>235294389547.23672</v>
      </c>
    </row>
    <row r="44" spans="1:10" x14ac:dyDescent="0.25">
      <c r="A44" s="3">
        <v>43</v>
      </c>
      <c r="B44" s="3">
        <v>7.4826785714285711</v>
      </c>
      <c r="C44" s="3">
        <v>4.0337711069418386E-2</v>
      </c>
      <c r="D44" s="3">
        <v>2202.1523035714285</v>
      </c>
      <c r="E44" s="3">
        <f t="shared" si="0"/>
        <v>88.829783352318415</v>
      </c>
      <c r="F44" s="3">
        <f t="shared" si="1"/>
        <v>778148.9021663093</v>
      </c>
      <c r="G44" s="3">
        <f t="shared" si="2"/>
        <v>241026820431.16656</v>
      </c>
      <c r="H44" s="3">
        <f t="shared" si="3"/>
        <v>17617218.428571429</v>
      </c>
      <c r="I44" s="3">
        <f t="shared" si="4"/>
        <v>528516.55285714287</v>
      </c>
      <c r="J44" s="3">
        <f t="shared" si="5"/>
        <v>241028934497.37799</v>
      </c>
    </row>
    <row r="45" spans="1:10" x14ac:dyDescent="0.25">
      <c r="A45" s="3">
        <v>44</v>
      </c>
      <c r="B45" s="3">
        <v>7.5535714285714297</v>
      </c>
      <c r="C45" s="3">
        <v>4.1275797373358347E-2</v>
      </c>
      <c r="D45" s="3">
        <v>2223.0160714285716</v>
      </c>
      <c r="E45" s="3">
        <f t="shared" si="0"/>
        <v>91.75676092200483</v>
      </c>
      <c r="F45" s="3">
        <f t="shared" si="1"/>
        <v>803789.22567676229</v>
      </c>
      <c r="G45" s="3">
        <f t="shared" si="2"/>
        <v>248968802040.30902</v>
      </c>
      <c r="H45" s="3">
        <f t="shared" si="3"/>
        <v>17784128.571428575</v>
      </c>
      <c r="I45" s="3">
        <f t="shared" si="4"/>
        <v>533523.85714285728</v>
      </c>
      <c r="J45" s="3">
        <f t="shared" si="5"/>
        <v>248970936135.73761</v>
      </c>
    </row>
    <row r="46" spans="1:10" x14ac:dyDescent="0.25">
      <c r="A46" s="3">
        <v>45</v>
      </c>
      <c r="B46" s="3">
        <v>7.5880357142857138</v>
      </c>
      <c r="C46" s="3">
        <v>4.2213883677298308E-2</v>
      </c>
      <c r="D46" s="3">
        <v>2233.1589107142859</v>
      </c>
      <c r="E46" s="3">
        <f t="shared" si="0"/>
        <v>94.27031048981506</v>
      </c>
      <c r="F46" s="3">
        <f t="shared" si="1"/>
        <v>825807.91989077989</v>
      </c>
      <c r="G46" s="3">
        <f t="shared" si="2"/>
        <v>255789006777.11438</v>
      </c>
      <c r="H46" s="3">
        <f t="shared" si="3"/>
        <v>17865271.285714287</v>
      </c>
      <c r="I46" s="3">
        <f t="shared" si="4"/>
        <v>535958.1385714286</v>
      </c>
      <c r="J46" s="3">
        <f t="shared" si="5"/>
        <v>255791150609.66867</v>
      </c>
    </row>
    <row r="47" spans="1:10" x14ac:dyDescent="0.25">
      <c r="A47" s="3">
        <v>46</v>
      </c>
      <c r="B47" s="3">
        <v>7.5987500000000008</v>
      </c>
      <c r="C47" s="3">
        <v>4.3151969981238276E-2</v>
      </c>
      <c r="D47" s="3">
        <v>2236.3121250000004</v>
      </c>
      <c r="E47" s="3">
        <f t="shared" si="0"/>
        <v>96.501273686679198</v>
      </c>
      <c r="F47" s="3">
        <f t="shared" si="1"/>
        <v>845351.15749530972</v>
      </c>
      <c r="G47" s="3">
        <f t="shared" si="2"/>
        <v>261842454090.10532</v>
      </c>
      <c r="H47" s="3">
        <f t="shared" si="3"/>
        <v>17890497.000000004</v>
      </c>
      <c r="I47" s="3">
        <f t="shared" si="4"/>
        <v>536714.91000000015</v>
      </c>
      <c r="J47" s="3">
        <f t="shared" si="5"/>
        <v>261844600949.74533</v>
      </c>
    </row>
    <row r="48" spans="1:10" x14ac:dyDescent="0.25">
      <c r="A48" s="3">
        <v>47</v>
      </c>
      <c r="B48" s="3">
        <v>7.6678571428571418</v>
      </c>
      <c r="C48" s="3">
        <v>4.4090056285178238E-2</v>
      </c>
      <c r="D48" s="3">
        <v>2256.6503571428566</v>
      </c>
      <c r="E48" s="3">
        <f t="shared" si="0"/>
        <v>99.495841262396112</v>
      </c>
      <c r="F48" s="3">
        <f t="shared" si="1"/>
        <v>871583.56945859001</v>
      </c>
      <c r="G48" s="3">
        <f t="shared" si="2"/>
        <v>269967833556.78262</v>
      </c>
      <c r="H48" s="3">
        <f t="shared" si="3"/>
        <v>18053202.857142854</v>
      </c>
      <c r="I48" s="3">
        <f t="shared" si="4"/>
        <v>541596.08571428561</v>
      </c>
      <c r="J48" s="3">
        <f t="shared" si="5"/>
        <v>269969999941.12549</v>
      </c>
    </row>
    <row r="49" spans="1:10" x14ac:dyDescent="0.25">
      <c r="A49" s="3">
        <v>48</v>
      </c>
      <c r="B49" s="3">
        <v>7.8396428571428576</v>
      </c>
      <c r="C49" s="3">
        <v>4.5028142589118199E-2</v>
      </c>
      <c r="D49" s="3">
        <v>2307.206892857143</v>
      </c>
      <c r="E49" s="3">
        <f t="shared" si="0"/>
        <v>103.88924095416779</v>
      </c>
      <c r="F49" s="3">
        <f t="shared" si="1"/>
        <v>910069.75075850985</v>
      </c>
      <c r="G49" s="3">
        <f t="shared" si="2"/>
        <v>281888746737.89227</v>
      </c>
      <c r="H49" s="3">
        <f t="shared" si="3"/>
        <v>18457655.142857146</v>
      </c>
      <c r="I49" s="3">
        <f t="shared" si="4"/>
        <v>553729.65428571438</v>
      </c>
      <c r="J49" s="3">
        <f t="shared" si="5"/>
        <v>281890961656.5094</v>
      </c>
    </row>
    <row r="50" spans="1:10" x14ac:dyDescent="0.25">
      <c r="A50" s="3">
        <v>49</v>
      </c>
      <c r="B50" s="3">
        <v>7.875</v>
      </c>
      <c r="C50" s="3">
        <v>4.596622889305816E-2</v>
      </c>
      <c r="D50" s="3">
        <v>2317.6125000000002</v>
      </c>
      <c r="E50" s="3">
        <f t="shared" si="0"/>
        <v>106.53190666041276</v>
      </c>
      <c r="F50" s="3">
        <f t="shared" si="1"/>
        <v>933219.50234521576</v>
      </c>
      <c r="G50" s="3">
        <f t="shared" si="2"/>
        <v>289059292336.63538</v>
      </c>
      <c r="H50" s="3">
        <f t="shared" si="3"/>
        <v>18540900</v>
      </c>
      <c r="I50" s="3">
        <f t="shared" si="4"/>
        <v>556227</v>
      </c>
      <c r="J50" s="3">
        <f t="shared" si="5"/>
        <v>289061517244.63538</v>
      </c>
    </row>
    <row r="51" spans="1:10" x14ac:dyDescent="0.25">
      <c r="A51" s="3">
        <v>50</v>
      </c>
      <c r="B51" s="3">
        <v>7.8905357142857149</v>
      </c>
      <c r="C51" s="3">
        <v>4.6904315196998121E-2</v>
      </c>
      <c r="D51" s="3">
        <v>2322.1846607142861</v>
      </c>
      <c r="E51" s="3">
        <f t="shared" si="0"/>
        <v>108.92048127177702</v>
      </c>
      <c r="F51" s="3">
        <f t="shared" si="1"/>
        <v>954143.41594076669</v>
      </c>
      <c r="G51" s="3">
        <f t="shared" si="2"/>
        <v>295540397906.40723</v>
      </c>
      <c r="H51" s="3">
        <f t="shared" si="3"/>
        <v>18577477.285714287</v>
      </c>
      <c r="I51" s="3">
        <f t="shared" si="4"/>
        <v>557324.31857142865</v>
      </c>
      <c r="J51" s="3">
        <f t="shared" si="5"/>
        <v>295542627203.68146</v>
      </c>
    </row>
    <row r="52" spans="1:10" x14ac:dyDescent="0.25">
      <c r="A52" s="3">
        <v>51</v>
      </c>
      <c r="B52" s="3">
        <v>7.8930357142857135</v>
      </c>
      <c r="C52" s="3">
        <v>4.7842401500938089E-2</v>
      </c>
      <c r="D52" s="3">
        <v>2322.9204107142859</v>
      </c>
      <c r="E52" s="3">
        <f t="shared" si="0"/>
        <v>111.13409094411688</v>
      </c>
      <c r="F52" s="3">
        <f t="shared" si="1"/>
        <v>973534.63667046372</v>
      </c>
      <c r="G52" s="3">
        <f t="shared" si="2"/>
        <v>301546760838.29407</v>
      </c>
      <c r="H52" s="3">
        <f t="shared" si="3"/>
        <v>18583363.285714287</v>
      </c>
      <c r="I52" s="3">
        <f t="shared" si="4"/>
        <v>557500.89857142861</v>
      </c>
      <c r="J52" s="3">
        <f t="shared" si="5"/>
        <v>301548990841.88837</v>
      </c>
    </row>
    <row r="53" spans="1:10" x14ac:dyDescent="0.25">
      <c r="A53" s="3">
        <v>52</v>
      </c>
      <c r="B53" s="3">
        <v>7.9083928571428572</v>
      </c>
      <c r="C53" s="3">
        <v>4.878048780487805E-2</v>
      </c>
      <c r="D53" s="3">
        <v>2327.4400178571427</v>
      </c>
      <c r="E53" s="3">
        <f t="shared" si="0"/>
        <v>113.5336594076655</v>
      </c>
      <c r="F53" s="3">
        <f t="shared" si="1"/>
        <v>994554.85641114984</v>
      </c>
      <c r="G53" s="3">
        <f t="shared" si="2"/>
        <v>308057696954.30396</v>
      </c>
      <c r="H53" s="3">
        <f t="shared" si="3"/>
        <v>18619520.142857142</v>
      </c>
      <c r="I53" s="3">
        <f t="shared" si="4"/>
        <v>558585.60428571422</v>
      </c>
      <c r="J53" s="3">
        <f t="shared" si="5"/>
        <v>308059931296.72113</v>
      </c>
    </row>
    <row r="54" spans="1:10" x14ac:dyDescent="0.25">
      <c r="A54" s="3">
        <v>53</v>
      </c>
      <c r="B54" s="3">
        <v>7.9905357142857154</v>
      </c>
      <c r="C54" s="3">
        <v>4.9718574108818012E-2</v>
      </c>
      <c r="D54" s="3">
        <v>2351.6146607142864</v>
      </c>
      <c r="E54" s="3">
        <f t="shared" si="0"/>
        <v>116.91892778410617</v>
      </c>
      <c r="F54" s="3">
        <f t="shared" si="1"/>
        <v>1024209.80738877</v>
      </c>
      <c r="G54" s="3">
        <f t="shared" si="2"/>
        <v>317243192375.2912</v>
      </c>
      <c r="H54" s="3">
        <f t="shared" si="3"/>
        <v>18812917.285714291</v>
      </c>
      <c r="I54" s="3">
        <f t="shared" si="4"/>
        <v>564387.51857142872</v>
      </c>
      <c r="J54" s="3">
        <f t="shared" si="5"/>
        <v>317245449925.36548</v>
      </c>
    </row>
    <row r="55" spans="1:10" x14ac:dyDescent="0.25">
      <c r="A55" s="3">
        <v>54</v>
      </c>
      <c r="B55" s="3">
        <v>8</v>
      </c>
      <c r="C55" s="3">
        <v>5.0656660412757973E-2</v>
      </c>
      <c r="D55" s="3">
        <v>2354.4</v>
      </c>
      <c r="E55" s="3">
        <f t="shared" si="0"/>
        <v>119.26604127579738</v>
      </c>
      <c r="F55" s="3">
        <f t="shared" si="1"/>
        <v>1044770.521575985</v>
      </c>
      <c r="G55" s="3">
        <f t="shared" si="2"/>
        <v>323611799898.27399</v>
      </c>
      <c r="H55" s="3">
        <f t="shared" si="3"/>
        <v>18835200</v>
      </c>
      <c r="I55" s="3">
        <f t="shared" si="4"/>
        <v>565056</v>
      </c>
      <c r="J55" s="3">
        <f t="shared" si="5"/>
        <v>323614060122.27399</v>
      </c>
    </row>
    <row r="56" spans="1:10" x14ac:dyDescent="0.25">
      <c r="A56" s="3">
        <v>55</v>
      </c>
      <c r="B56" s="3">
        <v>8.0441071428571433</v>
      </c>
      <c r="C56" s="3">
        <v>5.1594746716697934E-2</v>
      </c>
      <c r="D56" s="3">
        <v>2367.3807321428571</v>
      </c>
      <c r="E56" s="3">
        <f t="shared" si="0"/>
        <v>122.14440925690162</v>
      </c>
      <c r="F56" s="3">
        <f t="shared" si="1"/>
        <v>1069985.0250904583</v>
      </c>
      <c r="G56" s="3">
        <f t="shared" si="2"/>
        <v>331421892802.27997</v>
      </c>
      <c r="H56" s="3">
        <f t="shared" si="3"/>
        <v>18939045.857142858</v>
      </c>
      <c r="I56" s="3">
        <f t="shared" si="4"/>
        <v>568171.37571428576</v>
      </c>
      <c r="J56" s="3">
        <f t="shared" si="5"/>
        <v>331424165487.78284</v>
      </c>
    </row>
    <row r="57" spans="1:10" x14ac:dyDescent="0.25">
      <c r="A57" s="3">
        <v>56</v>
      </c>
      <c r="B57" s="3">
        <v>8.1258928571428584</v>
      </c>
      <c r="C57" s="3">
        <v>5.2532833020637902E-2</v>
      </c>
      <c r="D57" s="3">
        <v>2391.4502678571434</v>
      </c>
      <c r="E57" s="3">
        <f t="shared" si="0"/>
        <v>125.62965759849911</v>
      </c>
      <c r="F57" s="3">
        <f t="shared" si="1"/>
        <v>1100515.8005628523</v>
      </c>
      <c r="G57" s="3">
        <f t="shared" si="2"/>
        <v>340878671936.07819</v>
      </c>
      <c r="H57" s="3">
        <f t="shared" si="3"/>
        <v>19131602.142857149</v>
      </c>
      <c r="I57" s="3">
        <f t="shared" si="4"/>
        <v>573948.06428571441</v>
      </c>
      <c r="J57" s="3">
        <f t="shared" si="5"/>
        <v>340880967728.33533</v>
      </c>
    </row>
    <row r="58" spans="1:10" x14ac:dyDescent="0.25">
      <c r="A58" s="3">
        <v>57</v>
      </c>
      <c r="B58" s="3">
        <v>8.1608928571428585</v>
      </c>
      <c r="C58" s="3">
        <v>5.3470919324577863E-2</v>
      </c>
      <c r="D58" s="3">
        <v>2401.7507678571437</v>
      </c>
      <c r="E58" s="3">
        <f t="shared" si="0"/>
        <v>128.42382154583225</v>
      </c>
      <c r="F58" s="3">
        <f t="shared" si="1"/>
        <v>1124992.6767414906</v>
      </c>
      <c r="G58" s="3">
        <f t="shared" si="2"/>
        <v>348460289893.80768</v>
      </c>
      <c r="H58" s="3">
        <f t="shared" si="3"/>
        <v>19214006.142857149</v>
      </c>
      <c r="I58" s="3">
        <f t="shared" si="4"/>
        <v>576420.18428571441</v>
      </c>
      <c r="J58" s="3">
        <f t="shared" si="5"/>
        <v>348462595574.5448</v>
      </c>
    </row>
    <row r="59" spans="1:10" x14ac:dyDescent="0.25">
      <c r="A59" s="3">
        <v>58</v>
      </c>
      <c r="B59" s="3">
        <v>8.2142857142857135</v>
      </c>
      <c r="C59" s="3">
        <v>5.4409005628517824E-2</v>
      </c>
      <c r="D59" s="3">
        <v>2417.4642857142858</v>
      </c>
      <c r="E59" s="3">
        <f t="shared" si="0"/>
        <v>131.53182792816941</v>
      </c>
      <c r="F59" s="3">
        <f t="shared" si="1"/>
        <v>1152218.8126507641</v>
      </c>
      <c r="G59" s="3">
        <f t="shared" si="2"/>
        <v>356893476359.87567</v>
      </c>
      <c r="H59" s="3">
        <f t="shared" si="3"/>
        <v>19339714.285714287</v>
      </c>
      <c r="I59" s="3">
        <f t="shared" si="4"/>
        <v>580191.42857142864</v>
      </c>
      <c r="J59" s="3">
        <f t="shared" si="5"/>
        <v>356895797125.58997</v>
      </c>
    </row>
    <row r="60" spans="1:10" x14ac:dyDescent="0.25">
      <c r="A60" s="3">
        <v>59</v>
      </c>
      <c r="B60" s="3">
        <v>8.2591071428571432</v>
      </c>
      <c r="C60" s="3">
        <v>5.5347091932457786E-2</v>
      </c>
      <c r="D60" s="3">
        <v>2430.6552321428571</v>
      </c>
      <c r="E60" s="3">
        <f t="shared" si="0"/>
        <v>134.52969858952022</v>
      </c>
      <c r="F60" s="3">
        <f t="shared" si="1"/>
        <v>1178480.1596441972</v>
      </c>
      <c r="G60" s="3">
        <f t="shared" si="2"/>
        <v>365027825213.58722</v>
      </c>
      <c r="H60" s="3">
        <f t="shared" si="3"/>
        <v>19445241.857142858</v>
      </c>
      <c r="I60" s="3">
        <f t="shared" si="4"/>
        <v>583357.25571428577</v>
      </c>
      <c r="J60" s="3">
        <f t="shared" si="5"/>
        <v>365030158642.61011</v>
      </c>
    </row>
    <row r="61" spans="1:10" x14ac:dyDescent="0.25">
      <c r="A61" s="3">
        <v>60</v>
      </c>
      <c r="B61" s="3">
        <v>8.2774999999999999</v>
      </c>
      <c r="C61" s="3">
        <v>5.6285178236397747E-2</v>
      </c>
      <c r="D61" s="3">
        <v>2436.0682499999998</v>
      </c>
      <c r="E61" s="3">
        <f t="shared" si="0"/>
        <v>137.11453564727952</v>
      </c>
      <c r="F61" s="3">
        <f t="shared" si="1"/>
        <v>1201123.3322701687</v>
      </c>
      <c r="G61" s="3">
        <f t="shared" si="2"/>
        <v>372041464521.99701</v>
      </c>
      <c r="H61" s="3">
        <f t="shared" si="3"/>
        <v>19488546</v>
      </c>
      <c r="I61" s="3">
        <f t="shared" si="4"/>
        <v>584656.38</v>
      </c>
      <c r="J61" s="3">
        <f t="shared" si="5"/>
        <v>372043803147.51703</v>
      </c>
    </row>
    <row r="62" spans="1:10" x14ac:dyDescent="0.25">
      <c r="A62" s="3">
        <v>61</v>
      </c>
      <c r="B62" s="3">
        <v>8.2896428571428569</v>
      </c>
      <c r="C62" s="3">
        <v>5.7223264540337708E-2</v>
      </c>
      <c r="D62" s="3">
        <v>2439.6418928571429</v>
      </c>
      <c r="E62" s="3">
        <f t="shared" si="0"/>
        <v>139.60427341865451</v>
      </c>
      <c r="F62" s="3">
        <f t="shared" si="1"/>
        <v>1222933.4351474135</v>
      </c>
      <c r="G62" s="3">
        <f t="shared" si="2"/>
        <v>378797065119.19971</v>
      </c>
      <c r="H62" s="3">
        <f t="shared" si="3"/>
        <v>19517135.142857142</v>
      </c>
      <c r="I62" s="3">
        <f t="shared" si="4"/>
        <v>585514.05428571429</v>
      </c>
      <c r="J62" s="3">
        <f t="shared" si="5"/>
        <v>378799407175.41681</v>
      </c>
    </row>
    <row r="63" spans="1:10" x14ac:dyDescent="0.25">
      <c r="A63" s="3">
        <v>62</v>
      </c>
      <c r="B63" s="3">
        <v>8.2969642857142851</v>
      </c>
      <c r="C63" s="3">
        <v>5.8161350844277676E-2</v>
      </c>
      <c r="D63" s="3">
        <v>2441.7965892857142</v>
      </c>
      <c r="E63" s="3">
        <f t="shared" si="0"/>
        <v>142.01818811980701</v>
      </c>
      <c r="F63" s="3">
        <f t="shared" si="1"/>
        <v>1244079.3279295093</v>
      </c>
      <c r="G63" s="3">
        <f t="shared" si="2"/>
        <v>385346930295.98987</v>
      </c>
      <c r="H63" s="3">
        <f t="shared" si="3"/>
        <v>19534372.714285713</v>
      </c>
      <c r="I63" s="3">
        <f t="shared" si="4"/>
        <v>586031.18142857135</v>
      </c>
      <c r="J63" s="3">
        <f t="shared" si="5"/>
        <v>385349274420.71564</v>
      </c>
    </row>
    <row r="64" spans="1:10" x14ac:dyDescent="0.25">
      <c r="A64" s="3">
        <v>63</v>
      </c>
      <c r="B64" s="3">
        <v>8.3012499999999996</v>
      </c>
      <c r="C64" s="3">
        <v>5.9099437148217637E-2</v>
      </c>
      <c r="D64" s="3">
        <v>2443.057875</v>
      </c>
      <c r="E64" s="3">
        <f t="shared" si="0"/>
        <v>144.38334533302063</v>
      </c>
      <c r="F64" s="3">
        <f t="shared" si="1"/>
        <v>1264798.1051172607</v>
      </c>
      <c r="G64" s="3">
        <f t="shared" si="2"/>
        <v>391764498750.4856</v>
      </c>
      <c r="H64" s="3">
        <f t="shared" si="3"/>
        <v>19544463</v>
      </c>
      <c r="I64" s="3">
        <f t="shared" si="4"/>
        <v>586333.89</v>
      </c>
      <c r="J64" s="3">
        <f t="shared" si="5"/>
        <v>391766844086.04559</v>
      </c>
    </row>
    <row r="65" spans="1:10" x14ac:dyDescent="0.25">
      <c r="A65" s="3">
        <v>64</v>
      </c>
      <c r="B65" s="3">
        <v>8.312678571428572</v>
      </c>
      <c r="C65" s="3">
        <v>6.0037523452157598E-2</v>
      </c>
      <c r="D65" s="3">
        <v>2446.4213035714288</v>
      </c>
      <c r="E65" s="3">
        <f t="shared" si="0"/>
        <v>146.87707638702761</v>
      </c>
      <c r="F65" s="3">
        <f t="shared" si="1"/>
        <v>1286643.1891503618</v>
      </c>
      <c r="G65" s="3">
        <f t="shared" si="2"/>
        <v>398530934841.68555</v>
      </c>
      <c r="H65" s="3">
        <f t="shared" si="3"/>
        <v>19571370.428571429</v>
      </c>
      <c r="I65" s="3">
        <f t="shared" si="4"/>
        <v>587141.11285714281</v>
      </c>
      <c r="J65" s="3">
        <f t="shared" si="5"/>
        <v>398533283406.13696</v>
      </c>
    </row>
    <row r="66" spans="1:10" x14ac:dyDescent="0.25">
      <c r="A66" s="3">
        <v>65</v>
      </c>
      <c r="B66" s="3">
        <v>8.3235714285714284</v>
      </c>
      <c r="C66" s="3">
        <v>6.097560975609756E-2</v>
      </c>
      <c r="D66" s="3">
        <v>2449.6270714285715</v>
      </c>
      <c r="E66" s="3">
        <f t="shared" si="0"/>
        <v>149.36750435540071</v>
      </c>
      <c r="F66" s="3">
        <f t="shared" si="1"/>
        <v>1308459.3381533104</v>
      </c>
      <c r="G66" s="3">
        <f t="shared" si="2"/>
        <v>405288408558.59985</v>
      </c>
      <c r="H66" s="3">
        <f t="shared" si="3"/>
        <v>19597016.571428571</v>
      </c>
      <c r="I66" s="3">
        <f t="shared" si="4"/>
        <v>587910.49714285706</v>
      </c>
      <c r="J66" s="3">
        <f t="shared" si="5"/>
        <v>405290760200.58844</v>
      </c>
    </row>
    <row r="67" spans="1:10" x14ac:dyDescent="0.25">
      <c r="A67" s="3">
        <v>66</v>
      </c>
      <c r="B67" s="3">
        <v>8.3392857142857135</v>
      </c>
      <c r="C67" s="3">
        <v>6.1913696060037521E-2</v>
      </c>
      <c r="D67" s="3">
        <v>2454.2517857142857</v>
      </c>
      <c r="E67" s="3">
        <f t="shared" si="0"/>
        <v>151.95179911551861</v>
      </c>
      <c r="F67" s="3">
        <f t="shared" si="1"/>
        <v>1331097.760251943</v>
      </c>
      <c r="G67" s="3">
        <f t="shared" si="2"/>
        <v>412300577164.34753</v>
      </c>
      <c r="H67" s="3">
        <f t="shared" si="3"/>
        <v>19634014.285714287</v>
      </c>
      <c r="I67" s="3">
        <f t="shared" si="4"/>
        <v>589020.42857142864</v>
      </c>
      <c r="J67" s="3">
        <f t="shared" si="5"/>
        <v>412302933246.06183</v>
      </c>
    </row>
    <row r="68" spans="1:10" x14ac:dyDescent="0.25">
      <c r="A68" s="3">
        <v>67</v>
      </c>
      <c r="B68" s="3">
        <v>8.350714285714286</v>
      </c>
      <c r="C68" s="3">
        <v>6.2851782363977482E-2</v>
      </c>
      <c r="D68" s="3">
        <v>2457.6152142857145</v>
      </c>
      <c r="E68" s="3">
        <f t="shared" si="0"/>
        <v>154.4654965826856</v>
      </c>
      <c r="F68" s="3">
        <f t="shared" si="1"/>
        <v>1353117.750064326</v>
      </c>
      <c r="G68" s="3">
        <f t="shared" si="2"/>
        <v>419121189716.50549</v>
      </c>
      <c r="H68" s="3">
        <f t="shared" si="3"/>
        <v>19660921.714285716</v>
      </c>
      <c r="I68" s="3">
        <f t="shared" si="4"/>
        <v>589827.65142857144</v>
      </c>
      <c r="J68" s="3">
        <f t="shared" si="5"/>
        <v>419123549027.11121</v>
      </c>
    </row>
    <row r="69" spans="1:10" x14ac:dyDescent="0.25">
      <c r="A69" s="3">
        <v>68</v>
      </c>
      <c r="B69" s="3">
        <v>8.3728571428571428</v>
      </c>
      <c r="C69" s="3">
        <v>6.3789868667917443E-2</v>
      </c>
      <c r="D69" s="3">
        <v>2464.1318571428574</v>
      </c>
      <c r="E69" s="3">
        <f t="shared" si="0"/>
        <v>157.18664754757438</v>
      </c>
      <c r="F69" s="3">
        <f t="shared" si="1"/>
        <v>1376955.0325167517</v>
      </c>
      <c r="G69" s="3">
        <f t="shared" si="2"/>
        <v>426504699359.383</v>
      </c>
      <c r="H69" s="3">
        <f t="shared" si="3"/>
        <v>19713054.857142858</v>
      </c>
      <c r="I69" s="3">
        <f t="shared" si="4"/>
        <v>591391.64571428567</v>
      </c>
      <c r="J69" s="3">
        <f t="shared" si="5"/>
        <v>426507064925.96582</v>
      </c>
    </row>
    <row r="70" spans="1:10" x14ac:dyDescent="0.25">
      <c r="A70" s="3">
        <v>69</v>
      </c>
      <c r="B70" s="3">
        <v>8.3737500000000011</v>
      </c>
      <c r="C70" s="3">
        <v>6.4727954971857404E-2</v>
      </c>
      <c r="D70" s="3">
        <v>2464.3946250000004</v>
      </c>
      <c r="E70" s="3">
        <f t="shared" si="0"/>
        <v>159.51522431988744</v>
      </c>
      <c r="F70" s="3">
        <f t="shared" si="1"/>
        <v>1397353.3650422138</v>
      </c>
      <c r="G70" s="3">
        <f t="shared" si="2"/>
        <v>432823012145.21906</v>
      </c>
      <c r="H70" s="3">
        <f t="shared" si="3"/>
        <v>19715157.000000004</v>
      </c>
      <c r="I70" s="3">
        <f t="shared" si="4"/>
        <v>591454.71000000008</v>
      </c>
      <c r="J70" s="3">
        <f t="shared" si="5"/>
        <v>432825377964.05908</v>
      </c>
    </row>
    <row r="71" spans="1:10" x14ac:dyDescent="0.25">
      <c r="A71" s="3">
        <v>70</v>
      </c>
      <c r="B71" s="3">
        <v>8.3757142857142863</v>
      </c>
      <c r="C71" s="3">
        <v>6.5666041275797379E-2</v>
      </c>
      <c r="D71" s="3">
        <v>2464.9727142857146</v>
      </c>
      <c r="E71" s="3">
        <f t="shared" si="0"/>
        <v>161.86500000000004</v>
      </c>
      <c r="F71" s="3">
        <f t="shared" si="1"/>
        <v>1417937.4000000004</v>
      </c>
      <c r="G71" s="3">
        <f t="shared" si="2"/>
        <v>439198845315.28986</v>
      </c>
      <c r="H71" s="3">
        <f t="shared" si="3"/>
        <v>19719781.714285716</v>
      </c>
      <c r="I71" s="3">
        <f t="shared" si="4"/>
        <v>591593.45142857148</v>
      </c>
      <c r="J71" s="3">
        <f t="shared" si="5"/>
        <v>439201211689.09558</v>
      </c>
    </row>
    <row r="72" spans="1:10" x14ac:dyDescent="0.25">
      <c r="A72" s="3">
        <v>71</v>
      </c>
      <c r="B72" s="3">
        <v>8.3957142857142859</v>
      </c>
      <c r="C72" s="3">
        <v>6.6604127579737341E-2</v>
      </c>
      <c r="D72" s="3">
        <v>2470.8587142857145</v>
      </c>
      <c r="E72" s="3">
        <f t="shared" si="0"/>
        <v>164.5693890377915</v>
      </c>
      <c r="F72" s="3">
        <f t="shared" si="1"/>
        <v>1441627.8479710536</v>
      </c>
      <c r="G72" s="3">
        <f t="shared" si="2"/>
        <v>446536874090.18762</v>
      </c>
      <c r="H72" s="3">
        <f t="shared" si="3"/>
        <v>19766869.714285716</v>
      </c>
      <c r="I72" s="3">
        <f t="shared" si="4"/>
        <v>593006.0914285715</v>
      </c>
      <c r="J72" s="3">
        <f t="shared" si="5"/>
        <v>446539246114.55334</v>
      </c>
    </row>
    <row r="73" spans="1:10" x14ac:dyDescent="0.25">
      <c r="A73" s="3">
        <v>72</v>
      </c>
      <c r="B73" s="3">
        <v>8.3989285714285717</v>
      </c>
      <c r="C73" s="3">
        <v>6.7542213883677302E-2</v>
      </c>
      <c r="D73" s="3">
        <v>2471.8046785714287</v>
      </c>
      <c r="E73" s="3">
        <f t="shared" si="0"/>
        <v>166.95116027874565</v>
      </c>
      <c r="F73" s="3">
        <f t="shared" si="1"/>
        <v>1462492.1640418118</v>
      </c>
      <c r="G73" s="3">
        <f t="shared" si="2"/>
        <v>452999523013.67029</v>
      </c>
      <c r="H73" s="3">
        <f t="shared" si="3"/>
        <v>19774437.428571429</v>
      </c>
      <c r="I73" s="3">
        <f t="shared" si="4"/>
        <v>593233.12285714282</v>
      </c>
      <c r="J73" s="3">
        <f t="shared" si="5"/>
        <v>453001895946.16174</v>
      </c>
    </row>
    <row r="74" spans="1:10" x14ac:dyDescent="0.25">
      <c r="A74" s="3">
        <v>73</v>
      </c>
      <c r="B74" s="3">
        <v>8.4108928571428567</v>
      </c>
      <c r="C74" s="3">
        <v>6.8480300187617263E-2</v>
      </c>
      <c r="D74" s="3">
        <v>2475.3257678571426</v>
      </c>
      <c r="E74" s="3">
        <f t="shared" si="0"/>
        <v>169.51105164500132</v>
      </c>
      <c r="F74" s="3">
        <f t="shared" si="1"/>
        <v>1484916.8124102114</v>
      </c>
      <c r="G74" s="3">
        <f t="shared" si="2"/>
        <v>459945477004.39392</v>
      </c>
      <c r="H74" s="3">
        <f t="shared" si="3"/>
        <v>19802606.142857142</v>
      </c>
      <c r="I74" s="3">
        <f t="shared" si="4"/>
        <v>594078.18428571417</v>
      </c>
      <c r="J74" s="3">
        <f t="shared" si="5"/>
        <v>459947853317.13104</v>
      </c>
    </row>
    <row r="75" spans="1:10" x14ac:dyDescent="0.25">
      <c r="A75" s="3">
        <v>74</v>
      </c>
      <c r="B75" s="3">
        <v>8.4137500000000003</v>
      </c>
      <c r="C75" s="3">
        <v>6.9418386491557224E-2</v>
      </c>
      <c r="D75" s="3">
        <v>2476.1666249999998</v>
      </c>
      <c r="E75" s="3">
        <f t="shared" si="0"/>
        <v>171.89149179174484</v>
      </c>
      <c r="F75" s="3">
        <f t="shared" si="1"/>
        <v>1505769.4680956849</v>
      </c>
      <c r="G75" s="3">
        <f t="shared" si="2"/>
        <v>466404514264.71582</v>
      </c>
      <c r="H75" s="3">
        <f t="shared" si="3"/>
        <v>19809333</v>
      </c>
      <c r="I75" s="3">
        <f t="shared" si="4"/>
        <v>594279.99</v>
      </c>
      <c r="J75" s="3">
        <f t="shared" si="5"/>
        <v>466406891384.67578</v>
      </c>
    </row>
    <row r="76" spans="1:10" x14ac:dyDescent="0.25">
      <c r="A76" s="3">
        <v>75</v>
      </c>
      <c r="B76" s="3">
        <v>8.463571428571429</v>
      </c>
      <c r="C76" s="3">
        <v>7.0356472795497185E-2</v>
      </c>
      <c r="D76" s="3">
        <v>2490.8290714285718</v>
      </c>
      <c r="E76" s="3">
        <f t="shared" si="0"/>
        <v>175.24594780219783</v>
      </c>
      <c r="F76" s="3">
        <f t="shared" si="1"/>
        <v>1535154.5027472528</v>
      </c>
      <c r="G76" s="3">
        <f t="shared" si="2"/>
        <v>475506413167.78491</v>
      </c>
      <c r="H76" s="3">
        <f t="shared" si="3"/>
        <v>19926632.571428575</v>
      </c>
      <c r="I76" s="3">
        <f t="shared" si="4"/>
        <v>597798.97714285727</v>
      </c>
      <c r="J76" s="3">
        <f t="shared" si="5"/>
        <v>475508804363.69354</v>
      </c>
    </row>
    <row r="77" spans="1:10" x14ac:dyDescent="0.25">
      <c r="A77" s="3">
        <v>76</v>
      </c>
      <c r="B77" s="3">
        <v>8.466785714285713</v>
      </c>
      <c r="C77" s="3">
        <v>7.1294559099437146E-2</v>
      </c>
      <c r="D77" s="3">
        <v>2491.7750357142859</v>
      </c>
      <c r="E77" s="3">
        <f t="shared" si="0"/>
        <v>177.65000254623425</v>
      </c>
      <c r="F77" s="3">
        <f t="shared" si="1"/>
        <v>1556214.0223050122</v>
      </c>
      <c r="G77" s="3">
        <f t="shared" si="2"/>
        <v>482029525697.0777</v>
      </c>
      <c r="H77" s="3">
        <f t="shared" si="3"/>
        <v>19934200.285714287</v>
      </c>
      <c r="I77" s="3">
        <f t="shared" si="4"/>
        <v>598026.0085714286</v>
      </c>
      <c r="J77" s="3">
        <f t="shared" si="5"/>
        <v>482031917801.11194</v>
      </c>
    </row>
    <row r="78" spans="1:10" x14ac:dyDescent="0.25">
      <c r="A78" s="3">
        <v>77</v>
      </c>
      <c r="B78" s="3">
        <v>8.5980357142857144</v>
      </c>
      <c r="C78" s="3">
        <v>7.2232645403377108E-2</v>
      </c>
      <c r="D78" s="3">
        <v>2530.4019107142858</v>
      </c>
      <c r="E78" s="3">
        <f t="shared" si="0"/>
        <v>182.7776239446529</v>
      </c>
      <c r="F78" s="3">
        <f t="shared" si="1"/>
        <v>1601131.9857551595</v>
      </c>
      <c r="G78" s="3">
        <f t="shared" si="2"/>
        <v>495942672634.48132</v>
      </c>
      <c r="H78" s="3">
        <f t="shared" si="3"/>
        <v>20243215.285714287</v>
      </c>
      <c r="I78" s="3">
        <f t="shared" si="4"/>
        <v>607296.45857142855</v>
      </c>
      <c r="J78" s="3">
        <f t="shared" si="5"/>
        <v>495945101820.31561</v>
      </c>
    </row>
    <row r="79" spans="1:10" x14ac:dyDescent="0.25">
      <c r="A79" s="3">
        <v>78</v>
      </c>
      <c r="B79" s="3">
        <v>8.6091071428571446</v>
      </c>
      <c r="C79" s="3">
        <v>7.3170731707317069E-2</v>
      </c>
      <c r="D79" s="3">
        <v>2533.6602321428577</v>
      </c>
      <c r="E79" s="3">
        <f t="shared" si="0"/>
        <v>185.38977308362371</v>
      </c>
      <c r="F79" s="3">
        <f t="shared" si="1"/>
        <v>1624014.4122125437</v>
      </c>
      <c r="G79" s="3">
        <f t="shared" si="2"/>
        <v>503030422059.22876</v>
      </c>
      <c r="H79" s="3">
        <f t="shared" si="3"/>
        <v>20269281.857142862</v>
      </c>
      <c r="I79" s="3">
        <f t="shared" si="4"/>
        <v>608078.45571428584</v>
      </c>
      <c r="J79" s="3">
        <f t="shared" si="5"/>
        <v>503032854373.05157</v>
      </c>
    </row>
    <row r="80" spans="1:10" x14ac:dyDescent="0.25">
      <c r="A80" s="3">
        <v>79</v>
      </c>
      <c r="B80" s="3">
        <v>8.6317857142857157</v>
      </c>
      <c r="C80" s="3">
        <v>7.410881801125703E-2</v>
      </c>
      <c r="D80" s="3">
        <v>2540.3345357142862</v>
      </c>
      <c r="E80" s="3">
        <f t="shared" si="0"/>
        <v>188.26118979496115</v>
      </c>
      <c r="F80" s="3">
        <f t="shared" si="1"/>
        <v>1649168.0226038597</v>
      </c>
      <c r="G80" s="3">
        <f t="shared" si="2"/>
        <v>510821659582.85034</v>
      </c>
      <c r="H80" s="3">
        <f t="shared" si="3"/>
        <v>20322676.285714291</v>
      </c>
      <c r="I80" s="3">
        <f t="shared" si="4"/>
        <v>609680.28857142874</v>
      </c>
      <c r="J80" s="3">
        <f t="shared" si="5"/>
        <v>510824098304.00464</v>
      </c>
    </row>
    <row r="81" spans="1:10" x14ac:dyDescent="0.25">
      <c r="A81" s="3">
        <v>80</v>
      </c>
      <c r="B81" s="3">
        <v>8.6748214285714269</v>
      </c>
      <c r="C81" s="3">
        <v>7.5046904315197005E-2</v>
      </c>
      <c r="D81" s="3">
        <v>2552.9999464285715</v>
      </c>
      <c r="E81" s="3">
        <f t="shared" si="0"/>
        <v>191.5947426963281</v>
      </c>
      <c r="F81" s="3">
        <f t="shared" si="1"/>
        <v>1678369.9460198341</v>
      </c>
      <c r="G81" s="3">
        <f t="shared" si="2"/>
        <v>519866842330.36731</v>
      </c>
      <c r="H81" s="3">
        <f t="shared" si="3"/>
        <v>20423999.571428571</v>
      </c>
      <c r="I81" s="3">
        <f t="shared" si="4"/>
        <v>612719.98714285705</v>
      </c>
      <c r="J81" s="3">
        <f t="shared" si="5"/>
        <v>519869293210.31586</v>
      </c>
    </row>
    <row r="82" spans="1:10" x14ac:dyDescent="0.25">
      <c r="A82" s="3">
        <v>81</v>
      </c>
      <c r="B82" s="3">
        <v>8.7419642857142854</v>
      </c>
      <c r="C82" s="3">
        <v>7.5984990619136966E-2</v>
      </c>
      <c r="D82" s="3">
        <v>2572.7600892857145</v>
      </c>
      <c r="E82" s="3">
        <f t="shared" si="0"/>
        <v>195.49115124966499</v>
      </c>
      <c r="F82" s="3">
        <f t="shared" si="1"/>
        <v>1712502.4849470654</v>
      </c>
      <c r="G82" s="3">
        <f t="shared" si="2"/>
        <v>530439259389.7984</v>
      </c>
      <c r="H82" s="3">
        <f t="shared" si="3"/>
        <v>20582080.714285716</v>
      </c>
      <c r="I82" s="3">
        <f t="shared" si="4"/>
        <v>617462.42142857146</v>
      </c>
      <c r="J82" s="3">
        <f t="shared" si="5"/>
        <v>530441729239.48413</v>
      </c>
    </row>
    <row r="83" spans="1:10" x14ac:dyDescent="0.25">
      <c r="A83" s="3">
        <v>82</v>
      </c>
      <c r="B83" s="3">
        <v>8.8294642857142858</v>
      </c>
      <c r="C83" s="3">
        <v>7.6923076923076927E-2</v>
      </c>
      <c r="D83" s="3">
        <v>2598.5113392857147</v>
      </c>
      <c r="E83" s="3">
        <f t="shared" si="0"/>
        <v>199.88548763736267</v>
      </c>
      <c r="F83" s="3">
        <f t="shared" si="1"/>
        <v>1750996.8717032971</v>
      </c>
      <c r="G83" s="3">
        <f t="shared" si="2"/>
        <v>542362737995.7309</v>
      </c>
      <c r="H83" s="3">
        <f t="shared" si="3"/>
        <v>20788090.714285716</v>
      </c>
      <c r="I83" s="3">
        <f t="shared" si="4"/>
        <v>623642.7214285715</v>
      </c>
      <c r="J83" s="3">
        <f t="shared" si="5"/>
        <v>542365232566.61664</v>
      </c>
    </row>
    <row r="84" spans="1:10" x14ac:dyDescent="0.25">
      <c r="A84" s="3">
        <v>83</v>
      </c>
      <c r="B84" s="3">
        <v>8.8444642857142846</v>
      </c>
      <c r="C84" s="3">
        <v>7.7861163227016889E-2</v>
      </c>
      <c r="D84" s="3">
        <v>2602.9258392857141</v>
      </c>
      <c r="E84" s="3">
        <f t="shared" si="0"/>
        <v>202.66683364044491</v>
      </c>
      <c r="F84" s="3">
        <f t="shared" si="1"/>
        <v>1775361.4626902973</v>
      </c>
      <c r="G84" s="3">
        <f t="shared" si="2"/>
        <v>549909581653.77576</v>
      </c>
      <c r="H84" s="3">
        <f t="shared" si="3"/>
        <v>20823406.714285713</v>
      </c>
      <c r="I84" s="3">
        <f t="shared" si="4"/>
        <v>624702.20142857137</v>
      </c>
      <c r="J84" s="3">
        <f t="shared" si="5"/>
        <v>549912080462.58142</v>
      </c>
    </row>
    <row r="85" spans="1:10" x14ac:dyDescent="0.25">
      <c r="A85" s="3">
        <v>84</v>
      </c>
      <c r="B85" s="3">
        <v>8.8462499999999995</v>
      </c>
      <c r="C85" s="3">
        <v>7.879924953095685E-2</v>
      </c>
      <c r="D85" s="3">
        <v>2603.4513750000001</v>
      </c>
      <c r="E85" s="3">
        <f t="shared" si="0"/>
        <v>205.15001454033774</v>
      </c>
      <c r="F85" s="3">
        <f t="shared" si="1"/>
        <v>1797114.1273733587</v>
      </c>
      <c r="G85" s="3">
        <f t="shared" si="2"/>
        <v>556647393894.9209</v>
      </c>
      <c r="H85" s="3">
        <f t="shared" si="3"/>
        <v>20827611</v>
      </c>
      <c r="I85" s="3">
        <f t="shared" si="4"/>
        <v>624828.32999999996</v>
      </c>
      <c r="J85" s="3">
        <f t="shared" si="5"/>
        <v>556649893208.24084</v>
      </c>
    </row>
    <row r="86" spans="1:10" x14ac:dyDescent="0.25">
      <c r="A86" s="3">
        <v>85</v>
      </c>
      <c r="B86" s="3">
        <v>8.887321428571429</v>
      </c>
      <c r="C86" s="3">
        <v>7.9737335834896811E-2</v>
      </c>
      <c r="D86" s="3">
        <v>2615.5386964285717</v>
      </c>
      <c r="E86" s="3">
        <f t="shared" si="0"/>
        <v>208.55608742629323</v>
      </c>
      <c r="F86" s="3">
        <f t="shared" si="1"/>
        <v>1826951.3258543285</v>
      </c>
      <c r="G86" s="3">
        <f t="shared" si="2"/>
        <v>565889351454.36414</v>
      </c>
      <c r="H86" s="3">
        <f t="shared" si="3"/>
        <v>20924309.571428575</v>
      </c>
      <c r="I86" s="3">
        <f t="shared" si="4"/>
        <v>627729.28714285721</v>
      </c>
      <c r="J86" s="3">
        <f t="shared" si="5"/>
        <v>565891862371.5127</v>
      </c>
    </row>
    <row r="87" spans="1:10" x14ac:dyDescent="0.25">
      <c r="A87" s="3">
        <v>86</v>
      </c>
      <c r="B87" s="3">
        <v>8.904285714285713</v>
      </c>
      <c r="C87" s="3">
        <v>8.0675422138836772E-2</v>
      </c>
      <c r="D87" s="3">
        <v>2620.5312857142858</v>
      </c>
      <c r="E87" s="3">
        <f t="shared" si="0"/>
        <v>211.41246770302868</v>
      </c>
      <c r="F87" s="3">
        <f t="shared" si="1"/>
        <v>1851973.2170785312</v>
      </c>
      <c r="G87" s="3">
        <f t="shared" si="2"/>
        <v>573639791035.41382</v>
      </c>
      <c r="H87" s="3">
        <f t="shared" si="3"/>
        <v>20964250.285714287</v>
      </c>
      <c r="I87" s="3">
        <f t="shared" si="4"/>
        <v>628927.5085714286</v>
      </c>
      <c r="J87" s="3">
        <f t="shared" si="5"/>
        <v>573642306745.44812</v>
      </c>
    </row>
    <row r="88" spans="1:10" x14ac:dyDescent="0.25">
      <c r="A88" s="3">
        <v>87</v>
      </c>
      <c r="B88" s="3">
        <v>8.9075000000000006</v>
      </c>
      <c r="C88" s="3">
        <v>8.1613508442776733E-2</v>
      </c>
      <c r="D88" s="3">
        <v>2621.4772499999999</v>
      </c>
      <c r="E88" s="3">
        <f t="shared" si="0"/>
        <v>213.94795567542212</v>
      </c>
      <c r="F88" s="3">
        <f t="shared" si="1"/>
        <v>1874184.0917166979</v>
      </c>
      <c r="G88" s="3">
        <f t="shared" si="2"/>
        <v>580519531823.7533</v>
      </c>
      <c r="H88" s="3">
        <f t="shared" si="3"/>
        <v>20971818</v>
      </c>
      <c r="I88" s="3">
        <f t="shared" si="4"/>
        <v>629154.53999999992</v>
      </c>
      <c r="J88" s="3">
        <f t="shared" si="5"/>
        <v>580522048441.91333</v>
      </c>
    </row>
    <row r="89" spans="1:10" x14ac:dyDescent="0.25">
      <c r="A89" s="3">
        <v>88</v>
      </c>
      <c r="B89" s="3">
        <v>8.9083928571428554</v>
      </c>
      <c r="C89" s="3">
        <v>8.2551594746716694E-2</v>
      </c>
      <c r="D89" s="3">
        <v>2621.7400178571429</v>
      </c>
      <c r="E89" s="3">
        <f t="shared" si="0"/>
        <v>216.42881948539264</v>
      </c>
      <c r="F89" s="3">
        <f t="shared" si="1"/>
        <v>1895916.4586920396</v>
      </c>
      <c r="G89" s="3">
        <f t="shared" si="2"/>
        <v>587251057172.30347</v>
      </c>
      <c r="H89" s="3">
        <f t="shared" si="3"/>
        <v>20973920.142857142</v>
      </c>
      <c r="I89" s="3">
        <f t="shared" si="4"/>
        <v>629217.60428571422</v>
      </c>
      <c r="J89" s="3">
        <f t="shared" si="5"/>
        <v>587253574042.72058</v>
      </c>
    </row>
    <row r="90" spans="1:10" x14ac:dyDescent="0.25">
      <c r="A90" s="3">
        <v>89</v>
      </c>
      <c r="B90" s="3">
        <v>8.9092857142857156</v>
      </c>
      <c r="C90" s="3">
        <v>8.3489681050656656E-2</v>
      </c>
      <c r="D90" s="3">
        <v>2622.0027857142863</v>
      </c>
      <c r="E90" s="3">
        <f t="shared" si="0"/>
        <v>218.91017629321902</v>
      </c>
      <c r="F90" s="3">
        <f t="shared" si="1"/>
        <v>1917653.1443285986</v>
      </c>
      <c r="G90" s="3">
        <f t="shared" si="2"/>
        <v>593983920211.2478</v>
      </c>
      <c r="H90" s="3">
        <f t="shared" si="3"/>
        <v>20976022.285714291</v>
      </c>
      <c r="I90" s="3">
        <f t="shared" si="4"/>
        <v>629280.66857142875</v>
      </c>
      <c r="J90" s="3">
        <f t="shared" si="5"/>
        <v>593986437333.92212</v>
      </c>
    </row>
    <row r="91" spans="1:10" x14ac:dyDescent="0.25">
      <c r="A91" s="3">
        <v>90</v>
      </c>
      <c r="B91" s="3">
        <v>8.913392857142858</v>
      </c>
      <c r="C91" s="3">
        <v>8.4427767354596617E-2</v>
      </c>
      <c r="D91" s="3">
        <v>2623.211517857143</v>
      </c>
      <c r="E91" s="3">
        <f t="shared" si="0"/>
        <v>221.47189175154114</v>
      </c>
      <c r="F91" s="3">
        <f t="shared" si="1"/>
        <v>1940093.7717435006</v>
      </c>
      <c r="G91" s="3">
        <f t="shared" si="2"/>
        <v>600934825876.29211</v>
      </c>
      <c r="H91" s="3">
        <f t="shared" si="3"/>
        <v>20985692.142857146</v>
      </c>
      <c r="I91" s="3">
        <f t="shared" si="4"/>
        <v>629570.76428571437</v>
      </c>
      <c r="J91" s="3">
        <f t="shared" si="5"/>
        <v>600937344159.34924</v>
      </c>
    </row>
    <row r="92" spans="1:10" x14ac:dyDescent="0.25">
      <c r="A92" s="3">
        <v>91</v>
      </c>
      <c r="B92" s="3">
        <v>8.949642857142857</v>
      </c>
      <c r="C92" s="3">
        <v>8.5365853658536592E-2</v>
      </c>
      <c r="D92" s="3">
        <v>2633.8798928571427</v>
      </c>
      <c r="E92" s="3">
        <f t="shared" si="0"/>
        <v>224.84340548780489</v>
      </c>
      <c r="F92" s="3">
        <f t="shared" si="1"/>
        <v>1969628.2320731711</v>
      </c>
      <c r="G92" s="3">
        <f t="shared" si="2"/>
        <v>610083012701.3031</v>
      </c>
      <c r="H92" s="3">
        <f t="shared" si="3"/>
        <v>21071039.142857142</v>
      </c>
      <c r="I92" s="3">
        <f t="shared" si="4"/>
        <v>632131.17428571428</v>
      </c>
      <c r="J92" s="3">
        <f t="shared" si="5"/>
        <v>610085541226.00024</v>
      </c>
    </row>
    <row r="93" spans="1:10" x14ac:dyDescent="0.25">
      <c r="A93" s="3">
        <v>92</v>
      </c>
      <c r="B93" s="3">
        <v>8.9678571428571434</v>
      </c>
      <c r="C93" s="3">
        <v>8.6303939962476553E-2</v>
      </c>
      <c r="D93" s="3">
        <v>2639.2403571428576</v>
      </c>
      <c r="E93" s="3">
        <f t="shared" si="0"/>
        <v>227.77684132940237</v>
      </c>
      <c r="F93" s="3">
        <f t="shared" si="1"/>
        <v>1995325.1300455648</v>
      </c>
      <c r="G93" s="3">
        <f t="shared" si="2"/>
        <v>618042532937.77893</v>
      </c>
      <c r="H93" s="3">
        <f t="shared" si="3"/>
        <v>21113922.857142862</v>
      </c>
      <c r="I93" s="3">
        <f t="shared" si="4"/>
        <v>633417.68571428582</v>
      </c>
      <c r="J93" s="3">
        <f t="shared" si="5"/>
        <v>618045066608.52173</v>
      </c>
    </row>
    <row r="94" spans="1:10" x14ac:dyDescent="0.25">
      <c r="A94" s="3">
        <v>93</v>
      </c>
      <c r="B94" s="3">
        <v>9</v>
      </c>
      <c r="C94" s="3">
        <v>8.7242026266416514E-2</v>
      </c>
      <c r="D94" s="3">
        <v>2648.7</v>
      </c>
      <c r="E94" s="3">
        <f t="shared" si="0"/>
        <v>231.07795497185739</v>
      </c>
      <c r="F94" s="3">
        <f t="shared" si="1"/>
        <v>2024242.8855534708</v>
      </c>
      <c r="G94" s="3">
        <f t="shared" si="2"/>
        <v>626999698734.90588</v>
      </c>
      <c r="H94" s="3">
        <f t="shared" si="3"/>
        <v>21189600</v>
      </c>
      <c r="I94" s="3">
        <f t="shared" si="4"/>
        <v>635688</v>
      </c>
      <c r="J94" s="3">
        <f t="shared" si="5"/>
        <v>627002241486.90588</v>
      </c>
    </row>
    <row r="95" spans="1:10" x14ac:dyDescent="0.25">
      <c r="A95" s="3">
        <v>94</v>
      </c>
      <c r="B95" s="3">
        <v>9.0523214285714282</v>
      </c>
      <c r="C95" s="3">
        <v>8.8180112570356475E-2</v>
      </c>
      <c r="D95" s="3">
        <v>2664.0981964285716</v>
      </c>
      <c r="E95" s="3">
        <f t="shared" si="0"/>
        <v>234.92047885955509</v>
      </c>
      <c r="F95" s="3">
        <f t="shared" si="1"/>
        <v>2057903.3948097026</v>
      </c>
      <c r="G95" s="3">
        <f t="shared" si="2"/>
        <v>637425910421.73889</v>
      </c>
      <c r="H95" s="3">
        <f t="shared" si="3"/>
        <v>21312785.571428571</v>
      </c>
      <c r="I95" s="3">
        <f t="shared" si="4"/>
        <v>639383.56714285712</v>
      </c>
      <c r="J95" s="3">
        <f t="shared" si="5"/>
        <v>637428467956.00745</v>
      </c>
    </row>
    <row r="96" spans="1:10" x14ac:dyDescent="0.25">
      <c r="A96" s="3">
        <v>95</v>
      </c>
      <c r="B96" s="3">
        <v>9.0526785714285705</v>
      </c>
      <c r="C96" s="3">
        <v>8.9118198874296436E-2</v>
      </c>
      <c r="D96" s="3">
        <v>2664.203303571428</v>
      </c>
      <c r="E96" s="3">
        <f t="shared" si="0"/>
        <v>237.42899984923608</v>
      </c>
      <c r="F96" s="3">
        <f t="shared" si="1"/>
        <v>2079878.038679308</v>
      </c>
      <c r="G96" s="3">
        <f t="shared" si="2"/>
        <v>644232480352.74792</v>
      </c>
      <c r="H96" s="3">
        <f t="shared" si="3"/>
        <v>21313626.428571425</v>
      </c>
      <c r="I96" s="3">
        <f t="shared" si="4"/>
        <v>639408.79285714275</v>
      </c>
      <c r="J96" s="3">
        <f t="shared" si="5"/>
        <v>644235037987.91931</v>
      </c>
    </row>
    <row r="97" spans="1:10" x14ac:dyDescent="0.25">
      <c r="A97" s="3">
        <v>96</v>
      </c>
      <c r="B97" s="3">
        <v>9.0655357142857138</v>
      </c>
      <c r="C97" s="3">
        <v>9.0056285178236398E-2</v>
      </c>
      <c r="D97" s="3">
        <v>2667.9871607142859</v>
      </c>
      <c r="E97" s="3">
        <f t="shared" si="0"/>
        <v>240.26901259715896</v>
      </c>
      <c r="F97" s="3">
        <f t="shared" si="1"/>
        <v>2104756.5503511126</v>
      </c>
      <c r="G97" s="3">
        <f t="shared" si="2"/>
        <v>651938509773.099</v>
      </c>
      <c r="H97" s="3">
        <f t="shared" si="3"/>
        <v>21343897.285714287</v>
      </c>
      <c r="I97" s="3">
        <f t="shared" si="4"/>
        <v>640316.91857142863</v>
      </c>
      <c r="J97" s="3">
        <f t="shared" si="5"/>
        <v>651941071040.77332</v>
      </c>
    </row>
    <row r="98" spans="1:10" x14ac:dyDescent="0.25">
      <c r="A98" s="3">
        <v>97</v>
      </c>
      <c r="B98" s="3">
        <v>9.0792857142857137</v>
      </c>
      <c r="C98" s="3">
        <v>9.0994371482176359E-2</v>
      </c>
      <c r="D98" s="3">
        <v>2672.0337857142858</v>
      </c>
      <c r="E98" s="3">
        <f t="shared" si="0"/>
        <v>243.14003491021174</v>
      </c>
      <c r="F98" s="3">
        <f t="shared" si="1"/>
        <v>2129906.7058134549</v>
      </c>
      <c r="G98" s="3">
        <f t="shared" si="2"/>
        <v>659728679666.97693</v>
      </c>
      <c r="H98" s="3">
        <f t="shared" si="3"/>
        <v>21376270.285714287</v>
      </c>
      <c r="I98" s="3">
        <f t="shared" si="4"/>
        <v>641288.10857142857</v>
      </c>
      <c r="J98" s="3">
        <f t="shared" si="5"/>
        <v>659731244819.41113</v>
      </c>
    </row>
    <row r="99" spans="1:10" x14ac:dyDescent="0.25">
      <c r="A99" s="3">
        <v>98</v>
      </c>
      <c r="B99" s="3">
        <v>9.1071428571428577</v>
      </c>
      <c r="C99" s="3">
        <v>9.193245778611632E-2</v>
      </c>
      <c r="D99" s="3">
        <v>2680.2321428571427</v>
      </c>
      <c r="E99" s="3">
        <f t="shared" si="0"/>
        <v>246.40032833020635</v>
      </c>
      <c r="F99" s="3">
        <f t="shared" si="1"/>
        <v>2158466.8761726078</v>
      </c>
      <c r="G99" s="3">
        <f t="shared" si="2"/>
        <v>668575085910.31311</v>
      </c>
      <c r="H99" s="3">
        <f t="shared" si="3"/>
        <v>21441857.142857142</v>
      </c>
      <c r="I99" s="3">
        <f t="shared" si="4"/>
        <v>643255.7142857142</v>
      </c>
      <c r="J99" s="3">
        <f t="shared" si="5"/>
        <v>668577658933.17017</v>
      </c>
    </row>
    <row r="100" spans="1:10" x14ac:dyDescent="0.25">
      <c r="A100" s="3">
        <v>99</v>
      </c>
      <c r="B100" s="3">
        <v>9.1216071428571439</v>
      </c>
      <c r="C100" s="3">
        <v>9.2870544090056281E-2</v>
      </c>
      <c r="D100" s="3">
        <v>2684.4889821428578</v>
      </c>
      <c r="E100" s="3">
        <f t="shared" si="0"/>
        <v>249.3099523753686</v>
      </c>
      <c r="F100" s="3">
        <f t="shared" si="1"/>
        <v>2183955.1828082292</v>
      </c>
      <c r="G100" s="3">
        <f t="shared" si="2"/>
        <v>676469996760.23767</v>
      </c>
      <c r="H100" s="3">
        <f t="shared" si="3"/>
        <v>21475911.857142862</v>
      </c>
      <c r="I100" s="3">
        <f t="shared" si="4"/>
        <v>644277.35571428586</v>
      </c>
      <c r="J100" s="3">
        <f t="shared" si="5"/>
        <v>676472573869.66052</v>
      </c>
    </row>
    <row r="101" spans="1:10" x14ac:dyDescent="0.25">
      <c r="A101" s="3">
        <v>100</v>
      </c>
      <c r="B101" s="3">
        <v>9.1291071428571442</v>
      </c>
      <c r="C101" s="3">
        <v>9.3808630393996242E-2</v>
      </c>
      <c r="D101" s="3">
        <v>2686.6962321428578</v>
      </c>
      <c r="E101" s="3">
        <f t="shared" si="0"/>
        <v>252.03529382203166</v>
      </c>
      <c r="F101" s="3">
        <f t="shared" si="1"/>
        <v>2207829.1738809971</v>
      </c>
      <c r="G101" s="3">
        <f t="shared" si="2"/>
        <v>683864880908.4812</v>
      </c>
      <c r="H101" s="3">
        <f t="shared" si="3"/>
        <v>21493569.857142862</v>
      </c>
      <c r="I101" s="3">
        <f t="shared" si="4"/>
        <v>644807.09571428585</v>
      </c>
      <c r="J101" s="3">
        <f t="shared" si="5"/>
        <v>683867460136.86401</v>
      </c>
    </row>
    <row r="102" spans="1:10" x14ac:dyDescent="0.25">
      <c r="A102" s="3">
        <v>101</v>
      </c>
      <c r="B102" s="3">
        <v>9.1521428571428594</v>
      </c>
      <c r="C102" s="3">
        <v>9.4746716697936204E-2</v>
      </c>
      <c r="D102" s="3">
        <v>2693.4756428571432</v>
      </c>
      <c r="E102" s="3">
        <f t="shared" si="0"/>
        <v>255.19797366657733</v>
      </c>
      <c r="F102" s="3">
        <f t="shared" si="1"/>
        <v>2235534.2493192172</v>
      </c>
      <c r="G102" s="3">
        <f t="shared" si="2"/>
        <v>692446425815.98914</v>
      </c>
      <c r="H102" s="3">
        <f t="shared" si="3"/>
        <v>21547805.142857146</v>
      </c>
      <c r="I102" s="3">
        <f t="shared" si="4"/>
        <v>646434.15428571438</v>
      </c>
      <c r="J102" s="3">
        <f t="shared" si="5"/>
        <v>692449011552.60632</v>
      </c>
    </row>
    <row r="103" spans="1:10" x14ac:dyDescent="0.25">
      <c r="A103" s="3">
        <v>102</v>
      </c>
      <c r="B103" s="3">
        <v>9.2226785714285704</v>
      </c>
      <c r="C103" s="3">
        <v>9.5684803001876179E-2</v>
      </c>
      <c r="D103" s="3">
        <v>2714.234303571428</v>
      </c>
      <c r="E103" s="3">
        <f t="shared" si="0"/>
        <v>259.71097463816665</v>
      </c>
      <c r="F103" s="3">
        <f t="shared" si="1"/>
        <v>2275068.1378303398</v>
      </c>
      <c r="G103" s="3">
        <f t="shared" si="2"/>
        <v>704691891292.6488</v>
      </c>
      <c r="H103" s="3">
        <f t="shared" si="3"/>
        <v>21713874.428571425</v>
      </c>
      <c r="I103" s="3">
        <f t="shared" si="4"/>
        <v>651416.23285714269</v>
      </c>
      <c r="J103" s="3">
        <f t="shared" si="5"/>
        <v>704694496957.58032</v>
      </c>
    </row>
    <row r="104" spans="1:10" x14ac:dyDescent="0.25">
      <c r="A104" s="3">
        <v>103</v>
      </c>
      <c r="B104" s="3">
        <v>9.2241071428571431</v>
      </c>
      <c r="C104" s="3">
        <v>9.662288930581614E-2</v>
      </c>
      <c r="D104" s="3">
        <v>2714.6547321428579</v>
      </c>
      <c r="E104" s="3">
        <f t="shared" si="0"/>
        <v>262.29778368734935</v>
      </c>
      <c r="F104" s="3">
        <f t="shared" si="1"/>
        <v>2297728.5851011802</v>
      </c>
      <c r="G104" s="3">
        <f t="shared" si="2"/>
        <v>711710886155.521</v>
      </c>
      <c r="H104" s="3">
        <f t="shared" si="3"/>
        <v>21717237.857142862</v>
      </c>
      <c r="I104" s="3">
        <f t="shared" si="4"/>
        <v>651517.13571428589</v>
      </c>
      <c r="J104" s="3">
        <f t="shared" si="5"/>
        <v>711713492224.06384</v>
      </c>
    </row>
    <row r="105" spans="1:10" x14ac:dyDescent="0.25">
      <c r="A105" s="3">
        <v>104</v>
      </c>
      <c r="B105" s="3">
        <v>9.25</v>
      </c>
      <c r="C105" s="3">
        <v>9.7560975609756101E-2</v>
      </c>
      <c r="D105" s="3">
        <v>2722.2750000000001</v>
      </c>
      <c r="E105" s="3">
        <f t="shared" si="0"/>
        <v>265.58780487804881</v>
      </c>
      <c r="F105" s="3">
        <f t="shared" si="1"/>
        <v>2326549.1707317075</v>
      </c>
      <c r="G105" s="3">
        <f t="shared" si="2"/>
        <v>720637955684.5824</v>
      </c>
      <c r="H105" s="3">
        <f t="shared" si="3"/>
        <v>21778200</v>
      </c>
      <c r="I105" s="3">
        <f t="shared" si="4"/>
        <v>653346</v>
      </c>
      <c r="J105" s="3">
        <f t="shared" si="5"/>
        <v>720640569068.5824</v>
      </c>
    </row>
    <row r="106" spans="1:10" x14ac:dyDescent="0.25">
      <c r="A106" s="3">
        <v>105</v>
      </c>
      <c r="B106" s="3">
        <v>9.2548214285714288</v>
      </c>
      <c r="C106" s="3">
        <v>9.8499061913696062E-2</v>
      </c>
      <c r="D106" s="3">
        <v>2723.693946428572</v>
      </c>
      <c r="E106" s="3">
        <f t="shared" si="0"/>
        <v>268.28129866322706</v>
      </c>
      <c r="F106" s="3">
        <f t="shared" si="1"/>
        <v>2350144.176289869</v>
      </c>
      <c r="G106" s="3">
        <f t="shared" si="2"/>
        <v>727946425790.14368</v>
      </c>
      <c r="H106" s="3">
        <f t="shared" si="3"/>
        <v>21789551.571428575</v>
      </c>
      <c r="I106" s="3">
        <f t="shared" si="4"/>
        <v>653686.54714285722</v>
      </c>
      <c r="J106" s="3">
        <f t="shared" si="5"/>
        <v>727949040536.33228</v>
      </c>
    </row>
    <row r="107" spans="1:10" x14ac:dyDescent="0.25">
      <c r="A107" s="3">
        <v>106</v>
      </c>
      <c r="B107" s="3">
        <v>9.2701785714285716</v>
      </c>
      <c r="C107" s="3">
        <v>9.9437148217636023E-2</v>
      </c>
      <c r="D107" s="3">
        <v>2728.2135535714292</v>
      </c>
      <c r="E107" s="3">
        <f t="shared" si="0"/>
        <v>271.28577549584566</v>
      </c>
      <c r="F107" s="3">
        <f t="shared" si="1"/>
        <v>2376463.3933436079</v>
      </c>
      <c r="G107" s="3">
        <f t="shared" si="2"/>
        <v>736098708019.62109</v>
      </c>
      <c r="H107" s="3">
        <f t="shared" si="3"/>
        <v>21825708.428571433</v>
      </c>
      <c r="I107" s="3">
        <f t="shared" si="4"/>
        <v>654771.25285714294</v>
      </c>
      <c r="J107" s="3">
        <f t="shared" si="5"/>
        <v>736101327104.63245</v>
      </c>
    </row>
    <row r="108" spans="1:10" x14ac:dyDescent="0.25">
      <c r="A108" s="3">
        <v>107</v>
      </c>
      <c r="B108" s="3">
        <v>9.2898214285714289</v>
      </c>
      <c r="C108" s="3">
        <v>0.10037523452157598</v>
      </c>
      <c r="D108" s="3">
        <v>2733.9944464285718</v>
      </c>
      <c r="E108" s="3">
        <f t="shared" si="0"/>
        <v>274.42533374095422</v>
      </c>
      <c r="F108" s="3">
        <f t="shared" si="1"/>
        <v>2403965.9235707591</v>
      </c>
      <c r="G108" s="3">
        <f t="shared" si="2"/>
        <v>744617516206.22668</v>
      </c>
      <c r="H108" s="3">
        <f t="shared" si="3"/>
        <v>21871955.571428575</v>
      </c>
      <c r="I108" s="3">
        <f t="shared" si="4"/>
        <v>656158.66714285722</v>
      </c>
      <c r="J108" s="3">
        <f t="shared" si="5"/>
        <v>744620140840.89526</v>
      </c>
    </row>
    <row r="109" spans="1:10" x14ac:dyDescent="0.25">
      <c r="A109" s="3">
        <v>108</v>
      </c>
      <c r="B109" s="3">
        <v>9.3030357142857127</v>
      </c>
      <c r="C109" s="3">
        <v>0.10131332082551595</v>
      </c>
      <c r="D109" s="3">
        <v>2737.8834107142848</v>
      </c>
      <c r="E109" s="3">
        <f t="shared" si="0"/>
        <v>277.38406037255419</v>
      </c>
      <c r="F109" s="3">
        <f t="shared" si="1"/>
        <v>2429884.3688635747</v>
      </c>
      <c r="G109" s="3">
        <f t="shared" si="2"/>
        <v>752645661372.55542</v>
      </c>
      <c r="H109" s="3">
        <f t="shared" si="3"/>
        <v>21903067.28571428</v>
      </c>
      <c r="I109" s="3">
        <f t="shared" si="4"/>
        <v>657092.01857142837</v>
      </c>
      <c r="J109" s="3">
        <f t="shared" si="5"/>
        <v>752648289740.62964</v>
      </c>
    </row>
    <row r="110" spans="1:10" x14ac:dyDescent="0.25">
      <c r="A110" s="3">
        <v>109</v>
      </c>
      <c r="B110" s="3">
        <v>9.305535714285714</v>
      </c>
      <c r="C110" s="3">
        <v>0.10225140712945591</v>
      </c>
      <c r="D110" s="3">
        <v>2738.619160714286</v>
      </c>
      <c r="E110" s="3">
        <f t="shared" si="0"/>
        <v>280.02766277472529</v>
      </c>
      <c r="F110" s="3">
        <f t="shared" si="1"/>
        <v>2453042.3259065934</v>
      </c>
      <c r="G110" s="3">
        <f t="shared" si="2"/>
        <v>759818757866.11035</v>
      </c>
      <c r="H110" s="3">
        <f t="shared" si="3"/>
        <v>21908953.285714287</v>
      </c>
      <c r="I110" s="3">
        <f t="shared" si="4"/>
        <v>657268.59857142856</v>
      </c>
      <c r="J110" s="3">
        <f t="shared" si="5"/>
        <v>759821386940.50452</v>
      </c>
    </row>
    <row r="111" spans="1:10" x14ac:dyDescent="0.25">
      <c r="A111" s="3">
        <v>110</v>
      </c>
      <c r="B111" s="3">
        <v>9.3125</v>
      </c>
      <c r="C111" s="3">
        <v>0.10318949343339587</v>
      </c>
      <c r="D111" s="3">
        <v>2740.6687499999998</v>
      </c>
      <c r="E111" s="3">
        <f t="shared" si="0"/>
        <v>282.80821998123827</v>
      </c>
      <c r="F111" s="3">
        <f t="shared" si="1"/>
        <v>2477400.0070356471</v>
      </c>
      <c r="G111" s="3">
        <f t="shared" si="2"/>
        <v>767363463489.83887</v>
      </c>
      <c r="H111" s="3">
        <f t="shared" si="3"/>
        <v>21925350</v>
      </c>
      <c r="I111" s="3">
        <f t="shared" si="4"/>
        <v>657760.5</v>
      </c>
      <c r="J111" s="3">
        <f t="shared" si="5"/>
        <v>767366094531.83887</v>
      </c>
    </row>
    <row r="112" spans="1:10" x14ac:dyDescent="0.25">
      <c r="A112" s="3">
        <v>111</v>
      </c>
      <c r="B112" s="3">
        <v>9.3407142857142862</v>
      </c>
      <c r="C112" s="3">
        <v>0.10412757973733583</v>
      </c>
      <c r="D112" s="3">
        <v>2748.9722142857145</v>
      </c>
      <c r="E112" s="3">
        <f t="shared" si="0"/>
        <v>286.24382343875635</v>
      </c>
      <c r="F112" s="3">
        <f t="shared" si="1"/>
        <v>2507495.8933235053</v>
      </c>
      <c r="G112" s="3">
        <f t="shared" si="2"/>
        <v>776685552336.38721</v>
      </c>
      <c r="H112" s="3">
        <f t="shared" si="3"/>
        <v>21991777.714285716</v>
      </c>
      <c r="I112" s="3">
        <f t="shared" si="4"/>
        <v>659753.33142857149</v>
      </c>
      <c r="J112" s="3">
        <f t="shared" si="5"/>
        <v>776688191349.71289</v>
      </c>
    </row>
    <row r="113" spans="1:10" x14ac:dyDescent="0.25">
      <c r="A113" s="3">
        <v>112</v>
      </c>
      <c r="B113" s="3">
        <v>9.4173214285714284</v>
      </c>
      <c r="C113" s="3">
        <v>0.1050656660412758</v>
      </c>
      <c r="D113" s="3">
        <v>2771.5176964285715</v>
      </c>
      <c r="E113" s="3">
        <f t="shared" si="0"/>
        <v>291.19135272045031</v>
      </c>
      <c r="F113" s="3">
        <f t="shared" si="1"/>
        <v>2550836.2498311447</v>
      </c>
      <c r="G113" s="3">
        <f t="shared" si="2"/>
        <v>790110056410.99121</v>
      </c>
      <c r="H113" s="3">
        <f t="shared" si="3"/>
        <v>22172141.571428571</v>
      </c>
      <c r="I113" s="3">
        <f t="shared" si="4"/>
        <v>665164.24714285706</v>
      </c>
      <c r="J113" s="3">
        <f t="shared" si="5"/>
        <v>790112717067.97986</v>
      </c>
    </row>
    <row r="114" spans="1:10" x14ac:dyDescent="0.25">
      <c r="A114" s="3">
        <v>113</v>
      </c>
      <c r="B114" s="3">
        <v>9.4180357142857147</v>
      </c>
      <c r="C114" s="3">
        <v>0.10600375234521577</v>
      </c>
      <c r="D114" s="3">
        <v>2771.7279107142863</v>
      </c>
      <c r="E114" s="3">
        <f t="shared" si="0"/>
        <v>293.81355901567952</v>
      </c>
      <c r="F114" s="3">
        <f t="shared" si="1"/>
        <v>2573806.7769773523</v>
      </c>
      <c r="G114" s="3">
        <f t="shared" si="2"/>
        <v>797225097645.95959</v>
      </c>
      <c r="H114" s="3">
        <f t="shared" si="3"/>
        <v>22173823.285714291</v>
      </c>
      <c r="I114" s="3">
        <f t="shared" si="4"/>
        <v>665214.69857142866</v>
      </c>
      <c r="J114" s="3">
        <f t="shared" si="5"/>
        <v>797227758504.75391</v>
      </c>
    </row>
    <row r="115" spans="1:10" x14ac:dyDescent="0.25">
      <c r="A115" s="3">
        <v>114</v>
      </c>
      <c r="B115" s="3">
        <v>9.4460714285714289</v>
      </c>
      <c r="C115" s="3">
        <v>0.10694183864915573</v>
      </c>
      <c r="D115" s="3">
        <v>2779.9788214285718</v>
      </c>
      <c r="E115" s="3">
        <f t="shared" si="0"/>
        <v>297.29604656928444</v>
      </c>
      <c r="F115" s="3">
        <f t="shared" si="1"/>
        <v>2604313.3679469316</v>
      </c>
      <c r="G115" s="3">
        <f t="shared" si="2"/>
        <v>806674400899.43115</v>
      </c>
      <c r="H115" s="3">
        <f t="shared" si="3"/>
        <v>22239830.571428575</v>
      </c>
      <c r="I115" s="3">
        <f t="shared" si="4"/>
        <v>667194.91714285722</v>
      </c>
      <c r="J115" s="3">
        <f t="shared" si="5"/>
        <v>806677069679.09973</v>
      </c>
    </row>
    <row r="116" spans="1:10" x14ac:dyDescent="0.25">
      <c r="A116" s="3">
        <v>115</v>
      </c>
      <c r="B116" s="3">
        <v>9.4744642857142853</v>
      </c>
      <c r="C116" s="3">
        <v>0.10787992495309569</v>
      </c>
      <c r="D116" s="3">
        <v>2788.3348392857147</v>
      </c>
      <c r="E116" s="3">
        <f t="shared" si="0"/>
        <v>300.805353206245</v>
      </c>
      <c r="F116" s="3">
        <f t="shared" si="1"/>
        <v>2635054.8940867065</v>
      </c>
      <c r="G116" s="3">
        <f t="shared" si="2"/>
        <v>816196474409.43469</v>
      </c>
      <c r="H116" s="3">
        <f t="shared" si="3"/>
        <v>22306678.714285716</v>
      </c>
      <c r="I116" s="3">
        <f t="shared" si="4"/>
        <v>669200.36142857152</v>
      </c>
      <c r="J116" s="3">
        <f t="shared" si="5"/>
        <v>816199151210.88037</v>
      </c>
    </row>
    <row r="117" spans="1:10" x14ac:dyDescent="0.25">
      <c r="A117" s="3">
        <v>116</v>
      </c>
      <c r="B117" s="3">
        <v>9.5292857142857148</v>
      </c>
      <c r="C117" s="3">
        <v>0.10881801125703565</v>
      </c>
      <c r="D117" s="3">
        <v>2804.4687857142862</v>
      </c>
      <c r="E117" s="3">
        <f t="shared" si="0"/>
        <v>305.17671589386231</v>
      </c>
      <c r="F117" s="3">
        <f t="shared" si="1"/>
        <v>2673348.0312302336</v>
      </c>
      <c r="G117" s="3">
        <f t="shared" si="2"/>
        <v>828057625875.61707</v>
      </c>
      <c r="H117" s="3">
        <f t="shared" si="3"/>
        <v>22435750.285714291</v>
      </c>
      <c r="I117" s="3">
        <f t="shared" si="4"/>
        <v>673072.50857142871</v>
      </c>
      <c r="J117" s="3">
        <f t="shared" si="5"/>
        <v>828060318165.65137</v>
      </c>
    </row>
    <row r="118" spans="1:10" x14ac:dyDescent="0.25">
      <c r="A118" s="3">
        <v>117</v>
      </c>
      <c r="B118" s="3">
        <v>9.5807142857142846</v>
      </c>
      <c r="C118" s="3">
        <v>0.10975609756097561</v>
      </c>
      <c r="D118" s="3">
        <v>2819.6042142857141</v>
      </c>
      <c r="E118" s="3">
        <f t="shared" si="0"/>
        <v>309.46875522648082</v>
      </c>
      <c r="F118" s="3">
        <f t="shared" si="1"/>
        <v>2710946.2957839719</v>
      </c>
      <c r="G118" s="3">
        <f t="shared" si="2"/>
        <v>839703543915.97791</v>
      </c>
      <c r="H118" s="3">
        <f t="shared" si="3"/>
        <v>22556833.714285713</v>
      </c>
      <c r="I118" s="3">
        <f t="shared" si="4"/>
        <v>676705.01142857131</v>
      </c>
      <c r="J118" s="3">
        <f t="shared" si="5"/>
        <v>839706250736.02368</v>
      </c>
    </row>
    <row r="119" spans="1:10" x14ac:dyDescent="0.25">
      <c r="A119" s="3">
        <v>118</v>
      </c>
      <c r="B119" s="3">
        <v>9.5978571428571424</v>
      </c>
      <c r="C119" s="3">
        <v>0.11069418386491557</v>
      </c>
      <c r="D119" s="3">
        <v>2824.6493571428578</v>
      </c>
      <c r="E119" s="3">
        <f t="shared" si="0"/>
        <v>312.67225529348707</v>
      </c>
      <c r="F119" s="3">
        <f t="shared" si="1"/>
        <v>2739008.956370947</v>
      </c>
      <c r="G119" s="3">
        <f t="shared" si="2"/>
        <v>848395851253.00879</v>
      </c>
      <c r="H119" s="3">
        <f t="shared" si="3"/>
        <v>22597194.857142862</v>
      </c>
      <c r="I119" s="3">
        <f t="shared" si="4"/>
        <v>677915.84571428585</v>
      </c>
      <c r="J119" s="3">
        <f t="shared" si="5"/>
        <v>848398562916.3916</v>
      </c>
    </row>
    <row r="120" spans="1:10" x14ac:dyDescent="0.25">
      <c r="A120" s="3">
        <v>119</v>
      </c>
      <c r="B120" s="3">
        <v>9.6544642857142868</v>
      </c>
      <c r="C120" s="3">
        <v>0.11163227016885553</v>
      </c>
      <c r="D120" s="3">
        <v>2841.3088392857144</v>
      </c>
      <c r="E120" s="3">
        <f t="shared" si="0"/>
        <v>317.18175598030018</v>
      </c>
      <c r="F120" s="3">
        <f t="shared" si="1"/>
        <v>2778512.1823874298</v>
      </c>
      <c r="G120" s="3">
        <f t="shared" si="2"/>
        <v>860631823063.08215</v>
      </c>
      <c r="H120" s="3">
        <f t="shared" si="3"/>
        <v>22730470.714285716</v>
      </c>
      <c r="I120" s="3">
        <f t="shared" si="4"/>
        <v>681914.12142857153</v>
      </c>
      <c r="J120" s="3">
        <f t="shared" si="5"/>
        <v>860634550719.56787</v>
      </c>
    </row>
    <row r="121" spans="1:10" x14ac:dyDescent="0.25">
      <c r="A121" s="3">
        <v>120</v>
      </c>
      <c r="B121" s="3">
        <v>9.8221428571428575</v>
      </c>
      <c r="C121" s="3">
        <v>0.11257035647279549</v>
      </c>
      <c r="D121" s="3">
        <v>2890.6566428571427</v>
      </c>
      <c r="E121" s="3">
        <f t="shared" si="0"/>
        <v>325.40224872688287</v>
      </c>
      <c r="F121" s="3">
        <f t="shared" si="1"/>
        <v>2850523.6988474941</v>
      </c>
      <c r="G121" s="3">
        <f t="shared" si="2"/>
        <v>882937094164.34314</v>
      </c>
      <c r="H121" s="3">
        <f t="shared" si="3"/>
        <v>23125253.142857142</v>
      </c>
      <c r="I121" s="3">
        <f t="shared" si="4"/>
        <v>693757.59428571421</v>
      </c>
      <c r="J121" s="3">
        <f t="shared" si="5"/>
        <v>882939869194.72021</v>
      </c>
    </row>
    <row r="122" spans="1:10" x14ac:dyDescent="0.25">
      <c r="A122" s="3">
        <v>121</v>
      </c>
      <c r="B122" s="3">
        <v>9.8391071428571433</v>
      </c>
      <c r="C122" s="3">
        <v>0.11350844277673545</v>
      </c>
      <c r="D122" s="3">
        <v>2895.6492321428577</v>
      </c>
      <c r="E122" s="3">
        <f t="shared" si="0"/>
        <v>328.68063516818552</v>
      </c>
      <c r="F122" s="3">
        <f t="shared" si="1"/>
        <v>2879242.3640733049</v>
      </c>
      <c r="G122" s="3">
        <f t="shared" si="2"/>
        <v>891832596722.67725</v>
      </c>
      <c r="H122" s="3">
        <f t="shared" si="3"/>
        <v>23165193.857142862</v>
      </c>
      <c r="I122" s="3">
        <f t="shared" si="4"/>
        <v>694955.81571428583</v>
      </c>
      <c r="J122" s="3">
        <f t="shared" si="5"/>
        <v>891835376545.94006</v>
      </c>
    </row>
    <row r="123" spans="1:10" x14ac:dyDescent="0.25">
      <c r="A123" s="3">
        <v>122</v>
      </c>
      <c r="B123" s="3">
        <v>9.8814285714285699</v>
      </c>
      <c r="C123" s="3">
        <v>0.11444652908067542</v>
      </c>
      <c r="D123" s="3">
        <v>2908.1044285714283</v>
      </c>
      <c r="E123" s="3">
        <f t="shared" si="0"/>
        <v>332.82245805414095</v>
      </c>
      <c r="F123" s="3">
        <f t="shared" si="1"/>
        <v>2915524.7325542746</v>
      </c>
      <c r="G123" s="3">
        <f t="shared" si="2"/>
        <v>903070923073.00183</v>
      </c>
      <c r="H123" s="3">
        <f t="shared" si="3"/>
        <v>23264835.428571425</v>
      </c>
      <c r="I123" s="3">
        <f t="shared" si="4"/>
        <v>697945.06285714277</v>
      </c>
      <c r="J123" s="3">
        <f t="shared" si="5"/>
        <v>903073714853.2533</v>
      </c>
    </row>
    <row r="124" spans="1:10" x14ac:dyDescent="0.25">
      <c r="A124" s="3">
        <v>123</v>
      </c>
      <c r="B124" s="3">
        <v>9.8862499999999986</v>
      </c>
      <c r="C124" s="3">
        <v>0.11538461538461539</v>
      </c>
      <c r="D124" s="3">
        <v>2909.5233749999998</v>
      </c>
      <c r="E124" s="3">
        <f t="shared" si="0"/>
        <v>335.71423557692304</v>
      </c>
      <c r="F124" s="3">
        <f t="shared" si="1"/>
        <v>2940856.7036538459</v>
      </c>
      <c r="G124" s="3">
        <f t="shared" si="2"/>
        <v>910917412255.03979</v>
      </c>
      <c r="H124" s="3">
        <f t="shared" si="3"/>
        <v>23276186.999999996</v>
      </c>
      <c r="I124" s="3">
        <f t="shared" si="4"/>
        <v>698285.60999999987</v>
      </c>
      <c r="J124" s="3">
        <f t="shared" si="5"/>
        <v>910920205397.47974</v>
      </c>
    </row>
    <row r="125" spans="1:10" x14ac:dyDescent="0.25">
      <c r="A125" s="3">
        <v>124</v>
      </c>
      <c r="B125" s="3">
        <v>9.8992857142857122</v>
      </c>
      <c r="C125" s="3">
        <v>0.11632270168855535</v>
      </c>
      <c r="D125" s="3">
        <v>2913.359785714285</v>
      </c>
      <c r="E125" s="3">
        <f t="shared" si="0"/>
        <v>338.88988126507633</v>
      </c>
      <c r="F125" s="3">
        <f t="shared" si="1"/>
        <v>2968675.3598820684</v>
      </c>
      <c r="G125" s="3">
        <f t="shared" si="2"/>
        <v>919534141245.19067</v>
      </c>
      <c r="H125" s="3">
        <f t="shared" si="3"/>
        <v>23306878.28571428</v>
      </c>
      <c r="I125" s="3">
        <f t="shared" si="4"/>
        <v>699206.34857142833</v>
      </c>
      <c r="J125" s="3">
        <f t="shared" si="5"/>
        <v>919536938070.58484</v>
      </c>
    </row>
    <row r="126" spans="1:10" x14ac:dyDescent="0.25">
      <c r="A126" s="3">
        <v>125</v>
      </c>
      <c r="B126" s="3">
        <v>9.9296428571428574</v>
      </c>
      <c r="C126" s="3">
        <v>0.11726078799249531</v>
      </c>
      <c r="D126" s="3">
        <v>2922.2938928571425</v>
      </c>
      <c r="E126" s="3">
        <f t="shared" si="0"/>
        <v>342.67048462208521</v>
      </c>
      <c r="F126" s="3">
        <f t="shared" si="1"/>
        <v>3001793.4452894661</v>
      </c>
      <c r="G126" s="3">
        <f t="shared" si="2"/>
        <v>929792345224.05969</v>
      </c>
      <c r="H126" s="3">
        <f t="shared" si="3"/>
        <v>23378351.142857142</v>
      </c>
      <c r="I126" s="3">
        <f t="shared" si="4"/>
        <v>701350.53428571427</v>
      </c>
      <c r="J126" s="3">
        <f t="shared" si="5"/>
        <v>929795150626.1969</v>
      </c>
    </row>
    <row r="127" spans="1:10" x14ac:dyDescent="0.25">
      <c r="A127" s="3">
        <v>126</v>
      </c>
      <c r="B127" s="3">
        <v>9.9682142857142875</v>
      </c>
      <c r="C127" s="3">
        <v>0.11819887429643527</v>
      </c>
      <c r="D127" s="3">
        <v>2933.6454642857152</v>
      </c>
      <c r="E127" s="3">
        <f t="shared" si="0"/>
        <v>346.75359146341475</v>
      </c>
      <c r="F127" s="3">
        <f t="shared" si="1"/>
        <v>3037561.4612195133</v>
      </c>
      <c r="G127" s="3">
        <f t="shared" si="2"/>
        <v>940871353707.93701</v>
      </c>
      <c r="H127" s="3">
        <f t="shared" si="3"/>
        <v>23469163.71428572</v>
      </c>
      <c r="I127" s="3">
        <f t="shared" si="4"/>
        <v>704074.91142857156</v>
      </c>
      <c r="J127" s="3">
        <f t="shared" si="5"/>
        <v>940874170007.58264</v>
      </c>
    </row>
    <row r="128" spans="1:10" x14ac:dyDescent="0.25">
      <c r="A128" s="3">
        <v>127</v>
      </c>
      <c r="B128" s="3">
        <v>9.9862500000000001</v>
      </c>
      <c r="C128" s="3">
        <v>0.11913696060037524</v>
      </c>
      <c r="D128" s="3">
        <v>2938.9533750000001</v>
      </c>
      <c r="E128" s="3">
        <f t="shared" si="0"/>
        <v>350.13797244371483</v>
      </c>
      <c r="F128" s="3">
        <f t="shared" si="1"/>
        <v>3067208.6386069423</v>
      </c>
      <c r="G128" s="3">
        <f t="shared" si="2"/>
        <v>950054459398.27734</v>
      </c>
      <c r="H128" s="3">
        <f t="shared" si="3"/>
        <v>23511627</v>
      </c>
      <c r="I128" s="3">
        <f t="shared" si="4"/>
        <v>705348.80999999994</v>
      </c>
      <c r="J128" s="3">
        <f t="shared" si="5"/>
        <v>950057280793.51746</v>
      </c>
    </row>
    <row r="129" spans="1:10" x14ac:dyDescent="0.25">
      <c r="A129" s="3">
        <v>128</v>
      </c>
      <c r="B129" s="3">
        <v>9.9946428571428587</v>
      </c>
      <c r="C129" s="3">
        <v>0.1200750469043152</v>
      </c>
      <c r="D129" s="3">
        <v>2941.423392857143</v>
      </c>
      <c r="E129" s="3">
        <f t="shared" si="0"/>
        <v>353.19155186277141</v>
      </c>
      <c r="F129" s="3">
        <f t="shared" si="1"/>
        <v>3093957.9943178776</v>
      </c>
      <c r="G129" s="3">
        <f t="shared" si="2"/>
        <v>958339977558.6051</v>
      </c>
      <c r="H129" s="3">
        <f t="shared" si="3"/>
        <v>23531387.142857146</v>
      </c>
      <c r="I129" s="3">
        <f t="shared" si="4"/>
        <v>705941.61428571434</v>
      </c>
      <c r="J129" s="3">
        <f t="shared" si="5"/>
        <v>958342801325.06226</v>
      </c>
    </row>
    <row r="130" spans="1:10" x14ac:dyDescent="0.25">
      <c r="A130" s="3">
        <v>129</v>
      </c>
      <c r="B130" s="3">
        <v>10.020535714285714</v>
      </c>
      <c r="C130" s="3">
        <v>0.12101313320825516</v>
      </c>
      <c r="D130" s="3">
        <v>2949.043660714286</v>
      </c>
      <c r="E130" s="3">
        <f t="shared" si="0"/>
        <v>356.87301335097834</v>
      </c>
      <c r="F130" s="3">
        <f t="shared" si="1"/>
        <v>3126207.5969545702</v>
      </c>
      <c r="G130" s="3">
        <f t="shared" si="2"/>
        <v>968329173260.52197</v>
      </c>
      <c r="H130" s="3">
        <f t="shared" si="3"/>
        <v>23592349.285714287</v>
      </c>
      <c r="I130" s="3">
        <f t="shared" si="4"/>
        <v>707770.47857142857</v>
      </c>
      <c r="J130" s="3">
        <f t="shared" si="5"/>
        <v>968332004342.43616</v>
      </c>
    </row>
    <row r="131" spans="1:10" x14ac:dyDescent="0.25">
      <c r="A131" s="3">
        <v>130</v>
      </c>
      <c r="B131" s="3">
        <v>10.058214285714287</v>
      </c>
      <c r="C131" s="3">
        <v>0.12195121951219512</v>
      </c>
      <c r="D131" s="3">
        <v>2960.1324642857148</v>
      </c>
      <c r="E131" s="3">
        <f t="shared" si="0"/>
        <v>360.99176393728231</v>
      </c>
      <c r="F131" s="3">
        <f t="shared" si="1"/>
        <v>3162287.8520905934</v>
      </c>
      <c r="G131" s="3">
        <f t="shared" si="2"/>
        <v>979504897012.1438</v>
      </c>
      <c r="H131" s="3">
        <f t="shared" si="3"/>
        <v>23681059.71428572</v>
      </c>
      <c r="I131" s="3">
        <f t="shared" si="4"/>
        <v>710431.79142857157</v>
      </c>
      <c r="J131" s="3">
        <f t="shared" si="5"/>
        <v>979507738739.30945</v>
      </c>
    </row>
    <row r="132" spans="1:10" x14ac:dyDescent="0.25">
      <c r="A132" s="3">
        <v>131</v>
      </c>
      <c r="B132" s="3">
        <v>10.083571428571428</v>
      </c>
      <c r="C132" s="3">
        <v>0.12288930581613508</v>
      </c>
      <c r="D132" s="3">
        <v>2967.5950714285714</v>
      </c>
      <c r="E132" s="3">
        <f t="shared" si="0"/>
        <v>364.68569827124094</v>
      </c>
      <c r="F132" s="3">
        <f t="shared" si="1"/>
        <v>3194646.7168560708</v>
      </c>
      <c r="G132" s="3">
        <f t="shared" si="2"/>
        <v>989527936432.3833</v>
      </c>
      <c r="H132" s="3">
        <f t="shared" si="3"/>
        <v>23740760.571428571</v>
      </c>
      <c r="I132" s="3">
        <f t="shared" si="4"/>
        <v>712222.81714285712</v>
      </c>
      <c r="J132" s="3">
        <f t="shared" si="5"/>
        <v>989530785323.65186</v>
      </c>
    </row>
    <row r="133" spans="1:10" x14ac:dyDescent="0.25">
      <c r="A133" s="3">
        <v>132</v>
      </c>
      <c r="B133" s="3">
        <v>10.137678571428571</v>
      </c>
      <c r="C133" s="3">
        <v>0.12382739212007504</v>
      </c>
      <c r="D133" s="3">
        <v>2983.5188035714282</v>
      </c>
      <c r="E133" s="3">
        <f t="shared" si="0"/>
        <v>369.44135278745637</v>
      </c>
      <c r="F133" s="3">
        <f t="shared" si="1"/>
        <v>3236306.2504181182</v>
      </c>
      <c r="G133" s="3">
        <f t="shared" si="2"/>
        <v>1002431817762.5129</v>
      </c>
      <c r="H133" s="3">
        <f t="shared" si="3"/>
        <v>23868150.428571425</v>
      </c>
      <c r="I133" s="3">
        <f t="shared" si="4"/>
        <v>716044.51285714272</v>
      </c>
      <c r="J133" s="3">
        <f t="shared" si="5"/>
        <v>1002434681940.5643</v>
      </c>
    </row>
    <row r="134" spans="1:10" x14ac:dyDescent="0.25">
      <c r="A134" s="3">
        <v>133</v>
      </c>
      <c r="B134" s="3">
        <v>10.169464285714286</v>
      </c>
      <c r="C134" s="3">
        <v>0.124765478424015</v>
      </c>
      <c r="D134" s="3">
        <v>2992.8733392857143</v>
      </c>
      <c r="E134" s="3">
        <f t="shared" si="0"/>
        <v>373.40727403846154</v>
      </c>
      <c r="F134" s="3">
        <f t="shared" si="1"/>
        <v>3271047.7205769229</v>
      </c>
      <c r="G134" s="3">
        <f t="shared" si="2"/>
        <v>1013192859156.8843</v>
      </c>
      <c r="H134" s="3">
        <f t="shared" si="3"/>
        <v>23942986.714285716</v>
      </c>
      <c r="I134" s="3">
        <f t="shared" si="4"/>
        <v>718289.60142857151</v>
      </c>
      <c r="J134" s="3">
        <f t="shared" si="5"/>
        <v>1013195732315.29</v>
      </c>
    </row>
    <row r="135" spans="1:10" x14ac:dyDescent="0.25">
      <c r="A135" s="3">
        <v>134</v>
      </c>
      <c r="B135" s="3">
        <v>10.193035714285713</v>
      </c>
      <c r="C135" s="3">
        <v>0.12570356472795496</v>
      </c>
      <c r="D135" s="3">
        <v>2999.8104107142858</v>
      </c>
      <c r="E135" s="3">
        <f t="shared" si="0"/>
        <v>377.08686213481639</v>
      </c>
      <c r="F135" s="3">
        <f t="shared" si="1"/>
        <v>3303280.9123009918</v>
      </c>
      <c r="G135" s="3">
        <f t="shared" si="2"/>
        <v>1023176972291.1725</v>
      </c>
      <c r="H135" s="3">
        <f t="shared" si="3"/>
        <v>23998483.285714287</v>
      </c>
      <c r="I135" s="3">
        <f t="shared" si="4"/>
        <v>719954.49857142859</v>
      </c>
      <c r="J135" s="3">
        <f t="shared" si="5"/>
        <v>1023179852109.1667</v>
      </c>
    </row>
    <row r="136" spans="1:10" x14ac:dyDescent="0.25">
      <c r="A136" s="3">
        <v>135</v>
      </c>
      <c r="B136" s="3">
        <v>10.205357142857142</v>
      </c>
      <c r="C136" s="3">
        <v>0.12664165103189493</v>
      </c>
      <c r="D136" s="3">
        <v>3003.4366071428576</v>
      </c>
      <c r="E136" s="3">
        <f t="shared" si="0"/>
        <v>380.36017069820429</v>
      </c>
      <c r="F136" s="3">
        <f t="shared" si="1"/>
        <v>3331955.0953162699</v>
      </c>
      <c r="G136" s="3">
        <f t="shared" si="2"/>
        <v>1032058697950.1854</v>
      </c>
      <c r="H136" s="3">
        <f t="shared" si="3"/>
        <v>24027492.857142862</v>
      </c>
      <c r="I136" s="3">
        <f t="shared" si="4"/>
        <v>720824.7857142858</v>
      </c>
      <c r="J136" s="3">
        <f t="shared" si="5"/>
        <v>1032061581249.3284</v>
      </c>
    </row>
    <row r="137" spans="1:10" x14ac:dyDescent="0.25">
      <c r="A137" s="3">
        <v>136</v>
      </c>
      <c r="B137" s="3">
        <v>10.207678571428572</v>
      </c>
      <c r="C137" s="3">
        <v>0.12757973733583489</v>
      </c>
      <c r="D137" s="3">
        <v>3004.1198035714292</v>
      </c>
      <c r="E137" s="3">
        <f t="shared" si="0"/>
        <v>383.26481546502282</v>
      </c>
      <c r="F137" s="3">
        <f t="shared" si="1"/>
        <v>3357399.7834735997</v>
      </c>
      <c r="G137" s="3">
        <f t="shared" si="2"/>
        <v>1039940101557.827</v>
      </c>
      <c r="H137" s="3">
        <f t="shared" si="3"/>
        <v>24032958.428571433</v>
      </c>
      <c r="I137" s="3">
        <f t="shared" si="4"/>
        <v>720988.75285714294</v>
      </c>
      <c r="J137" s="3">
        <f t="shared" si="5"/>
        <v>1039942985512.8384</v>
      </c>
    </row>
    <row r="138" spans="1:10" x14ac:dyDescent="0.25">
      <c r="A138" s="3">
        <v>137</v>
      </c>
      <c r="B138" s="3">
        <v>10.212678571428572</v>
      </c>
      <c r="C138" s="3">
        <v>0.12851782363977485</v>
      </c>
      <c r="D138" s="3">
        <v>3005.5913035714293</v>
      </c>
      <c r="E138" s="3">
        <f t="shared" si="0"/>
        <v>386.27205308563396</v>
      </c>
      <c r="F138" s="3">
        <f t="shared" si="1"/>
        <v>3383743.185030153</v>
      </c>
      <c r="G138" s="3">
        <f t="shared" si="2"/>
        <v>1048099877779.6937</v>
      </c>
      <c r="H138" s="3">
        <f t="shared" si="3"/>
        <v>24044730.428571433</v>
      </c>
      <c r="I138" s="3">
        <f t="shared" si="4"/>
        <v>721341.91285714298</v>
      </c>
      <c r="J138" s="3">
        <f t="shared" si="5"/>
        <v>1048102763147.3451</v>
      </c>
    </row>
    <row r="139" spans="1:10" x14ac:dyDescent="0.25">
      <c r="A139" s="3">
        <v>138</v>
      </c>
      <c r="B139" s="3">
        <v>10.23142857142857</v>
      </c>
      <c r="C139" s="3">
        <v>0.12945590994371481</v>
      </c>
      <c r="D139" s="3">
        <v>3011.1094285714275</v>
      </c>
      <c r="E139" s="3">
        <f t="shared" si="0"/>
        <v>389.80591101581331</v>
      </c>
      <c r="F139" s="3">
        <f t="shared" si="1"/>
        <v>3414699.7804985247</v>
      </c>
      <c r="G139" s="3">
        <f t="shared" si="2"/>
        <v>1057688570995.6964</v>
      </c>
      <c r="H139" s="3">
        <f t="shared" si="3"/>
        <v>24088875.428571422</v>
      </c>
      <c r="I139" s="3">
        <f t="shared" si="4"/>
        <v>722666.2628571426</v>
      </c>
      <c r="J139" s="3">
        <f t="shared" si="5"/>
        <v>1057691461660.7478</v>
      </c>
    </row>
    <row r="140" spans="1:10" x14ac:dyDescent="0.25">
      <c r="A140" s="3">
        <v>139</v>
      </c>
      <c r="B140" s="3">
        <v>10.257857142857143</v>
      </c>
      <c r="C140" s="3">
        <v>0.1303939962476548</v>
      </c>
      <c r="D140" s="3">
        <v>3018.8873571428576</v>
      </c>
      <c r="E140" s="3">
        <f t="shared" si="0"/>
        <v>393.64478671937826</v>
      </c>
      <c r="F140" s="3">
        <f t="shared" si="1"/>
        <v>3448328.3316617534</v>
      </c>
      <c r="G140" s="3">
        <f t="shared" si="2"/>
        <v>1068104891089.0712</v>
      </c>
      <c r="H140" s="3">
        <f t="shared" si="3"/>
        <v>24151098.857142862</v>
      </c>
      <c r="I140" s="3">
        <f t="shared" si="4"/>
        <v>724532.96571428585</v>
      </c>
      <c r="J140" s="3">
        <f t="shared" si="5"/>
        <v>1068107789220.934</v>
      </c>
    </row>
    <row r="141" spans="1:10" x14ac:dyDescent="0.25">
      <c r="A141" s="3">
        <v>140</v>
      </c>
      <c r="B141" s="3">
        <v>10.260178571428572</v>
      </c>
      <c r="C141" s="3">
        <v>0.13133208255159476</v>
      </c>
      <c r="D141" s="3">
        <v>3019.5705535714292</v>
      </c>
      <c r="E141" s="3">
        <f t="shared" si="0"/>
        <v>396.56648921200764</v>
      </c>
      <c r="F141" s="3">
        <f t="shared" si="1"/>
        <v>3473922.4454971869</v>
      </c>
      <c r="G141" s="3">
        <f t="shared" si="2"/>
        <v>1076032578784.3463</v>
      </c>
      <c r="H141" s="3">
        <f t="shared" si="3"/>
        <v>24156564.428571433</v>
      </c>
      <c r="I141" s="3">
        <f t="shared" si="4"/>
        <v>724696.93285714299</v>
      </c>
      <c r="J141" s="3">
        <f t="shared" si="5"/>
        <v>1076035477572.0778</v>
      </c>
    </row>
    <row r="142" spans="1:10" x14ac:dyDescent="0.25">
      <c r="A142" s="3">
        <v>141</v>
      </c>
      <c r="B142" s="3">
        <v>10.269642857142857</v>
      </c>
      <c r="C142" s="3">
        <v>0.13227016885553472</v>
      </c>
      <c r="D142" s="3">
        <v>3022.3558928571429</v>
      </c>
      <c r="E142" s="3">
        <f t="shared" si="0"/>
        <v>399.76752428973469</v>
      </c>
      <c r="F142" s="3">
        <f t="shared" si="1"/>
        <v>3501963.5127780759</v>
      </c>
      <c r="G142" s="3">
        <f t="shared" si="2"/>
        <v>1084718199838.8179</v>
      </c>
      <c r="H142" s="3">
        <f t="shared" si="3"/>
        <v>24178847.142857142</v>
      </c>
      <c r="I142" s="3">
        <f t="shared" si="4"/>
        <v>725365.41428571427</v>
      </c>
      <c r="J142" s="3">
        <f t="shared" si="5"/>
        <v>1084721101300.475</v>
      </c>
    </row>
    <row r="143" spans="1:10" x14ac:dyDescent="0.25">
      <c r="A143" s="3">
        <v>142</v>
      </c>
      <c r="B143" s="3">
        <v>10.281785714285714</v>
      </c>
      <c r="C143" s="3">
        <v>0.13320825515947468</v>
      </c>
      <c r="D143" s="3">
        <v>3025.929535714286</v>
      </c>
      <c r="E143" s="3">
        <f t="shared" si="0"/>
        <v>403.07879368801935</v>
      </c>
      <c r="F143" s="3">
        <f t="shared" si="1"/>
        <v>3530970.2327070497</v>
      </c>
      <c r="G143" s="3">
        <f t="shared" si="2"/>
        <v>1093702927708.6219</v>
      </c>
      <c r="H143" s="3">
        <f t="shared" si="3"/>
        <v>24207436.285714287</v>
      </c>
      <c r="I143" s="3">
        <f t="shared" si="4"/>
        <v>726223.08857142855</v>
      </c>
      <c r="J143" s="3">
        <f t="shared" si="5"/>
        <v>1093705832600.9763</v>
      </c>
    </row>
    <row r="144" spans="1:10" x14ac:dyDescent="0.25">
      <c r="A144" s="3">
        <v>143</v>
      </c>
      <c r="B144" s="3">
        <v>10.298035714285714</v>
      </c>
      <c r="C144" s="3">
        <v>0.13414634146341464</v>
      </c>
      <c r="D144" s="3">
        <v>3030.7119107142858</v>
      </c>
      <c r="E144" s="3">
        <f t="shared" si="0"/>
        <v>406.55891485191643</v>
      </c>
      <c r="F144" s="3">
        <f t="shared" si="1"/>
        <v>3561456.0941027883</v>
      </c>
      <c r="G144" s="3">
        <f t="shared" si="2"/>
        <v>1103145813377.9966</v>
      </c>
      <c r="H144" s="3">
        <f t="shared" si="3"/>
        <v>24245695.285714287</v>
      </c>
      <c r="I144" s="3">
        <f t="shared" si="4"/>
        <v>727370.85857142857</v>
      </c>
      <c r="J144" s="3">
        <f t="shared" si="5"/>
        <v>1103148722861.4309</v>
      </c>
    </row>
    <row r="145" spans="1:10" x14ac:dyDescent="0.25">
      <c r="A145" s="3">
        <v>144</v>
      </c>
      <c r="B145" s="3">
        <v>10.314285714285713</v>
      </c>
      <c r="C145" s="3">
        <v>0.1350844277673546</v>
      </c>
      <c r="D145" s="3">
        <v>3035.494285714286</v>
      </c>
      <c r="E145" s="3">
        <f t="shared" si="0"/>
        <v>410.04800857678913</v>
      </c>
      <c r="F145" s="3">
        <f t="shared" si="1"/>
        <v>3592020.5551326731</v>
      </c>
      <c r="G145" s="3">
        <f t="shared" si="2"/>
        <v>1112613045012.5422</v>
      </c>
      <c r="H145" s="3">
        <f t="shared" si="3"/>
        <v>24283954.285714287</v>
      </c>
      <c r="I145" s="3">
        <f t="shared" si="4"/>
        <v>728518.62857142859</v>
      </c>
      <c r="J145" s="3">
        <f t="shared" si="5"/>
        <v>1112615959087.0566</v>
      </c>
    </row>
    <row r="146" spans="1:10" x14ac:dyDescent="0.25">
      <c r="A146" s="3">
        <v>145</v>
      </c>
      <c r="B146" s="3">
        <v>10.337678571428572</v>
      </c>
      <c r="C146" s="3">
        <v>0.13602251407129456</v>
      </c>
      <c r="D146" s="3">
        <v>3042.3788035714292</v>
      </c>
      <c r="E146" s="3">
        <f t="shared" si="0"/>
        <v>413.83201361900308</v>
      </c>
      <c r="F146" s="3">
        <f t="shared" si="1"/>
        <v>3625168.4393024668</v>
      </c>
      <c r="G146" s="3">
        <f t="shared" si="2"/>
        <v>1122880481022.7361</v>
      </c>
      <c r="H146" s="3">
        <f t="shared" si="3"/>
        <v>24339030.428571433</v>
      </c>
      <c r="I146" s="3">
        <f t="shared" si="4"/>
        <v>730170.91285714298</v>
      </c>
      <c r="J146" s="3">
        <f t="shared" si="5"/>
        <v>1122883401706.3875</v>
      </c>
    </row>
    <row r="147" spans="1:10" x14ac:dyDescent="0.25">
      <c r="A147" s="3">
        <v>146</v>
      </c>
      <c r="B147" s="3">
        <v>10.347142857142858</v>
      </c>
      <c r="C147" s="3">
        <v>0.13696060037523453</v>
      </c>
      <c r="D147" s="3">
        <v>3045.1641428571434</v>
      </c>
      <c r="E147" s="3">
        <f t="shared" si="0"/>
        <v>417.06750924685082</v>
      </c>
      <c r="F147" s="3">
        <f t="shared" si="1"/>
        <v>3653511.3810024126</v>
      </c>
      <c r="G147" s="3">
        <f t="shared" si="2"/>
        <v>1131659606635.75</v>
      </c>
      <c r="H147" s="3">
        <f t="shared" si="3"/>
        <v>24361313.142857146</v>
      </c>
      <c r="I147" s="3">
        <f t="shared" si="4"/>
        <v>730839.39428571437</v>
      </c>
      <c r="J147" s="3">
        <f t="shared" si="5"/>
        <v>1131662529993.3271</v>
      </c>
    </row>
    <row r="148" spans="1:10" x14ac:dyDescent="0.25">
      <c r="A148" s="3">
        <v>147</v>
      </c>
      <c r="B148" s="3">
        <v>10.369464285714285</v>
      </c>
      <c r="C148" s="3">
        <v>0.13789868667917449</v>
      </c>
      <c r="D148" s="3">
        <v>3051.733339285714</v>
      </c>
      <c r="E148" s="3">
        <f t="shared" si="0"/>
        <v>420.83001958255159</v>
      </c>
      <c r="F148" s="3">
        <f t="shared" si="1"/>
        <v>3686470.9715431519</v>
      </c>
      <c r="G148" s="3">
        <f t="shared" si="2"/>
        <v>1141868719647.4724</v>
      </c>
      <c r="H148" s="3">
        <f t="shared" si="3"/>
        <v>24413866.714285713</v>
      </c>
      <c r="I148" s="3">
        <f t="shared" si="4"/>
        <v>732416.0014285713</v>
      </c>
      <c r="J148" s="3">
        <f t="shared" si="5"/>
        <v>1141871649311.4783</v>
      </c>
    </row>
    <row r="149" spans="1:10" x14ac:dyDescent="0.25">
      <c r="A149" s="3">
        <v>148</v>
      </c>
      <c r="B149" s="3">
        <v>10.373392857142857</v>
      </c>
      <c r="C149" s="3">
        <v>0.13883677298311445</v>
      </c>
      <c r="D149" s="3">
        <v>3052.8895178571429</v>
      </c>
      <c r="E149" s="3">
        <f t="shared" si="0"/>
        <v>423.85332893326188</v>
      </c>
      <c r="F149" s="3">
        <f t="shared" si="1"/>
        <v>3712955.1614553742</v>
      </c>
      <c r="G149" s="3">
        <f t="shared" si="2"/>
        <v>1150072104878.8931</v>
      </c>
      <c r="H149" s="3">
        <f t="shared" si="3"/>
        <v>24423116.142857142</v>
      </c>
      <c r="I149" s="3">
        <f t="shared" si="4"/>
        <v>732693.48428571422</v>
      </c>
      <c r="J149" s="3">
        <f t="shared" si="5"/>
        <v>1150075035652.8303</v>
      </c>
    </row>
    <row r="150" spans="1:10" x14ac:dyDescent="0.25">
      <c r="A150" s="3">
        <v>149</v>
      </c>
      <c r="B150" s="3">
        <v>10.382321428571428</v>
      </c>
      <c r="C150" s="3">
        <v>0.13977485928705441</v>
      </c>
      <c r="D150" s="3">
        <v>3055.5171964285714</v>
      </c>
      <c r="E150" s="3">
        <f t="shared" si="0"/>
        <v>427.08448617997857</v>
      </c>
      <c r="F150" s="3">
        <f t="shared" si="1"/>
        <v>3741260.0989366123</v>
      </c>
      <c r="G150" s="3">
        <f t="shared" si="2"/>
        <v>1158839458967.7939</v>
      </c>
      <c r="H150" s="3">
        <f t="shared" si="3"/>
        <v>24444137.571428571</v>
      </c>
      <c r="I150" s="3">
        <f t="shared" si="4"/>
        <v>733324.12714285706</v>
      </c>
      <c r="J150" s="3">
        <f t="shared" si="5"/>
        <v>1158842392264.3025</v>
      </c>
    </row>
    <row r="151" spans="1:10" x14ac:dyDescent="0.25">
      <c r="A151" s="3">
        <v>150</v>
      </c>
      <c r="B151" s="3">
        <v>10.390357142857143</v>
      </c>
      <c r="C151" s="3">
        <v>0.14071294559099437</v>
      </c>
      <c r="D151" s="3">
        <v>3057.8821071428579</v>
      </c>
      <c r="E151" s="3">
        <f t="shared" si="0"/>
        <v>430.28359856606818</v>
      </c>
      <c r="F151" s="3">
        <f t="shared" si="1"/>
        <v>3769284.3234387576</v>
      </c>
      <c r="G151" s="3">
        <f t="shared" si="2"/>
        <v>1167519863433.3408</v>
      </c>
      <c r="H151" s="3">
        <f t="shared" si="3"/>
        <v>24463056.857142862</v>
      </c>
      <c r="I151" s="3">
        <f t="shared" si="4"/>
        <v>733891.70571428584</v>
      </c>
      <c r="J151" s="3">
        <f t="shared" si="5"/>
        <v>1167522799000.1638</v>
      </c>
    </row>
    <row r="152" spans="1:10" x14ac:dyDescent="0.25">
      <c r="A152" s="3">
        <v>151</v>
      </c>
      <c r="B152" s="3">
        <v>10.398392857142857</v>
      </c>
      <c r="C152" s="3">
        <v>0.14165103189493433</v>
      </c>
      <c r="D152" s="3">
        <v>3060.2470178571425</v>
      </c>
      <c r="E152" s="3">
        <f t="shared" si="0"/>
        <v>433.48714793285978</v>
      </c>
      <c r="F152" s="3">
        <f t="shared" si="1"/>
        <v>3797347.4158918513</v>
      </c>
      <c r="G152" s="3">
        <f t="shared" si="2"/>
        <v>1176212307112.4331</v>
      </c>
      <c r="H152" s="3">
        <f t="shared" si="3"/>
        <v>24481976.142857142</v>
      </c>
      <c r="I152" s="3">
        <f t="shared" si="4"/>
        <v>734459.28428571427</v>
      </c>
      <c r="J152" s="3">
        <f t="shared" si="5"/>
        <v>1176215244949.5701</v>
      </c>
    </row>
    <row r="153" spans="1:10" x14ac:dyDescent="0.25">
      <c r="A153" s="3">
        <v>152</v>
      </c>
      <c r="B153" s="3">
        <v>10.469285714285714</v>
      </c>
      <c r="C153" s="3">
        <v>0.14258911819887429</v>
      </c>
      <c r="D153" s="3">
        <v>3081.1107857142861</v>
      </c>
      <c r="E153" s="3">
        <f t="shared" si="0"/>
        <v>439.3328700080408</v>
      </c>
      <c r="F153" s="3">
        <f t="shared" si="1"/>
        <v>3848555.9412704376</v>
      </c>
      <c r="G153" s="3">
        <f t="shared" si="2"/>
        <v>1192073950930.3555</v>
      </c>
      <c r="H153" s="3">
        <f t="shared" si="3"/>
        <v>24648886.285714287</v>
      </c>
      <c r="I153" s="3">
        <f t="shared" si="4"/>
        <v>739466.58857142855</v>
      </c>
      <c r="J153" s="3">
        <f t="shared" si="5"/>
        <v>1192076908796.7097</v>
      </c>
    </row>
    <row r="154" spans="1:10" x14ac:dyDescent="0.25">
      <c r="A154" s="3">
        <v>153</v>
      </c>
      <c r="B154" s="3">
        <v>10.504999999999999</v>
      </c>
      <c r="C154" s="3">
        <v>0.14352720450281425</v>
      </c>
      <c r="D154" s="3">
        <v>3091.6214999999997</v>
      </c>
      <c r="E154" s="3">
        <f t="shared" si="0"/>
        <v>443.73179127579732</v>
      </c>
      <c r="F154" s="3">
        <f t="shared" si="1"/>
        <v>3887090.4915759843</v>
      </c>
      <c r="G154" s="3">
        <f t="shared" si="2"/>
        <v>1204009884687.8662</v>
      </c>
      <c r="H154" s="3">
        <f t="shared" si="3"/>
        <v>24732971.999999996</v>
      </c>
      <c r="I154" s="3">
        <f t="shared" si="4"/>
        <v>741989.15999999992</v>
      </c>
      <c r="J154" s="3">
        <f t="shared" si="5"/>
        <v>1204012852644.5061</v>
      </c>
    </row>
    <row r="155" spans="1:10" x14ac:dyDescent="0.25">
      <c r="A155" s="3">
        <v>154</v>
      </c>
      <c r="B155" s="3">
        <v>10.537321428571429</v>
      </c>
      <c r="C155" s="3">
        <v>0.14446529080675422</v>
      </c>
      <c r="D155" s="3">
        <v>3101.133696428572</v>
      </c>
      <c r="E155" s="3">
        <f t="shared" si="0"/>
        <v>448.00618128517829</v>
      </c>
      <c r="F155" s="3">
        <f t="shared" si="1"/>
        <v>3924534.1480581621</v>
      </c>
      <c r="G155" s="3">
        <f t="shared" si="2"/>
        <v>1215607918810.4243</v>
      </c>
      <c r="H155" s="3">
        <f t="shared" si="3"/>
        <v>24809069.571428575</v>
      </c>
      <c r="I155" s="3">
        <f t="shared" si="4"/>
        <v>744272.08714285726</v>
      </c>
      <c r="J155" s="3">
        <f t="shared" si="5"/>
        <v>1215610895898.7729</v>
      </c>
    </row>
    <row r="156" spans="1:10" x14ac:dyDescent="0.25">
      <c r="A156" s="3">
        <v>155</v>
      </c>
      <c r="B156" s="3">
        <v>10.540357142857143</v>
      </c>
      <c r="C156" s="3">
        <v>0.14540337711069418</v>
      </c>
      <c r="D156" s="3">
        <v>3102.0271071428579</v>
      </c>
      <c r="E156" s="3">
        <f t="shared" si="0"/>
        <v>451.04521726748868</v>
      </c>
      <c r="F156" s="3">
        <f t="shared" si="1"/>
        <v>3951156.1032632012</v>
      </c>
      <c r="G156" s="3">
        <f t="shared" si="2"/>
        <v>1223853976617.6716</v>
      </c>
      <c r="H156" s="3">
        <f t="shared" si="3"/>
        <v>24816216.857142862</v>
      </c>
      <c r="I156" s="3">
        <f t="shared" si="4"/>
        <v>744486.50571428589</v>
      </c>
      <c r="J156" s="3">
        <f t="shared" si="5"/>
        <v>1223856954563.6943</v>
      </c>
    </row>
    <row r="157" spans="1:10" x14ac:dyDescent="0.25">
      <c r="A157" s="3">
        <v>156</v>
      </c>
      <c r="B157" s="3">
        <v>10.584642857142857</v>
      </c>
      <c r="C157" s="3">
        <v>0.14634146341463414</v>
      </c>
      <c r="D157" s="3">
        <v>3115.0603928571427</v>
      </c>
      <c r="E157" s="3">
        <f t="shared" si="0"/>
        <v>455.86249651567937</v>
      </c>
      <c r="F157" s="3">
        <f t="shared" si="1"/>
        <v>3993355.4694773513</v>
      </c>
      <c r="G157" s="3">
        <f t="shared" si="2"/>
        <v>1236925072021.8821</v>
      </c>
      <c r="H157" s="3">
        <f t="shared" si="3"/>
        <v>24920483.142857142</v>
      </c>
      <c r="I157" s="3">
        <f t="shared" si="4"/>
        <v>747614.49428571423</v>
      </c>
      <c r="J157" s="3">
        <f t="shared" si="5"/>
        <v>1236928062479.8594</v>
      </c>
    </row>
    <row r="158" spans="1:10" x14ac:dyDescent="0.25">
      <c r="A158" s="3">
        <v>157</v>
      </c>
      <c r="B158" s="3">
        <v>10.595892857142857</v>
      </c>
      <c r="C158" s="3">
        <v>0.1472795497185741</v>
      </c>
      <c r="D158" s="3">
        <v>3118.3712678571428</v>
      </c>
      <c r="E158" s="3">
        <f t="shared" si="0"/>
        <v>459.27231618533904</v>
      </c>
      <c r="F158" s="3">
        <f t="shared" si="1"/>
        <v>4023225.4897835697</v>
      </c>
      <c r="G158" s="3">
        <f t="shared" si="2"/>
        <v>1246177204453.7092</v>
      </c>
      <c r="H158" s="3">
        <f t="shared" si="3"/>
        <v>24946970.142857142</v>
      </c>
      <c r="I158" s="3">
        <f t="shared" si="4"/>
        <v>748409.10428571422</v>
      </c>
      <c r="J158" s="3">
        <f t="shared" si="5"/>
        <v>1246180198090.1262</v>
      </c>
    </row>
    <row r="159" spans="1:10" x14ac:dyDescent="0.25">
      <c r="A159" s="3">
        <v>158</v>
      </c>
      <c r="B159" s="3">
        <v>10.603571428571428</v>
      </c>
      <c r="C159" s="3">
        <v>0.14821763602251406</v>
      </c>
      <c r="D159" s="3">
        <v>3120.6310714285714</v>
      </c>
      <c r="E159" s="3">
        <f t="shared" si="0"/>
        <v>462.53256030554809</v>
      </c>
      <c r="F159" s="3">
        <f t="shared" si="1"/>
        <v>4051785.2282766015</v>
      </c>
      <c r="G159" s="3">
        <f t="shared" si="2"/>
        <v>1255023482629.0178</v>
      </c>
      <c r="H159" s="3">
        <f t="shared" si="3"/>
        <v>24965048.571428571</v>
      </c>
      <c r="I159" s="3">
        <f t="shared" si="4"/>
        <v>748951.45714285714</v>
      </c>
      <c r="J159" s="3">
        <f t="shared" si="5"/>
        <v>1255026478434.8462</v>
      </c>
    </row>
    <row r="160" spans="1:10" x14ac:dyDescent="0.25">
      <c r="A160" s="3">
        <v>159</v>
      </c>
      <c r="B160" s="3">
        <v>10.605</v>
      </c>
      <c r="C160" s="3">
        <v>0.14915572232645402</v>
      </c>
      <c r="D160" s="3">
        <v>3121.0515</v>
      </c>
      <c r="E160" s="3">
        <f t="shared" si="0"/>
        <v>465.52269090056279</v>
      </c>
      <c r="F160" s="3">
        <f t="shared" si="1"/>
        <v>4077978.7722889301</v>
      </c>
      <c r="G160" s="3">
        <f t="shared" si="2"/>
        <v>1263136842003.2397</v>
      </c>
      <c r="H160" s="3">
        <f t="shared" si="3"/>
        <v>24968412</v>
      </c>
      <c r="I160" s="3">
        <f t="shared" si="4"/>
        <v>749052.36</v>
      </c>
      <c r="J160" s="3">
        <f t="shared" si="5"/>
        <v>1263139838212.6799</v>
      </c>
    </row>
    <row r="161" spans="1:10" x14ac:dyDescent="0.25">
      <c r="A161" s="3">
        <v>160</v>
      </c>
      <c r="B161" s="3">
        <v>10.64875</v>
      </c>
      <c r="C161" s="3">
        <v>0.15009380863039401</v>
      </c>
      <c r="D161" s="3">
        <v>3133.9271250000002</v>
      </c>
      <c r="E161" s="3">
        <f t="shared" si="0"/>
        <v>470.3830581613509</v>
      </c>
      <c r="F161" s="3">
        <f t="shared" si="1"/>
        <v>4120555.5894934339</v>
      </c>
      <c r="G161" s="3">
        <f t="shared" si="2"/>
        <v>1276324851699.2437</v>
      </c>
      <c r="H161" s="3">
        <f t="shared" si="3"/>
        <v>25071417</v>
      </c>
      <c r="I161" s="3">
        <f t="shared" si="4"/>
        <v>752142.51</v>
      </c>
      <c r="J161" s="3">
        <f t="shared" si="5"/>
        <v>1276327860269.2837</v>
      </c>
    </row>
    <row r="162" spans="1:10" x14ac:dyDescent="0.25">
      <c r="A162" s="3">
        <v>161</v>
      </c>
      <c r="B162" s="3">
        <v>10.660714285714285</v>
      </c>
      <c r="C162" s="3">
        <v>0.15103189493433397</v>
      </c>
      <c r="D162" s="3">
        <v>3137.4482142857141</v>
      </c>
      <c r="E162" s="3">
        <f t="shared" si="0"/>
        <v>473.85474906191371</v>
      </c>
      <c r="F162" s="3">
        <f t="shared" si="1"/>
        <v>4150967.6017823643</v>
      </c>
      <c r="G162" s="3">
        <f t="shared" si="2"/>
        <v>1285744864073.7144</v>
      </c>
      <c r="H162" s="3">
        <f t="shared" si="3"/>
        <v>25099585.714285713</v>
      </c>
      <c r="I162" s="3">
        <f t="shared" si="4"/>
        <v>752987.57142857136</v>
      </c>
      <c r="J162" s="3">
        <f t="shared" si="5"/>
        <v>1285747876024.0002</v>
      </c>
    </row>
    <row r="163" spans="1:10" x14ac:dyDescent="0.25">
      <c r="A163" s="3">
        <v>162</v>
      </c>
      <c r="B163" s="3">
        <v>10.682142857142857</v>
      </c>
      <c r="C163" s="3">
        <v>0.15196998123827393</v>
      </c>
      <c r="D163" s="3">
        <v>3143.7546428571427</v>
      </c>
      <c r="E163" s="3">
        <f t="shared" si="0"/>
        <v>477.75633409273655</v>
      </c>
      <c r="F163" s="3">
        <f t="shared" si="1"/>
        <v>4185145.4866523724</v>
      </c>
      <c r="G163" s="3">
        <f t="shared" si="2"/>
        <v>1296331339797.8486</v>
      </c>
      <c r="H163" s="3">
        <f t="shared" si="3"/>
        <v>25150037.142857142</v>
      </c>
      <c r="I163" s="3">
        <f t="shared" si="4"/>
        <v>754501.11428571423</v>
      </c>
      <c r="J163" s="3">
        <f t="shared" si="5"/>
        <v>1296334357802.3057</v>
      </c>
    </row>
    <row r="164" spans="1:10" x14ac:dyDescent="0.25">
      <c r="A164" s="3">
        <v>163</v>
      </c>
      <c r="B164" s="3">
        <v>10.706428571428569</v>
      </c>
      <c r="C164" s="3">
        <v>0.15290806754221389</v>
      </c>
      <c r="D164" s="3">
        <v>3150.9019285714276</v>
      </c>
      <c r="E164" s="3">
        <f t="shared" si="0"/>
        <v>481.79832491289187</v>
      </c>
      <c r="F164" s="3">
        <f t="shared" si="1"/>
        <v>4220553.3262369325</v>
      </c>
      <c r="G164" s="3">
        <f t="shared" si="2"/>
        <v>1307298788938.9773</v>
      </c>
      <c r="H164" s="3">
        <f t="shared" si="3"/>
        <v>25207215.428571422</v>
      </c>
      <c r="I164" s="3">
        <f t="shared" si="4"/>
        <v>756216.46285714267</v>
      </c>
      <c r="J164" s="3">
        <f t="shared" si="5"/>
        <v>1307301813804.8289</v>
      </c>
    </row>
    <row r="165" spans="1:10" x14ac:dyDescent="0.25">
      <c r="A165" s="3">
        <v>164</v>
      </c>
      <c r="B165" s="3">
        <v>10.710357142857143</v>
      </c>
      <c r="C165" s="3">
        <v>0.15384615384615385</v>
      </c>
      <c r="D165" s="3">
        <v>3152.0581071428578</v>
      </c>
      <c r="E165" s="3">
        <f t="shared" si="0"/>
        <v>484.93201648351663</v>
      </c>
      <c r="F165" s="3">
        <f t="shared" si="1"/>
        <v>4248004.464395606</v>
      </c>
      <c r="G165" s="3">
        <f t="shared" si="2"/>
        <v>1315801683049.6206</v>
      </c>
      <c r="H165" s="3">
        <f t="shared" si="3"/>
        <v>25216464.857142862</v>
      </c>
      <c r="I165" s="3">
        <f t="shared" si="4"/>
        <v>756493.94571428583</v>
      </c>
      <c r="J165" s="3">
        <f t="shared" si="5"/>
        <v>1315804709025.4036</v>
      </c>
    </row>
    <row r="166" spans="1:10" x14ac:dyDescent="0.25">
      <c r="A166" s="3">
        <v>165</v>
      </c>
      <c r="B166" s="3">
        <v>10.725178571428572</v>
      </c>
      <c r="C166" s="3">
        <v>0.15478424015009382</v>
      </c>
      <c r="D166" s="3">
        <v>3156.420053571429</v>
      </c>
      <c r="E166" s="3">
        <f t="shared" si="0"/>
        <v>488.56407958657206</v>
      </c>
      <c r="F166" s="3">
        <f t="shared" si="1"/>
        <v>4279821.3371783718</v>
      </c>
      <c r="G166" s="3">
        <f t="shared" si="2"/>
        <v>1325656845302.0449</v>
      </c>
      <c r="H166" s="3">
        <f t="shared" si="3"/>
        <v>25251360.428571433</v>
      </c>
      <c r="I166" s="3">
        <f t="shared" si="4"/>
        <v>757540.812857143</v>
      </c>
      <c r="J166" s="3">
        <f t="shared" si="5"/>
        <v>1325659875465.2961</v>
      </c>
    </row>
    <row r="167" spans="1:10" x14ac:dyDescent="0.25">
      <c r="A167" s="3">
        <v>166</v>
      </c>
      <c r="B167" s="3">
        <v>10.745714285714286</v>
      </c>
      <c r="C167" s="3">
        <v>0.15572232645403378</v>
      </c>
      <c r="D167" s="3">
        <v>3162.4637142857146</v>
      </c>
      <c r="E167" s="3">
        <f t="shared" si="0"/>
        <v>492.46620691503625</v>
      </c>
      <c r="F167" s="3">
        <f t="shared" si="1"/>
        <v>4314003.9725757176</v>
      </c>
      <c r="G167" s="3">
        <f t="shared" si="2"/>
        <v>1336244792737.8691</v>
      </c>
      <c r="H167" s="3">
        <f t="shared" si="3"/>
        <v>25299709.714285716</v>
      </c>
      <c r="I167" s="3">
        <f t="shared" si="4"/>
        <v>758991.29142857145</v>
      </c>
      <c r="J167" s="3">
        <f t="shared" si="5"/>
        <v>1336247828703.0349</v>
      </c>
    </row>
    <row r="168" spans="1:10" x14ac:dyDescent="0.25">
      <c r="A168" s="3">
        <v>167</v>
      </c>
      <c r="B168" s="3">
        <v>10.75</v>
      </c>
      <c r="C168" s="3">
        <v>0.15666041275797374</v>
      </c>
      <c r="D168" s="3">
        <v>3163.7249999999999</v>
      </c>
      <c r="E168" s="3">
        <f t="shared" si="0"/>
        <v>495.63046435272042</v>
      </c>
      <c r="F168" s="3">
        <f t="shared" si="1"/>
        <v>4341722.8677298306</v>
      </c>
      <c r="G168" s="3">
        <f t="shared" si="2"/>
        <v>1344830623552.0378</v>
      </c>
      <c r="H168" s="3">
        <f t="shared" si="3"/>
        <v>25309800</v>
      </c>
      <c r="I168" s="3">
        <f t="shared" si="4"/>
        <v>759294</v>
      </c>
      <c r="J168" s="3">
        <f t="shared" si="5"/>
        <v>1344833660728.0378</v>
      </c>
    </row>
    <row r="169" spans="1:10" x14ac:dyDescent="0.25">
      <c r="A169" s="3">
        <v>168</v>
      </c>
      <c r="B169" s="3">
        <v>10.806964285714287</v>
      </c>
      <c r="C169" s="3">
        <v>0.1575984990619137</v>
      </c>
      <c r="D169" s="3">
        <v>3180.4895892857144</v>
      </c>
      <c r="E169" s="3">
        <f t="shared" si="0"/>
        <v>501.24038555347096</v>
      </c>
      <c r="F169" s="3">
        <f t="shared" si="1"/>
        <v>4390865.7774484055</v>
      </c>
      <c r="G169" s="3">
        <f t="shared" si="2"/>
        <v>1360052453989.7095</v>
      </c>
      <c r="H169" s="3">
        <f t="shared" si="3"/>
        <v>25443916.714285716</v>
      </c>
      <c r="I169" s="3">
        <f t="shared" si="4"/>
        <v>763317.50142857141</v>
      </c>
      <c r="J169" s="3">
        <f t="shared" si="5"/>
        <v>1360055507259.7153</v>
      </c>
    </row>
    <row r="170" spans="1:10" x14ac:dyDescent="0.25">
      <c r="A170" s="3">
        <v>169</v>
      </c>
      <c r="B170" s="3">
        <v>10.808214285714286</v>
      </c>
      <c r="C170" s="3">
        <v>0.15853658536585366</v>
      </c>
      <c r="D170" s="3">
        <v>3180.8574642857147</v>
      </c>
      <c r="E170" s="3">
        <f t="shared" si="0"/>
        <v>504.28228092334501</v>
      </c>
      <c r="F170" s="3">
        <f t="shared" si="1"/>
        <v>4417512.7808885025</v>
      </c>
      <c r="G170" s="3">
        <f t="shared" si="2"/>
        <v>1368306270905.7563</v>
      </c>
      <c r="H170" s="3">
        <f t="shared" si="3"/>
        <v>25446859.714285716</v>
      </c>
      <c r="I170" s="3">
        <f t="shared" si="4"/>
        <v>763405.79142857145</v>
      </c>
      <c r="J170" s="3">
        <f t="shared" si="5"/>
        <v>1368309324528.9221</v>
      </c>
    </row>
    <row r="171" spans="1:10" x14ac:dyDescent="0.25">
      <c r="A171" s="3">
        <v>170</v>
      </c>
      <c r="B171" s="3">
        <v>10.815535714285716</v>
      </c>
      <c r="C171" s="3">
        <v>0.15947467166979362</v>
      </c>
      <c r="D171" s="3">
        <v>3183.0121607142864</v>
      </c>
      <c r="E171" s="3">
        <f t="shared" si="0"/>
        <v>507.60981925087123</v>
      </c>
      <c r="F171" s="3">
        <f t="shared" si="1"/>
        <v>4446662.0166376317</v>
      </c>
      <c r="G171" s="3">
        <f t="shared" si="2"/>
        <v>1377335143920.7522</v>
      </c>
      <c r="H171" s="3">
        <f t="shared" si="3"/>
        <v>25464097.285714291</v>
      </c>
      <c r="I171" s="3">
        <f t="shared" si="4"/>
        <v>763922.91857142875</v>
      </c>
      <c r="J171" s="3">
        <f t="shared" si="5"/>
        <v>1377338199612.4263</v>
      </c>
    </row>
    <row r="172" spans="1:10" x14ac:dyDescent="0.25">
      <c r="A172" s="3">
        <v>171</v>
      </c>
      <c r="B172" s="3">
        <v>10.81625</v>
      </c>
      <c r="C172" s="3">
        <v>0.16041275797373358</v>
      </c>
      <c r="D172" s="3">
        <v>3183.2223749999998</v>
      </c>
      <c r="E172" s="3">
        <f t="shared" si="0"/>
        <v>510.62948041744835</v>
      </c>
      <c r="F172" s="3">
        <f t="shared" si="1"/>
        <v>4473114.2484568479</v>
      </c>
      <c r="G172" s="3">
        <f t="shared" si="2"/>
        <v>1385528631151.3818</v>
      </c>
      <c r="H172" s="3">
        <f t="shared" si="3"/>
        <v>25465779</v>
      </c>
      <c r="I172" s="3">
        <f t="shared" si="4"/>
        <v>763973.37</v>
      </c>
      <c r="J172" s="3">
        <f t="shared" si="5"/>
        <v>1385531687044.8621</v>
      </c>
    </row>
    <row r="173" spans="1:10" x14ac:dyDescent="0.25">
      <c r="A173" s="3">
        <v>172</v>
      </c>
      <c r="B173" s="3">
        <v>10.818392857142857</v>
      </c>
      <c r="C173" s="3">
        <v>0.16135084427767354</v>
      </c>
      <c r="D173" s="3">
        <v>3183.8530178571427</v>
      </c>
      <c r="E173" s="3">
        <f t="shared" si="0"/>
        <v>513.71737248726879</v>
      </c>
      <c r="F173" s="3">
        <f t="shared" si="1"/>
        <v>4500164.1829884751</v>
      </c>
      <c r="G173" s="3">
        <f t="shared" si="2"/>
        <v>1393907254328.9338</v>
      </c>
      <c r="H173" s="3">
        <f t="shared" si="3"/>
        <v>25470824.142857142</v>
      </c>
      <c r="I173" s="3">
        <f t="shared" si="4"/>
        <v>764124.72428571421</v>
      </c>
      <c r="J173" s="3">
        <f t="shared" si="5"/>
        <v>1393910310827.8311</v>
      </c>
    </row>
    <row r="174" spans="1:10" x14ac:dyDescent="0.25">
      <c r="A174" s="3">
        <v>173</v>
      </c>
      <c r="B174" s="3">
        <v>10.818392857142857</v>
      </c>
      <c r="C174" s="3">
        <v>0.16228893058161351</v>
      </c>
      <c r="D174" s="3">
        <v>3183.8530178571427</v>
      </c>
      <c r="E174" s="3">
        <f t="shared" si="0"/>
        <v>516.70410139707849</v>
      </c>
      <c r="F174" s="3">
        <f t="shared" si="1"/>
        <v>4526327.9282384077</v>
      </c>
      <c r="G174" s="3">
        <f t="shared" si="2"/>
        <v>1402011384043.0491</v>
      </c>
      <c r="H174" s="3">
        <f t="shared" si="3"/>
        <v>25470824.142857142</v>
      </c>
      <c r="I174" s="3">
        <f t="shared" si="4"/>
        <v>764124.72428571421</v>
      </c>
      <c r="J174" s="3">
        <f t="shared" si="5"/>
        <v>1402014440541.9463</v>
      </c>
    </row>
    <row r="175" spans="1:10" x14ac:dyDescent="0.25">
      <c r="A175" s="3">
        <v>174</v>
      </c>
      <c r="B175" s="3">
        <v>10.81875</v>
      </c>
      <c r="C175" s="3">
        <v>0.16322701688555347</v>
      </c>
      <c r="D175" s="3">
        <v>3183.9581250000001</v>
      </c>
      <c r="E175" s="3">
        <f t="shared" si="0"/>
        <v>519.70798663227015</v>
      </c>
      <c r="F175" s="3">
        <f t="shared" si="1"/>
        <v>4552641.9628986865</v>
      </c>
      <c r="G175" s="3">
        <f t="shared" si="2"/>
        <v>1410162065281.9736</v>
      </c>
      <c r="H175" s="3">
        <f t="shared" si="3"/>
        <v>25471665</v>
      </c>
      <c r="I175" s="3">
        <f t="shared" si="4"/>
        <v>764149.95</v>
      </c>
      <c r="J175" s="3">
        <f t="shared" si="5"/>
        <v>1410165121881.7737</v>
      </c>
    </row>
    <row r="176" spans="1:10" x14ac:dyDescent="0.25">
      <c r="A176" s="3">
        <v>175</v>
      </c>
      <c r="B176" s="3">
        <v>10.837857142857144</v>
      </c>
      <c r="C176" s="3">
        <v>0.16416510318949343</v>
      </c>
      <c r="D176" s="3">
        <v>3189.5813571428575</v>
      </c>
      <c r="E176" s="3">
        <f t="shared" si="0"/>
        <v>523.61795262664168</v>
      </c>
      <c r="F176" s="3">
        <f t="shared" si="1"/>
        <v>4586893.2650093809</v>
      </c>
      <c r="G176" s="3">
        <f t="shared" si="2"/>
        <v>1420771282398.6748</v>
      </c>
      <c r="H176" s="3">
        <f t="shared" si="3"/>
        <v>25516650.857142862</v>
      </c>
      <c r="I176" s="3">
        <f t="shared" si="4"/>
        <v>765499.52571428579</v>
      </c>
      <c r="J176" s="3">
        <f t="shared" si="5"/>
        <v>1420774344396.7776</v>
      </c>
    </row>
    <row r="177" spans="1:10" x14ac:dyDescent="0.25">
      <c r="A177" s="3">
        <v>176</v>
      </c>
      <c r="B177" s="3">
        <v>10.875892857142857</v>
      </c>
      <c r="C177" s="3">
        <v>0.16510318949343339</v>
      </c>
      <c r="D177" s="3">
        <v>3200.7752678571428</v>
      </c>
      <c r="E177" s="3">
        <f t="shared" si="0"/>
        <v>528.45820557491288</v>
      </c>
      <c r="F177" s="3">
        <f t="shared" si="1"/>
        <v>4629293.8808362372</v>
      </c>
      <c r="G177" s="3">
        <f t="shared" si="2"/>
        <v>1433904715941.0479</v>
      </c>
      <c r="H177" s="3">
        <f t="shared" si="3"/>
        <v>25606202.142857142</v>
      </c>
      <c r="I177" s="3">
        <f t="shared" si="4"/>
        <v>768186.06428571418</v>
      </c>
      <c r="J177" s="3">
        <f t="shared" si="5"/>
        <v>1433907788685.3049</v>
      </c>
    </row>
    <row r="178" spans="1:10" x14ac:dyDescent="0.25">
      <c r="A178" s="3">
        <v>177</v>
      </c>
      <c r="B178" s="3">
        <v>10.887678571428573</v>
      </c>
      <c r="C178" s="3">
        <v>0.16604127579737335</v>
      </c>
      <c r="D178" s="3">
        <v>3204.243803571429</v>
      </c>
      <c r="E178" s="3">
        <f t="shared" si="0"/>
        <v>532.03672911082822</v>
      </c>
      <c r="F178" s="3">
        <f t="shared" si="1"/>
        <v>4660641.747010855</v>
      </c>
      <c r="G178" s="3">
        <f t="shared" si="2"/>
        <v>1443614605874.355</v>
      </c>
      <c r="H178" s="3">
        <f t="shared" si="3"/>
        <v>25633950.428571433</v>
      </c>
      <c r="I178" s="3">
        <f t="shared" si="4"/>
        <v>769018.51285714295</v>
      </c>
      <c r="J178" s="3">
        <f t="shared" si="5"/>
        <v>1443617681948.4065</v>
      </c>
    </row>
    <row r="179" spans="1:10" x14ac:dyDescent="0.25">
      <c r="A179" s="3">
        <v>178</v>
      </c>
      <c r="B179" s="3">
        <v>10.907321428571429</v>
      </c>
      <c r="C179" s="3">
        <v>0.16697936210131331</v>
      </c>
      <c r="D179" s="3">
        <v>3210.024696428572</v>
      </c>
      <c r="E179" s="3">
        <f t="shared" si="0"/>
        <v>536.00787613910484</v>
      </c>
      <c r="F179" s="3">
        <f t="shared" si="1"/>
        <v>4695428.9949785583</v>
      </c>
      <c r="G179" s="3">
        <f t="shared" si="2"/>
        <v>1454389830217.6001</v>
      </c>
      <c r="H179" s="3">
        <f t="shared" si="3"/>
        <v>25680197.571428575</v>
      </c>
      <c r="I179" s="3">
        <f t="shared" si="4"/>
        <v>770405.92714285722</v>
      </c>
      <c r="J179" s="3">
        <f t="shared" si="5"/>
        <v>1454392911841.3088</v>
      </c>
    </row>
    <row r="180" spans="1:10" x14ac:dyDescent="0.25">
      <c r="A180" s="3">
        <v>179</v>
      </c>
      <c r="B180" s="3">
        <v>10.93125</v>
      </c>
      <c r="C180" s="3">
        <v>0.16791744840525327</v>
      </c>
      <c r="D180" s="3">
        <v>3217.066875</v>
      </c>
      <c r="E180" s="3">
        <f t="shared" si="0"/>
        <v>540.20166099906191</v>
      </c>
      <c r="F180" s="3">
        <f t="shared" si="1"/>
        <v>4732166.5503517827</v>
      </c>
      <c r="G180" s="3">
        <f t="shared" si="2"/>
        <v>1465769154331.9524</v>
      </c>
      <c r="H180" s="3">
        <f t="shared" si="3"/>
        <v>25736535</v>
      </c>
      <c r="I180" s="3">
        <f t="shared" si="4"/>
        <v>772096.04999999993</v>
      </c>
      <c r="J180" s="3">
        <f t="shared" si="5"/>
        <v>1465772242716.1523</v>
      </c>
    </row>
    <row r="181" spans="1:10" x14ac:dyDescent="0.25">
      <c r="A181" s="3">
        <v>180</v>
      </c>
      <c r="B181" s="3">
        <v>10.936607142857143</v>
      </c>
      <c r="C181" s="3">
        <v>0.16885553470919323</v>
      </c>
      <c r="D181" s="3">
        <v>3218.6434821428579</v>
      </c>
      <c r="E181" s="3">
        <f t="shared" si="0"/>
        <v>543.48576621549194</v>
      </c>
      <c r="F181" s="3">
        <f t="shared" si="1"/>
        <v>4760935.3120477097</v>
      </c>
      <c r="G181" s="3">
        <f t="shared" si="2"/>
        <v>1474680177378.2002</v>
      </c>
      <c r="H181" s="3">
        <f t="shared" si="3"/>
        <v>25749147.857142862</v>
      </c>
      <c r="I181" s="3">
        <f t="shared" si="4"/>
        <v>772474.43571428582</v>
      </c>
      <c r="J181" s="3">
        <f t="shared" si="5"/>
        <v>1474683267275.9431</v>
      </c>
    </row>
    <row r="182" spans="1:10" x14ac:dyDescent="0.25">
      <c r="A182" s="3">
        <v>181</v>
      </c>
      <c r="B182" s="3">
        <v>10.949107142857143</v>
      </c>
      <c r="C182" s="3">
        <v>0.16979362101313319</v>
      </c>
      <c r="D182" s="3">
        <v>3222.322232142858</v>
      </c>
      <c r="E182" s="3">
        <f t="shared" si="0"/>
        <v>547.12975986665788</v>
      </c>
      <c r="F182" s="3">
        <f t="shared" si="1"/>
        <v>4792856.6964319227</v>
      </c>
      <c r="G182" s="3">
        <f t="shared" si="2"/>
        <v>1484567712394.0283</v>
      </c>
      <c r="H182" s="3">
        <f t="shared" si="3"/>
        <v>25778577.857142862</v>
      </c>
      <c r="I182" s="3">
        <f t="shared" si="4"/>
        <v>773357.33571428584</v>
      </c>
      <c r="J182" s="3">
        <f t="shared" si="5"/>
        <v>1484570805823.3711</v>
      </c>
    </row>
    <row r="183" spans="1:10" x14ac:dyDescent="0.25">
      <c r="A183" s="3">
        <v>182</v>
      </c>
      <c r="B183" s="3">
        <v>10.952678571428571</v>
      </c>
      <c r="C183" s="3">
        <v>0.17073170731707318</v>
      </c>
      <c r="D183" s="3">
        <v>3223.3733035714281</v>
      </c>
      <c r="E183" s="3">
        <f t="shared" si="0"/>
        <v>550.33202743902439</v>
      </c>
      <c r="F183" s="3">
        <f t="shared" si="1"/>
        <v>4820908.5603658538</v>
      </c>
      <c r="G183" s="3">
        <f t="shared" si="2"/>
        <v>1493256679339.3821</v>
      </c>
      <c r="H183" s="3">
        <f t="shared" si="3"/>
        <v>25786986.428571425</v>
      </c>
      <c r="I183" s="3">
        <f t="shared" si="4"/>
        <v>773609.59285714268</v>
      </c>
      <c r="J183" s="3">
        <f t="shared" si="5"/>
        <v>1493259773777.7534</v>
      </c>
    </row>
    <row r="184" spans="1:10" x14ac:dyDescent="0.25">
      <c r="A184" s="3">
        <v>183</v>
      </c>
      <c r="B184" s="3">
        <v>10.965535714285714</v>
      </c>
      <c r="C184" s="3">
        <v>0.17166979362101314</v>
      </c>
      <c r="D184" s="3">
        <v>3227.157160714286</v>
      </c>
      <c r="E184" s="3">
        <f t="shared" si="0"/>
        <v>554.00540376239621</v>
      </c>
      <c r="F184" s="3">
        <f t="shared" si="1"/>
        <v>4853087.3369585909</v>
      </c>
      <c r="G184" s="3">
        <f t="shared" si="2"/>
        <v>1503223940601.7913</v>
      </c>
      <c r="H184" s="3">
        <f t="shared" si="3"/>
        <v>25817257.285714287</v>
      </c>
      <c r="I184" s="3">
        <f t="shared" si="4"/>
        <v>774517.71857142856</v>
      </c>
      <c r="J184" s="3">
        <f t="shared" si="5"/>
        <v>1503227038672.6655</v>
      </c>
    </row>
    <row r="185" spans="1:10" x14ac:dyDescent="0.25">
      <c r="A185" s="3">
        <v>184</v>
      </c>
      <c r="B185" s="3">
        <v>10.994642857142857</v>
      </c>
      <c r="C185" s="3">
        <v>0.17260787992495311</v>
      </c>
      <c r="D185" s="3">
        <v>3235.7233928571427</v>
      </c>
      <c r="E185" s="3">
        <f t="shared" si="0"/>
        <v>558.5113548646475</v>
      </c>
      <c r="F185" s="3">
        <f t="shared" si="1"/>
        <v>4892559.4686143119</v>
      </c>
      <c r="G185" s="3">
        <f t="shared" si="2"/>
        <v>1515450288810.5476</v>
      </c>
      <c r="H185" s="3">
        <f t="shared" si="3"/>
        <v>25885787.142857142</v>
      </c>
      <c r="I185" s="3">
        <f t="shared" si="4"/>
        <v>776573.61428571423</v>
      </c>
      <c r="J185" s="3">
        <f t="shared" si="5"/>
        <v>1515453395105.0046</v>
      </c>
    </row>
    <row r="186" spans="1:10" x14ac:dyDescent="0.25">
      <c r="A186" s="3">
        <v>185</v>
      </c>
      <c r="B186" s="3">
        <v>11.010357142857142</v>
      </c>
      <c r="C186" s="3">
        <v>0.17354596622889307</v>
      </c>
      <c r="D186" s="3">
        <v>3240.3481071428573</v>
      </c>
      <c r="E186" s="3">
        <f t="shared" si="0"/>
        <v>562.34934317207194</v>
      </c>
      <c r="F186" s="3">
        <f t="shared" si="1"/>
        <v>4926180.2461873498</v>
      </c>
      <c r="G186" s="3">
        <f t="shared" si="2"/>
        <v>1525864204088.2986</v>
      </c>
      <c r="H186" s="3">
        <f t="shared" si="3"/>
        <v>25922784.857142858</v>
      </c>
      <c r="I186" s="3">
        <f t="shared" si="4"/>
        <v>777683.54571428569</v>
      </c>
      <c r="J186" s="3">
        <f t="shared" si="5"/>
        <v>1525867314822.4814</v>
      </c>
    </row>
    <row r="187" spans="1:10" x14ac:dyDescent="0.25">
      <c r="A187" s="3">
        <v>186</v>
      </c>
      <c r="B187" s="3">
        <v>11.021785714285715</v>
      </c>
      <c r="C187" s="3">
        <v>0.17448405253283303</v>
      </c>
      <c r="D187" s="3">
        <v>3243.7115357142861</v>
      </c>
      <c r="E187" s="3">
        <f t="shared" si="0"/>
        <v>565.97593399892799</v>
      </c>
      <c r="F187" s="3">
        <f t="shared" si="1"/>
        <v>4957949.1818306092</v>
      </c>
      <c r="G187" s="3">
        <f t="shared" si="2"/>
        <v>1535704518935.9263</v>
      </c>
      <c r="H187" s="3">
        <f t="shared" si="3"/>
        <v>25949692.285714287</v>
      </c>
      <c r="I187" s="3">
        <f t="shared" si="4"/>
        <v>778490.76857142861</v>
      </c>
      <c r="J187" s="3">
        <f t="shared" si="5"/>
        <v>1535707632899.0005</v>
      </c>
    </row>
    <row r="188" spans="1:10" x14ac:dyDescent="0.25">
      <c r="A188" s="3">
        <v>187</v>
      </c>
      <c r="B188" s="3">
        <v>11.026071428571429</v>
      </c>
      <c r="C188" s="3">
        <v>0.17542213883677299</v>
      </c>
      <c r="D188" s="3">
        <v>3244.9728214285719</v>
      </c>
      <c r="E188" s="3">
        <f t="shared" si="0"/>
        <v>569.24007280219791</v>
      </c>
      <c r="F188" s="3">
        <f t="shared" si="1"/>
        <v>4986543.0377472537</v>
      </c>
      <c r="G188" s="3">
        <f t="shared" si="2"/>
        <v>1544561365823.9246</v>
      </c>
      <c r="H188" s="3">
        <f t="shared" si="3"/>
        <v>25959782.571428575</v>
      </c>
      <c r="I188" s="3">
        <f t="shared" si="4"/>
        <v>778793.47714285715</v>
      </c>
      <c r="J188" s="3">
        <f t="shared" si="5"/>
        <v>1544564480997.833</v>
      </c>
    </row>
    <row r="189" spans="1:10" x14ac:dyDescent="0.25">
      <c r="A189" s="3">
        <v>188</v>
      </c>
      <c r="B189" s="3">
        <v>11.031607142857142</v>
      </c>
      <c r="C189" s="3">
        <v>0.17636022514071295</v>
      </c>
      <c r="D189" s="3">
        <v>3246.6019821428577</v>
      </c>
      <c r="E189" s="3">
        <f t="shared" si="0"/>
        <v>572.57145651299925</v>
      </c>
      <c r="F189" s="3">
        <f t="shared" si="1"/>
        <v>5015725.9590538731</v>
      </c>
      <c r="G189" s="3">
        <f t="shared" si="2"/>
        <v>1553600673328.5071</v>
      </c>
      <c r="H189" s="3">
        <f t="shared" si="3"/>
        <v>25972815.857142862</v>
      </c>
      <c r="I189" s="3">
        <f t="shared" si="4"/>
        <v>779184.47571428586</v>
      </c>
      <c r="J189" s="3">
        <f t="shared" si="5"/>
        <v>1553603790066.4102</v>
      </c>
    </row>
    <row r="190" spans="1:10" x14ac:dyDescent="0.25">
      <c r="A190" s="3">
        <v>189</v>
      </c>
      <c r="B190" s="3">
        <v>11.045535714285714</v>
      </c>
      <c r="C190" s="3">
        <v>0.17729831144465291</v>
      </c>
      <c r="D190" s="3">
        <v>3250.7011607142858</v>
      </c>
      <c r="E190" s="3">
        <f t="shared" si="0"/>
        <v>576.34382680581621</v>
      </c>
      <c r="F190" s="3">
        <f t="shared" si="1"/>
        <v>5048771.9228189504</v>
      </c>
      <c r="G190" s="3">
        <f t="shared" si="2"/>
        <v>1563836542519.3281</v>
      </c>
      <c r="H190" s="3">
        <f t="shared" si="3"/>
        <v>26005609.285714287</v>
      </c>
      <c r="I190" s="3">
        <f t="shared" si="4"/>
        <v>780168.27857142861</v>
      </c>
      <c r="J190" s="3">
        <f t="shared" si="5"/>
        <v>1563839663192.4424</v>
      </c>
    </row>
    <row r="191" spans="1:10" x14ac:dyDescent="0.25">
      <c r="A191" s="3">
        <v>190</v>
      </c>
      <c r="B191" s="3">
        <v>11.051071428571429</v>
      </c>
      <c r="C191" s="3">
        <v>0.17823639774859287</v>
      </c>
      <c r="D191" s="3">
        <v>3252.330321428572</v>
      </c>
      <c r="E191" s="3">
        <f t="shared" si="0"/>
        <v>579.68364077995182</v>
      </c>
      <c r="F191" s="3">
        <f t="shared" si="1"/>
        <v>5078028.693232378</v>
      </c>
      <c r="G191" s="3">
        <f t="shared" si="2"/>
        <v>1572898724529.6489</v>
      </c>
      <c r="H191" s="3">
        <f t="shared" si="3"/>
        <v>26018642.571428575</v>
      </c>
      <c r="I191" s="3">
        <f t="shared" si="4"/>
        <v>780559.2771428572</v>
      </c>
      <c r="J191" s="3">
        <f t="shared" si="5"/>
        <v>1572901846766.7576</v>
      </c>
    </row>
    <row r="192" spans="1:10" x14ac:dyDescent="0.25">
      <c r="A192" s="3">
        <v>191</v>
      </c>
      <c r="B192" s="3">
        <v>11.053571428571431</v>
      </c>
      <c r="C192" s="3">
        <v>0.17917448405253283</v>
      </c>
      <c r="D192" s="3">
        <v>3253.0660714285727</v>
      </c>
      <c r="E192" s="3">
        <f t="shared" si="0"/>
        <v>582.86643493701445</v>
      </c>
      <c r="F192" s="3">
        <f t="shared" si="1"/>
        <v>5105909.9700482469</v>
      </c>
      <c r="G192" s="3">
        <f t="shared" si="2"/>
        <v>1581534853007.1479</v>
      </c>
      <c r="H192" s="3">
        <f t="shared" si="3"/>
        <v>26024528.571428582</v>
      </c>
      <c r="I192" s="3">
        <f t="shared" si="4"/>
        <v>780735.85714285739</v>
      </c>
      <c r="J192" s="3">
        <f t="shared" si="5"/>
        <v>1581537975950.5767</v>
      </c>
    </row>
    <row r="193" spans="1:10" x14ac:dyDescent="0.25">
      <c r="A193" s="3">
        <v>192</v>
      </c>
      <c r="B193" s="3">
        <v>11.069642857142856</v>
      </c>
      <c r="C193" s="3">
        <v>0.1801125703564728</v>
      </c>
      <c r="D193" s="3">
        <v>3257.7958928571429</v>
      </c>
      <c r="E193" s="3">
        <f t="shared" si="0"/>
        <v>586.76999195926021</v>
      </c>
      <c r="F193" s="3">
        <f t="shared" si="1"/>
        <v>5140105.1295631202</v>
      </c>
      <c r="G193" s="3">
        <f t="shared" si="2"/>
        <v>1592126681006.4004</v>
      </c>
      <c r="H193" s="3">
        <f t="shared" si="3"/>
        <v>26062367.142857142</v>
      </c>
      <c r="I193" s="3">
        <f t="shared" si="4"/>
        <v>781871.01428571425</v>
      </c>
      <c r="J193" s="3">
        <f t="shared" si="5"/>
        <v>1592129808490.4578</v>
      </c>
    </row>
    <row r="194" spans="1:10" x14ac:dyDescent="0.25">
      <c r="A194" s="3">
        <v>193</v>
      </c>
      <c r="B194" s="3">
        <v>11.081607142857143</v>
      </c>
      <c r="C194" s="3">
        <v>0.18105065666041276</v>
      </c>
      <c r="D194" s="3">
        <v>3261.3169821428578</v>
      </c>
      <c r="E194" s="3">
        <f t="shared" si="0"/>
        <v>590.46358119472006</v>
      </c>
      <c r="F194" s="3">
        <f t="shared" si="1"/>
        <v>5172460.9712657481</v>
      </c>
      <c r="G194" s="3">
        <f t="shared" si="2"/>
        <v>1602148787827.2222</v>
      </c>
      <c r="H194" s="3">
        <f t="shared" si="3"/>
        <v>26090535.857142862</v>
      </c>
      <c r="I194" s="3">
        <f t="shared" si="4"/>
        <v>782716.07571428583</v>
      </c>
      <c r="J194" s="3">
        <f t="shared" si="5"/>
        <v>1602151918691.5249</v>
      </c>
    </row>
    <row r="195" spans="1:10" x14ac:dyDescent="0.25">
      <c r="A195" s="3">
        <v>194</v>
      </c>
      <c r="B195" s="3">
        <v>11.086250000000001</v>
      </c>
      <c r="C195" s="3">
        <v>0.18198874296435272</v>
      </c>
      <c r="D195" s="3">
        <v>3262.683375000001</v>
      </c>
      <c r="E195" s="3">
        <f t="shared" si="0"/>
        <v>593.77164610694206</v>
      </c>
      <c r="F195" s="3">
        <f t="shared" si="1"/>
        <v>5201439.6198968124</v>
      </c>
      <c r="G195" s="3">
        <f t="shared" si="2"/>
        <v>1611124822828.425</v>
      </c>
      <c r="H195" s="3">
        <f t="shared" si="3"/>
        <v>26101467.000000007</v>
      </c>
      <c r="I195" s="3">
        <f t="shared" si="4"/>
        <v>783044.01000000024</v>
      </c>
      <c r="J195" s="3">
        <f t="shared" si="5"/>
        <v>1611127955004.4651</v>
      </c>
    </row>
    <row r="196" spans="1:10" x14ac:dyDescent="0.25">
      <c r="A196" s="3">
        <v>195</v>
      </c>
      <c r="B196" s="3">
        <v>11.092499999999999</v>
      </c>
      <c r="C196" s="3">
        <v>0.18292682926829268</v>
      </c>
      <c r="D196" s="3">
        <v>3264.5227500000001</v>
      </c>
      <c r="E196" s="3">
        <f t="shared" si="0"/>
        <v>597.16879573170729</v>
      </c>
      <c r="F196" s="3">
        <f t="shared" si="1"/>
        <v>5231198.6506097559</v>
      </c>
      <c r="G196" s="3">
        <f t="shared" si="2"/>
        <v>1620342578029.7649</v>
      </c>
      <c r="H196" s="3">
        <f t="shared" si="3"/>
        <v>26116182</v>
      </c>
      <c r="I196" s="3">
        <f t="shared" si="4"/>
        <v>783485.46</v>
      </c>
      <c r="J196" s="3">
        <f t="shared" si="5"/>
        <v>1620345711971.6047</v>
      </c>
    </row>
    <row r="197" spans="1:10" x14ac:dyDescent="0.25">
      <c r="A197" s="3">
        <v>196</v>
      </c>
      <c r="B197" s="3">
        <v>11.142142857142858</v>
      </c>
      <c r="C197" s="3">
        <v>0.18386491557223264</v>
      </c>
      <c r="D197" s="3">
        <v>3279.1326428571433</v>
      </c>
      <c r="E197" s="3">
        <f t="shared" si="0"/>
        <v>602.91744652908073</v>
      </c>
      <c r="F197" s="3">
        <f t="shared" si="1"/>
        <v>5281556.8315947475</v>
      </c>
      <c r="G197" s="3">
        <f t="shared" si="2"/>
        <v>1635940836612.8235</v>
      </c>
      <c r="H197" s="3">
        <f t="shared" si="3"/>
        <v>26233061.142857146</v>
      </c>
      <c r="I197" s="3">
        <f t="shared" si="4"/>
        <v>786991.83428571431</v>
      </c>
      <c r="J197" s="3">
        <f t="shared" si="5"/>
        <v>1635943984580.1606</v>
      </c>
    </row>
    <row r="198" spans="1:10" x14ac:dyDescent="0.25">
      <c r="A198" s="3">
        <v>197</v>
      </c>
      <c r="B198" s="3">
        <v>11.145357142857142</v>
      </c>
      <c r="C198" s="3">
        <v>0.1848030018761726</v>
      </c>
      <c r="D198" s="3">
        <v>3280.0786071428574</v>
      </c>
      <c r="E198" s="3">
        <f t="shared" si="0"/>
        <v>606.16837298981511</v>
      </c>
      <c r="F198" s="3">
        <f t="shared" si="1"/>
        <v>5310034.9473907808</v>
      </c>
      <c r="G198" s="3">
        <f t="shared" si="2"/>
        <v>1644761833700.9705</v>
      </c>
      <c r="H198" s="3">
        <f t="shared" si="3"/>
        <v>26240628.857142858</v>
      </c>
      <c r="I198" s="3">
        <f t="shared" si="4"/>
        <v>787218.86571428576</v>
      </c>
      <c r="J198" s="3">
        <f t="shared" si="5"/>
        <v>1644764982576.4333</v>
      </c>
    </row>
    <row r="199" spans="1:10" x14ac:dyDescent="0.25">
      <c r="A199" s="3">
        <v>198</v>
      </c>
      <c r="B199" s="3">
        <v>11.181964285714285</v>
      </c>
      <c r="C199" s="3">
        <v>0.18574108818011256</v>
      </c>
      <c r="D199" s="3">
        <v>3290.8520892857141</v>
      </c>
      <c r="E199" s="3">
        <f t="shared" si="0"/>
        <v>611.24644810372547</v>
      </c>
      <c r="F199" s="3">
        <f t="shared" si="1"/>
        <v>5354518.8853886351</v>
      </c>
      <c r="G199" s="3">
        <f t="shared" si="2"/>
        <v>1658540569493.0315</v>
      </c>
      <c r="H199" s="3">
        <f t="shared" si="3"/>
        <v>26326816.714285713</v>
      </c>
      <c r="I199" s="3">
        <f t="shared" si="4"/>
        <v>789804.5014285713</v>
      </c>
      <c r="J199" s="3">
        <f t="shared" si="5"/>
        <v>1658543728711.0374</v>
      </c>
    </row>
    <row r="200" spans="1:10" x14ac:dyDescent="0.25">
      <c r="A200" s="3">
        <v>199</v>
      </c>
      <c r="B200" s="3">
        <v>11.228035714285715</v>
      </c>
      <c r="C200" s="3">
        <v>0.18667917448405252</v>
      </c>
      <c r="D200" s="3">
        <v>3304.4109107142863</v>
      </c>
      <c r="E200" s="3">
        <f t="shared" si="0"/>
        <v>616.86470096823916</v>
      </c>
      <c r="F200" s="3">
        <f t="shared" si="1"/>
        <v>5403734.7804817753</v>
      </c>
      <c r="G200" s="3">
        <f t="shared" si="2"/>
        <v>1673785009975.8997</v>
      </c>
      <c r="H200" s="3">
        <f t="shared" si="3"/>
        <v>26435287.285714291</v>
      </c>
      <c r="I200" s="3">
        <f t="shared" si="4"/>
        <v>793058.6185714287</v>
      </c>
      <c r="J200" s="3">
        <f t="shared" si="5"/>
        <v>1673788182210.374</v>
      </c>
    </row>
    <row r="201" spans="1:10" x14ac:dyDescent="0.25">
      <c r="A201" s="3">
        <v>200</v>
      </c>
      <c r="B201" s="3">
        <v>11.228035714285715</v>
      </c>
      <c r="C201" s="3">
        <v>0.18761726078799248</v>
      </c>
      <c r="D201" s="3">
        <v>3304.4109107142863</v>
      </c>
      <c r="E201" s="3">
        <f t="shared" si="0"/>
        <v>619.96452358617</v>
      </c>
      <c r="F201" s="3">
        <f t="shared" si="1"/>
        <v>5430889.2266148496</v>
      </c>
      <c r="G201" s="3">
        <f t="shared" si="2"/>
        <v>1682196005866.4041</v>
      </c>
      <c r="H201" s="3">
        <f t="shared" si="3"/>
        <v>26435287.285714291</v>
      </c>
      <c r="I201" s="3">
        <f t="shared" si="4"/>
        <v>793058.6185714287</v>
      </c>
      <c r="J201" s="3">
        <f t="shared" si="5"/>
        <v>1682199178100.8784</v>
      </c>
    </row>
    <row r="202" spans="1:10" x14ac:dyDescent="0.25">
      <c r="A202" s="3">
        <v>201</v>
      </c>
      <c r="B202" s="3">
        <v>11.239285714285714</v>
      </c>
      <c r="C202" s="3">
        <v>0.18855534709193245</v>
      </c>
      <c r="D202" s="3">
        <v>3307.7217857142859</v>
      </c>
      <c r="E202" s="3">
        <f t="shared" si="0"/>
        <v>623.68862938890379</v>
      </c>
      <c r="F202" s="3">
        <f t="shared" si="1"/>
        <v>5463512.3934467975</v>
      </c>
      <c r="G202" s="3">
        <f t="shared" si="2"/>
        <v>1692300915924.4209</v>
      </c>
      <c r="H202" s="3">
        <f t="shared" si="3"/>
        <v>26461774.285714287</v>
      </c>
      <c r="I202" s="3">
        <f t="shared" si="4"/>
        <v>793853.22857142857</v>
      </c>
      <c r="J202" s="3">
        <f t="shared" si="5"/>
        <v>1692304091337.3352</v>
      </c>
    </row>
    <row r="203" spans="1:10" x14ac:dyDescent="0.25">
      <c r="A203" s="3">
        <v>202</v>
      </c>
      <c r="B203" s="3">
        <v>11.27142857142857</v>
      </c>
      <c r="C203" s="3">
        <v>0.18949343339587241</v>
      </c>
      <c r="D203" s="3">
        <v>3317.1814285714281</v>
      </c>
      <c r="E203" s="3">
        <f t="shared" si="0"/>
        <v>628.58409809702482</v>
      </c>
      <c r="F203" s="3">
        <f t="shared" si="1"/>
        <v>5506396.6993299378</v>
      </c>
      <c r="G203" s="3">
        <f t="shared" si="2"/>
        <v>1705584172455.821</v>
      </c>
      <c r="H203" s="3">
        <f t="shared" si="3"/>
        <v>26537451.428571425</v>
      </c>
      <c r="I203" s="3">
        <f t="shared" si="4"/>
        <v>796123.54285714275</v>
      </c>
      <c r="J203" s="3">
        <f t="shared" si="5"/>
        <v>1705587356949.9927</v>
      </c>
    </row>
    <row r="204" spans="1:10" x14ac:dyDescent="0.25">
      <c r="A204" s="3">
        <v>203</v>
      </c>
      <c r="B204" s="3">
        <v>11.282500000000001</v>
      </c>
      <c r="C204" s="3">
        <v>0.1904315196998124</v>
      </c>
      <c r="D204" s="3">
        <v>3320.43975</v>
      </c>
      <c r="E204" s="3">
        <f t="shared" si="0"/>
        <v>632.31638766416518</v>
      </c>
      <c r="F204" s="3">
        <f t="shared" si="1"/>
        <v>5539091.5559380874</v>
      </c>
      <c r="G204" s="3">
        <f t="shared" si="2"/>
        <v>1715711288224.8308</v>
      </c>
      <c r="H204" s="3">
        <f t="shared" si="3"/>
        <v>26563518</v>
      </c>
      <c r="I204" s="3">
        <f t="shared" si="4"/>
        <v>796905.53999999992</v>
      </c>
      <c r="J204" s="3">
        <f t="shared" si="5"/>
        <v>1715714475846.991</v>
      </c>
    </row>
    <row r="205" spans="1:10" x14ac:dyDescent="0.25">
      <c r="A205" s="3">
        <v>204</v>
      </c>
      <c r="B205" s="3">
        <v>11.285357142857142</v>
      </c>
      <c r="C205" s="3">
        <v>0.19136960600375236</v>
      </c>
      <c r="D205" s="3">
        <v>3321.2806071428577</v>
      </c>
      <c r="E205" s="3">
        <f t="shared" si="0"/>
        <v>635.5921612168321</v>
      </c>
      <c r="F205" s="3">
        <f t="shared" si="1"/>
        <v>5567787.3322594492</v>
      </c>
      <c r="G205" s="3">
        <f t="shared" si="2"/>
        <v>1724599705009.7397</v>
      </c>
      <c r="H205" s="3">
        <f t="shared" si="3"/>
        <v>26570244.857142862</v>
      </c>
      <c r="I205" s="3">
        <f t="shared" si="4"/>
        <v>797107.34571428585</v>
      </c>
      <c r="J205" s="3">
        <f t="shared" si="5"/>
        <v>1724602893439.1226</v>
      </c>
    </row>
    <row r="206" spans="1:10" x14ac:dyDescent="0.25">
      <c r="A206" s="3">
        <v>205</v>
      </c>
      <c r="B206" s="3">
        <v>11.309642857142856</v>
      </c>
      <c r="C206" s="3">
        <v>0.19230769230769232</v>
      </c>
      <c r="D206" s="3">
        <v>3328.4278928571425</v>
      </c>
      <c r="E206" s="3">
        <f t="shared" si="0"/>
        <v>640.08228708791205</v>
      </c>
      <c r="F206" s="3">
        <f t="shared" si="1"/>
        <v>5607120.8348901095</v>
      </c>
      <c r="G206" s="3">
        <f t="shared" si="2"/>
        <v>1736783114719.0364</v>
      </c>
      <c r="H206" s="3">
        <f t="shared" si="3"/>
        <v>26627423.142857142</v>
      </c>
      <c r="I206" s="3">
        <f t="shared" si="4"/>
        <v>798822.69428571418</v>
      </c>
      <c r="J206" s="3">
        <f t="shared" si="5"/>
        <v>1736786310009.8135</v>
      </c>
    </row>
    <row r="207" spans="1:10" x14ac:dyDescent="0.25">
      <c r="A207" s="3">
        <v>206</v>
      </c>
      <c r="B207" s="3">
        <v>11.336785714285714</v>
      </c>
      <c r="C207" s="3">
        <v>0.19324577861163228</v>
      </c>
      <c r="D207" s="3">
        <v>3336.416035714286</v>
      </c>
      <c r="E207" s="3">
        <f t="shared" si="0"/>
        <v>644.74831459394272</v>
      </c>
      <c r="F207" s="3">
        <f t="shared" si="1"/>
        <v>5647995.2358429385</v>
      </c>
      <c r="G207" s="3">
        <f t="shared" si="2"/>
        <v>1749443811553.6985</v>
      </c>
      <c r="H207" s="3">
        <f t="shared" si="3"/>
        <v>26691328.285714287</v>
      </c>
      <c r="I207" s="3">
        <f t="shared" si="4"/>
        <v>800739.84857142856</v>
      </c>
      <c r="J207" s="3">
        <f t="shared" si="5"/>
        <v>1749447014513.0928</v>
      </c>
    </row>
    <row r="208" spans="1:10" x14ac:dyDescent="0.25">
      <c r="A208" s="3">
        <v>207</v>
      </c>
      <c r="B208" s="3">
        <v>11.338749999999999</v>
      </c>
      <c r="C208" s="3">
        <v>0.19418386491557224</v>
      </c>
      <c r="D208" s="3">
        <v>3336.9941250000002</v>
      </c>
      <c r="E208" s="3">
        <f t="shared" si="0"/>
        <v>647.99041639305824</v>
      </c>
      <c r="F208" s="3">
        <f t="shared" si="1"/>
        <v>5676396.0476031899</v>
      </c>
      <c r="G208" s="3">
        <f t="shared" si="2"/>
        <v>1758240864336.9524</v>
      </c>
      <c r="H208" s="3">
        <f t="shared" si="3"/>
        <v>26695953</v>
      </c>
      <c r="I208" s="3">
        <f t="shared" si="4"/>
        <v>800878.59</v>
      </c>
      <c r="J208" s="3">
        <f t="shared" si="5"/>
        <v>1758244067851.3125</v>
      </c>
    </row>
    <row r="209" spans="1:10" x14ac:dyDescent="0.25">
      <c r="A209" s="3">
        <v>208</v>
      </c>
      <c r="B209" s="3">
        <v>11.360714285714286</v>
      </c>
      <c r="C209" s="3">
        <v>0.1951219512195122</v>
      </c>
      <c r="D209" s="3">
        <v>3343.4582142857143</v>
      </c>
      <c r="E209" s="3">
        <f t="shared" si="0"/>
        <v>652.38209059233452</v>
      </c>
      <c r="F209" s="3">
        <f t="shared" si="1"/>
        <v>5714867.1135888509</v>
      </c>
      <c r="G209" s="3">
        <f t="shared" si="2"/>
        <v>1770157137930.4316</v>
      </c>
      <c r="H209" s="3">
        <f t="shared" si="3"/>
        <v>26747665.714285716</v>
      </c>
      <c r="I209" s="3">
        <f t="shared" si="4"/>
        <v>802429.9714285715</v>
      </c>
      <c r="J209" s="3">
        <f t="shared" si="5"/>
        <v>1770160347650.3174</v>
      </c>
    </row>
    <row r="210" spans="1:10" x14ac:dyDescent="0.25">
      <c r="A210" s="3">
        <v>209</v>
      </c>
      <c r="B210" s="3">
        <v>11.37125</v>
      </c>
      <c r="C210" s="3">
        <v>0.19606003752345216</v>
      </c>
      <c r="D210" s="3">
        <v>3346.5588750000002</v>
      </c>
      <c r="E210" s="3">
        <f t="shared" si="0"/>
        <v>656.12645860694192</v>
      </c>
      <c r="F210" s="3">
        <f t="shared" si="1"/>
        <v>5747667.7773968112</v>
      </c>
      <c r="G210" s="3">
        <f t="shared" si="2"/>
        <v>1780317027265.4487</v>
      </c>
      <c r="H210" s="3">
        <f t="shared" si="3"/>
        <v>26772471</v>
      </c>
      <c r="I210" s="3">
        <f t="shared" si="4"/>
        <v>803174.13</v>
      </c>
      <c r="J210" s="3">
        <f t="shared" si="5"/>
        <v>1780320239961.9685</v>
      </c>
    </row>
    <row r="211" spans="1:10" x14ac:dyDescent="0.25">
      <c r="A211" s="3">
        <v>210</v>
      </c>
      <c r="B211" s="3">
        <v>11.387857142857143</v>
      </c>
      <c r="C211" s="3">
        <v>0.19699812382739212</v>
      </c>
      <c r="D211" s="3">
        <v>3351.4463571428578</v>
      </c>
      <c r="E211" s="3">
        <f t="shared" si="0"/>
        <v>660.22864446529093</v>
      </c>
      <c r="F211" s="3">
        <f t="shared" si="1"/>
        <v>5783602.9255159488</v>
      </c>
      <c r="G211" s="3">
        <f t="shared" si="2"/>
        <v>1791447810573.0996</v>
      </c>
      <c r="H211" s="3">
        <f t="shared" si="3"/>
        <v>26811570.857142862</v>
      </c>
      <c r="I211" s="3">
        <f t="shared" si="4"/>
        <v>804347.12571428588</v>
      </c>
      <c r="J211" s="3">
        <f t="shared" si="5"/>
        <v>1791451027961.6025</v>
      </c>
    </row>
    <row r="212" spans="1:10" x14ac:dyDescent="0.25">
      <c r="A212" s="3">
        <v>211</v>
      </c>
      <c r="B212" s="3">
        <v>11.398214285714285</v>
      </c>
      <c r="C212" s="3">
        <v>0.19793621013133209</v>
      </c>
      <c r="D212" s="3">
        <v>3354.4944642857145</v>
      </c>
      <c r="E212" s="3">
        <f t="shared" si="0"/>
        <v>663.97592116724741</v>
      </c>
      <c r="F212" s="3">
        <f t="shared" si="1"/>
        <v>5816429.0694250874</v>
      </c>
      <c r="G212" s="3">
        <f t="shared" si="2"/>
        <v>1801615592331.8926</v>
      </c>
      <c r="H212" s="3">
        <f t="shared" si="3"/>
        <v>26835955.714285716</v>
      </c>
      <c r="I212" s="3">
        <f t="shared" si="4"/>
        <v>805078.67142857146</v>
      </c>
      <c r="J212" s="3">
        <f t="shared" si="5"/>
        <v>1801618812646.5784</v>
      </c>
    </row>
    <row r="213" spans="1:10" x14ac:dyDescent="0.25">
      <c r="A213" s="3">
        <v>212</v>
      </c>
      <c r="B213" s="3">
        <v>11.405178571428571</v>
      </c>
      <c r="C213" s="3">
        <v>0.19887429643527205</v>
      </c>
      <c r="D213" s="3">
        <v>3356.5440535714283</v>
      </c>
      <c r="E213" s="3">
        <f t="shared" si="0"/>
        <v>667.5303371080139</v>
      </c>
      <c r="F213" s="3">
        <f t="shared" si="1"/>
        <v>5847565.7530662017</v>
      </c>
      <c r="G213" s="3">
        <f t="shared" si="2"/>
        <v>1811260070567.1208</v>
      </c>
      <c r="H213" s="3">
        <f t="shared" si="3"/>
        <v>26852352.428571425</v>
      </c>
      <c r="I213" s="3">
        <f t="shared" si="4"/>
        <v>805570.57285714278</v>
      </c>
      <c r="J213" s="3">
        <f t="shared" si="5"/>
        <v>1811263292849.4121</v>
      </c>
    </row>
    <row r="214" spans="1:10" x14ac:dyDescent="0.25">
      <c r="A214" s="3">
        <v>213</v>
      </c>
      <c r="B214" s="3">
        <v>11.406785714285714</v>
      </c>
      <c r="C214" s="3">
        <v>0.19981238273921201</v>
      </c>
      <c r="D214" s="3">
        <v>3357.0170357142861</v>
      </c>
      <c r="E214" s="3">
        <f t="shared" si="0"/>
        <v>670.77357280219792</v>
      </c>
      <c r="F214" s="3">
        <f t="shared" si="1"/>
        <v>5875976.4977472536</v>
      </c>
      <c r="G214" s="3">
        <f t="shared" si="2"/>
        <v>1820060200139.1841</v>
      </c>
      <c r="H214" s="3">
        <f t="shared" si="3"/>
        <v>26856136.285714287</v>
      </c>
      <c r="I214" s="3">
        <f t="shared" si="4"/>
        <v>805684.08857142855</v>
      </c>
      <c r="J214" s="3">
        <f t="shared" si="5"/>
        <v>1820063422875.5383</v>
      </c>
    </row>
    <row r="215" spans="1:10" x14ac:dyDescent="0.25">
      <c r="A215" s="3">
        <v>214</v>
      </c>
      <c r="B215" s="3">
        <v>11.441607142857144</v>
      </c>
      <c r="C215" s="3">
        <v>0.20075046904315197</v>
      </c>
      <c r="D215" s="3">
        <v>3367.2649821428577</v>
      </c>
      <c r="E215" s="3">
        <f t="shared" si="0"/>
        <v>675.98002455775941</v>
      </c>
      <c r="F215" s="3">
        <f t="shared" si="1"/>
        <v>5921585.0151259722</v>
      </c>
      <c r="G215" s="3">
        <f t="shared" si="2"/>
        <v>1834187271014.3635</v>
      </c>
      <c r="H215" s="3">
        <f t="shared" si="3"/>
        <v>26938119.857142862</v>
      </c>
      <c r="I215" s="3">
        <f t="shared" si="4"/>
        <v>808143.59571428585</v>
      </c>
      <c r="J215" s="3">
        <f t="shared" si="5"/>
        <v>1834190503588.7463</v>
      </c>
    </row>
    <row r="216" spans="1:10" x14ac:dyDescent="0.25">
      <c r="A216" s="3">
        <v>215</v>
      </c>
      <c r="B216" s="3">
        <v>11.445178571428571</v>
      </c>
      <c r="C216" s="3">
        <v>0.20168855534709193</v>
      </c>
      <c r="D216" s="3">
        <v>3368.3160535714283</v>
      </c>
      <c r="E216" s="3">
        <f t="shared" si="0"/>
        <v>679.35079879723924</v>
      </c>
      <c r="F216" s="3">
        <f t="shared" si="1"/>
        <v>5951112.9974638149</v>
      </c>
      <c r="G216" s="3">
        <f t="shared" si="2"/>
        <v>1843333460536.3943</v>
      </c>
      <c r="H216" s="3">
        <f t="shared" si="3"/>
        <v>26946528.428571425</v>
      </c>
      <c r="I216" s="3">
        <f t="shared" si="4"/>
        <v>808395.85285714269</v>
      </c>
      <c r="J216" s="3">
        <f t="shared" si="5"/>
        <v>1843336694119.8057</v>
      </c>
    </row>
    <row r="217" spans="1:10" x14ac:dyDescent="0.25">
      <c r="A217" s="3">
        <v>216</v>
      </c>
      <c r="B217" s="3">
        <v>11.449642857142857</v>
      </c>
      <c r="C217" s="3">
        <v>0.20262664165103189</v>
      </c>
      <c r="D217" s="3">
        <v>3369.6298928571427</v>
      </c>
      <c r="E217" s="3">
        <f t="shared" si="0"/>
        <v>682.77678879656924</v>
      </c>
      <c r="F217" s="3">
        <f t="shared" si="1"/>
        <v>5981124.6698579462</v>
      </c>
      <c r="G217" s="3">
        <f t="shared" si="2"/>
        <v>1852629471130.2993</v>
      </c>
      <c r="H217" s="3">
        <f t="shared" si="3"/>
        <v>26957039.142857142</v>
      </c>
      <c r="I217" s="3">
        <f t="shared" si="4"/>
        <v>808711.17428571428</v>
      </c>
      <c r="J217" s="3">
        <f t="shared" si="5"/>
        <v>1852632705974.9966</v>
      </c>
    </row>
    <row r="218" spans="1:10" x14ac:dyDescent="0.25">
      <c r="A218" s="3">
        <v>217</v>
      </c>
      <c r="B218" s="3">
        <v>11.45142857142857</v>
      </c>
      <c r="C218" s="3">
        <v>0.20356472795497185</v>
      </c>
      <c r="D218" s="3">
        <v>3370.1554285714283</v>
      </c>
      <c r="E218" s="3">
        <f t="shared" si="0"/>
        <v>686.0447729831144</v>
      </c>
      <c r="F218" s="3">
        <f t="shared" si="1"/>
        <v>6009752.2113320818</v>
      </c>
      <c r="G218" s="3">
        <f t="shared" si="2"/>
        <v>1861496752709.6909</v>
      </c>
      <c r="H218" s="3">
        <f t="shared" si="3"/>
        <v>26961243.428571425</v>
      </c>
      <c r="I218" s="3">
        <f t="shared" si="4"/>
        <v>808837.30285714276</v>
      </c>
      <c r="J218" s="3">
        <f t="shared" si="5"/>
        <v>1861499988058.9026</v>
      </c>
    </row>
    <row r="219" spans="1:10" x14ac:dyDescent="0.25">
      <c r="A219" s="3">
        <v>218</v>
      </c>
      <c r="B219" s="3">
        <v>11.483571428571429</v>
      </c>
      <c r="C219" s="3">
        <v>0.20450281425891181</v>
      </c>
      <c r="D219" s="3">
        <v>3379.6150714285718</v>
      </c>
      <c r="E219" s="3">
        <f t="shared" si="0"/>
        <v>691.14079321897623</v>
      </c>
      <c r="F219" s="3">
        <f t="shared" si="1"/>
        <v>6054393.3485982316</v>
      </c>
      <c r="G219" s="3">
        <f t="shared" si="2"/>
        <v>1875324181693.3811</v>
      </c>
      <c r="H219" s="3">
        <f t="shared" si="3"/>
        <v>27036920.571428575</v>
      </c>
      <c r="I219" s="3">
        <f t="shared" si="4"/>
        <v>811107.61714285717</v>
      </c>
      <c r="J219" s="3">
        <f t="shared" si="5"/>
        <v>1875327426123.8496</v>
      </c>
    </row>
    <row r="220" spans="1:10" x14ac:dyDescent="0.25">
      <c r="A220" s="3">
        <v>219</v>
      </c>
      <c r="B220" s="3">
        <v>11.523035714285713</v>
      </c>
      <c r="C220" s="3">
        <v>0.20544090056285177</v>
      </c>
      <c r="D220" s="3">
        <v>3391.2294107142861</v>
      </c>
      <c r="E220" s="3">
        <f t="shared" si="0"/>
        <v>696.69722415237209</v>
      </c>
      <c r="F220" s="3">
        <f t="shared" si="1"/>
        <v>6103067.683574779</v>
      </c>
      <c r="G220" s="3">
        <f t="shared" si="2"/>
        <v>1890400877667.541</v>
      </c>
      <c r="H220" s="3">
        <f t="shared" si="3"/>
        <v>27129835.285714287</v>
      </c>
      <c r="I220" s="3">
        <f t="shared" si="4"/>
        <v>813895.05857142864</v>
      </c>
      <c r="J220" s="3">
        <f t="shared" si="5"/>
        <v>1890404133247.7754</v>
      </c>
    </row>
    <row r="221" spans="1:10" x14ac:dyDescent="0.25">
      <c r="A221" s="3">
        <v>220</v>
      </c>
      <c r="B221" s="3">
        <v>11.540178571428573</v>
      </c>
      <c r="C221" s="3">
        <v>0.20637898686679174</v>
      </c>
      <c r="D221" s="3">
        <v>3396.2745535714289</v>
      </c>
      <c r="E221" s="3">
        <f t="shared" si="0"/>
        <v>700.91970148753694</v>
      </c>
      <c r="F221" s="3">
        <f t="shared" si="1"/>
        <v>6140056.585030823</v>
      </c>
      <c r="G221" s="3">
        <f t="shared" si="2"/>
        <v>1901858057279.9797</v>
      </c>
      <c r="H221" s="3">
        <f t="shared" si="3"/>
        <v>27170196.428571433</v>
      </c>
      <c r="I221" s="3">
        <f t="shared" si="4"/>
        <v>815105.89285714296</v>
      </c>
      <c r="J221" s="3">
        <f t="shared" si="5"/>
        <v>1901861317703.551</v>
      </c>
    </row>
    <row r="222" spans="1:10" x14ac:dyDescent="0.25">
      <c r="A222" s="3">
        <v>221</v>
      </c>
      <c r="B222" s="3">
        <v>11.549999999999999</v>
      </c>
      <c r="C222" s="3">
        <v>0.2073170731707317</v>
      </c>
      <c r="D222" s="3">
        <v>3399.1649999999995</v>
      </c>
      <c r="E222" s="3">
        <f t="shared" si="0"/>
        <v>704.70493902439011</v>
      </c>
      <c r="F222" s="3">
        <f t="shared" si="1"/>
        <v>6173215.2658536574</v>
      </c>
      <c r="G222" s="3">
        <f t="shared" si="2"/>
        <v>1912128841350.4663</v>
      </c>
      <c r="H222" s="3">
        <f t="shared" si="3"/>
        <v>27193319.999999996</v>
      </c>
      <c r="I222" s="3">
        <f t="shared" si="4"/>
        <v>815799.59999999986</v>
      </c>
      <c r="J222" s="3">
        <f t="shared" si="5"/>
        <v>1912132104548.8665</v>
      </c>
    </row>
    <row r="223" spans="1:10" x14ac:dyDescent="0.25">
      <c r="A223" s="3">
        <v>222</v>
      </c>
      <c r="B223" s="3">
        <v>11.571428571428573</v>
      </c>
      <c r="C223" s="3">
        <v>0.20825515947467166</v>
      </c>
      <c r="D223" s="3">
        <v>3405.471428571429</v>
      </c>
      <c r="E223" s="3">
        <f t="shared" si="0"/>
        <v>709.20699544358081</v>
      </c>
      <c r="F223" s="3">
        <f t="shared" si="1"/>
        <v>6212653.2800857676</v>
      </c>
      <c r="G223" s="3">
        <f t="shared" si="2"/>
        <v>1924344623974.5222</v>
      </c>
      <c r="H223" s="3">
        <f t="shared" si="3"/>
        <v>27243771.428571433</v>
      </c>
      <c r="I223" s="3">
        <f t="shared" si="4"/>
        <v>817313.14285714296</v>
      </c>
      <c r="J223" s="3">
        <f t="shared" si="5"/>
        <v>1924347893227.0935</v>
      </c>
    </row>
    <row r="224" spans="1:10" x14ac:dyDescent="0.25">
      <c r="A224" s="3">
        <v>223</v>
      </c>
      <c r="B224" s="3">
        <v>11.575178571428571</v>
      </c>
      <c r="C224" s="3">
        <v>0.20919324577861162</v>
      </c>
      <c r="D224" s="3">
        <v>3406.5750535714283</v>
      </c>
      <c r="E224" s="3">
        <f t="shared" si="0"/>
        <v>712.63249244505482</v>
      </c>
      <c r="F224" s="3">
        <f t="shared" si="1"/>
        <v>6242660.6338186814</v>
      </c>
      <c r="G224" s="3">
        <f t="shared" si="2"/>
        <v>1933639297079.8386</v>
      </c>
      <c r="H224" s="3">
        <f t="shared" si="3"/>
        <v>27252600.428571425</v>
      </c>
      <c r="I224" s="3">
        <f t="shared" si="4"/>
        <v>817578.01285714272</v>
      </c>
      <c r="J224" s="3">
        <f t="shared" si="5"/>
        <v>1933642567391.8901</v>
      </c>
    </row>
    <row r="225" spans="1:10" x14ac:dyDescent="0.25">
      <c r="A225" s="3">
        <v>224</v>
      </c>
      <c r="B225" s="3">
        <v>11.57642857142857</v>
      </c>
      <c r="C225" s="3">
        <v>0.21013133208255161</v>
      </c>
      <c r="D225" s="3">
        <v>3406.9429285714282</v>
      </c>
      <c r="E225" s="3">
        <f t="shared" si="0"/>
        <v>715.90545590994373</v>
      </c>
      <c r="F225" s="3">
        <f t="shared" si="1"/>
        <v>6271331.7937711077</v>
      </c>
      <c r="G225" s="3">
        <f t="shared" si="2"/>
        <v>1942520089483.5645</v>
      </c>
      <c r="H225" s="3">
        <f t="shared" si="3"/>
        <v>27255543.428571425</v>
      </c>
      <c r="I225" s="3">
        <f t="shared" si="4"/>
        <v>817666.30285714276</v>
      </c>
      <c r="J225" s="3">
        <f t="shared" si="5"/>
        <v>1942523360148.7761</v>
      </c>
    </row>
    <row r="226" spans="1:10" x14ac:dyDescent="0.25">
      <c r="A226" s="3">
        <v>225</v>
      </c>
      <c r="B226" s="3">
        <v>11.592142857142857</v>
      </c>
      <c r="C226" s="3">
        <v>0.21106941838649157</v>
      </c>
      <c r="D226" s="3">
        <v>3411.5676428571428</v>
      </c>
      <c r="E226" s="3">
        <f t="shared" si="0"/>
        <v>720.07759816403109</v>
      </c>
      <c r="F226" s="3">
        <f t="shared" si="1"/>
        <v>6307879.7599169128</v>
      </c>
      <c r="G226" s="3">
        <f t="shared" si="2"/>
        <v>1953840691310.3845</v>
      </c>
      <c r="H226" s="3">
        <f t="shared" si="3"/>
        <v>27292541.142857142</v>
      </c>
      <c r="I226" s="3">
        <f t="shared" si="4"/>
        <v>818776.23428571422</v>
      </c>
      <c r="J226" s="3">
        <f t="shared" si="5"/>
        <v>1953843966415.3218</v>
      </c>
    </row>
    <row r="227" spans="1:10" x14ac:dyDescent="0.25">
      <c r="A227" s="3">
        <v>226</v>
      </c>
      <c r="B227" s="3">
        <v>11.660892857142857</v>
      </c>
      <c r="C227" s="3">
        <v>0.21200750469043153</v>
      </c>
      <c r="D227" s="3">
        <v>3431.8007678571425</v>
      </c>
      <c r="E227" s="3">
        <f t="shared" si="0"/>
        <v>727.56751738809965</v>
      </c>
      <c r="F227" s="3">
        <f t="shared" si="1"/>
        <v>6373491.4523197534</v>
      </c>
      <c r="G227" s="3">
        <f t="shared" si="2"/>
        <v>1974163666966.8328</v>
      </c>
      <c r="H227" s="3">
        <f t="shared" si="3"/>
        <v>27454406.142857142</v>
      </c>
      <c r="I227" s="3">
        <f t="shared" si="4"/>
        <v>823632.18428571417</v>
      </c>
      <c r="J227" s="3">
        <f t="shared" si="5"/>
        <v>1974166961495.5701</v>
      </c>
    </row>
    <row r="228" spans="1:10" x14ac:dyDescent="0.25">
      <c r="A228" s="3">
        <v>227</v>
      </c>
      <c r="B228" s="3">
        <v>11.672500000000001</v>
      </c>
      <c r="C228" s="3">
        <v>0.21294559099437149</v>
      </c>
      <c r="D228" s="3">
        <v>3435.216750000001</v>
      </c>
      <c r="E228" s="3">
        <f t="shared" si="0"/>
        <v>731.51426102251435</v>
      </c>
      <c r="F228" s="3">
        <f t="shared" si="1"/>
        <v>6408064.9265572261</v>
      </c>
      <c r="G228" s="3">
        <f t="shared" si="2"/>
        <v>1984872677905.8889</v>
      </c>
      <c r="H228" s="3">
        <f t="shared" si="3"/>
        <v>27481734.000000007</v>
      </c>
      <c r="I228" s="3">
        <f t="shared" si="4"/>
        <v>824452.02000000014</v>
      </c>
      <c r="J228" s="3">
        <f t="shared" si="5"/>
        <v>1984875975713.969</v>
      </c>
    </row>
    <row r="229" spans="1:10" x14ac:dyDescent="0.25">
      <c r="A229" s="3">
        <v>228</v>
      </c>
      <c r="B229" s="3">
        <v>11.699821428571427</v>
      </c>
      <c r="C229" s="3">
        <v>0.21388367729831145</v>
      </c>
      <c r="D229" s="3">
        <v>3443.2574464285713</v>
      </c>
      <c r="E229" s="3">
        <f t="shared" si="0"/>
        <v>736.45656452693652</v>
      </c>
      <c r="F229" s="3">
        <f t="shared" si="1"/>
        <v>6451359.5052559637</v>
      </c>
      <c r="G229" s="3">
        <f t="shared" si="2"/>
        <v>1998283016386.9099</v>
      </c>
      <c r="H229" s="3">
        <f t="shared" si="3"/>
        <v>27546059.571428571</v>
      </c>
      <c r="I229" s="3">
        <f t="shared" si="4"/>
        <v>826381.78714285709</v>
      </c>
      <c r="J229" s="3">
        <f t="shared" si="5"/>
        <v>1998286321914.0583</v>
      </c>
    </row>
    <row r="230" spans="1:10" x14ac:dyDescent="0.25">
      <c r="A230" s="3">
        <v>229</v>
      </c>
      <c r="B230" s="3">
        <v>11.761071428571428</v>
      </c>
      <c r="C230" s="3">
        <v>0.21482176360225141</v>
      </c>
      <c r="D230" s="3">
        <v>3461.2833214285715</v>
      </c>
      <c r="E230" s="3">
        <f t="shared" si="0"/>
        <v>743.55898743634418</v>
      </c>
      <c r="F230" s="3">
        <f t="shared" si="1"/>
        <v>6513576.7299423758</v>
      </c>
      <c r="G230" s="3">
        <f t="shared" si="2"/>
        <v>2017554569512.6155</v>
      </c>
      <c r="H230" s="3">
        <f t="shared" si="3"/>
        <v>27690266.571428571</v>
      </c>
      <c r="I230" s="3">
        <f t="shared" si="4"/>
        <v>830707.99714285706</v>
      </c>
      <c r="J230" s="3">
        <f t="shared" si="5"/>
        <v>2017557892344.604</v>
      </c>
    </row>
    <row r="231" spans="1:10" x14ac:dyDescent="0.25">
      <c r="A231" s="3">
        <v>230</v>
      </c>
      <c r="B231" s="3">
        <v>11.779642857142857</v>
      </c>
      <c r="C231" s="3">
        <v>0.21575984990619138</v>
      </c>
      <c r="D231" s="3">
        <v>3466.7488928571429</v>
      </c>
      <c r="E231" s="3">
        <f t="shared" si="0"/>
        <v>747.98522078531232</v>
      </c>
      <c r="F231" s="3">
        <f t="shared" si="1"/>
        <v>6552350.5340793356</v>
      </c>
      <c r="G231" s="3">
        <f t="shared" si="2"/>
        <v>2029564616161.2922</v>
      </c>
      <c r="H231" s="3">
        <f t="shared" si="3"/>
        <v>27733991.142857142</v>
      </c>
      <c r="I231" s="3">
        <f t="shared" si="4"/>
        <v>832019.73428571422</v>
      </c>
      <c r="J231" s="3">
        <f t="shared" si="5"/>
        <v>2029567944240.2295</v>
      </c>
    </row>
    <row r="232" spans="1:10" x14ac:dyDescent="0.25">
      <c r="A232" s="3">
        <v>231</v>
      </c>
      <c r="B232" s="3">
        <v>11.788214285714286</v>
      </c>
      <c r="C232" s="3">
        <v>0.21669793621013134</v>
      </c>
      <c r="D232" s="3">
        <v>3469.2714642857145</v>
      </c>
      <c r="E232" s="3">
        <f t="shared" si="0"/>
        <v>751.78396646341469</v>
      </c>
      <c r="F232" s="3">
        <f t="shared" si="1"/>
        <v>6585627.5462195119</v>
      </c>
      <c r="G232" s="3">
        <f t="shared" si="2"/>
        <v>2039872053301.7358</v>
      </c>
      <c r="H232" s="3">
        <f t="shared" si="3"/>
        <v>27754171.714285716</v>
      </c>
      <c r="I232" s="3">
        <f t="shared" si="4"/>
        <v>832625.15142857144</v>
      </c>
      <c r="J232" s="3">
        <f t="shared" si="5"/>
        <v>2039875383802.3416</v>
      </c>
    </row>
    <row r="233" spans="1:10" x14ac:dyDescent="0.25">
      <c r="A233" s="3">
        <v>232</v>
      </c>
      <c r="B233" s="3">
        <v>11.851071428571428</v>
      </c>
      <c r="C233" s="3">
        <v>0.2176360225140713</v>
      </c>
      <c r="D233" s="3">
        <v>3487.7703214285712</v>
      </c>
      <c r="E233" s="3">
        <f t="shared" si="0"/>
        <v>759.06446019833822</v>
      </c>
      <c r="F233" s="3">
        <f t="shared" si="1"/>
        <v>6649404.6713374434</v>
      </c>
      <c r="G233" s="3">
        <f t="shared" si="2"/>
        <v>2059626779743.7</v>
      </c>
      <c r="H233" s="3">
        <f t="shared" si="3"/>
        <v>27902162.571428571</v>
      </c>
      <c r="I233" s="3">
        <f t="shared" si="4"/>
        <v>837064.87714285706</v>
      </c>
      <c r="J233" s="3">
        <f t="shared" si="5"/>
        <v>2059630128003.2085</v>
      </c>
    </row>
    <row r="234" spans="1:10" x14ac:dyDescent="0.25">
      <c r="A234" s="3">
        <v>233</v>
      </c>
      <c r="B234" s="3">
        <v>11.869107142857143</v>
      </c>
      <c r="C234" s="3">
        <v>0.21857410881801126</v>
      </c>
      <c r="D234" s="3">
        <v>3493.0782321428578</v>
      </c>
      <c r="E234" s="3">
        <f t="shared" si="0"/>
        <v>763.49646162221939</v>
      </c>
      <c r="F234" s="3">
        <f t="shared" si="1"/>
        <v>6688229.0038106414</v>
      </c>
      <c r="G234" s="3">
        <f t="shared" si="2"/>
        <v>2071652477521.3418</v>
      </c>
      <c r="H234" s="3">
        <f t="shared" si="3"/>
        <v>27944625.857142862</v>
      </c>
      <c r="I234" s="3">
        <f t="shared" si="4"/>
        <v>838338.77571428579</v>
      </c>
      <c r="J234" s="3">
        <f t="shared" si="5"/>
        <v>2071655830876.4446</v>
      </c>
    </row>
    <row r="235" spans="1:10" x14ac:dyDescent="0.25">
      <c r="A235" s="3">
        <v>234</v>
      </c>
      <c r="B235" s="3">
        <v>11.89232142857143</v>
      </c>
      <c r="C235" s="3">
        <v>0.21951219512195122</v>
      </c>
      <c r="D235" s="3">
        <v>3499.9101964285719</v>
      </c>
      <c r="E235" s="3">
        <f t="shared" si="0"/>
        <v>768.27296994773531</v>
      </c>
      <c r="F235" s="3">
        <f t="shared" si="1"/>
        <v>6730071.2167421607</v>
      </c>
      <c r="G235" s="3">
        <f t="shared" si="2"/>
        <v>2084612951883.2361</v>
      </c>
      <c r="H235" s="3">
        <f t="shared" si="3"/>
        <v>27999281.571428575</v>
      </c>
      <c r="I235" s="3">
        <f t="shared" si="4"/>
        <v>839978.44714285724</v>
      </c>
      <c r="J235" s="3">
        <f t="shared" si="5"/>
        <v>2084616311797.0244</v>
      </c>
    </row>
    <row r="236" spans="1:10" x14ac:dyDescent="0.25">
      <c r="A236" s="3">
        <v>235</v>
      </c>
      <c r="B236" s="3">
        <v>11.934642857142856</v>
      </c>
      <c r="C236" s="3">
        <v>0.22045028142589118</v>
      </c>
      <c r="D236" s="3">
        <v>3512.3653928571425</v>
      </c>
      <c r="E236" s="3">
        <f t="shared" si="0"/>
        <v>774.30193932591794</v>
      </c>
      <c r="F236" s="3">
        <f t="shared" si="1"/>
        <v>6782884.9884950416</v>
      </c>
      <c r="G236" s="3">
        <f t="shared" si="2"/>
        <v>2100971823292.845</v>
      </c>
      <c r="H236" s="3">
        <f t="shared" si="3"/>
        <v>28098923.142857142</v>
      </c>
      <c r="I236" s="3">
        <f t="shared" si="4"/>
        <v>842967.69428571418</v>
      </c>
      <c r="J236" s="3">
        <f t="shared" si="5"/>
        <v>2100975195163.6221</v>
      </c>
    </row>
    <row r="237" spans="1:10" x14ac:dyDescent="0.25">
      <c r="A237" s="3">
        <v>236</v>
      </c>
      <c r="B237" s="3">
        <v>11.983035714285714</v>
      </c>
      <c r="C237" s="3">
        <v>0.22138836772983114</v>
      </c>
      <c r="D237" s="3">
        <v>3526.6074107142858</v>
      </c>
      <c r="E237" s="3">
        <f t="shared" si="0"/>
        <v>780.74985828196191</v>
      </c>
      <c r="F237" s="3">
        <f t="shared" si="1"/>
        <v>6839368.7585499873</v>
      </c>
      <c r="G237" s="3">
        <f t="shared" si="2"/>
        <v>2118467462283.9473</v>
      </c>
      <c r="H237" s="3">
        <f t="shared" si="3"/>
        <v>28212859.285714287</v>
      </c>
      <c r="I237" s="3">
        <f t="shared" si="4"/>
        <v>846385.77857142861</v>
      </c>
      <c r="J237" s="3">
        <f t="shared" si="5"/>
        <v>2118470847827.0615</v>
      </c>
    </row>
    <row r="238" spans="1:10" x14ac:dyDescent="0.25">
      <c r="A238" s="3">
        <v>237</v>
      </c>
      <c r="B238" s="3">
        <v>11.985892857142858</v>
      </c>
      <c r="C238" s="3">
        <v>0.2223264540337711</v>
      </c>
      <c r="D238" s="3">
        <v>3527.448267857143</v>
      </c>
      <c r="E238" s="3">
        <f t="shared" si="0"/>
        <v>784.24506518024657</v>
      </c>
      <c r="F238" s="3">
        <f t="shared" si="1"/>
        <v>6869986.7709789602</v>
      </c>
      <c r="G238" s="3">
        <f t="shared" si="2"/>
        <v>2127951285063.2356</v>
      </c>
      <c r="H238" s="3">
        <f t="shared" si="3"/>
        <v>28219586.142857146</v>
      </c>
      <c r="I238" s="3">
        <f t="shared" si="4"/>
        <v>846587.58428571431</v>
      </c>
      <c r="J238" s="3">
        <f t="shared" si="5"/>
        <v>2127954671413.5728</v>
      </c>
    </row>
    <row r="239" spans="1:10" x14ac:dyDescent="0.25">
      <c r="A239" s="3">
        <v>238</v>
      </c>
      <c r="B239" s="3">
        <v>11.988928571428572</v>
      </c>
      <c r="C239" s="3">
        <v>0.22326454033771106</v>
      </c>
      <c r="D239" s="3">
        <v>3528.3416785714289</v>
      </c>
      <c r="E239" s="3">
        <f t="shared" si="0"/>
        <v>787.75358302063796</v>
      </c>
      <c r="F239" s="3">
        <f t="shared" si="1"/>
        <v>6900721.3872607881</v>
      </c>
      <c r="G239" s="3">
        <f t="shared" si="2"/>
        <v>2137471225432.7117</v>
      </c>
      <c r="H239" s="3">
        <f t="shared" si="3"/>
        <v>28226733.428571433</v>
      </c>
      <c r="I239" s="3">
        <f t="shared" si="4"/>
        <v>846802.00285714294</v>
      </c>
      <c r="J239" s="3">
        <f t="shared" si="5"/>
        <v>2137474612640.7231</v>
      </c>
    </row>
    <row r="240" spans="1:10" x14ac:dyDescent="0.25">
      <c r="A240" s="3">
        <v>239</v>
      </c>
      <c r="B240" s="3">
        <v>11.990357142857142</v>
      </c>
      <c r="C240" s="3">
        <v>0.22420262664165103</v>
      </c>
      <c r="D240" s="3">
        <v>3528.7621071428575</v>
      </c>
      <c r="E240" s="3">
        <f t="shared" si="0"/>
        <v>791.1577332149559</v>
      </c>
      <c r="F240" s="3">
        <f t="shared" si="1"/>
        <v>6930541.7429630132</v>
      </c>
      <c r="G240" s="3">
        <f t="shared" si="2"/>
        <v>2146707977199.8357</v>
      </c>
      <c r="H240" s="3">
        <f t="shared" si="3"/>
        <v>28230096.857142862</v>
      </c>
      <c r="I240" s="3">
        <f t="shared" si="4"/>
        <v>846902.90571428579</v>
      </c>
      <c r="J240" s="3">
        <f t="shared" si="5"/>
        <v>2146711364811.4585</v>
      </c>
    </row>
    <row r="241" spans="1:10" x14ac:dyDescent="0.25">
      <c r="A241" s="3">
        <v>240</v>
      </c>
      <c r="B241" s="3">
        <v>12.022321428571429</v>
      </c>
      <c r="C241" s="3">
        <v>0.22514071294559099</v>
      </c>
      <c r="D241" s="3">
        <v>3538.1691964285719</v>
      </c>
      <c r="E241" s="3">
        <f t="shared" si="0"/>
        <v>796.58593540605739</v>
      </c>
      <c r="F241" s="3">
        <f t="shared" si="1"/>
        <v>6978092.7941570617</v>
      </c>
      <c r="G241" s="3">
        <f t="shared" si="2"/>
        <v>2161436742021.4695</v>
      </c>
      <c r="H241" s="3">
        <f t="shared" si="3"/>
        <v>28305353.571428575</v>
      </c>
      <c r="I241" s="3">
        <f t="shared" si="4"/>
        <v>849160.60714285716</v>
      </c>
      <c r="J241" s="3">
        <f t="shared" si="5"/>
        <v>2161440138663.8982</v>
      </c>
    </row>
    <row r="242" spans="1:10" x14ac:dyDescent="0.25">
      <c r="A242" s="3">
        <v>241</v>
      </c>
      <c r="B242" s="3">
        <v>12.024642857142856</v>
      </c>
      <c r="C242" s="3">
        <v>0.22607879924953095</v>
      </c>
      <c r="D242" s="3">
        <v>3538.8523928571426</v>
      </c>
      <c r="E242" s="3">
        <f t="shared" si="0"/>
        <v>800.05949969847222</v>
      </c>
      <c r="F242" s="3">
        <f t="shared" si="1"/>
        <v>7008521.2173586162</v>
      </c>
      <c r="G242" s="3">
        <f t="shared" si="2"/>
        <v>2170861840343.8152</v>
      </c>
      <c r="H242" s="3">
        <f t="shared" si="3"/>
        <v>28310819.142857142</v>
      </c>
      <c r="I242" s="3">
        <f t="shared" si="4"/>
        <v>849324.57428571419</v>
      </c>
      <c r="J242" s="3">
        <f t="shared" si="5"/>
        <v>2170865237642.1123</v>
      </c>
    </row>
    <row r="243" spans="1:10" x14ac:dyDescent="0.25">
      <c r="A243" s="3">
        <v>242</v>
      </c>
      <c r="B243" s="3">
        <v>12.025714285714285</v>
      </c>
      <c r="C243" s="3">
        <v>0.22701688555347091</v>
      </c>
      <c r="D243" s="3">
        <v>3539.1677142857143</v>
      </c>
      <c r="E243" s="3">
        <f t="shared" si="0"/>
        <v>803.45083194853919</v>
      </c>
      <c r="F243" s="3">
        <f t="shared" si="1"/>
        <v>7038229.2878692029</v>
      </c>
      <c r="G243" s="3">
        <f t="shared" si="2"/>
        <v>2180063812261.5969</v>
      </c>
      <c r="H243" s="3">
        <f t="shared" si="3"/>
        <v>28313341.714285713</v>
      </c>
      <c r="I243" s="3">
        <f t="shared" si="4"/>
        <v>849400.2514285713</v>
      </c>
      <c r="J243" s="3">
        <f t="shared" si="5"/>
        <v>2180067209862.6028</v>
      </c>
    </row>
    <row r="244" spans="1:10" x14ac:dyDescent="0.25">
      <c r="A244" s="3">
        <v>243</v>
      </c>
      <c r="B244" s="3">
        <v>12.050714285714285</v>
      </c>
      <c r="C244" s="3">
        <v>0.22795497185741087</v>
      </c>
      <c r="D244" s="3">
        <v>3546.5252142857139</v>
      </c>
      <c r="E244" s="3">
        <f t="shared" si="0"/>
        <v>808.44805541409801</v>
      </c>
      <c r="F244" s="3">
        <f t="shared" si="1"/>
        <v>7082004.9654274983</v>
      </c>
      <c r="G244" s="3">
        <f t="shared" si="2"/>
        <v>2193623170108.3813</v>
      </c>
      <c r="H244" s="3">
        <f t="shared" si="3"/>
        <v>28372201.714285713</v>
      </c>
      <c r="I244" s="3">
        <f t="shared" si="4"/>
        <v>851166.05142857134</v>
      </c>
      <c r="J244" s="3">
        <f t="shared" si="5"/>
        <v>2193626574772.5872</v>
      </c>
    </row>
    <row r="245" spans="1:10" x14ac:dyDescent="0.25">
      <c r="A245" s="3">
        <v>244</v>
      </c>
      <c r="B245" s="3">
        <v>12.055</v>
      </c>
      <c r="C245" s="3">
        <v>0.22889305816135083</v>
      </c>
      <c r="D245" s="3">
        <v>3547.7865000000002</v>
      </c>
      <c r="E245" s="3">
        <f t="shared" si="0"/>
        <v>812.06370168855528</v>
      </c>
      <c r="F245" s="3">
        <f t="shared" si="1"/>
        <v>7113678.0267917439</v>
      </c>
      <c r="G245" s="3">
        <f t="shared" si="2"/>
        <v>2203433790247.3193</v>
      </c>
      <c r="H245" s="3">
        <f t="shared" si="3"/>
        <v>28382292</v>
      </c>
      <c r="I245" s="3">
        <f t="shared" si="4"/>
        <v>851468.76</v>
      </c>
      <c r="J245" s="3">
        <f t="shared" si="5"/>
        <v>2203437196122.3589</v>
      </c>
    </row>
    <row r="246" spans="1:10" x14ac:dyDescent="0.25">
      <c r="A246" s="3">
        <v>245</v>
      </c>
      <c r="B246" s="3">
        <v>12.078035714285715</v>
      </c>
      <c r="C246" s="3">
        <v>0.22983114446529079</v>
      </c>
      <c r="D246" s="3">
        <v>3554.5659107142865</v>
      </c>
      <c r="E246" s="3">
        <f t="shared" si="0"/>
        <v>816.9499513367731</v>
      </c>
      <c r="F246" s="3">
        <f t="shared" si="1"/>
        <v>7156481.5737101324</v>
      </c>
      <c r="G246" s="3">
        <f t="shared" si="2"/>
        <v>2216692034541.375</v>
      </c>
      <c r="H246" s="3">
        <f t="shared" si="3"/>
        <v>28436527.285714291</v>
      </c>
      <c r="I246" s="3">
        <f t="shared" si="4"/>
        <v>853095.81857142865</v>
      </c>
      <c r="J246" s="3">
        <f t="shared" si="5"/>
        <v>2216695446924.6489</v>
      </c>
    </row>
    <row r="247" spans="1:10" x14ac:dyDescent="0.25">
      <c r="A247" s="3">
        <v>246</v>
      </c>
      <c r="B247" s="3">
        <v>12.078571428571429</v>
      </c>
      <c r="C247" s="3">
        <v>0.23076923076923078</v>
      </c>
      <c r="D247" s="3">
        <v>3554.7235714285716</v>
      </c>
      <c r="E247" s="3">
        <f t="shared" si="0"/>
        <v>820.32082417582421</v>
      </c>
      <c r="F247" s="3">
        <f t="shared" si="1"/>
        <v>7186010.4197802199</v>
      </c>
      <c r="G247" s="3">
        <f t="shared" si="2"/>
        <v>2225838492459.1592</v>
      </c>
      <c r="H247" s="3">
        <f t="shared" si="3"/>
        <v>28437788.571428575</v>
      </c>
      <c r="I247" s="3">
        <f t="shared" si="4"/>
        <v>853133.65714285721</v>
      </c>
      <c r="J247" s="3">
        <f t="shared" si="5"/>
        <v>2225841904993.7876</v>
      </c>
    </row>
    <row r="248" spans="1:10" x14ac:dyDescent="0.25">
      <c r="A248" s="3">
        <v>247</v>
      </c>
      <c r="B248" s="3">
        <v>12.125</v>
      </c>
      <c r="C248" s="3">
        <v>0.23170731707317074</v>
      </c>
      <c r="D248" s="3">
        <v>3568.3874999999998</v>
      </c>
      <c r="E248" s="3">
        <f t="shared" si="0"/>
        <v>826.82149390243899</v>
      </c>
      <c r="F248" s="3">
        <f t="shared" si="1"/>
        <v>7242956.2865853645</v>
      </c>
      <c r="G248" s="3">
        <f t="shared" si="2"/>
        <v>2243477264877.3867</v>
      </c>
      <c r="H248" s="3">
        <f t="shared" si="3"/>
        <v>28547100</v>
      </c>
      <c r="I248" s="3">
        <f t="shared" si="4"/>
        <v>856413</v>
      </c>
      <c r="J248" s="3">
        <f t="shared" si="5"/>
        <v>2243480690529.3867</v>
      </c>
    </row>
    <row r="249" spans="1:10" x14ac:dyDescent="0.25">
      <c r="A249" s="3">
        <v>248</v>
      </c>
      <c r="B249" s="3">
        <v>12.134464285714287</v>
      </c>
      <c r="C249" s="3">
        <v>0.2326454033771107</v>
      </c>
      <c r="D249" s="3">
        <v>3571.1728392857149</v>
      </c>
      <c r="E249" s="3">
        <f t="shared" si="0"/>
        <v>830.81694572500692</v>
      </c>
      <c r="F249" s="3">
        <f t="shared" si="1"/>
        <v>7277956.4445510609</v>
      </c>
      <c r="G249" s="3">
        <f t="shared" si="2"/>
        <v>2254318440232.79</v>
      </c>
      <c r="H249" s="3">
        <f t="shared" si="3"/>
        <v>28569382.71428572</v>
      </c>
      <c r="I249" s="3">
        <f t="shared" si="4"/>
        <v>857081.48142857163</v>
      </c>
      <c r="J249" s="3">
        <f t="shared" si="5"/>
        <v>2254321868558.7158</v>
      </c>
    </row>
    <row r="250" spans="1:10" x14ac:dyDescent="0.25">
      <c r="A250" s="3">
        <v>249</v>
      </c>
      <c r="B250" s="3">
        <v>12.168928571428571</v>
      </c>
      <c r="C250" s="3">
        <v>0.23358348968105067</v>
      </c>
      <c r="D250" s="3">
        <v>3581.3156785714282</v>
      </c>
      <c r="E250" s="3">
        <f t="shared" si="0"/>
        <v>836.53621385017414</v>
      </c>
      <c r="F250" s="3">
        <f t="shared" si="1"/>
        <v>7328057.2333275257</v>
      </c>
      <c r="G250" s="3">
        <f t="shared" si="2"/>
        <v>2269836976756.7354</v>
      </c>
      <c r="H250" s="3">
        <f t="shared" si="3"/>
        <v>28650525.428571425</v>
      </c>
      <c r="I250" s="3">
        <f t="shared" si="4"/>
        <v>859515.76285714272</v>
      </c>
      <c r="J250" s="3">
        <f t="shared" si="5"/>
        <v>2269840414819.7866</v>
      </c>
    </row>
    <row r="251" spans="1:10" x14ac:dyDescent="0.25">
      <c r="A251" s="3">
        <v>250</v>
      </c>
      <c r="B251" s="3">
        <v>12.170178571428572</v>
      </c>
      <c r="C251" s="3">
        <v>0.23452157598499063</v>
      </c>
      <c r="D251" s="3">
        <v>3581.683553571429</v>
      </c>
      <c r="E251" s="3">
        <f t="shared" si="0"/>
        <v>839.98207166309317</v>
      </c>
      <c r="F251" s="3">
        <f t="shared" si="1"/>
        <v>7358242.9477686966</v>
      </c>
      <c r="G251" s="3">
        <f t="shared" si="2"/>
        <v>2279186897181.646</v>
      </c>
      <c r="H251" s="3">
        <f t="shared" si="3"/>
        <v>28653468.428571433</v>
      </c>
      <c r="I251" s="3">
        <f t="shared" si="4"/>
        <v>859604.05285714299</v>
      </c>
      <c r="J251" s="3">
        <f t="shared" si="5"/>
        <v>2279190335597.8574</v>
      </c>
    </row>
    <row r="252" spans="1:10" x14ac:dyDescent="0.25">
      <c r="A252" s="3">
        <v>251</v>
      </c>
      <c r="B252" s="3">
        <v>12.199464285714285</v>
      </c>
      <c r="C252" s="3">
        <v>0.23545966228893059</v>
      </c>
      <c r="D252" s="3">
        <v>3590.302339285714</v>
      </c>
      <c r="E252" s="3">
        <f t="shared" si="0"/>
        <v>845.37137632337169</v>
      </c>
      <c r="F252" s="3">
        <f t="shared" si="1"/>
        <v>7405453.2565927356</v>
      </c>
      <c r="G252" s="3">
        <f t="shared" si="2"/>
        <v>2293810118987.9624</v>
      </c>
      <c r="H252" s="3">
        <f t="shared" si="3"/>
        <v>28722418.714285713</v>
      </c>
      <c r="I252" s="3">
        <f t="shared" si="4"/>
        <v>861672.56142857135</v>
      </c>
      <c r="J252" s="3">
        <f t="shared" si="5"/>
        <v>2293813565678.208</v>
      </c>
    </row>
    <row r="253" spans="1:10" x14ac:dyDescent="0.25">
      <c r="A253" s="3">
        <v>252</v>
      </c>
      <c r="B253" s="3">
        <v>12.248035714285715</v>
      </c>
      <c r="C253" s="3">
        <v>0.23639774859287055</v>
      </c>
      <c r="D253" s="3">
        <v>3604.5969107142864</v>
      </c>
      <c r="E253" s="3">
        <f t="shared" si="0"/>
        <v>852.11859427767376</v>
      </c>
      <c r="F253" s="3">
        <f t="shared" si="1"/>
        <v>7464558.8858724218</v>
      </c>
      <c r="G253" s="3">
        <f t="shared" si="2"/>
        <v>2312117869766.8252</v>
      </c>
      <c r="H253" s="3">
        <f t="shared" si="3"/>
        <v>28836775.285714291</v>
      </c>
      <c r="I253" s="3">
        <f t="shared" si="4"/>
        <v>865103.25857142871</v>
      </c>
      <c r="J253" s="3">
        <f t="shared" si="5"/>
        <v>2312121330179.8599</v>
      </c>
    </row>
    <row r="254" spans="1:10" x14ac:dyDescent="0.25">
      <c r="A254" s="3">
        <v>253</v>
      </c>
      <c r="B254" s="3">
        <v>12.253214285714286</v>
      </c>
      <c r="C254" s="3">
        <v>0.23733583489681051</v>
      </c>
      <c r="D254" s="3">
        <v>3606.1209642857148</v>
      </c>
      <c r="E254" s="3">
        <f t="shared" si="0"/>
        <v>855.86172979764149</v>
      </c>
      <c r="F254" s="3">
        <f t="shared" si="1"/>
        <v>7497348.7530273395</v>
      </c>
      <c r="G254" s="3">
        <f t="shared" si="2"/>
        <v>2322274416389.4004</v>
      </c>
      <c r="H254" s="3">
        <f t="shared" si="3"/>
        <v>28848967.714285716</v>
      </c>
      <c r="I254" s="3">
        <f t="shared" si="4"/>
        <v>865469.03142857144</v>
      </c>
      <c r="J254" s="3">
        <f t="shared" si="5"/>
        <v>2322277878265.5259</v>
      </c>
    </row>
    <row r="255" spans="1:10" x14ac:dyDescent="0.25">
      <c r="A255" s="3">
        <v>254</v>
      </c>
      <c r="B255" s="3">
        <v>12.255892857142856</v>
      </c>
      <c r="C255" s="3">
        <v>0.23827392120075047</v>
      </c>
      <c r="D255" s="3">
        <v>3606.9092678571428</v>
      </c>
      <c r="E255" s="3">
        <f t="shared" si="0"/>
        <v>859.43241466764937</v>
      </c>
      <c r="F255" s="3">
        <f t="shared" si="1"/>
        <v>7528627.9524886077</v>
      </c>
      <c r="G255" s="3">
        <f t="shared" si="2"/>
        <v>2331963039618.4648</v>
      </c>
      <c r="H255" s="3">
        <f t="shared" si="3"/>
        <v>28855274.142857142</v>
      </c>
      <c r="I255" s="3">
        <f t="shared" si="4"/>
        <v>865658.22428571421</v>
      </c>
      <c r="J255" s="3">
        <f t="shared" si="5"/>
        <v>2331966502251.3618</v>
      </c>
    </row>
    <row r="256" spans="1:10" x14ac:dyDescent="0.25">
      <c r="A256" s="3">
        <v>255</v>
      </c>
      <c r="B256" s="3">
        <v>12.272321428571427</v>
      </c>
      <c r="C256" s="3">
        <v>0.23921200750469043</v>
      </c>
      <c r="D256" s="3">
        <v>3611.7441964285713</v>
      </c>
      <c r="E256" s="3">
        <f t="shared" si="0"/>
        <v>863.97257982109352</v>
      </c>
      <c r="F256" s="3">
        <f t="shared" si="1"/>
        <v>7568399.79923278</v>
      </c>
      <c r="G256" s="3">
        <f t="shared" si="2"/>
        <v>2344282227122.6191</v>
      </c>
      <c r="H256" s="3">
        <f t="shared" si="3"/>
        <v>28893953.571428571</v>
      </c>
      <c r="I256" s="3">
        <f t="shared" si="4"/>
        <v>866818.60714285704</v>
      </c>
      <c r="J256" s="3">
        <f t="shared" si="5"/>
        <v>2344285694397.0474</v>
      </c>
    </row>
    <row r="257" spans="1:10" x14ac:dyDescent="0.25">
      <c r="A257" s="3">
        <v>256</v>
      </c>
      <c r="B257" s="3">
        <v>12.296428571428571</v>
      </c>
      <c r="C257" s="3">
        <v>0.24015009380863039</v>
      </c>
      <c r="D257" s="3">
        <v>3618.8389285714284</v>
      </c>
      <c r="E257" s="3">
        <f t="shared" si="0"/>
        <v>869.06450817475206</v>
      </c>
      <c r="F257" s="3">
        <f t="shared" si="1"/>
        <v>7613005.0916108284</v>
      </c>
      <c r="G257" s="3">
        <f t="shared" si="2"/>
        <v>2358098555546.3521</v>
      </c>
      <c r="H257" s="3">
        <f t="shared" si="3"/>
        <v>28950711.428571425</v>
      </c>
      <c r="I257" s="3">
        <f t="shared" si="4"/>
        <v>868521.34285714268</v>
      </c>
      <c r="J257" s="3">
        <f t="shared" si="5"/>
        <v>2358102029631.7236</v>
      </c>
    </row>
    <row r="258" spans="1:10" x14ac:dyDescent="0.25">
      <c r="A258" s="3">
        <v>257</v>
      </c>
      <c r="B258" s="3">
        <v>12.314642857142857</v>
      </c>
      <c r="C258" s="3">
        <v>0.24108818011257035</v>
      </c>
      <c r="D258" s="3">
        <v>3624.1993928571428</v>
      </c>
      <c r="E258" s="3">
        <f t="shared" si="0"/>
        <v>873.75163598901099</v>
      </c>
      <c r="F258" s="3">
        <f t="shared" si="1"/>
        <v>7654064.3312637359</v>
      </c>
      <c r="G258" s="3">
        <f t="shared" si="2"/>
        <v>2370816508052.4492</v>
      </c>
      <c r="H258" s="3">
        <f t="shared" si="3"/>
        <v>28993595.142857142</v>
      </c>
      <c r="I258" s="3">
        <f t="shared" si="4"/>
        <v>869807.85428571422</v>
      </c>
      <c r="J258" s="3">
        <f t="shared" si="5"/>
        <v>2370819987283.8667</v>
      </c>
    </row>
    <row r="259" spans="1:10" x14ac:dyDescent="0.25">
      <c r="A259" s="3">
        <v>258</v>
      </c>
      <c r="B259" s="3">
        <v>12.318035714285715</v>
      </c>
      <c r="C259" s="3">
        <v>0.24202626641651032</v>
      </c>
      <c r="D259" s="3">
        <v>3625.1979107142865</v>
      </c>
      <c r="E259" s="3">
        <f t="shared" si="0"/>
        <v>877.39311535111244</v>
      </c>
      <c r="F259" s="3">
        <f t="shared" si="1"/>
        <v>7685963.6904757451</v>
      </c>
      <c r="G259" s="3">
        <f t="shared" si="2"/>
        <v>2380697223420.2915</v>
      </c>
      <c r="H259" s="3">
        <f t="shared" si="3"/>
        <v>29001583.285714291</v>
      </c>
      <c r="I259" s="3">
        <f t="shared" si="4"/>
        <v>870047.4985714287</v>
      </c>
      <c r="J259" s="3">
        <f t="shared" si="5"/>
        <v>2380700703610.2856</v>
      </c>
    </row>
    <row r="260" spans="1:10" x14ac:dyDescent="0.25">
      <c r="A260" s="3">
        <v>259</v>
      </c>
      <c r="B260" s="3">
        <v>12.322678571428572</v>
      </c>
      <c r="C260" s="3">
        <v>0.24296435272045028</v>
      </c>
      <c r="D260" s="3">
        <v>3626.5643035714293</v>
      </c>
      <c r="E260" s="3">
        <f t="shared" si="0"/>
        <v>881.12584861632286</v>
      </c>
      <c r="F260" s="3">
        <f t="shared" si="1"/>
        <v>7718662.433878988</v>
      </c>
      <c r="G260" s="3">
        <f t="shared" si="2"/>
        <v>2390825544926.9072</v>
      </c>
      <c r="H260" s="3">
        <f t="shared" si="3"/>
        <v>29012514.428571433</v>
      </c>
      <c r="I260" s="3">
        <f t="shared" si="4"/>
        <v>870375.43285714299</v>
      </c>
      <c r="J260" s="3">
        <f t="shared" si="5"/>
        <v>2390829026428.6382</v>
      </c>
    </row>
    <row r="261" spans="1:10" x14ac:dyDescent="0.25">
      <c r="A261" s="3">
        <v>260</v>
      </c>
      <c r="B261" s="3">
        <v>12.357142857142856</v>
      </c>
      <c r="C261" s="3">
        <v>0.24390243902439024</v>
      </c>
      <c r="D261" s="3">
        <v>3636.7071428571426</v>
      </c>
      <c r="E261" s="3">
        <f t="shared" si="0"/>
        <v>887.0017421602787</v>
      </c>
      <c r="F261" s="3">
        <f t="shared" si="1"/>
        <v>7770135.2613240406</v>
      </c>
      <c r="G261" s="3">
        <f t="shared" si="2"/>
        <v>2406769065689.0332</v>
      </c>
      <c r="H261" s="3">
        <f t="shared" si="3"/>
        <v>29093657.142857142</v>
      </c>
      <c r="I261" s="3">
        <f t="shared" si="4"/>
        <v>872809.7142857142</v>
      </c>
      <c r="J261" s="3">
        <f t="shared" si="5"/>
        <v>2406772556927.8906</v>
      </c>
    </row>
    <row r="262" spans="1:10" x14ac:dyDescent="0.25">
      <c r="A262" s="3">
        <v>261</v>
      </c>
      <c r="B262" s="3">
        <v>12.405892857142858</v>
      </c>
      <c r="C262" s="3">
        <v>0.2448405253283302</v>
      </c>
      <c r="D262" s="3">
        <v>3651.0542678571428</v>
      </c>
      <c r="E262" s="3">
        <f t="shared" si="0"/>
        <v>893.9260449443849</v>
      </c>
      <c r="F262" s="3">
        <f t="shared" si="1"/>
        <v>7830792.1537128109</v>
      </c>
      <c r="G262" s="3">
        <f t="shared" si="2"/>
        <v>2425557314806.978</v>
      </c>
      <c r="H262" s="3">
        <f t="shared" si="3"/>
        <v>29208434.142857142</v>
      </c>
      <c r="I262" s="3">
        <f t="shared" si="4"/>
        <v>876253.02428571426</v>
      </c>
      <c r="J262" s="3">
        <f t="shared" si="5"/>
        <v>2425560819819.0752</v>
      </c>
    </row>
    <row r="263" spans="1:10" x14ac:dyDescent="0.25">
      <c r="A263" s="3">
        <v>262</v>
      </c>
      <c r="B263" s="3">
        <v>12.411250000000001</v>
      </c>
      <c r="C263" s="3">
        <v>0.24577861163227016</v>
      </c>
      <c r="D263" s="3">
        <v>3652.6308749999998</v>
      </c>
      <c r="E263" s="3">
        <f t="shared" si="0"/>
        <v>897.73854526266405</v>
      </c>
      <c r="F263" s="3">
        <f t="shared" si="1"/>
        <v>7864189.6565009374</v>
      </c>
      <c r="G263" s="3">
        <f t="shared" si="2"/>
        <v>2435902074417.5405</v>
      </c>
      <c r="H263" s="3">
        <f t="shared" si="3"/>
        <v>29221047</v>
      </c>
      <c r="I263" s="3">
        <f t="shared" si="4"/>
        <v>876631.40999999992</v>
      </c>
      <c r="J263" s="3">
        <f t="shared" si="5"/>
        <v>2435905580943.1807</v>
      </c>
    </row>
    <row r="264" spans="1:10" x14ac:dyDescent="0.25">
      <c r="A264" s="3">
        <v>263</v>
      </c>
      <c r="B264" s="3">
        <v>12.4125</v>
      </c>
      <c r="C264" s="3">
        <v>0.24671669793621012</v>
      </c>
      <c r="D264" s="3">
        <v>3652.9987500000002</v>
      </c>
      <c r="E264" s="3">
        <f t="shared" si="0"/>
        <v>901.25578916510324</v>
      </c>
      <c r="F264" s="3">
        <f t="shared" si="1"/>
        <v>7895000.7130863043</v>
      </c>
      <c r="G264" s="3">
        <f t="shared" si="2"/>
        <v>2445445692411.5054</v>
      </c>
      <c r="H264" s="3">
        <f t="shared" si="3"/>
        <v>29223990</v>
      </c>
      <c r="I264" s="3">
        <f t="shared" si="4"/>
        <v>876719.7</v>
      </c>
      <c r="J264" s="3">
        <f t="shared" si="5"/>
        <v>2445449199290.3057</v>
      </c>
    </row>
    <row r="265" spans="1:10" x14ac:dyDescent="0.25">
      <c r="A265" s="3">
        <v>264</v>
      </c>
      <c r="B265" s="3">
        <v>12.466964285714285</v>
      </c>
      <c r="C265" s="3">
        <v>0.24765478424015008</v>
      </c>
      <c r="D265" s="3">
        <v>3669.0275892857139</v>
      </c>
      <c r="E265" s="3">
        <f t="shared" si="0"/>
        <v>908.65223599571152</v>
      </c>
      <c r="F265" s="3">
        <f t="shared" si="1"/>
        <v>7959793.5873224325</v>
      </c>
      <c r="G265" s="3">
        <f t="shared" si="2"/>
        <v>2465515046005.3604</v>
      </c>
      <c r="H265" s="3">
        <f t="shared" si="3"/>
        <v>29352220.714285713</v>
      </c>
      <c r="I265" s="3">
        <f t="shared" si="4"/>
        <v>880566.62142857129</v>
      </c>
      <c r="J265" s="3">
        <f t="shared" si="5"/>
        <v>2465518568271.8462</v>
      </c>
    </row>
    <row r="266" spans="1:10" x14ac:dyDescent="0.25">
      <c r="A266" s="3">
        <v>265</v>
      </c>
      <c r="B266" s="3">
        <v>12.475357142857144</v>
      </c>
      <c r="C266" s="3">
        <v>0.24859287054409004</v>
      </c>
      <c r="D266" s="3">
        <v>3671.4976071428578</v>
      </c>
      <c r="E266" s="3">
        <f t="shared" si="0"/>
        <v>912.70812935540084</v>
      </c>
      <c r="F266" s="3">
        <f t="shared" si="1"/>
        <v>7995323.2131533111</v>
      </c>
      <c r="G266" s="3">
        <f t="shared" si="2"/>
        <v>2476520222505.7788</v>
      </c>
      <c r="H266" s="3">
        <f t="shared" si="3"/>
        <v>29371980.857142862</v>
      </c>
      <c r="I266" s="3">
        <f t="shared" si="4"/>
        <v>881159.42571428581</v>
      </c>
      <c r="J266" s="3">
        <f t="shared" si="5"/>
        <v>2476523747143.4819</v>
      </c>
    </row>
    <row r="267" spans="1:10" x14ac:dyDescent="0.25">
      <c r="A267" s="3">
        <v>266</v>
      </c>
      <c r="B267" s="3">
        <v>12.478035714285713</v>
      </c>
      <c r="C267" s="3">
        <v>0.24953095684803001</v>
      </c>
      <c r="D267" s="3">
        <v>3672.2859107142858</v>
      </c>
      <c r="E267" s="3">
        <f t="shared" si="0"/>
        <v>916.34901712007502</v>
      </c>
      <c r="F267" s="3">
        <f t="shared" si="1"/>
        <v>8027217.389971857</v>
      </c>
      <c r="G267" s="3">
        <f t="shared" si="2"/>
        <v>2486399332846.9526</v>
      </c>
      <c r="H267" s="3">
        <f t="shared" si="3"/>
        <v>29378287.285714287</v>
      </c>
      <c r="I267" s="3">
        <f t="shared" si="4"/>
        <v>881348.61857142858</v>
      </c>
      <c r="J267" s="3">
        <f t="shared" si="5"/>
        <v>2486402858241.4272</v>
      </c>
    </row>
    <row r="268" spans="1:10" x14ac:dyDescent="0.25">
      <c r="A268" s="3">
        <v>267</v>
      </c>
      <c r="B268" s="3">
        <v>12.484999999999999</v>
      </c>
      <c r="C268" s="3">
        <v>0.25046904315196999</v>
      </c>
      <c r="D268" s="3">
        <v>3674.3355000000001</v>
      </c>
      <c r="E268" s="3">
        <f t="shared" si="0"/>
        <v>920.30729690431531</v>
      </c>
      <c r="F268" s="3">
        <f t="shared" si="1"/>
        <v>8061891.9208818031</v>
      </c>
      <c r="G268" s="3">
        <f t="shared" si="2"/>
        <v>2497139647052.9663</v>
      </c>
      <c r="H268" s="3">
        <f t="shared" si="3"/>
        <v>29394684</v>
      </c>
      <c r="I268" s="3">
        <f t="shared" si="4"/>
        <v>881840.52</v>
      </c>
      <c r="J268" s="3">
        <f t="shared" si="5"/>
        <v>2497143174415.0464</v>
      </c>
    </row>
    <row r="269" spans="1:10" x14ac:dyDescent="0.25">
      <c r="A269" s="3">
        <v>268</v>
      </c>
      <c r="B269" s="3">
        <v>12.511428571428571</v>
      </c>
      <c r="C269" s="3">
        <v>0.25140712945590993</v>
      </c>
      <c r="D269" s="3">
        <v>3682.1134285714284</v>
      </c>
      <c r="E269" s="3">
        <f t="shared" si="0"/>
        <v>925.70956740820145</v>
      </c>
      <c r="F269" s="3">
        <f t="shared" si="1"/>
        <v>8109215.8104958441</v>
      </c>
      <c r="G269" s="3">
        <f t="shared" si="2"/>
        <v>2511798050923.8687</v>
      </c>
      <c r="H269" s="3">
        <f t="shared" si="3"/>
        <v>29456907.428571425</v>
      </c>
      <c r="I269" s="3">
        <f t="shared" si="4"/>
        <v>883707.22285714268</v>
      </c>
      <c r="J269" s="3">
        <f t="shared" si="5"/>
        <v>2511801585752.7598</v>
      </c>
    </row>
    <row r="270" spans="1:10" x14ac:dyDescent="0.25">
      <c r="A270" s="3">
        <v>269</v>
      </c>
      <c r="B270" s="3">
        <v>12.6</v>
      </c>
      <c r="C270" s="3">
        <v>0.25234521575984992</v>
      </c>
      <c r="D270" s="3">
        <v>3708.18</v>
      </c>
      <c r="E270" s="3">
        <f t="shared" si="0"/>
        <v>935.74148217636025</v>
      </c>
      <c r="F270" s="3">
        <f t="shared" si="1"/>
        <v>8197095.383864915</v>
      </c>
      <c r="G270" s="3">
        <f t="shared" si="2"/>
        <v>2539018420189.8745</v>
      </c>
      <c r="H270" s="3">
        <f t="shared" si="3"/>
        <v>29665440</v>
      </c>
      <c r="I270" s="3">
        <f t="shared" si="4"/>
        <v>889963.2</v>
      </c>
      <c r="J270" s="3">
        <f t="shared" si="5"/>
        <v>2539021980042.6748</v>
      </c>
    </row>
    <row r="271" spans="1:10" x14ac:dyDescent="0.25">
      <c r="A271" s="3">
        <v>270</v>
      </c>
      <c r="B271" s="3">
        <v>12.618392857142858</v>
      </c>
      <c r="C271" s="3">
        <v>0.25328330206378985</v>
      </c>
      <c r="D271" s="3">
        <v>3713.593017857143</v>
      </c>
      <c r="E271" s="3">
        <f t="shared" si="0"/>
        <v>940.59110208389166</v>
      </c>
      <c r="F271" s="3">
        <f t="shared" si="1"/>
        <v>8239578.0542548914</v>
      </c>
      <c r="G271" s="3">
        <f t="shared" si="2"/>
        <v>2552177275399.3916</v>
      </c>
      <c r="H271" s="3">
        <f t="shared" si="3"/>
        <v>29708744.142857146</v>
      </c>
      <c r="I271" s="3">
        <f t="shared" si="4"/>
        <v>891262.32428571431</v>
      </c>
      <c r="J271" s="3">
        <f t="shared" si="5"/>
        <v>2552180840448.6885</v>
      </c>
    </row>
    <row r="272" spans="1:10" x14ac:dyDescent="0.25">
      <c r="A272" s="3">
        <v>271</v>
      </c>
      <c r="B272" s="3">
        <v>12.628571428571428</v>
      </c>
      <c r="C272" s="3">
        <v>0.25422138836772984</v>
      </c>
      <c r="D272" s="3">
        <v>3716.5885714285714</v>
      </c>
      <c r="E272" s="3">
        <f t="shared" si="0"/>
        <v>944.83630662020903</v>
      </c>
      <c r="F272" s="3">
        <f t="shared" si="1"/>
        <v>8276766.045993031</v>
      </c>
      <c r="G272" s="3">
        <f t="shared" si="2"/>
        <v>2563696124506.5996</v>
      </c>
      <c r="H272" s="3">
        <f t="shared" si="3"/>
        <v>29732708.571428571</v>
      </c>
      <c r="I272" s="3">
        <f t="shared" si="4"/>
        <v>891981.25714285707</v>
      </c>
      <c r="J272" s="3">
        <f t="shared" si="5"/>
        <v>2563699692431.6284</v>
      </c>
    </row>
    <row r="273" spans="1:10" x14ac:dyDescent="0.25">
      <c r="A273" s="3">
        <v>272</v>
      </c>
      <c r="B273" s="3">
        <v>12.639464285714284</v>
      </c>
      <c r="C273" s="3">
        <v>0.25515947467166977</v>
      </c>
      <c r="D273" s="3">
        <v>3719.7943392857142</v>
      </c>
      <c r="E273" s="3">
        <f t="shared" si="0"/>
        <v>949.14076949879382</v>
      </c>
      <c r="F273" s="3">
        <f t="shared" si="1"/>
        <v>8314473.1408094335</v>
      </c>
      <c r="G273" s="3">
        <f t="shared" si="2"/>
        <v>2575375763797.3643</v>
      </c>
      <c r="H273" s="3">
        <f t="shared" si="3"/>
        <v>29758354.714285713</v>
      </c>
      <c r="I273" s="3">
        <f t="shared" si="4"/>
        <v>892750.64142857131</v>
      </c>
      <c r="J273" s="3">
        <f t="shared" si="5"/>
        <v>2575379334799.9302</v>
      </c>
    </row>
    <row r="274" spans="1:10" x14ac:dyDescent="0.25">
      <c r="A274" s="3">
        <v>273</v>
      </c>
      <c r="B274" s="3">
        <v>12.64875</v>
      </c>
      <c r="C274" s="3">
        <v>0.25609756097560976</v>
      </c>
      <c r="D274" s="3">
        <v>3722.5271250000001</v>
      </c>
      <c r="E274" s="3">
        <f t="shared" si="0"/>
        <v>953.33011737804884</v>
      </c>
      <c r="F274" s="3">
        <f t="shared" si="1"/>
        <v>8351171.8282317081</v>
      </c>
      <c r="G274" s="3">
        <f t="shared" si="2"/>
        <v>2586743052835.1885</v>
      </c>
      <c r="H274" s="3">
        <f t="shared" si="3"/>
        <v>29780217</v>
      </c>
      <c r="I274" s="3">
        <f t="shared" si="4"/>
        <v>893406.51</v>
      </c>
      <c r="J274" s="3">
        <f t="shared" si="5"/>
        <v>2586746626461.228</v>
      </c>
    </row>
    <row r="275" spans="1:10" x14ac:dyDescent="0.25">
      <c r="A275" s="3">
        <v>274</v>
      </c>
      <c r="B275" s="3">
        <v>12.66017857142857</v>
      </c>
      <c r="C275" s="3">
        <v>0.25703564727954969</v>
      </c>
      <c r="D275" s="3">
        <v>3725.890553571428</v>
      </c>
      <c r="E275" s="3">
        <f t="shared" si="0"/>
        <v>957.68669012999169</v>
      </c>
      <c r="F275" s="3">
        <f t="shared" si="1"/>
        <v>8389335.4055387266</v>
      </c>
      <c r="G275" s="3">
        <f t="shared" si="2"/>
        <v>2598564085849.2456</v>
      </c>
      <c r="H275" s="3">
        <f t="shared" si="3"/>
        <v>29807124.428571425</v>
      </c>
      <c r="I275" s="3">
        <f t="shared" si="4"/>
        <v>894213.73285714269</v>
      </c>
      <c r="J275" s="3">
        <f t="shared" si="5"/>
        <v>2598567662704.1772</v>
      </c>
    </row>
    <row r="276" spans="1:10" x14ac:dyDescent="0.25">
      <c r="A276" s="3">
        <v>275</v>
      </c>
      <c r="B276" s="3">
        <v>12.684821428571428</v>
      </c>
      <c r="C276" s="3">
        <v>0.25797373358348968</v>
      </c>
      <c r="D276" s="3">
        <v>3733.142946428572</v>
      </c>
      <c r="E276" s="3">
        <f t="shared" si="0"/>
        <v>963.05282389104809</v>
      </c>
      <c r="F276" s="3">
        <f t="shared" si="1"/>
        <v>8436342.7372855805</v>
      </c>
      <c r="G276" s="3">
        <f t="shared" si="2"/>
        <v>2613124437518.7822</v>
      </c>
      <c r="H276" s="3">
        <f t="shared" si="3"/>
        <v>29865143.571428575</v>
      </c>
      <c r="I276" s="3">
        <f t="shared" si="4"/>
        <v>895954.30714285723</v>
      </c>
      <c r="J276" s="3">
        <f t="shared" si="5"/>
        <v>2613128021336.0107</v>
      </c>
    </row>
    <row r="277" spans="1:10" x14ac:dyDescent="0.25">
      <c r="A277" s="3">
        <v>276</v>
      </c>
      <c r="B277" s="3">
        <v>12.686785714285714</v>
      </c>
      <c r="C277" s="3">
        <v>0.25891181988742962</v>
      </c>
      <c r="D277" s="3">
        <v>3733.7210357142858</v>
      </c>
      <c r="E277" s="3">
        <f t="shared" si="0"/>
        <v>966.70450830876428</v>
      </c>
      <c r="F277" s="3">
        <f t="shared" si="1"/>
        <v>8468331.4927847758</v>
      </c>
      <c r="G277" s="3">
        <f t="shared" si="2"/>
        <v>2623032843481.3916</v>
      </c>
      <c r="H277" s="3">
        <f t="shared" si="3"/>
        <v>29869768.285714287</v>
      </c>
      <c r="I277" s="3">
        <f t="shared" si="4"/>
        <v>896093.04857142863</v>
      </c>
      <c r="J277" s="3">
        <f t="shared" si="5"/>
        <v>2623036427853.5854</v>
      </c>
    </row>
    <row r="278" spans="1:10" x14ac:dyDescent="0.25">
      <c r="A278" s="3">
        <v>277</v>
      </c>
      <c r="B278" s="3">
        <v>12.718392857142858</v>
      </c>
      <c r="C278" s="3">
        <v>0.25984990619136961</v>
      </c>
      <c r="D278" s="3">
        <v>3743.0230178571428</v>
      </c>
      <c r="E278" s="3">
        <f t="shared" si="0"/>
        <v>972.62418006231576</v>
      </c>
      <c r="F278" s="3">
        <f t="shared" si="1"/>
        <v>8520187.8173458856</v>
      </c>
      <c r="G278" s="3">
        <f t="shared" si="2"/>
        <v>2639095151957.7305</v>
      </c>
      <c r="H278" s="3">
        <f t="shared" si="3"/>
        <v>29944184.142857142</v>
      </c>
      <c r="I278" s="3">
        <f t="shared" si="4"/>
        <v>898325.52428571426</v>
      </c>
      <c r="J278" s="3">
        <f t="shared" si="5"/>
        <v>2639098745259.8276</v>
      </c>
    </row>
    <row r="279" spans="1:10" x14ac:dyDescent="0.25">
      <c r="A279" s="3">
        <v>278</v>
      </c>
      <c r="B279" s="3">
        <v>12.803571428571429</v>
      </c>
      <c r="C279" s="3">
        <v>0.2607879924953096</v>
      </c>
      <c r="D279" s="3">
        <v>3768.0910714285719</v>
      </c>
      <c r="E279" s="3">
        <f t="shared" si="0"/>
        <v>982.67290605735752</v>
      </c>
      <c r="F279" s="3">
        <f t="shared" si="1"/>
        <v>8608214.6570624523</v>
      </c>
      <c r="G279" s="3">
        <f t="shared" si="2"/>
        <v>2666361137424.7515</v>
      </c>
      <c r="H279" s="3">
        <f t="shared" si="3"/>
        <v>30144728.571428575</v>
      </c>
      <c r="I279" s="3">
        <f t="shared" si="4"/>
        <v>904341.85714285716</v>
      </c>
      <c r="J279" s="3">
        <f t="shared" si="5"/>
        <v>2666364754792.1797</v>
      </c>
    </row>
    <row r="280" spans="1:10" x14ac:dyDescent="0.25">
      <c r="A280" s="3">
        <v>279</v>
      </c>
      <c r="B280" s="3">
        <v>12.805</v>
      </c>
      <c r="C280" s="3">
        <v>0.26172607879924953</v>
      </c>
      <c r="D280" s="3">
        <v>3768.5115000000001</v>
      </c>
      <c r="E280" s="3">
        <f t="shared" si="0"/>
        <v>986.31773780487811</v>
      </c>
      <c r="F280" s="3">
        <f t="shared" si="1"/>
        <v>8640143.3831707314</v>
      </c>
      <c r="G280" s="3">
        <f t="shared" si="2"/>
        <v>2676250949642.2368</v>
      </c>
      <c r="H280" s="3">
        <f t="shared" si="3"/>
        <v>30148092</v>
      </c>
      <c r="I280" s="3">
        <f t="shared" si="4"/>
        <v>904442.76</v>
      </c>
      <c r="J280" s="3">
        <f t="shared" si="5"/>
        <v>2676254567413.2764</v>
      </c>
    </row>
    <row r="281" spans="1:10" x14ac:dyDescent="0.25">
      <c r="A281" s="3">
        <v>280</v>
      </c>
      <c r="B281" s="3">
        <v>12.840892857142858</v>
      </c>
      <c r="C281" s="3">
        <v>0.26266416510318952</v>
      </c>
      <c r="D281" s="3">
        <v>3779.0747678571433</v>
      </c>
      <c r="E281" s="3">
        <f t="shared" si="0"/>
        <v>992.62751876172626</v>
      </c>
      <c r="F281" s="3">
        <f t="shared" si="1"/>
        <v>8695417.0643527228</v>
      </c>
      <c r="G281" s="3">
        <f t="shared" si="2"/>
        <v>2693371771316.5337</v>
      </c>
      <c r="H281" s="3">
        <f t="shared" si="3"/>
        <v>30232598.142857146</v>
      </c>
      <c r="I281" s="3">
        <f t="shared" si="4"/>
        <v>906977.9442857143</v>
      </c>
      <c r="J281" s="3">
        <f t="shared" si="5"/>
        <v>2693375399228.311</v>
      </c>
    </row>
    <row r="282" spans="1:10" x14ac:dyDescent="0.25">
      <c r="A282" s="3">
        <v>281</v>
      </c>
      <c r="B282" s="3">
        <v>12.863035714285713</v>
      </c>
      <c r="C282" s="3">
        <v>0.26360225140712945</v>
      </c>
      <c r="D282" s="3">
        <v>3785.5914107142858</v>
      </c>
      <c r="E282" s="3">
        <f t="shared" si="0"/>
        <v>997.89041877177704</v>
      </c>
      <c r="F282" s="3">
        <f t="shared" si="1"/>
        <v>8741520.068440767</v>
      </c>
      <c r="G282" s="3">
        <f t="shared" si="2"/>
        <v>2707652011323.8799</v>
      </c>
      <c r="H282" s="3">
        <f t="shared" si="3"/>
        <v>30284731.285714287</v>
      </c>
      <c r="I282" s="3">
        <f t="shared" si="4"/>
        <v>908541.93857142853</v>
      </c>
      <c r="J282" s="3">
        <f t="shared" si="5"/>
        <v>2707655645491.6343</v>
      </c>
    </row>
    <row r="283" spans="1:10" x14ac:dyDescent="0.25">
      <c r="A283" s="3">
        <v>282</v>
      </c>
      <c r="B283" s="3">
        <v>12.864642857142858</v>
      </c>
      <c r="C283" s="3">
        <v>0.26454033771106944</v>
      </c>
      <c r="D283" s="3">
        <v>3786.064392857143</v>
      </c>
      <c r="E283" s="3">
        <f t="shared" si="0"/>
        <v>1001.5667530822838</v>
      </c>
      <c r="F283" s="3">
        <f t="shared" si="1"/>
        <v>8773724.7570008058</v>
      </c>
      <c r="G283" s="3">
        <f t="shared" si="2"/>
        <v>2717627301907.0938</v>
      </c>
      <c r="H283" s="3">
        <f t="shared" si="3"/>
        <v>30288515.142857146</v>
      </c>
      <c r="I283" s="3">
        <f t="shared" si="4"/>
        <v>908655.45428571431</v>
      </c>
      <c r="J283" s="3">
        <f t="shared" si="5"/>
        <v>2717630936528.9106</v>
      </c>
    </row>
    <row r="284" spans="1:10" x14ac:dyDescent="0.25">
      <c r="A284" s="3">
        <v>283</v>
      </c>
      <c r="B284" s="3">
        <v>12.881071428571429</v>
      </c>
      <c r="C284" s="3">
        <v>0.26547842401500937</v>
      </c>
      <c r="D284" s="3">
        <v>3790.899321428572</v>
      </c>
      <c r="E284" s="3">
        <f t="shared" si="0"/>
        <v>1006.4019774524257</v>
      </c>
      <c r="F284" s="3">
        <f t="shared" si="1"/>
        <v>8816081.322483249</v>
      </c>
      <c r="G284" s="3">
        <f t="shared" si="2"/>
        <v>2730747097112.0703</v>
      </c>
      <c r="H284" s="3">
        <f t="shared" si="3"/>
        <v>30327194.571428575</v>
      </c>
      <c r="I284" s="3">
        <f t="shared" si="4"/>
        <v>909815.83714285726</v>
      </c>
      <c r="J284" s="3">
        <f t="shared" si="5"/>
        <v>2730750736375.4185</v>
      </c>
    </row>
    <row r="285" spans="1:10" x14ac:dyDescent="0.25">
      <c r="A285" s="3">
        <v>284</v>
      </c>
      <c r="B285" s="3">
        <v>12.908928571428572</v>
      </c>
      <c r="C285" s="3">
        <v>0.26641651031894936</v>
      </c>
      <c r="D285" s="3">
        <v>3799.0976785714283</v>
      </c>
      <c r="E285" s="3">
        <f t="shared" si="0"/>
        <v>1012.1423458858216</v>
      </c>
      <c r="F285" s="3">
        <f t="shared" si="1"/>
        <v>8866366.9499597959</v>
      </c>
      <c r="G285" s="3">
        <f t="shared" si="2"/>
        <v>2746322888651.5825</v>
      </c>
      <c r="H285" s="3">
        <f t="shared" si="3"/>
        <v>30392781.428571425</v>
      </c>
      <c r="I285" s="3">
        <f t="shared" si="4"/>
        <v>911783.44285714277</v>
      </c>
      <c r="J285" s="3">
        <f t="shared" si="5"/>
        <v>2746326535785.354</v>
      </c>
    </row>
    <row r="286" spans="1:10" x14ac:dyDescent="0.25">
      <c r="A286" s="3">
        <v>285</v>
      </c>
      <c r="B286" s="3">
        <v>12.928392857142857</v>
      </c>
      <c r="C286" s="3">
        <v>0.2673545966228893</v>
      </c>
      <c r="D286" s="3">
        <v>3804.8260178571427</v>
      </c>
      <c r="E286" s="3">
        <f t="shared" si="0"/>
        <v>1017.2377252244705</v>
      </c>
      <c r="F286" s="3">
        <f t="shared" si="1"/>
        <v>8911002.4729663618</v>
      </c>
      <c r="G286" s="3">
        <f t="shared" si="2"/>
        <v>2760148582219.8115</v>
      </c>
      <c r="H286" s="3">
        <f t="shared" si="3"/>
        <v>30438608.142857142</v>
      </c>
      <c r="I286" s="3">
        <f t="shared" si="4"/>
        <v>913158.24428571423</v>
      </c>
      <c r="J286" s="3">
        <f t="shared" si="5"/>
        <v>2760152234852.7886</v>
      </c>
    </row>
    <row r="287" spans="1:10" x14ac:dyDescent="0.25">
      <c r="A287" s="3">
        <v>286</v>
      </c>
      <c r="B287" s="3">
        <v>12.9575</v>
      </c>
      <c r="C287" s="3">
        <v>0.26829268292682928</v>
      </c>
      <c r="D287" s="3">
        <v>3813.3922499999999</v>
      </c>
      <c r="E287" s="3">
        <f t="shared" si="0"/>
        <v>1023.1052378048781</v>
      </c>
      <c r="F287" s="3">
        <f t="shared" si="1"/>
        <v>8962401.8831707332</v>
      </c>
      <c r="G287" s="3">
        <f t="shared" si="2"/>
        <v>2776069363758.7842</v>
      </c>
      <c r="H287" s="3">
        <f t="shared" si="3"/>
        <v>30507138</v>
      </c>
      <c r="I287" s="3">
        <f t="shared" si="4"/>
        <v>915214.14</v>
      </c>
      <c r="J287" s="3">
        <f t="shared" si="5"/>
        <v>2776073024615.3442</v>
      </c>
    </row>
    <row r="288" spans="1:10" x14ac:dyDescent="0.25">
      <c r="A288" s="3">
        <v>287</v>
      </c>
      <c r="B288" s="3">
        <v>12.979642857142858</v>
      </c>
      <c r="C288" s="3">
        <v>0.26923076923076922</v>
      </c>
      <c r="D288" s="3">
        <v>3819.9088928571432</v>
      </c>
      <c r="E288" s="3">
        <f t="shared" si="0"/>
        <v>1028.4370096153846</v>
      </c>
      <c r="F288" s="3">
        <f t="shared" si="1"/>
        <v>9009108.2042307686</v>
      </c>
      <c r="G288" s="3">
        <f t="shared" si="2"/>
        <v>2790536479114.1753</v>
      </c>
      <c r="H288" s="3">
        <f t="shared" si="3"/>
        <v>30559271.142857146</v>
      </c>
      <c r="I288" s="3">
        <f t="shared" si="4"/>
        <v>916778.13428571436</v>
      </c>
      <c r="J288" s="3">
        <f t="shared" si="5"/>
        <v>2790540146226.7124</v>
      </c>
    </row>
    <row r="289" spans="1:10" x14ac:dyDescent="0.25">
      <c r="A289" s="3">
        <v>288</v>
      </c>
      <c r="B289" s="3">
        <v>12.986250000000002</v>
      </c>
      <c r="C289" s="3">
        <v>0.27016885553470921</v>
      </c>
      <c r="D289" s="3">
        <v>3821.8533750000011</v>
      </c>
      <c r="E289" s="3">
        <f t="shared" si="0"/>
        <v>1032.545752345216</v>
      </c>
      <c r="F289" s="3">
        <f t="shared" si="1"/>
        <v>9045100.7905440927</v>
      </c>
      <c r="G289" s="3">
        <f t="shared" si="2"/>
        <v>2801685056529.3477</v>
      </c>
      <c r="H289" s="3">
        <f t="shared" si="3"/>
        <v>30574827.000000007</v>
      </c>
      <c r="I289" s="3">
        <f t="shared" si="4"/>
        <v>917244.81000000017</v>
      </c>
      <c r="J289" s="3">
        <f t="shared" si="5"/>
        <v>2801688725508.5879</v>
      </c>
    </row>
    <row r="290" spans="1:10" x14ac:dyDescent="0.25">
      <c r="A290" s="3">
        <v>289</v>
      </c>
      <c r="B290" s="3">
        <v>12.986785714285714</v>
      </c>
      <c r="C290" s="3">
        <v>0.27110694183864914</v>
      </c>
      <c r="D290" s="3">
        <v>3822.0110357142858</v>
      </c>
      <c r="E290" s="3">
        <f t="shared" si="0"/>
        <v>1036.173723566068</v>
      </c>
      <c r="F290" s="3">
        <f t="shared" si="1"/>
        <v>9076881.8184387553</v>
      </c>
      <c r="G290" s="3">
        <f t="shared" si="2"/>
        <v>2811529119987.6147</v>
      </c>
      <c r="H290" s="3">
        <f t="shared" si="3"/>
        <v>30576088.285714287</v>
      </c>
      <c r="I290" s="3">
        <f t="shared" si="4"/>
        <v>917282.64857142861</v>
      </c>
      <c r="J290" s="3">
        <f t="shared" si="5"/>
        <v>2811532789118.209</v>
      </c>
    </row>
    <row r="291" spans="1:10" x14ac:dyDescent="0.25">
      <c r="A291" s="3">
        <v>290</v>
      </c>
      <c r="B291" s="3">
        <v>13.00392857142857</v>
      </c>
      <c r="C291" s="3">
        <v>0.27204502814258913</v>
      </c>
      <c r="D291" s="3">
        <v>3827.0561785714281</v>
      </c>
      <c r="E291" s="3">
        <f t="shared" si="0"/>
        <v>1041.1316058027337</v>
      </c>
      <c r="F291" s="3">
        <f t="shared" si="1"/>
        <v>9120312.8668319471</v>
      </c>
      <c r="G291" s="3">
        <f t="shared" si="2"/>
        <v>2824981732360.8184</v>
      </c>
      <c r="H291" s="3">
        <f t="shared" si="3"/>
        <v>30616449.428571425</v>
      </c>
      <c r="I291" s="3">
        <f t="shared" si="4"/>
        <v>918493.48285714269</v>
      </c>
      <c r="J291" s="3">
        <f t="shared" si="5"/>
        <v>2824985406334.75</v>
      </c>
    </row>
    <row r="292" spans="1:10" x14ac:dyDescent="0.25">
      <c r="A292" s="3">
        <v>291</v>
      </c>
      <c r="B292" s="3">
        <v>13.036607142857143</v>
      </c>
      <c r="C292" s="3">
        <v>0.27298311444652906</v>
      </c>
      <c r="D292" s="3">
        <v>3836.6734821428577</v>
      </c>
      <c r="E292" s="3">
        <f t="shared" si="0"/>
        <v>1047.3470762697668</v>
      </c>
      <c r="F292" s="3">
        <f t="shared" si="1"/>
        <v>9174760.3881231565</v>
      </c>
      <c r="G292" s="3">
        <f t="shared" si="2"/>
        <v>2841846654770.8643</v>
      </c>
      <c r="H292" s="3">
        <f t="shared" si="3"/>
        <v>30693387.857142862</v>
      </c>
      <c r="I292" s="3">
        <f t="shared" si="4"/>
        <v>920801.63571428577</v>
      </c>
      <c r="J292" s="3">
        <f t="shared" si="5"/>
        <v>2841850337977.4072</v>
      </c>
    </row>
    <row r="293" spans="1:10" x14ac:dyDescent="0.25">
      <c r="A293" s="3">
        <v>292</v>
      </c>
      <c r="B293" s="3">
        <v>13.044107142857143</v>
      </c>
      <c r="C293" s="3">
        <v>0.27392120075046905</v>
      </c>
      <c r="D293" s="3">
        <v>3838.8807321428576</v>
      </c>
      <c r="E293" s="3">
        <f t="shared" si="0"/>
        <v>1051.5508196864114</v>
      </c>
      <c r="F293" s="3">
        <f t="shared" si="1"/>
        <v>9211585.1804529652</v>
      </c>
      <c r="G293" s="3">
        <f t="shared" si="2"/>
        <v>2853253004872.709</v>
      </c>
      <c r="H293" s="3">
        <f t="shared" si="3"/>
        <v>30711045.857142862</v>
      </c>
      <c r="I293" s="3">
        <f t="shared" si="4"/>
        <v>921331.37571428588</v>
      </c>
      <c r="J293" s="3">
        <f t="shared" si="5"/>
        <v>2853256690198.2114</v>
      </c>
    </row>
    <row r="294" spans="1:10" x14ac:dyDescent="0.25">
      <c r="A294" s="3">
        <v>293</v>
      </c>
      <c r="B294" s="3">
        <v>13.06875</v>
      </c>
      <c r="C294" s="3">
        <v>0.27485928705440899</v>
      </c>
      <c r="D294" s="3">
        <v>3846.1331249999998</v>
      </c>
      <c r="E294" s="3">
        <f t="shared" si="0"/>
        <v>1057.1454086538461</v>
      </c>
      <c r="F294" s="3">
        <f t="shared" si="1"/>
        <v>9260593.7798076924</v>
      </c>
      <c r="G294" s="3">
        <f t="shared" si="2"/>
        <v>2868433242270.8335</v>
      </c>
      <c r="H294" s="3">
        <f t="shared" si="3"/>
        <v>30769065</v>
      </c>
      <c r="I294" s="3">
        <f t="shared" si="4"/>
        <v>923071.95</v>
      </c>
      <c r="J294" s="3">
        <f t="shared" si="5"/>
        <v>2868436934558.6338</v>
      </c>
    </row>
    <row r="295" spans="1:10" x14ac:dyDescent="0.25">
      <c r="A295" s="3">
        <v>294</v>
      </c>
      <c r="B295" s="3">
        <v>13.070892857142857</v>
      </c>
      <c r="C295" s="3">
        <v>0.27579737335834897</v>
      </c>
      <c r="D295" s="3">
        <v>3846.7637678571427</v>
      </c>
      <c r="E295" s="3">
        <f t="shared" si="0"/>
        <v>1060.9273431050656</v>
      </c>
      <c r="F295" s="3">
        <f t="shared" si="1"/>
        <v>9293723.5256003737</v>
      </c>
      <c r="G295" s="3">
        <f t="shared" si="2"/>
        <v>2878695065985.0918</v>
      </c>
      <c r="H295" s="3">
        <f t="shared" si="3"/>
        <v>30774110.142857142</v>
      </c>
      <c r="I295" s="3">
        <f t="shared" si="4"/>
        <v>923223.30428571417</v>
      </c>
      <c r="J295" s="3">
        <f t="shared" si="5"/>
        <v>2878698758878.3091</v>
      </c>
    </row>
    <row r="296" spans="1:10" x14ac:dyDescent="0.25">
      <c r="A296" s="3">
        <v>295</v>
      </c>
      <c r="B296" s="3">
        <v>13.075357142857142</v>
      </c>
      <c r="C296" s="3">
        <v>0.27673545966228891</v>
      </c>
      <c r="D296" s="3">
        <v>3848.0776071428572</v>
      </c>
      <c r="E296" s="3">
        <f t="shared" si="0"/>
        <v>1064.8995254288393</v>
      </c>
      <c r="F296" s="3">
        <f t="shared" si="1"/>
        <v>9328519.8427566327</v>
      </c>
      <c r="G296" s="3">
        <f t="shared" si="2"/>
        <v>2889473103766.5366</v>
      </c>
      <c r="H296" s="3">
        <f t="shared" si="3"/>
        <v>30784620.857142858</v>
      </c>
      <c r="I296" s="3">
        <f t="shared" si="4"/>
        <v>923538.62571428576</v>
      </c>
      <c r="J296" s="3">
        <f t="shared" si="5"/>
        <v>2889476797921.0391</v>
      </c>
    </row>
    <row r="297" spans="1:10" x14ac:dyDescent="0.25">
      <c r="A297" s="3">
        <v>296</v>
      </c>
      <c r="B297" s="3">
        <v>13.098928571428573</v>
      </c>
      <c r="C297" s="3">
        <v>0.2776735459662289</v>
      </c>
      <c r="D297" s="3">
        <v>3855.0146785714292</v>
      </c>
      <c r="E297" s="3">
        <f t="shared" si="0"/>
        <v>1070.4355955507908</v>
      </c>
      <c r="F297" s="3">
        <f t="shared" si="1"/>
        <v>9377015.8170249276</v>
      </c>
      <c r="G297" s="3">
        <f t="shared" si="2"/>
        <v>2904494557617.6011</v>
      </c>
      <c r="H297" s="3">
        <f t="shared" si="3"/>
        <v>30840117.428571433</v>
      </c>
      <c r="I297" s="3">
        <f t="shared" si="4"/>
        <v>925203.52285714296</v>
      </c>
      <c r="J297" s="3">
        <f t="shared" si="5"/>
        <v>2904498258431.6924</v>
      </c>
    </row>
    <row r="298" spans="1:10" x14ac:dyDescent="0.25">
      <c r="A298" s="3">
        <v>297</v>
      </c>
      <c r="B298" s="3">
        <v>13.103214285714285</v>
      </c>
      <c r="C298" s="3">
        <v>0.27861163227016883</v>
      </c>
      <c r="D298" s="3">
        <v>3856.2759642857145</v>
      </c>
      <c r="E298" s="3">
        <f t="shared" si="0"/>
        <v>1074.4033408938622</v>
      </c>
      <c r="F298" s="3">
        <f t="shared" si="1"/>
        <v>9411773.266230233</v>
      </c>
      <c r="G298" s="3">
        <f t="shared" si="2"/>
        <v>2915260556235.9497</v>
      </c>
      <c r="H298" s="3">
        <f t="shared" si="3"/>
        <v>30850207.714285716</v>
      </c>
      <c r="I298" s="3">
        <f t="shared" si="4"/>
        <v>925506.23142857151</v>
      </c>
      <c r="J298" s="3">
        <f t="shared" si="5"/>
        <v>2915264258260.8755</v>
      </c>
    </row>
    <row r="299" spans="1:10" x14ac:dyDescent="0.25">
      <c r="A299" s="3">
        <v>298</v>
      </c>
      <c r="B299" s="3">
        <v>13.142321428571428</v>
      </c>
      <c r="C299" s="3">
        <v>0.27954971857410882</v>
      </c>
      <c r="D299" s="3">
        <v>3867.7851964285715</v>
      </c>
      <c r="E299" s="3">
        <f t="shared" si="0"/>
        <v>1081.2382631667112</v>
      </c>
      <c r="F299" s="3">
        <f t="shared" si="1"/>
        <v>9471647.1853403896</v>
      </c>
      <c r="G299" s="3">
        <f t="shared" si="2"/>
        <v>2933806284809.8345</v>
      </c>
      <c r="H299" s="3">
        <f t="shared" si="3"/>
        <v>30942281.571428571</v>
      </c>
      <c r="I299" s="3">
        <f t="shared" si="4"/>
        <v>928268.44714285713</v>
      </c>
      <c r="J299" s="3">
        <f t="shared" si="5"/>
        <v>2933809997883.623</v>
      </c>
    </row>
    <row r="300" spans="1:10" x14ac:dyDescent="0.25">
      <c r="A300" s="3">
        <v>299</v>
      </c>
      <c r="B300" s="3">
        <v>13.149285714285714</v>
      </c>
      <c r="C300" s="3">
        <v>0.28048780487804881</v>
      </c>
      <c r="D300" s="3">
        <v>3869.8347857142858</v>
      </c>
      <c r="E300" s="3">
        <f t="shared" si="0"/>
        <v>1085.4414642857143</v>
      </c>
      <c r="F300" s="3">
        <f t="shared" si="1"/>
        <v>9508467.2271428574</v>
      </c>
      <c r="G300" s="3">
        <f t="shared" si="2"/>
        <v>2945211163603.5986</v>
      </c>
      <c r="H300" s="3">
        <f t="shared" si="3"/>
        <v>30958678.285714287</v>
      </c>
      <c r="I300" s="3">
        <f t="shared" si="4"/>
        <v>928760.34857142856</v>
      </c>
      <c r="J300" s="3">
        <f t="shared" si="5"/>
        <v>2945214878644.9932</v>
      </c>
    </row>
    <row r="301" spans="1:10" x14ac:dyDescent="0.25">
      <c r="A301" s="3">
        <v>300</v>
      </c>
      <c r="B301" s="3">
        <v>13.150892857142855</v>
      </c>
      <c r="C301" s="3">
        <v>0.28142589118198874</v>
      </c>
      <c r="D301" s="3">
        <v>3870.3077678571426</v>
      </c>
      <c r="E301" s="3">
        <f t="shared" si="0"/>
        <v>1089.20481271777</v>
      </c>
      <c r="F301" s="3">
        <f t="shared" si="1"/>
        <v>9541434.159407666</v>
      </c>
      <c r="G301" s="3">
        <f t="shared" si="2"/>
        <v>2955422556541.3574</v>
      </c>
      <c r="H301" s="3">
        <f t="shared" si="3"/>
        <v>30962462.142857142</v>
      </c>
      <c r="I301" s="3">
        <f t="shared" si="4"/>
        <v>928873.86428571423</v>
      </c>
      <c r="J301" s="3">
        <f t="shared" si="5"/>
        <v>2955426272036.8145</v>
      </c>
    </row>
    <row r="302" spans="1:10" x14ac:dyDescent="0.25">
      <c r="A302" s="3">
        <v>301</v>
      </c>
      <c r="B302" s="3">
        <v>13.168928571428571</v>
      </c>
      <c r="C302" s="3">
        <v>0.28236397748592873</v>
      </c>
      <c r="D302" s="3">
        <v>3875.6156785714284</v>
      </c>
      <c r="E302" s="3">
        <f t="shared" si="0"/>
        <v>1094.3342582082553</v>
      </c>
      <c r="F302" s="3">
        <f t="shared" si="1"/>
        <v>9586368.1019043177</v>
      </c>
      <c r="G302" s="3">
        <f t="shared" si="2"/>
        <v>2969340684919.4253</v>
      </c>
      <c r="H302" s="3">
        <f t="shared" si="3"/>
        <v>31004925.428571425</v>
      </c>
      <c r="I302" s="3">
        <f t="shared" si="4"/>
        <v>930147.76285714272</v>
      </c>
      <c r="J302" s="3">
        <f t="shared" si="5"/>
        <v>2969344405510.4766</v>
      </c>
    </row>
    <row r="303" spans="1:10" x14ac:dyDescent="0.25">
      <c r="A303" s="3">
        <v>302</v>
      </c>
      <c r="B303" s="3">
        <v>13.18125</v>
      </c>
      <c r="C303" s="3">
        <v>0.28330206378986866</v>
      </c>
      <c r="D303" s="3">
        <v>3879.2418750000002</v>
      </c>
      <c r="E303" s="3">
        <f t="shared" si="0"/>
        <v>1098.9972291275797</v>
      </c>
      <c r="F303" s="3">
        <f t="shared" si="1"/>
        <v>9627215.7271575965</v>
      </c>
      <c r="G303" s="3">
        <f t="shared" si="2"/>
        <v>2981993092261.1113</v>
      </c>
      <c r="H303" s="3">
        <f t="shared" si="3"/>
        <v>31033935</v>
      </c>
      <c r="I303" s="3">
        <f t="shared" si="4"/>
        <v>931018.04999999993</v>
      </c>
      <c r="J303" s="3">
        <f t="shared" si="5"/>
        <v>2981996816333.311</v>
      </c>
    </row>
    <row r="304" spans="1:10" x14ac:dyDescent="0.25">
      <c r="A304" s="3">
        <v>303</v>
      </c>
      <c r="B304" s="3">
        <v>13.189107142857143</v>
      </c>
      <c r="C304" s="3">
        <v>0.28424015009380865</v>
      </c>
      <c r="D304" s="3">
        <v>3881.5542321428579</v>
      </c>
      <c r="E304" s="3">
        <f t="shared" si="0"/>
        <v>1103.293557541544</v>
      </c>
      <c r="F304" s="3">
        <f t="shared" si="1"/>
        <v>9664851.5640639253</v>
      </c>
      <c r="G304" s="3">
        <f t="shared" si="2"/>
        <v>2993650660518.0498</v>
      </c>
      <c r="H304" s="3">
        <f t="shared" si="3"/>
        <v>31052433.857142862</v>
      </c>
      <c r="I304" s="3">
        <f t="shared" si="4"/>
        <v>931573.01571428578</v>
      </c>
      <c r="J304" s="3">
        <f t="shared" si="5"/>
        <v>2993654386810.1128</v>
      </c>
    </row>
    <row r="305" spans="1:10" x14ac:dyDescent="0.25">
      <c r="A305" s="3">
        <v>304</v>
      </c>
      <c r="B305" s="3">
        <v>13.206964285714285</v>
      </c>
      <c r="C305" s="3">
        <v>0.28517823639774859</v>
      </c>
      <c r="D305" s="3">
        <v>3886.8095892857141</v>
      </c>
      <c r="E305" s="3">
        <f t="shared" si="0"/>
        <v>1108.4335038863574</v>
      </c>
      <c r="F305" s="3">
        <f t="shared" si="1"/>
        <v>9709877.4940444902</v>
      </c>
      <c r="G305" s="3">
        <f t="shared" si="2"/>
        <v>3007597281751.9604</v>
      </c>
      <c r="H305" s="3">
        <f t="shared" si="3"/>
        <v>31094476.714285713</v>
      </c>
      <c r="I305" s="3">
        <f t="shared" si="4"/>
        <v>932834.30142857134</v>
      </c>
      <c r="J305" s="3">
        <f t="shared" si="5"/>
        <v>3007601013089.166</v>
      </c>
    </row>
    <row r="306" spans="1:10" x14ac:dyDescent="0.25">
      <c r="A306" s="3">
        <v>305</v>
      </c>
      <c r="B306" s="3">
        <v>13.213035714285715</v>
      </c>
      <c r="C306" s="3">
        <v>0.28611632270168857</v>
      </c>
      <c r="D306" s="3">
        <v>3888.5964107142859</v>
      </c>
      <c r="E306" s="3">
        <f t="shared" si="0"/>
        <v>1112.5909055045565</v>
      </c>
      <c r="F306" s="3">
        <f t="shared" si="1"/>
        <v>9746296.3322199155</v>
      </c>
      <c r="G306" s="3">
        <f t="shared" si="2"/>
        <v>3018877889360.3774</v>
      </c>
      <c r="H306" s="3">
        <f t="shared" si="3"/>
        <v>31108771.285714287</v>
      </c>
      <c r="I306" s="3">
        <f t="shared" si="4"/>
        <v>933263.1385714286</v>
      </c>
      <c r="J306" s="3">
        <f t="shared" si="5"/>
        <v>3018881622412.9316</v>
      </c>
    </row>
    <row r="307" spans="1:10" x14ac:dyDescent="0.25">
      <c r="A307" s="3">
        <v>306</v>
      </c>
      <c r="B307" s="3">
        <v>13.23</v>
      </c>
      <c r="C307" s="3">
        <v>0.28705440900562851</v>
      </c>
      <c r="D307" s="3">
        <v>3893.5889999999999</v>
      </c>
      <c r="E307" s="3">
        <f t="shared" si="0"/>
        <v>1117.6718893058162</v>
      </c>
      <c r="F307" s="3">
        <f t="shared" si="1"/>
        <v>9790805.75031895</v>
      </c>
      <c r="G307" s="3">
        <f t="shared" si="2"/>
        <v>3032664523075.4204</v>
      </c>
      <c r="H307" s="3">
        <f t="shared" si="3"/>
        <v>31148712</v>
      </c>
      <c r="I307" s="3">
        <f t="shared" si="4"/>
        <v>934461.36</v>
      </c>
      <c r="J307" s="3">
        <f t="shared" si="5"/>
        <v>3032668260920.8604</v>
      </c>
    </row>
    <row r="308" spans="1:10" x14ac:dyDescent="0.25">
      <c r="A308" s="3">
        <v>307</v>
      </c>
      <c r="B308" s="3">
        <v>13.25625</v>
      </c>
      <c r="C308" s="3">
        <v>0.2879924953095685</v>
      </c>
      <c r="D308" s="3">
        <v>3901.3143749999999</v>
      </c>
      <c r="E308" s="3">
        <f t="shared" si="0"/>
        <v>1123.5492618433395</v>
      </c>
      <c r="F308" s="3">
        <f t="shared" si="1"/>
        <v>9842291.5337476544</v>
      </c>
      <c r="G308" s="3">
        <f t="shared" si="2"/>
        <v>3048612059229.4951</v>
      </c>
      <c r="H308" s="3">
        <f t="shared" si="3"/>
        <v>31210515</v>
      </c>
      <c r="I308" s="3">
        <f t="shared" si="4"/>
        <v>936315.45</v>
      </c>
      <c r="J308" s="3">
        <f t="shared" si="5"/>
        <v>3048615804491.2954</v>
      </c>
    </row>
    <row r="309" spans="1:10" x14ac:dyDescent="0.25">
      <c r="A309" s="3">
        <v>308</v>
      </c>
      <c r="B309" s="3">
        <v>13.276964285714286</v>
      </c>
      <c r="C309" s="3">
        <v>0.28893058161350843</v>
      </c>
      <c r="D309" s="3">
        <v>3907.4105892857147</v>
      </c>
      <c r="E309" s="3">
        <f t="shared" si="0"/>
        <v>1128.9704141651032</v>
      </c>
      <c r="F309" s="3">
        <f t="shared" si="1"/>
        <v>9889780.8280863035</v>
      </c>
      <c r="G309" s="3">
        <f t="shared" si="2"/>
        <v>3063321698256.9351</v>
      </c>
      <c r="H309" s="3">
        <f t="shared" si="3"/>
        <v>31259284.714285716</v>
      </c>
      <c r="I309" s="3">
        <f t="shared" si="4"/>
        <v>937778.54142857145</v>
      </c>
      <c r="J309" s="3">
        <f t="shared" si="5"/>
        <v>3063325449371.1011</v>
      </c>
    </row>
    <row r="310" spans="1:10" x14ac:dyDescent="0.25">
      <c r="A310" s="3">
        <v>309</v>
      </c>
      <c r="B310" s="3">
        <v>13.293035714285713</v>
      </c>
      <c r="C310" s="3">
        <v>0.28986866791744842</v>
      </c>
      <c r="D310" s="3">
        <v>3912.1404107142857</v>
      </c>
      <c r="E310" s="3">
        <f t="shared" si="0"/>
        <v>1134.0069295597696</v>
      </c>
      <c r="F310" s="3">
        <f t="shared" si="1"/>
        <v>9933900.7029435821</v>
      </c>
      <c r="G310" s="3">
        <f t="shared" si="2"/>
        <v>3076987672550.6953</v>
      </c>
      <c r="H310" s="3">
        <f t="shared" si="3"/>
        <v>31297123.285714287</v>
      </c>
      <c r="I310" s="3">
        <f t="shared" si="4"/>
        <v>938913.69857142854</v>
      </c>
      <c r="J310" s="3">
        <f t="shared" si="5"/>
        <v>3076991428205.4897</v>
      </c>
    </row>
    <row r="311" spans="1:10" x14ac:dyDescent="0.25">
      <c r="A311" s="3">
        <v>310</v>
      </c>
      <c r="B311" s="3">
        <v>13.29875</v>
      </c>
      <c r="C311" s="3">
        <v>0.29080675422138835</v>
      </c>
      <c r="D311" s="3">
        <v>3913.8221250000001</v>
      </c>
      <c r="E311" s="3">
        <f t="shared" si="0"/>
        <v>1138.1659087711068</v>
      </c>
      <c r="F311" s="3">
        <f t="shared" si="1"/>
        <v>9970333.3608348966</v>
      </c>
      <c r="G311" s="3">
        <f t="shared" si="2"/>
        <v>3088272560869.2744</v>
      </c>
      <c r="H311" s="3">
        <f t="shared" si="3"/>
        <v>31310577</v>
      </c>
      <c r="I311" s="3">
        <f t="shared" si="4"/>
        <v>939317.30999999994</v>
      </c>
      <c r="J311" s="3">
        <f t="shared" si="5"/>
        <v>3088276318138.5146</v>
      </c>
    </row>
    <row r="312" spans="1:10" x14ac:dyDescent="0.25">
      <c r="A312" s="3">
        <v>311</v>
      </c>
      <c r="B312" s="3">
        <v>13.301785714285714</v>
      </c>
      <c r="C312" s="3">
        <v>0.29174484052532834</v>
      </c>
      <c r="D312" s="3">
        <v>3914.715535714286</v>
      </c>
      <c r="E312" s="3">
        <f t="shared" si="0"/>
        <v>1142.0980596689897</v>
      </c>
      <c r="F312" s="3">
        <f t="shared" si="1"/>
        <v>10004779.002700349</v>
      </c>
      <c r="G312" s="3">
        <f t="shared" si="2"/>
        <v>3098941978594.3359</v>
      </c>
      <c r="H312" s="3">
        <f t="shared" si="3"/>
        <v>31317724.285714287</v>
      </c>
      <c r="I312" s="3">
        <f t="shared" si="4"/>
        <v>939531.72857142857</v>
      </c>
      <c r="J312" s="3">
        <f t="shared" si="5"/>
        <v>3098945736721.25</v>
      </c>
    </row>
    <row r="313" spans="1:10" x14ac:dyDescent="0.25">
      <c r="A313" s="3">
        <v>312</v>
      </c>
      <c r="B313" s="3">
        <v>13.332678571428572</v>
      </c>
      <c r="C313" s="3">
        <v>0.29268292682926828</v>
      </c>
      <c r="D313" s="3">
        <v>3923.8073035714292</v>
      </c>
      <c r="E313" s="3">
        <f t="shared" si="0"/>
        <v>1148.431405923345</v>
      </c>
      <c r="F313" s="3">
        <f t="shared" si="1"/>
        <v>10060259.115888502</v>
      </c>
      <c r="G313" s="3">
        <f t="shared" si="2"/>
        <v>3116126743282.1064</v>
      </c>
      <c r="H313" s="3">
        <f t="shared" si="3"/>
        <v>31390458.428571433</v>
      </c>
      <c r="I313" s="3">
        <f t="shared" si="4"/>
        <v>941713.75285714294</v>
      </c>
      <c r="J313" s="3">
        <f t="shared" si="5"/>
        <v>3116130510137.1182</v>
      </c>
    </row>
    <row r="314" spans="1:10" x14ac:dyDescent="0.25">
      <c r="A314" s="3">
        <v>313</v>
      </c>
      <c r="B314" s="3">
        <v>13.360357142857142</v>
      </c>
      <c r="C314" s="3">
        <v>0.29362101313320826</v>
      </c>
      <c r="D314" s="3">
        <v>3931.9531071428573</v>
      </c>
      <c r="E314" s="3">
        <f t="shared" si="0"/>
        <v>1154.504054911552</v>
      </c>
      <c r="F314" s="3">
        <f t="shared" si="1"/>
        <v>10113455.521025196</v>
      </c>
      <c r="G314" s="3">
        <f t="shared" si="2"/>
        <v>3132604138197.6436</v>
      </c>
      <c r="H314" s="3">
        <f t="shared" si="3"/>
        <v>31455624.857142858</v>
      </c>
      <c r="I314" s="3">
        <f t="shared" si="4"/>
        <v>943668.74571428576</v>
      </c>
      <c r="J314" s="3">
        <f t="shared" si="5"/>
        <v>3132607912872.6265</v>
      </c>
    </row>
    <row r="315" spans="1:10" x14ac:dyDescent="0.25">
      <c r="A315" s="3">
        <v>314</v>
      </c>
      <c r="B315" s="3">
        <v>13.361785714285713</v>
      </c>
      <c r="C315" s="3">
        <v>0.2945590994371482</v>
      </c>
      <c r="D315" s="3">
        <v>3932.3735357142855</v>
      </c>
      <c r="E315" s="3">
        <f t="shared" si="0"/>
        <v>1158.3164073304742</v>
      </c>
      <c r="F315" s="3">
        <f t="shared" si="1"/>
        <v>10146851.728214955</v>
      </c>
      <c r="G315" s="3">
        <f t="shared" si="2"/>
        <v>3142948497611.0186</v>
      </c>
      <c r="H315" s="3">
        <f t="shared" si="3"/>
        <v>31458988.285714284</v>
      </c>
      <c r="I315" s="3">
        <f t="shared" si="4"/>
        <v>943769.64857142849</v>
      </c>
      <c r="J315" s="3">
        <f t="shared" si="5"/>
        <v>3142952272689.6128</v>
      </c>
    </row>
    <row r="316" spans="1:10" x14ac:dyDescent="0.25">
      <c r="A316" s="3">
        <v>315</v>
      </c>
      <c r="B316" s="3">
        <v>13.36875</v>
      </c>
      <c r="C316" s="3">
        <v>0.29549718574108819</v>
      </c>
      <c r="D316" s="3">
        <v>3934.4231249999998</v>
      </c>
      <c r="E316" s="3">
        <f t="shared" si="0"/>
        <v>1162.6109609521575</v>
      </c>
      <c r="F316" s="3">
        <f t="shared" si="1"/>
        <v>10184472.017940899</v>
      </c>
      <c r="G316" s="3">
        <f t="shared" si="2"/>
        <v>3154601250434.7949</v>
      </c>
      <c r="H316" s="3">
        <f t="shared" si="3"/>
        <v>31475385</v>
      </c>
      <c r="I316" s="3">
        <f t="shared" si="4"/>
        <v>944261.54999999993</v>
      </c>
      <c r="J316" s="3">
        <f t="shared" si="5"/>
        <v>3154605027480.9946</v>
      </c>
    </row>
    <row r="317" spans="1:10" x14ac:dyDescent="0.25">
      <c r="A317" s="3">
        <v>316</v>
      </c>
      <c r="B317" s="3">
        <v>13.369107142857143</v>
      </c>
      <c r="C317" s="3">
        <v>0.29643527204502812</v>
      </c>
      <c r="D317" s="3">
        <v>3934.5282321428576</v>
      </c>
      <c r="E317" s="3">
        <f t="shared" si="0"/>
        <v>1166.3329468641116</v>
      </c>
      <c r="F317" s="3">
        <f t="shared" si="1"/>
        <v>10217076.614529619</v>
      </c>
      <c r="G317" s="3">
        <f t="shared" si="2"/>
        <v>3164700411501.6553</v>
      </c>
      <c r="H317" s="3">
        <f t="shared" si="3"/>
        <v>31476225.857142862</v>
      </c>
      <c r="I317" s="3">
        <f t="shared" si="4"/>
        <v>944286.77571428579</v>
      </c>
      <c r="J317" s="3">
        <f t="shared" si="5"/>
        <v>3164704188648.7583</v>
      </c>
    </row>
    <row r="318" spans="1:10" x14ac:dyDescent="0.25">
      <c r="A318" s="3">
        <v>317</v>
      </c>
      <c r="B318" s="3">
        <v>13.37232142857143</v>
      </c>
      <c r="C318" s="3">
        <v>0.29737335834896811</v>
      </c>
      <c r="D318" s="3">
        <v>3935.4741964285718</v>
      </c>
      <c r="E318" s="3">
        <f t="shared" si="0"/>
        <v>1170.3051784876709</v>
      </c>
      <c r="F318" s="3">
        <f t="shared" si="1"/>
        <v>10251873.363551999</v>
      </c>
      <c r="G318" s="3">
        <f t="shared" si="2"/>
        <v>3175478583405.2988</v>
      </c>
      <c r="H318" s="3">
        <f t="shared" si="3"/>
        <v>31483793.571428575</v>
      </c>
      <c r="I318" s="3">
        <f t="shared" si="4"/>
        <v>944513.80714285723</v>
      </c>
      <c r="J318" s="3">
        <f t="shared" si="5"/>
        <v>3175482361460.5273</v>
      </c>
    </row>
    <row r="319" spans="1:10" x14ac:dyDescent="0.25">
      <c r="A319" s="3">
        <v>318</v>
      </c>
      <c r="B319" s="3">
        <v>13.451071428571428</v>
      </c>
      <c r="C319" s="3">
        <v>0.29831144465290804</v>
      </c>
      <c r="D319" s="3">
        <v>3958.6503214285713</v>
      </c>
      <c r="E319" s="3">
        <f t="shared" si="0"/>
        <v>1180.9106962610558</v>
      </c>
      <c r="F319" s="3">
        <f t="shared" si="1"/>
        <v>10344777.69924685</v>
      </c>
      <c r="G319" s="3">
        <f t="shared" si="2"/>
        <v>3204255358219.5796</v>
      </c>
      <c r="H319" s="3">
        <f t="shared" si="3"/>
        <v>31669202.571428571</v>
      </c>
      <c r="I319" s="3">
        <f t="shared" si="4"/>
        <v>950076.07714285713</v>
      </c>
      <c r="J319" s="3">
        <f t="shared" si="5"/>
        <v>3204259158523.8882</v>
      </c>
    </row>
    <row r="320" spans="1:10" x14ac:dyDescent="0.25">
      <c r="A320" s="3">
        <v>319</v>
      </c>
      <c r="B320" s="3">
        <v>13.456249999999999</v>
      </c>
      <c r="C320" s="3">
        <v>0.29924953095684803</v>
      </c>
      <c r="D320" s="3">
        <v>3960.1743749999996</v>
      </c>
      <c r="E320" s="3">
        <f t="shared" si="0"/>
        <v>1185.0803242260786</v>
      </c>
      <c r="F320" s="3">
        <f t="shared" si="1"/>
        <v>10381303.640220448</v>
      </c>
      <c r="G320" s="3">
        <f t="shared" si="2"/>
        <v>3215569140802.0244</v>
      </c>
      <c r="H320" s="3">
        <f t="shared" si="3"/>
        <v>31681394.999999996</v>
      </c>
      <c r="I320" s="3">
        <f t="shared" si="4"/>
        <v>950441.84999999986</v>
      </c>
      <c r="J320" s="3">
        <f t="shared" si="5"/>
        <v>3215572942569.4243</v>
      </c>
    </row>
    <row r="321" spans="1:10" x14ac:dyDescent="0.25">
      <c r="A321" s="3">
        <v>320</v>
      </c>
      <c r="B321" s="3">
        <v>13.456428571428571</v>
      </c>
      <c r="C321" s="3">
        <v>0.30018761726078802</v>
      </c>
      <c r="D321" s="3">
        <v>3960.2269285714283</v>
      </c>
      <c r="E321" s="3">
        <f t="shared" si="0"/>
        <v>1188.8110854998661</v>
      </c>
      <c r="F321" s="3">
        <f t="shared" si="1"/>
        <v>10413985.108978827</v>
      </c>
      <c r="G321" s="3">
        <f t="shared" si="2"/>
        <v>3225692112808.3496</v>
      </c>
      <c r="H321" s="3">
        <f t="shared" si="3"/>
        <v>31681815.428571425</v>
      </c>
      <c r="I321" s="3">
        <f t="shared" si="4"/>
        <v>950454.46285714267</v>
      </c>
      <c r="J321" s="3">
        <f t="shared" si="5"/>
        <v>3225695914626.2012</v>
      </c>
    </row>
    <row r="322" spans="1:10" x14ac:dyDescent="0.25">
      <c r="A322" s="3">
        <v>321</v>
      </c>
      <c r="B322" s="3">
        <v>13.5</v>
      </c>
      <c r="C322" s="3">
        <v>0.30112570356472795</v>
      </c>
      <c r="D322" s="3">
        <v>3973.05</v>
      </c>
      <c r="E322" s="3">
        <f t="shared" si="0"/>
        <v>1196.3874765478424</v>
      </c>
      <c r="F322" s="3">
        <f t="shared" si="1"/>
        <v>10480354.294559101</v>
      </c>
      <c r="G322" s="3">
        <f t="shared" si="2"/>
        <v>3246249726473.5615</v>
      </c>
      <c r="H322" s="3">
        <f t="shared" si="3"/>
        <v>31784400</v>
      </c>
      <c r="I322" s="3">
        <f t="shared" si="4"/>
        <v>953532</v>
      </c>
      <c r="J322" s="3">
        <f t="shared" si="5"/>
        <v>3246253540601.5615</v>
      </c>
    </row>
    <row r="323" spans="1:10" x14ac:dyDescent="0.25">
      <c r="A323" s="3">
        <v>322</v>
      </c>
      <c r="B323" s="3">
        <v>13.506428571428572</v>
      </c>
      <c r="C323" s="3">
        <v>0.30206378986866794</v>
      </c>
      <c r="D323" s="3">
        <v>3974.9419285714289</v>
      </c>
      <c r="E323" s="3">
        <f t="shared" si="0"/>
        <v>1200.6860234521578</v>
      </c>
      <c r="F323" s="3">
        <f t="shared" si="1"/>
        <v>10518009.565440902</v>
      </c>
      <c r="G323" s="3">
        <f t="shared" si="2"/>
        <v>3257913314740.8838</v>
      </c>
      <c r="H323" s="3">
        <f t="shared" si="3"/>
        <v>31799535.428571433</v>
      </c>
      <c r="I323" s="3">
        <f t="shared" si="4"/>
        <v>953986.062857143</v>
      </c>
      <c r="J323" s="3">
        <f t="shared" si="5"/>
        <v>3257917130685.1353</v>
      </c>
    </row>
    <row r="324" spans="1:10" x14ac:dyDescent="0.25">
      <c r="A324" s="3">
        <v>323</v>
      </c>
      <c r="B324" s="3">
        <v>13.521428571428572</v>
      </c>
      <c r="C324" s="3">
        <v>0.30300187617260788</v>
      </c>
      <c r="D324" s="3">
        <v>3979.3564285714292</v>
      </c>
      <c r="E324" s="3">
        <f t="shared" si="0"/>
        <v>1205.7524638166713</v>
      </c>
      <c r="F324" s="3">
        <f t="shared" si="1"/>
        <v>10562391.58303404</v>
      </c>
      <c r="G324" s="3">
        <f t="shared" si="2"/>
        <v>3271660487144.269</v>
      </c>
      <c r="H324" s="3">
        <f t="shared" si="3"/>
        <v>31834851.428571433</v>
      </c>
      <c r="I324" s="3">
        <f t="shared" si="4"/>
        <v>955045.54285714298</v>
      </c>
      <c r="J324" s="3">
        <f t="shared" si="5"/>
        <v>3271664307326.4404</v>
      </c>
    </row>
    <row r="325" spans="1:10" x14ac:dyDescent="0.25">
      <c r="A325" s="3">
        <v>324</v>
      </c>
      <c r="B325" s="3">
        <v>13.566785714285714</v>
      </c>
      <c r="C325" s="3">
        <v>0.30393996247654786</v>
      </c>
      <c r="D325" s="3">
        <v>3992.7050357142857</v>
      </c>
      <c r="E325" s="3">
        <f t="shared" si="0"/>
        <v>1213.5426187349237</v>
      </c>
      <c r="F325" s="3">
        <f t="shared" si="1"/>
        <v>10630633.340117931</v>
      </c>
      <c r="G325" s="3">
        <f t="shared" si="2"/>
        <v>3292798122859.8149</v>
      </c>
      <c r="H325" s="3">
        <f t="shared" si="3"/>
        <v>31941640.285714287</v>
      </c>
      <c r="I325" s="3">
        <f t="shared" si="4"/>
        <v>958249.20857142855</v>
      </c>
      <c r="J325" s="3">
        <f t="shared" si="5"/>
        <v>3292801955856.6489</v>
      </c>
    </row>
    <row r="326" spans="1:10" x14ac:dyDescent="0.25">
      <c r="A326" s="3">
        <v>325</v>
      </c>
      <c r="B326" s="3">
        <v>13.574464285714285</v>
      </c>
      <c r="C326" s="3">
        <v>0.3048780487804878</v>
      </c>
      <c r="D326" s="3">
        <v>3994.9648392857139</v>
      </c>
      <c r="E326" s="3">
        <f t="shared" si="0"/>
        <v>1217.9770851480835</v>
      </c>
      <c r="F326" s="3">
        <f t="shared" si="1"/>
        <v>10669479.265897211</v>
      </c>
      <c r="G326" s="3">
        <f t="shared" si="2"/>
        <v>3304830512015.6089</v>
      </c>
      <c r="H326" s="3">
        <f t="shared" si="3"/>
        <v>31959718.714285713</v>
      </c>
      <c r="I326" s="3">
        <f t="shared" si="4"/>
        <v>958791.56142857135</v>
      </c>
      <c r="J326" s="3">
        <f t="shared" si="5"/>
        <v>3304834347181.8545</v>
      </c>
    </row>
    <row r="327" spans="1:10" x14ac:dyDescent="0.25">
      <c r="A327" s="3">
        <v>326</v>
      </c>
      <c r="B327" s="3">
        <v>13.6425</v>
      </c>
      <c r="C327" s="3">
        <v>0.30581613508442779</v>
      </c>
      <c r="D327" s="3">
        <v>4014.9877499999998</v>
      </c>
      <c r="E327" s="3">
        <f t="shared" si="0"/>
        <v>1227.8480361163226</v>
      </c>
      <c r="F327" s="3">
        <f t="shared" si="1"/>
        <v>10755948.796378985</v>
      </c>
      <c r="G327" s="3">
        <f t="shared" si="2"/>
        <v>3331614131169.8799</v>
      </c>
      <c r="H327" s="3">
        <f t="shared" si="3"/>
        <v>32119902</v>
      </c>
      <c r="I327" s="3">
        <f t="shared" si="4"/>
        <v>963597.05999999994</v>
      </c>
      <c r="J327" s="3">
        <f t="shared" si="5"/>
        <v>3331617985558.1201</v>
      </c>
    </row>
    <row r="328" spans="1:10" x14ac:dyDescent="0.25">
      <c r="A328" s="3">
        <v>327</v>
      </c>
      <c r="B328" s="3">
        <v>13.651785714285714</v>
      </c>
      <c r="C328" s="3">
        <v>0.30675422138836772</v>
      </c>
      <c r="D328" s="3">
        <v>4017.7205357142857</v>
      </c>
      <c r="E328" s="3">
        <f t="shared" si="0"/>
        <v>1232.4527346890914</v>
      </c>
      <c r="F328" s="3">
        <f t="shared" si="1"/>
        <v>10796285.95587644</v>
      </c>
      <c r="G328" s="3">
        <f t="shared" si="2"/>
        <v>3344108424364.6685</v>
      </c>
      <c r="H328" s="3">
        <f t="shared" si="3"/>
        <v>32141764.285714287</v>
      </c>
      <c r="I328" s="3">
        <f t="shared" si="4"/>
        <v>964252.92857142864</v>
      </c>
      <c r="J328" s="3">
        <f t="shared" si="5"/>
        <v>3344112281376.3828</v>
      </c>
    </row>
    <row r="329" spans="1:10" x14ac:dyDescent="0.25">
      <c r="A329" s="3">
        <v>328</v>
      </c>
      <c r="B329" s="3">
        <v>13.691249999999998</v>
      </c>
      <c r="C329" s="3">
        <v>0.30769230769230771</v>
      </c>
      <c r="D329" s="3">
        <v>4029.3348749999996</v>
      </c>
      <c r="E329" s="3">
        <f t="shared" si="0"/>
        <v>1239.7953461538461</v>
      </c>
      <c r="F329" s="3">
        <f t="shared" si="1"/>
        <v>10860607.232307691</v>
      </c>
      <c r="G329" s="3">
        <f t="shared" si="2"/>
        <v>3364031706405.4165</v>
      </c>
      <c r="H329" s="3">
        <f t="shared" si="3"/>
        <v>32234678.999999996</v>
      </c>
      <c r="I329" s="3">
        <f t="shared" si="4"/>
        <v>967040.36999999988</v>
      </c>
      <c r="J329" s="3">
        <f t="shared" si="5"/>
        <v>3364035574566.8965</v>
      </c>
    </row>
    <row r="330" spans="1:10" x14ac:dyDescent="0.25">
      <c r="A330" s="3">
        <v>329</v>
      </c>
      <c r="B330" s="3">
        <v>13.704821428571428</v>
      </c>
      <c r="C330" s="3">
        <v>0.30863039399624764</v>
      </c>
      <c r="D330" s="3">
        <v>4033.3289464285713</v>
      </c>
      <c r="E330" s="3">
        <f t="shared" si="0"/>
        <v>1244.8079018527203</v>
      </c>
      <c r="F330" s="3">
        <f t="shared" si="1"/>
        <v>10904517.220229829</v>
      </c>
      <c r="G330" s="3">
        <f t="shared" si="2"/>
        <v>3377632669652.3462</v>
      </c>
      <c r="H330" s="3">
        <f t="shared" si="3"/>
        <v>32266631.571428571</v>
      </c>
      <c r="I330" s="3">
        <f t="shared" si="4"/>
        <v>967998.94714285713</v>
      </c>
      <c r="J330" s="3">
        <f t="shared" si="5"/>
        <v>3377636541648.1348</v>
      </c>
    </row>
    <row r="331" spans="1:10" x14ac:dyDescent="0.25">
      <c r="A331" s="3">
        <v>330</v>
      </c>
      <c r="B331" s="3">
        <v>13.716071428571428</v>
      </c>
      <c r="C331" s="3">
        <v>0.30956848030018763</v>
      </c>
      <c r="D331" s="3">
        <v>4036.6398214285718</v>
      </c>
      <c r="E331" s="3">
        <f t="shared" si="0"/>
        <v>1249.6164550388637</v>
      </c>
      <c r="F331" s="3">
        <f t="shared" si="1"/>
        <v>10946640.146140445</v>
      </c>
      <c r="G331" s="3">
        <f t="shared" si="2"/>
        <v>3390680097270.0986</v>
      </c>
      <c r="H331" s="3">
        <f t="shared" si="3"/>
        <v>32293118.571428575</v>
      </c>
      <c r="I331" s="3">
        <f t="shared" si="4"/>
        <v>968793.55714285723</v>
      </c>
      <c r="J331" s="3">
        <f t="shared" si="5"/>
        <v>3390683972444.3271</v>
      </c>
    </row>
    <row r="332" spans="1:10" x14ac:dyDescent="0.25">
      <c r="A332" s="3">
        <v>331</v>
      </c>
      <c r="B332" s="3">
        <v>13.721071428571427</v>
      </c>
      <c r="C332" s="3">
        <v>0.31050656660412757</v>
      </c>
      <c r="D332" s="3">
        <v>4038.1113214285715</v>
      </c>
      <c r="E332" s="3">
        <f t="shared" si="0"/>
        <v>1253.8600819820424</v>
      </c>
      <c r="F332" s="3">
        <f t="shared" si="1"/>
        <v>10983814.318162693</v>
      </c>
      <c r="G332" s="3">
        <f t="shared" si="2"/>
        <v>3402194667231.1382</v>
      </c>
      <c r="H332" s="3">
        <f t="shared" si="3"/>
        <v>32304890.571428571</v>
      </c>
      <c r="I332" s="3">
        <f t="shared" si="4"/>
        <v>969146.71714285715</v>
      </c>
      <c r="J332" s="3">
        <f t="shared" si="5"/>
        <v>3402198543818.0068</v>
      </c>
    </row>
    <row r="333" spans="1:10" x14ac:dyDescent="0.25">
      <c r="A333" s="3">
        <v>332</v>
      </c>
      <c r="B333" s="3">
        <v>13.785535714285714</v>
      </c>
      <c r="C333" s="3">
        <v>0.31144465290806755</v>
      </c>
      <c r="D333" s="3">
        <v>4057.0831607142859</v>
      </c>
      <c r="E333" s="3">
        <f t="shared" si="0"/>
        <v>1263.5568568078265</v>
      </c>
      <c r="F333" s="3">
        <f t="shared" si="1"/>
        <v>11068758.06563656</v>
      </c>
      <c r="G333" s="3">
        <f t="shared" si="2"/>
        <v>3428505681378.23</v>
      </c>
      <c r="H333" s="3">
        <f t="shared" si="3"/>
        <v>32456665.285714287</v>
      </c>
      <c r="I333" s="3">
        <f t="shared" si="4"/>
        <v>973699.95857142855</v>
      </c>
      <c r="J333" s="3">
        <f t="shared" si="5"/>
        <v>3428509576178.064</v>
      </c>
    </row>
    <row r="334" spans="1:10" x14ac:dyDescent="0.25">
      <c r="A334" s="3">
        <v>333</v>
      </c>
      <c r="B334" s="3">
        <v>13.796428571428571</v>
      </c>
      <c r="C334" s="3">
        <v>0.31238273921200749</v>
      </c>
      <c r="D334" s="3">
        <v>4060.2889285714282</v>
      </c>
      <c r="E334" s="3">
        <f t="shared" si="0"/>
        <v>1268.3641774993298</v>
      </c>
      <c r="F334" s="3">
        <f t="shared" si="1"/>
        <v>11110870.194894129</v>
      </c>
      <c r="G334" s="3">
        <f t="shared" si="2"/>
        <v>3441549764870.8979</v>
      </c>
      <c r="H334" s="3">
        <f t="shared" si="3"/>
        <v>32482311.428571425</v>
      </c>
      <c r="I334" s="3">
        <f t="shared" si="4"/>
        <v>974469.34285714268</v>
      </c>
      <c r="J334" s="3">
        <f t="shared" si="5"/>
        <v>3441553662748.2695</v>
      </c>
    </row>
    <row r="335" spans="1:10" x14ac:dyDescent="0.25">
      <c r="A335" s="3">
        <v>334</v>
      </c>
      <c r="B335" s="3">
        <v>13.816964285714285</v>
      </c>
      <c r="C335" s="3">
        <v>0.31332082551594748</v>
      </c>
      <c r="D335" s="3">
        <v>4066.3325892857142</v>
      </c>
      <c r="E335" s="3">
        <f t="shared" si="0"/>
        <v>1274.0666836974001</v>
      </c>
      <c r="F335" s="3">
        <f t="shared" si="1"/>
        <v>11160824.149189224</v>
      </c>
      <c r="G335" s="3">
        <f t="shared" si="2"/>
        <v>3457022823856.6587</v>
      </c>
      <c r="H335" s="3">
        <f t="shared" si="3"/>
        <v>32530660.714285713</v>
      </c>
      <c r="I335" s="3">
        <f t="shared" si="4"/>
        <v>975919.82142857136</v>
      </c>
      <c r="J335" s="3">
        <f t="shared" si="5"/>
        <v>3457026727535.9443</v>
      </c>
    </row>
    <row r="336" spans="1:10" x14ac:dyDescent="0.25">
      <c r="A336" s="3">
        <v>335</v>
      </c>
      <c r="B336" s="3">
        <v>13.837499999999999</v>
      </c>
      <c r="C336" s="3">
        <v>0.31425891181988741</v>
      </c>
      <c r="D336" s="3">
        <v>4072.3762499999993</v>
      </c>
      <c r="E336" s="3">
        <f t="shared" si="0"/>
        <v>1279.7805288461536</v>
      </c>
      <c r="F336" s="3">
        <f t="shared" si="1"/>
        <v>11210877.432692306</v>
      </c>
      <c r="G336" s="3">
        <f t="shared" si="2"/>
        <v>3472526649721.4819</v>
      </c>
      <c r="H336" s="3">
        <f t="shared" si="3"/>
        <v>32579009.999999996</v>
      </c>
      <c r="I336" s="3">
        <f t="shared" si="4"/>
        <v>977370.29999999981</v>
      </c>
      <c r="J336" s="3">
        <f t="shared" si="5"/>
        <v>3472530559202.6816</v>
      </c>
    </row>
    <row r="337" spans="1:10" x14ac:dyDescent="0.25">
      <c r="A337" s="3">
        <v>336</v>
      </c>
      <c r="B337" s="3">
        <v>13.839107142857143</v>
      </c>
      <c r="C337" s="3">
        <v>0.3151969981238274</v>
      </c>
      <c r="D337" s="3">
        <v>4072.8492321428575</v>
      </c>
      <c r="E337" s="3">
        <f t="shared" si="0"/>
        <v>1283.7498517823642</v>
      </c>
      <c r="F337" s="3">
        <f t="shared" si="1"/>
        <v>11245648.70161351</v>
      </c>
      <c r="G337" s="3">
        <f t="shared" si="2"/>
        <v>3483296929705.8643</v>
      </c>
      <c r="H337" s="3">
        <f t="shared" si="3"/>
        <v>32582793.857142862</v>
      </c>
      <c r="I337" s="3">
        <f t="shared" si="4"/>
        <v>977483.81571428583</v>
      </c>
      <c r="J337" s="3">
        <f t="shared" si="5"/>
        <v>3483300839641.1274</v>
      </c>
    </row>
    <row r="338" spans="1:10" x14ac:dyDescent="0.25">
      <c r="A338" s="3">
        <v>337</v>
      </c>
      <c r="B338" s="3">
        <v>13.857857142857142</v>
      </c>
      <c r="C338" s="3">
        <v>0.31613508442776733</v>
      </c>
      <c r="D338" s="3">
        <v>4078.3673571428571</v>
      </c>
      <c r="E338" s="3">
        <f t="shared" si="0"/>
        <v>1289.3150087778074</v>
      </c>
      <c r="F338" s="3">
        <f t="shared" si="1"/>
        <v>11294399.476893593</v>
      </c>
      <c r="G338" s="3">
        <f t="shared" si="2"/>
        <v>3498397308652.3638</v>
      </c>
      <c r="H338" s="3">
        <f t="shared" si="3"/>
        <v>32626938.857142858</v>
      </c>
      <c r="I338" s="3">
        <f t="shared" si="4"/>
        <v>978808.16571428569</v>
      </c>
      <c r="J338" s="3">
        <f t="shared" si="5"/>
        <v>3498401223885.0264</v>
      </c>
    </row>
    <row r="339" spans="1:10" x14ac:dyDescent="0.25">
      <c r="A339" s="3">
        <v>338</v>
      </c>
      <c r="B339" s="3">
        <v>13.858214285714286</v>
      </c>
      <c r="C339" s="3">
        <v>0.31707317073170732</v>
      </c>
      <c r="D339" s="3">
        <v>4078.4724642857145</v>
      </c>
      <c r="E339" s="3">
        <f t="shared" si="0"/>
        <v>1293.1741959930314</v>
      </c>
      <c r="F339" s="3">
        <f t="shared" si="1"/>
        <v>11328205.956898956</v>
      </c>
      <c r="G339" s="3">
        <f t="shared" si="2"/>
        <v>3508868748955.8804</v>
      </c>
      <c r="H339" s="3">
        <f t="shared" si="3"/>
        <v>32627779.714285716</v>
      </c>
      <c r="I339" s="3">
        <f t="shared" si="4"/>
        <v>978833.39142857143</v>
      </c>
      <c r="J339" s="3">
        <f t="shared" si="5"/>
        <v>3508872664289.4463</v>
      </c>
    </row>
    <row r="340" spans="1:10" x14ac:dyDescent="0.25">
      <c r="A340" s="3">
        <v>339</v>
      </c>
      <c r="B340" s="3">
        <v>13.86125</v>
      </c>
      <c r="C340" s="3">
        <v>0.31801125703564725</v>
      </c>
      <c r="D340" s="3">
        <v>4079.365875</v>
      </c>
      <c r="E340" s="3">
        <f t="shared" si="0"/>
        <v>1297.284269817073</v>
      </c>
      <c r="F340" s="3">
        <f t="shared" si="1"/>
        <v>11364210.203597559</v>
      </c>
      <c r="G340" s="3">
        <f t="shared" si="2"/>
        <v>3520020939144.1436</v>
      </c>
      <c r="H340" s="3">
        <f t="shared" si="3"/>
        <v>32634927</v>
      </c>
      <c r="I340" s="3">
        <f t="shared" si="4"/>
        <v>979047.80999999994</v>
      </c>
      <c r="J340" s="3">
        <f t="shared" si="5"/>
        <v>3520024855335.3838</v>
      </c>
    </row>
    <row r="341" spans="1:10" x14ac:dyDescent="0.25">
      <c r="A341" s="3">
        <v>340</v>
      </c>
      <c r="B341" s="3">
        <v>13.86125</v>
      </c>
      <c r="C341" s="3">
        <v>0.31894934333958724</v>
      </c>
      <c r="D341" s="3">
        <v>4079.365875</v>
      </c>
      <c r="E341" s="3">
        <f t="shared" si="0"/>
        <v>1301.1110670731707</v>
      </c>
      <c r="F341" s="3">
        <f t="shared" si="1"/>
        <v>11397732.947560975</v>
      </c>
      <c r="G341" s="3">
        <f t="shared" si="2"/>
        <v>3530404493289.6763</v>
      </c>
      <c r="H341" s="3">
        <f t="shared" si="3"/>
        <v>32634927</v>
      </c>
      <c r="I341" s="3">
        <f t="shared" si="4"/>
        <v>979047.80999999994</v>
      </c>
      <c r="J341" s="3">
        <f t="shared" si="5"/>
        <v>3530408409480.9165</v>
      </c>
    </row>
    <row r="342" spans="1:10" x14ac:dyDescent="0.25">
      <c r="A342" s="3">
        <v>341</v>
      </c>
      <c r="B342" s="3">
        <v>13.870178571428571</v>
      </c>
      <c r="C342" s="3">
        <v>0.31988742964352718</v>
      </c>
      <c r="D342" s="3">
        <v>4081.993553571428</v>
      </c>
      <c r="E342" s="3">
        <f t="shared" si="0"/>
        <v>1305.7784256734117</v>
      </c>
      <c r="F342" s="3">
        <f t="shared" si="1"/>
        <v>11438619.008899087</v>
      </c>
      <c r="G342" s="3">
        <f t="shared" si="2"/>
        <v>3543068807034.4478</v>
      </c>
      <c r="H342" s="3">
        <f t="shared" si="3"/>
        <v>32655948.428571425</v>
      </c>
      <c r="I342" s="3">
        <f t="shared" si="4"/>
        <v>979678.45285714278</v>
      </c>
      <c r="J342" s="3">
        <f t="shared" si="5"/>
        <v>3543072725748.2588</v>
      </c>
    </row>
    <row r="343" spans="1:10" x14ac:dyDescent="0.25">
      <c r="A343" s="3">
        <v>342</v>
      </c>
      <c r="B343" s="3">
        <v>13.888214285714287</v>
      </c>
      <c r="C343" s="3">
        <v>0.32082551594746717</v>
      </c>
      <c r="D343" s="3">
        <v>4087.3014642857152</v>
      </c>
      <c r="E343" s="3">
        <f t="shared" si="0"/>
        <v>1311.3106011123025</v>
      </c>
      <c r="F343" s="3">
        <f t="shared" si="1"/>
        <v>11487080.865743769</v>
      </c>
      <c r="G343" s="3">
        <f t="shared" si="2"/>
        <v>3558079694695.394</v>
      </c>
      <c r="H343" s="3">
        <f t="shared" si="3"/>
        <v>32698411.71428572</v>
      </c>
      <c r="I343" s="3">
        <f t="shared" si="4"/>
        <v>980952.35142857162</v>
      </c>
      <c r="J343" s="3">
        <f t="shared" si="5"/>
        <v>3558083618504.7998</v>
      </c>
    </row>
    <row r="344" spans="1:10" x14ac:dyDescent="0.25">
      <c r="A344" s="3">
        <v>343</v>
      </c>
      <c r="B344" s="3">
        <v>13.895357142857142</v>
      </c>
      <c r="C344" s="3">
        <v>0.32176360225140715</v>
      </c>
      <c r="D344" s="3">
        <v>4089.4036071428573</v>
      </c>
      <c r="E344" s="3">
        <f t="shared" si="0"/>
        <v>1315.821235694184</v>
      </c>
      <c r="F344" s="3">
        <f t="shared" si="1"/>
        <v>11526594.024681052</v>
      </c>
      <c r="G344" s="3">
        <f t="shared" si="2"/>
        <v>3570318757168.4194</v>
      </c>
      <c r="H344" s="3">
        <f t="shared" si="3"/>
        <v>32715228.857142858</v>
      </c>
      <c r="I344" s="3">
        <f t="shared" si="4"/>
        <v>981456.86571428576</v>
      </c>
      <c r="J344" s="3">
        <f t="shared" si="5"/>
        <v>3570322682995.8823</v>
      </c>
    </row>
    <row r="345" spans="1:10" x14ac:dyDescent="0.25">
      <c r="A345" s="3">
        <v>344</v>
      </c>
      <c r="B345" s="3">
        <v>13.917857142857141</v>
      </c>
      <c r="C345" s="3">
        <v>0.32270168855534709</v>
      </c>
      <c r="D345" s="3">
        <v>4096.0253571428575</v>
      </c>
      <c r="E345" s="3">
        <f t="shared" si="0"/>
        <v>1321.7942991155187</v>
      </c>
      <c r="F345" s="3">
        <f t="shared" si="1"/>
        <v>11578918.060251944</v>
      </c>
      <c r="G345" s="3">
        <f t="shared" si="2"/>
        <v>3586525940087.4541</v>
      </c>
      <c r="H345" s="3">
        <f t="shared" si="3"/>
        <v>32768202.857142858</v>
      </c>
      <c r="I345" s="3">
        <f t="shared" si="4"/>
        <v>983046.08571428573</v>
      </c>
      <c r="J345" s="3">
        <f t="shared" si="5"/>
        <v>3586529872271.7974</v>
      </c>
    </row>
    <row r="346" spans="1:10" x14ac:dyDescent="0.25">
      <c r="A346" s="3">
        <v>345</v>
      </c>
      <c r="B346" s="3">
        <v>13.964285714285715</v>
      </c>
      <c r="C346" s="3">
        <v>0.32363977485928708</v>
      </c>
      <c r="D346" s="3">
        <v>4109.6892857142866</v>
      </c>
      <c r="E346" s="3">
        <f t="shared" si="0"/>
        <v>1330.0589151701961</v>
      </c>
      <c r="F346" s="3">
        <f t="shared" si="1"/>
        <v>11651316.096890917</v>
      </c>
      <c r="G346" s="3">
        <f t="shared" si="2"/>
        <v>3608950968735.5015</v>
      </c>
      <c r="H346" s="3">
        <f t="shared" si="3"/>
        <v>32877514.285714291</v>
      </c>
      <c r="I346" s="3">
        <f t="shared" si="4"/>
        <v>986325.42857142864</v>
      </c>
      <c r="J346" s="3">
        <f t="shared" si="5"/>
        <v>3608954914037.2158</v>
      </c>
    </row>
    <row r="347" spans="1:10" x14ac:dyDescent="0.25">
      <c r="A347" s="3">
        <v>346</v>
      </c>
      <c r="B347" s="3">
        <v>13.964821428571428</v>
      </c>
      <c r="C347" s="3">
        <v>0.32457786116322701</v>
      </c>
      <c r="D347" s="3">
        <v>4109.8469464285718</v>
      </c>
      <c r="E347" s="3">
        <f t="shared" si="0"/>
        <v>1333.9653315800053</v>
      </c>
      <c r="F347" s="3">
        <f t="shared" si="1"/>
        <v>11685536.304640848</v>
      </c>
      <c r="G347" s="3">
        <f t="shared" si="2"/>
        <v>3619550559728.314</v>
      </c>
      <c r="H347" s="3">
        <f t="shared" si="3"/>
        <v>32878775.571428575</v>
      </c>
      <c r="I347" s="3">
        <f t="shared" si="4"/>
        <v>986363.26714285719</v>
      </c>
      <c r="J347" s="3">
        <f t="shared" si="5"/>
        <v>3619554505181.3823</v>
      </c>
    </row>
    <row r="348" spans="1:10" x14ac:dyDescent="0.25">
      <c r="A348" s="3">
        <v>347</v>
      </c>
      <c r="B348" s="3">
        <v>14.000357142857142</v>
      </c>
      <c r="C348" s="3">
        <v>0.325515947467167</v>
      </c>
      <c r="D348" s="3">
        <v>4120.3051071428581</v>
      </c>
      <c r="E348" s="3">
        <f t="shared" si="0"/>
        <v>1341.2250208054145</v>
      </c>
      <c r="F348" s="3">
        <f t="shared" si="1"/>
        <v>11749131.18225543</v>
      </c>
      <c r="G348" s="3">
        <f t="shared" si="2"/>
        <v>3639248843354.7188</v>
      </c>
      <c r="H348" s="3">
        <f t="shared" si="3"/>
        <v>32962440.857142866</v>
      </c>
      <c r="I348" s="3">
        <f t="shared" si="4"/>
        <v>988873.22571428597</v>
      </c>
      <c r="J348" s="3">
        <f t="shared" si="5"/>
        <v>3639252798847.6216</v>
      </c>
    </row>
    <row r="349" spans="1:10" x14ac:dyDescent="0.25">
      <c r="A349" s="3">
        <v>348</v>
      </c>
      <c r="B349" s="3">
        <v>14.024107142857144</v>
      </c>
      <c r="C349" s="3">
        <v>0.32645403377110693</v>
      </c>
      <c r="D349" s="3">
        <v>4127.2947321428574</v>
      </c>
      <c r="E349" s="3">
        <f t="shared" si="0"/>
        <v>1347.3720138702761</v>
      </c>
      <c r="F349" s="3">
        <f t="shared" si="1"/>
        <v>11802978.841503618</v>
      </c>
      <c r="G349" s="3">
        <f t="shared" si="2"/>
        <v>3655927963091.605</v>
      </c>
      <c r="H349" s="3">
        <f t="shared" si="3"/>
        <v>33018357.857142858</v>
      </c>
      <c r="I349" s="3">
        <f t="shared" si="4"/>
        <v>990550.73571428575</v>
      </c>
      <c r="J349" s="3">
        <f t="shared" si="5"/>
        <v>3655931925294.5479</v>
      </c>
    </row>
    <row r="350" spans="1:10" x14ac:dyDescent="0.25">
      <c r="A350" s="3">
        <v>349</v>
      </c>
      <c r="B350" s="3">
        <v>14.029821428571427</v>
      </c>
      <c r="C350" s="3">
        <v>0.32739212007504692</v>
      </c>
      <c r="D350" s="3">
        <v>4128.9764464285718</v>
      </c>
      <c r="E350" s="3">
        <f t="shared" si="0"/>
        <v>1351.7943525361836</v>
      </c>
      <c r="F350" s="3">
        <f t="shared" si="1"/>
        <v>11841718.528216969</v>
      </c>
      <c r="G350" s="3">
        <f t="shared" si="2"/>
        <v>3667927445618.6733</v>
      </c>
      <c r="H350" s="3">
        <f t="shared" si="3"/>
        <v>33031811.571428575</v>
      </c>
      <c r="I350" s="3">
        <f t="shared" si="4"/>
        <v>990954.34714285715</v>
      </c>
      <c r="J350" s="3">
        <f t="shared" si="5"/>
        <v>3667931409436.062</v>
      </c>
    </row>
    <row r="351" spans="1:10" x14ac:dyDescent="0.25">
      <c r="A351" s="3">
        <v>350</v>
      </c>
      <c r="B351" s="3">
        <v>14.039464285714285</v>
      </c>
      <c r="C351" s="3">
        <v>0.32833020637898686</v>
      </c>
      <c r="D351" s="3">
        <v>4131.8143392857137</v>
      </c>
      <c r="E351" s="3">
        <f t="shared" si="0"/>
        <v>1356.5994547373357</v>
      </c>
      <c r="F351" s="3">
        <f t="shared" si="1"/>
        <v>11883811.223499062</v>
      </c>
      <c r="G351" s="3">
        <f t="shared" si="2"/>
        <v>3680965509857.7285</v>
      </c>
      <c r="H351" s="3">
        <f t="shared" si="3"/>
        <v>33054514.714285709</v>
      </c>
      <c r="I351" s="3">
        <f t="shared" si="4"/>
        <v>991635.44142857124</v>
      </c>
      <c r="J351" s="3">
        <f t="shared" si="5"/>
        <v>3680969476399.4941</v>
      </c>
    </row>
    <row r="352" spans="1:10" x14ac:dyDescent="0.25">
      <c r="A352" s="3">
        <v>351</v>
      </c>
      <c r="B352" s="3">
        <v>14.068392857142857</v>
      </c>
      <c r="C352" s="3">
        <v>0.32926829268292684</v>
      </c>
      <c r="D352" s="3">
        <v>4140.3280178571431</v>
      </c>
      <c r="E352" s="3">
        <f t="shared" si="0"/>
        <v>1363.2787375871083</v>
      </c>
      <c r="F352" s="3">
        <f t="shared" si="1"/>
        <v>11942321.741263067</v>
      </c>
      <c r="G352" s="3">
        <f t="shared" si="2"/>
        <v>3699088932449.9521</v>
      </c>
      <c r="H352" s="3">
        <f t="shared" si="3"/>
        <v>33122624.142857146</v>
      </c>
      <c r="I352" s="3">
        <f t="shared" si="4"/>
        <v>993678.72428571433</v>
      </c>
      <c r="J352" s="3">
        <f t="shared" si="5"/>
        <v>3699092907164.8491</v>
      </c>
    </row>
    <row r="353" spans="1:10" x14ac:dyDescent="0.25">
      <c r="A353" s="3">
        <v>352</v>
      </c>
      <c r="B353" s="3">
        <v>14.081250000000001</v>
      </c>
      <c r="C353" s="3">
        <v>0.33020637898686678</v>
      </c>
      <c r="D353" s="3">
        <v>4144.1118749999996</v>
      </c>
      <c r="E353" s="3">
        <f t="shared" si="0"/>
        <v>1368.412176360225</v>
      </c>
      <c r="F353" s="3">
        <f t="shared" si="1"/>
        <v>11987290.664915571</v>
      </c>
      <c r="G353" s="3">
        <f t="shared" si="2"/>
        <v>3713017897583.3018</v>
      </c>
      <c r="H353" s="3">
        <f t="shared" si="3"/>
        <v>33152894.999999996</v>
      </c>
      <c r="I353" s="3">
        <f t="shared" si="4"/>
        <v>994586.84999999986</v>
      </c>
      <c r="J353" s="3">
        <f t="shared" si="5"/>
        <v>3713021875930.7017</v>
      </c>
    </row>
    <row r="354" spans="1:10" x14ac:dyDescent="0.25">
      <c r="A354" s="3">
        <v>353</v>
      </c>
      <c r="B354" s="3">
        <v>14.095000000000001</v>
      </c>
      <c r="C354" s="3">
        <v>0.33114446529080677</v>
      </c>
      <c r="D354" s="3">
        <v>4148.1584999999995</v>
      </c>
      <c r="E354" s="3">
        <f t="shared" si="0"/>
        <v>1373.6397284240149</v>
      </c>
      <c r="F354" s="3">
        <f t="shared" si="1"/>
        <v>12033084.020994371</v>
      </c>
      <c r="G354" s="3">
        <f t="shared" si="2"/>
        <v>3727202227560.6143</v>
      </c>
      <c r="H354" s="3">
        <f t="shared" si="3"/>
        <v>33185267.999999996</v>
      </c>
      <c r="I354" s="3">
        <f t="shared" si="4"/>
        <v>995558.0399999998</v>
      </c>
      <c r="J354" s="3">
        <f t="shared" si="5"/>
        <v>3727206209792.7744</v>
      </c>
    </row>
    <row r="355" spans="1:10" x14ac:dyDescent="0.25">
      <c r="A355" s="3">
        <v>354</v>
      </c>
      <c r="B355" s="3">
        <v>14.120178571428571</v>
      </c>
      <c r="C355" s="3">
        <v>0.3320825515947467</v>
      </c>
      <c r="D355" s="3">
        <v>4155.5685535714283</v>
      </c>
      <c r="E355" s="3">
        <f t="shared" si="0"/>
        <v>1379.9918085968907</v>
      </c>
      <c r="F355" s="3">
        <f t="shared" si="1"/>
        <v>12088728.24330876</v>
      </c>
      <c r="G355" s="3">
        <f t="shared" si="2"/>
        <v>3744437826097.8032</v>
      </c>
      <c r="H355" s="3">
        <f t="shared" si="3"/>
        <v>33244548.428571425</v>
      </c>
      <c r="I355" s="3">
        <f t="shared" si="4"/>
        <v>997336.45285714278</v>
      </c>
      <c r="J355" s="3">
        <f t="shared" si="5"/>
        <v>3744441815443.6143</v>
      </c>
    </row>
    <row r="356" spans="1:10" x14ac:dyDescent="0.25">
      <c r="A356" s="3">
        <v>355</v>
      </c>
      <c r="B356" s="3">
        <v>14.179464285714287</v>
      </c>
      <c r="C356" s="3">
        <v>0.33302063789868669</v>
      </c>
      <c r="D356" s="3">
        <v>4173.0163392857148</v>
      </c>
      <c r="E356" s="3">
        <f t="shared" si="0"/>
        <v>1389.7005632705711</v>
      </c>
      <c r="F356" s="3">
        <f t="shared" si="1"/>
        <v>12173776.934250202</v>
      </c>
      <c r="G356" s="3">
        <f t="shared" si="2"/>
        <v>3770781347584.562</v>
      </c>
      <c r="H356" s="3">
        <f t="shared" si="3"/>
        <v>33384130.71428572</v>
      </c>
      <c r="I356" s="3">
        <f t="shared" si="4"/>
        <v>1001523.9214285716</v>
      </c>
      <c r="J356" s="3">
        <f t="shared" si="5"/>
        <v>3770785353680.2476</v>
      </c>
    </row>
    <row r="357" spans="1:10" x14ac:dyDescent="0.25">
      <c r="A357" s="3">
        <v>356</v>
      </c>
      <c r="B357" s="3">
        <v>14.184107142857144</v>
      </c>
      <c r="C357" s="3">
        <v>0.33395872420262662</v>
      </c>
      <c r="D357" s="3">
        <v>4174.382732142858</v>
      </c>
      <c r="E357" s="3">
        <f t="shared" si="0"/>
        <v>1394.0715315599036</v>
      </c>
      <c r="F357" s="3">
        <f t="shared" si="1"/>
        <v>12212066.616464756</v>
      </c>
      <c r="G357" s="3">
        <f t="shared" si="2"/>
        <v>3782641443075.2803</v>
      </c>
      <c r="H357" s="3">
        <f t="shared" si="3"/>
        <v>33395061.857142866</v>
      </c>
      <c r="I357" s="3">
        <f t="shared" si="4"/>
        <v>1001851.855714286</v>
      </c>
      <c r="J357" s="3">
        <f t="shared" si="5"/>
        <v>3782645450482.7036</v>
      </c>
    </row>
    <row r="358" spans="1:10" x14ac:dyDescent="0.25">
      <c r="A358" s="3">
        <v>357</v>
      </c>
      <c r="B358" s="3">
        <v>14.194464285714286</v>
      </c>
      <c r="C358" s="3">
        <v>0.33489681050656661</v>
      </c>
      <c r="D358" s="3">
        <v>4177.4308392857147</v>
      </c>
      <c r="E358" s="3">
        <f t="shared" si="0"/>
        <v>1399.0082641885556</v>
      </c>
      <c r="F358" s="3">
        <f t="shared" si="1"/>
        <v>12255312.394291747</v>
      </c>
      <c r="G358" s="3">
        <f t="shared" si="2"/>
        <v>3796036670447.7358</v>
      </c>
      <c r="H358" s="3">
        <f t="shared" si="3"/>
        <v>33419446.714285716</v>
      </c>
      <c r="I358" s="3">
        <f t="shared" si="4"/>
        <v>1002583.4014285714</v>
      </c>
      <c r="J358" s="3">
        <f t="shared" si="5"/>
        <v>3796040680781.3413</v>
      </c>
    </row>
    <row r="359" spans="1:10" x14ac:dyDescent="0.25">
      <c r="A359" s="3">
        <v>358</v>
      </c>
      <c r="B359" s="3">
        <v>14.196250000000001</v>
      </c>
      <c r="C359" s="3">
        <v>0.33583489681050654</v>
      </c>
      <c r="D359" s="3">
        <v>4177.9563750000007</v>
      </c>
      <c r="E359" s="3">
        <f t="shared" si="0"/>
        <v>1403.1035480769233</v>
      </c>
      <c r="F359" s="3">
        <f t="shared" si="1"/>
        <v>12291187.081153847</v>
      </c>
      <c r="G359" s="3">
        <f t="shared" si="2"/>
        <v>3807148730277.3389</v>
      </c>
      <c r="H359" s="3">
        <f t="shared" si="3"/>
        <v>33423651.000000004</v>
      </c>
      <c r="I359" s="3">
        <f t="shared" si="4"/>
        <v>1002709.53</v>
      </c>
      <c r="J359" s="3">
        <f t="shared" si="5"/>
        <v>3807152741115.4585</v>
      </c>
    </row>
    <row r="360" spans="1:10" x14ac:dyDescent="0.25">
      <c r="A360" s="3">
        <v>359</v>
      </c>
      <c r="B360" s="3">
        <v>14.211964285714286</v>
      </c>
      <c r="C360" s="3">
        <v>0.33677298311444653</v>
      </c>
      <c r="D360" s="3">
        <v>4182.5810892857144</v>
      </c>
      <c r="E360" s="3">
        <f t="shared" si="0"/>
        <v>1408.5803105568214</v>
      </c>
      <c r="F360" s="3">
        <f t="shared" si="1"/>
        <v>12339163.520477755</v>
      </c>
      <c r="G360" s="3">
        <f t="shared" si="2"/>
        <v>3822009262193.8643</v>
      </c>
      <c r="H360" s="3">
        <f t="shared" si="3"/>
        <v>33460648.714285716</v>
      </c>
      <c r="I360" s="3">
        <f t="shared" si="4"/>
        <v>1003819.4614285715</v>
      </c>
      <c r="J360" s="3">
        <f t="shared" si="5"/>
        <v>3822013277471.71</v>
      </c>
    </row>
    <row r="361" spans="1:10" x14ac:dyDescent="0.25">
      <c r="A361" s="3">
        <v>360</v>
      </c>
      <c r="B361" s="3">
        <v>14.248750000000001</v>
      </c>
      <c r="C361" s="3">
        <v>0.33771106941838647</v>
      </c>
      <c r="D361" s="3">
        <v>4193.4071250000006</v>
      </c>
      <c r="E361" s="3">
        <f t="shared" si="0"/>
        <v>1416.1600046904316</v>
      </c>
      <c r="F361" s="3">
        <f t="shared" si="1"/>
        <v>12405561.641088182</v>
      </c>
      <c r="G361" s="3">
        <f t="shared" si="2"/>
        <v>3842575840301.8706</v>
      </c>
      <c r="H361" s="3">
        <f t="shared" si="3"/>
        <v>33547257.000000004</v>
      </c>
      <c r="I361" s="3">
        <f t="shared" si="4"/>
        <v>1006417.7100000001</v>
      </c>
      <c r="J361" s="3">
        <f t="shared" si="5"/>
        <v>3842579865972.7104</v>
      </c>
    </row>
    <row r="362" spans="1:10" x14ac:dyDescent="0.25">
      <c r="A362" s="3">
        <v>361</v>
      </c>
      <c r="B362" s="3">
        <v>14.266785714285714</v>
      </c>
      <c r="C362" s="3">
        <v>0.33864915572232646</v>
      </c>
      <c r="D362" s="3">
        <v>4198.7150357142855</v>
      </c>
      <c r="E362" s="3">
        <f t="shared" si="0"/>
        <v>1421.8913019632805</v>
      </c>
      <c r="F362" s="3">
        <f t="shared" si="1"/>
        <v>12455767.805198338</v>
      </c>
      <c r="G362" s="3">
        <f t="shared" si="2"/>
        <v>3858127021112.9614</v>
      </c>
      <c r="H362" s="3">
        <f t="shared" si="3"/>
        <v>33589720.285714284</v>
      </c>
      <c r="I362" s="3">
        <f t="shared" si="4"/>
        <v>1007691.6085714285</v>
      </c>
      <c r="J362" s="3">
        <f t="shared" si="5"/>
        <v>3858131051879.3955</v>
      </c>
    </row>
    <row r="363" spans="1:10" x14ac:dyDescent="0.25">
      <c r="A363" s="3">
        <v>362</v>
      </c>
      <c r="B363" s="3">
        <v>14.271964285714285</v>
      </c>
      <c r="C363" s="3">
        <v>0.33958724202626639</v>
      </c>
      <c r="D363" s="3">
        <v>4200.2390892857138</v>
      </c>
      <c r="E363" s="3">
        <f t="shared" si="0"/>
        <v>1426.3476081814524</v>
      </c>
      <c r="F363" s="3">
        <f t="shared" si="1"/>
        <v>12494805.047669522</v>
      </c>
      <c r="G363" s="3">
        <f t="shared" si="2"/>
        <v>3870218670659.5308</v>
      </c>
      <c r="H363" s="3">
        <f t="shared" si="3"/>
        <v>33601912.714285709</v>
      </c>
      <c r="I363" s="3">
        <f t="shared" si="4"/>
        <v>1008057.3814285712</v>
      </c>
      <c r="J363" s="3">
        <f t="shared" si="5"/>
        <v>3870222702889.0562</v>
      </c>
    </row>
    <row r="364" spans="1:10" x14ac:dyDescent="0.25">
      <c r="A364" s="3">
        <v>363</v>
      </c>
      <c r="B364" s="3">
        <v>14.278035714285716</v>
      </c>
      <c r="C364" s="3">
        <v>0.34052532833020638</v>
      </c>
      <c r="D364" s="3">
        <v>4202.0259107142865</v>
      </c>
      <c r="E364" s="3">
        <f t="shared" si="0"/>
        <v>1430.8962528980169</v>
      </c>
      <c r="F364" s="3">
        <f t="shared" si="1"/>
        <v>12534651.175386626</v>
      </c>
      <c r="G364" s="3">
        <f t="shared" si="2"/>
        <v>3882560869364.6445</v>
      </c>
      <c r="H364" s="3">
        <f t="shared" si="3"/>
        <v>33616207.285714291</v>
      </c>
      <c r="I364" s="3">
        <f t="shared" si="4"/>
        <v>1008486.2185714287</v>
      </c>
      <c r="J364" s="3">
        <f t="shared" si="5"/>
        <v>3882564903309.519</v>
      </c>
    </row>
    <row r="365" spans="1:10" x14ac:dyDescent="0.25">
      <c r="A365" s="3">
        <v>364</v>
      </c>
      <c r="B365" s="3">
        <v>14.289107142857141</v>
      </c>
      <c r="C365" s="3">
        <v>0.34146341463414637</v>
      </c>
      <c r="D365" s="3">
        <v>4205.284232142857</v>
      </c>
      <c r="E365" s="3">
        <f t="shared" si="0"/>
        <v>1435.9507134146343</v>
      </c>
      <c r="F365" s="3">
        <f t="shared" si="1"/>
        <v>12578928.249512196</v>
      </c>
      <c r="G365" s="3">
        <f t="shared" si="2"/>
        <v>3896275537001.3867</v>
      </c>
      <c r="H365" s="3">
        <f t="shared" si="3"/>
        <v>33642273.857142858</v>
      </c>
      <c r="I365" s="3">
        <f t="shared" si="4"/>
        <v>1009268.2157142857</v>
      </c>
      <c r="J365" s="3">
        <f t="shared" si="5"/>
        <v>3896279574074.2495</v>
      </c>
    </row>
    <row r="366" spans="1:10" x14ac:dyDescent="0.25">
      <c r="A366" s="3">
        <v>365</v>
      </c>
      <c r="B366" s="3">
        <v>14.321607142857141</v>
      </c>
      <c r="C366" s="3">
        <v>0.3424015009380863</v>
      </c>
      <c r="D366" s="3">
        <v>4214.8489821428575</v>
      </c>
      <c r="E366" s="3">
        <f t="shared" si="0"/>
        <v>1443.1706177130798</v>
      </c>
      <c r="F366" s="3">
        <f t="shared" si="1"/>
        <v>12642174.611166578</v>
      </c>
      <c r="G366" s="3">
        <f t="shared" si="2"/>
        <v>3915865869870.668</v>
      </c>
      <c r="H366" s="3">
        <f t="shared" si="3"/>
        <v>33718791.857142858</v>
      </c>
      <c r="I366" s="3">
        <f t="shared" si="4"/>
        <v>1011563.7557142857</v>
      </c>
      <c r="J366" s="3">
        <f t="shared" si="5"/>
        <v>3915869916125.6909</v>
      </c>
    </row>
    <row r="367" spans="1:10" x14ac:dyDescent="0.25">
      <c r="A367" s="3">
        <v>366</v>
      </c>
      <c r="B367" s="3">
        <v>14.324821428571429</v>
      </c>
      <c r="C367" s="3">
        <v>0.34333958724202629</v>
      </c>
      <c r="D367" s="3">
        <v>4215.7949464285721</v>
      </c>
      <c r="E367" s="3">
        <f t="shared" si="0"/>
        <v>1447.4492968038062</v>
      </c>
      <c r="F367" s="3">
        <f t="shared" si="1"/>
        <v>12679655.840001341</v>
      </c>
      <c r="G367" s="3">
        <f t="shared" si="2"/>
        <v>3927475550123.2373</v>
      </c>
      <c r="H367" s="3">
        <f t="shared" si="3"/>
        <v>33726359.571428575</v>
      </c>
      <c r="I367" s="3">
        <f t="shared" si="4"/>
        <v>1011790.7871428572</v>
      </c>
      <c r="J367" s="3">
        <f t="shared" si="5"/>
        <v>3927479597286.3857</v>
      </c>
    </row>
    <row r="368" spans="1:10" x14ac:dyDescent="0.25">
      <c r="A368" s="3">
        <v>367</v>
      </c>
      <c r="B368" s="3">
        <v>14.331428571428573</v>
      </c>
      <c r="C368" s="3">
        <v>0.34427767354596622</v>
      </c>
      <c r="D368" s="3">
        <v>4217.739428571429</v>
      </c>
      <c r="E368" s="3">
        <f t="shared" si="0"/>
        <v>1452.0735180916645</v>
      </c>
      <c r="F368" s="3">
        <f t="shared" si="1"/>
        <v>12720164.018482981</v>
      </c>
      <c r="G368" s="3">
        <f t="shared" si="2"/>
        <v>3940022816614.3999</v>
      </c>
      <c r="H368" s="3">
        <f t="shared" si="3"/>
        <v>33741915.428571433</v>
      </c>
      <c r="I368" s="3">
        <f t="shared" si="4"/>
        <v>1012257.4628571429</v>
      </c>
      <c r="J368" s="3">
        <f t="shared" si="5"/>
        <v>3940026865644.2515</v>
      </c>
    </row>
    <row r="369" spans="1:10" x14ac:dyDescent="0.25">
      <c r="A369" s="3">
        <v>368</v>
      </c>
      <c r="B369" s="3">
        <v>14.333571428571428</v>
      </c>
      <c r="C369" s="3">
        <v>0.34521575984990621</v>
      </c>
      <c r="D369" s="3">
        <v>4218.3700714285715</v>
      </c>
      <c r="E369" s="3">
        <f t="shared" si="0"/>
        <v>1456.2478295363173</v>
      </c>
      <c r="F369" s="3">
        <f t="shared" si="1"/>
        <v>12756730.98673814</v>
      </c>
      <c r="G369" s="3">
        <f t="shared" si="2"/>
        <v>3951349308113.2617</v>
      </c>
      <c r="H369" s="3">
        <f t="shared" si="3"/>
        <v>33746960.571428575</v>
      </c>
      <c r="I369" s="3">
        <f t="shared" si="4"/>
        <v>1012408.8171428572</v>
      </c>
      <c r="J369" s="3">
        <f t="shared" si="5"/>
        <v>3951353357748.5308</v>
      </c>
    </row>
    <row r="370" spans="1:10" x14ac:dyDescent="0.25">
      <c r="A370" s="3">
        <v>369</v>
      </c>
      <c r="B370" s="3">
        <v>14.377142857142857</v>
      </c>
      <c r="C370" s="3">
        <v>0.34615384615384615</v>
      </c>
      <c r="D370" s="3">
        <v>4231.1931428571424</v>
      </c>
      <c r="E370" s="3">
        <f t="shared" si="0"/>
        <v>1464.64378021978</v>
      </c>
      <c r="F370" s="3">
        <f t="shared" si="1"/>
        <v>12830279.514725273</v>
      </c>
      <c r="G370" s="3">
        <f t="shared" si="2"/>
        <v>3974130698289.4985</v>
      </c>
      <c r="H370" s="3">
        <f t="shared" si="3"/>
        <v>33849545.142857142</v>
      </c>
      <c r="I370" s="3">
        <f t="shared" si="4"/>
        <v>1015486.3542857142</v>
      </c>
      <c r="J370" s="3">
        <f t="shared" si="5"/>
        <v>3974134760234.916</v>
      </c>
    </row>
    <row r="371" spans="1:10" x14ac:dyDescent="0.25">
      <c r="A371" s="3">
        <v>370</v>
      </c>
      <c r="B371" s="3">
        <v>14.38589285714286</v>
      </c>
      <c r="C371" s="3">
        <v>0.34709193245778613</v>
      </c>
      <c r="D371" s="3">
        <v>4233.7682678571437</v>
      </c>
      <c r="E371" s="3">
        <f t="shared" si="0"/>
        <v>1469.5068096689899</v>
      </c>
      <c r="F371" s="3">
        <f t="shared" si="1"/>
        <v>12872879.652700352</v>
      </c>
      <c r="G371" s="3">
        <f t="shared" si="2"/>
        <v>3987325941402.1113</v>
      </c>
      <c r="H371" s="3">
        <f t="shared" si="3"/>
        <v>33870146.142857149</v>
      </c>
      <c r="I371" s="3">
        <f t="shared" si="4"/>
        <v>1016104.3842857145</v>
      </c>
      <c r="J371" s="3">
        <f t="shared" si="5"/>
        <v>3987330005819.6484</v>
      </c>
    </row>
    <row r="372" spans="1:10" x14ac:dyDescent="0.25">
      <c r="A372" s="3">
        <v>371</v>
      </c>
      <c r="B372" s="3">
        <v>14.402857142857142</v>
      </c>
      <c r="C372" s="3">
        <v>0.34803001876172607</v>
      </c>
      <c r="D372" s="3">
        <v>4238.7608571428573</v>
      </c>
      <c r="E372" s="3">
        <f t="shared" si="0"/>
        <v>1475.2160206378987</v>
      </c>
      <c r="F372" s="3">
        <f t="shared" si="1"/>
        <v>12922892.340787994</v>
      </c>
      <c r="G372" s="3">
        <f t="shared" si="2"/>
        <v>4002817193986.2583</v>
      </c>
      <c r="H372" s="3">
        <f t="shared" si="3"/>
        <v>33910086.857142858</v>
      </c>
      <c r="I372" s="3">
        <f t="shared" si="4"/>
        <v>1017302.6057142857</v>
      </c>
      <c r="J372" s="3">
        <f t="shared" si="5"/>
        <v>4002821263196.6816</v>
      </c>
    </row>
    <row r="373" spans="1:10" x14ac:dyDescent="0.25">
      <c r="A373" s="3">
        <v>372</v>
      </c>
      <c r="B373" s="3">
        <v>14.421785714285715</v>
      </c>
      <c r="C373" s="3">
        <v>0.34896810506566606</v>
      </c>
      <c r="D373" s="3">
        <v>4244.3315357142865</v>
      </c>
      <c r="E373" s="3">
        <f t="shared" si="0"/>
        <v>1481.1363332886629</v>
      </c>
      <c r="F373" s="3">
        <f t="shared" si="1"/>
        <v>12974754.279608686</v>
      </c>
      <c r="G373" s="3">
        <f t="shared" si="2"/>
        <v>4018881245042.1626</v>
      </c>
      <c r="H373" s="3">
        <f t="shared" si="3"/>
        <v>33954652.285714291</v>
      </c>
      <c r="I373" s="3">
        <f t="shared" si="4"/>
        <v>1018639.5685714287</v>
      </c>
      <c r="J373" s="3">
        <f t="shared" si="5"/>
        <v>4018885319600.4365</v>
      </c>
    </row>
    <row r="374" spans="1:10" x14ac:dyDescent="0.25">
      <c r="A374" s="3">
        <v>373</v>
      </c>
      <c r="B374" s="3">
        <v>14.422142857142855</v>
      </c>
      <c r="C374" s="3">
        <v>0.34990619136960599</v>
      </c>
      <c r="D374" s="3">
        <v>4244.4366428571429</v>
      </c>
      <c r="E374" s="3">
        <f t="shared" si="0"/>
        <v>1485.1546602117394</v>
      </c>
      <c r="F374" s="3">
        <f t="shared" si="1"/>
        <v>13009954.823454836</v>
      </c>
      <c r="G374" s="3">
        <f t="shared" si="2"/>
        <v>4029784491804.8687</v>
      </c>
      <c r="H374" s="3">
        <f t="shared" si="3"/>
        <v>33955493.142857142</v>
      </c>
      <c r="I374" s="3">
        <f t="shared" si="4"/>
        <v>1018664.7942857142</v>
      </c>
      <c r="J374" s="3">
        <f t="shared" si="5"/>
        <v>4029788566464.0459</v>
      </c>
    </row>
    <row r="375" spans="1:10" x14ac:dyDescent="0.25">
      <c r="A375" s="3">
        <v>374</v>
      </c>
      <c r="B375" s="3">
        <v>14.436428571428571</v>
      </c>
      <c r="C375" s="3">
        <v>0.35084427767354598</v>
      </c>
      <c r="D375" s="3">
        <v>4248.640928571428</v>
      </c>
      <c r="E375" s="3">
        <f t="shared" si="0"/>
        <v>1490.6113576789064</v>
      </c>
      <c r="F375" s="3">
        <f t="shared" si="1"/>
        <v>13057755.49326722</v>
      </c>
      <c r="G375" s="3">
        <f t="shared" si="2"/>
        <v>4044590580125.9692</v>
      </c>
      <c r="H375" s="3">
        <f t="shared" si="3"/>
        <v>33989127.428571425</v>
      </c>
      <c r="I375" s="3">
        <f t="shared" si="4"/>
        <v>1019673.8228571428</v>
      </c>
      <c r="J375" s="3">
        <f t="shared" si="5"/>
        <v>4044594658821.2607</v>
      </c>
    </row>
    <row r="376" spans="1:10" x14ac:dyDescent="0.25">
      <c r="A376" s="3">
        <v>375</v>
      </c>
      <c r="B376" s="3">
        <v>14.438214285714285</v>
      </c>
      <c r="C376" s="3">
        <v>0.35178236397748591</v>
      </c>
      <c r="D376" s="3">
        <v>4249.166464285714</v>
      </c>
      <c r="E376" s="3">
        <f t="shared" si="0"/>
        <v>1494.7818237402839</v>
      </c>
      <c r="F376" s="3">
        <f t="shared" si="1"/>
        <v>13094288.775964886</v>
      </c>
      <c r="G376" s="3">
        <f t="shared" si="2"/>
        <v>4055906637740.6602</v>
      </c>
      <c r="H376" s="3">
        <f t="shared" si="3"/>
        <v>33993331.714285709</v>
      </c>
      <c r="I376" s="3">
        <f t="shared" si="4"/>
        <v>1019799.9514285713</v>
      </c>
      <c r="J376" s="3">
        <f t="shared" si="5"/>
        <v>4055910716940.4663</v>
      </c>
    </row>
    <row r="377" spans="1:10" x14ac:dyDescent="0.25">
      <c r="A377" s="3">
        <v>376</v>
      </c>
      <c r="B377" s="3">
        <v>14.442499999999999</v>
      </c>
      <c r="C377" s="3">
        <v>0.3527204502814259</v>
      </c>
      <c r="D377" s="3">
        <v>4250.4277499999998</v>
      </c>
      <c r="E377" s="3">
        <f t="shared" si="0"/>
        <v>1499.2127898686679</v>
      </c>
      <c r="F377" s="3">
        <f t="shared" si="1"/>
        <v>13133104.039249532</v>
      </c>
      <c r="G377" s="3">
        <f t="shared" si="2"/>
        <v>4067929530253.2358</v>
      </c>
      <c r="H377" s="3">
        <f t="shared" si="3"/>
        <v>34003422</v>
      </c>
      <c r="I377" s="3">
        <f t="shared" si="4"/>
        <v>1020102.6599999999</v>
      </c>
      <c r="J377" s="3">
        <f t="shared" si="5"/>
        <v>4067933610663.876</v>
      </c>
    </row>
    <row r="378" spans="1:10" x14ac:dyDescent="0.25">
      <c r="A378" s="3">
        <v>377</v>
      </c>
      <c r="B378" s="3">
        <v>14.44732142857143</v>
      </c>
      <c r="C378" s="3">
        <v>0.35365853658536583</v>
      </c>
      <c r="D378" s="3">
        <v>4251.8466964285717</v>
      </c>
      <c r="E378" s="3">
        <f t="shared" si="0"/>
        <v>1503.7018804442509</v>
      </c>
      <c r="F378" s="3">
        <f t="shared" si="1"/>
        <v>13172428.47269164</v>
      </c>
      <c r="G378" s="3">
        <f t="shared" si="2"/>
        <v>4080110136311.9116</v>
      </c>
      <c r="H378" s="3">
        <f t="shared" si="3"/>
        <v>34014773.571428575</v>
      </c>
      <c r="I378" s="3">
        <f t="shared" si="4"/>
        <v>1020443.2071428573</v>
      </c>
      <c r="J378" s="3">
        <f t="shared" si="5"/>
        <v>4080114218084.7402</v>
      </c>
    </row>
    <row r="379" spans="1:10" x14ac:dyDescent="0.25">
      <c r="A379" s="3">
        <v>378</v>
      </c>
      <c r="B379" s="3">
        <v>14.459464285714287</v>
      </c>
      <c r="C379" s="3">
        <v>0.35459662288930582</v>
      </c>
      <c r="D379" s="3">
        <v>4255.4203392857144</v>
      </c>
      <c r="E379" s="3">
        <f t="shared" si="0"/>
        <v>1508.9576812851783</v>
      </c>
      <c r="F379" s="3">
        <f t="shared" si="1"/>
        <v>13218469.288058162</v>
      </c>
      <c r="G379" s="3">
        <f t="shared" si="2"/>
        <v>4094371116402.8643</v>
      </c>
      <c r="H379" s="3">
        <f t="shared" si="3"/>
        <v>34043362.714285716</v>
      </c>
      <c r="I379" s="3">
        <f t="shared" si="4"/>
        <v>1021300.8814285714</v>
      </c>
      <c r="J379" s="3">
        <f t="shared" si="5"/>
        <v>4094375201606.3896</v>
      </c>
    </row>
    <row r="380" spans="1:10" x14ac:dyDescent="0.25">
      <c r="A380" s="3">
        <v>379</v>
      </c>
      <c r="B380" s="3">
        <v>14.484821428571429</v>
      </c>
      <c r="C380" s="3">
        <v>0.35553470919324576</v>
      </c>
      <c r="D380" s="3">
        <v>4262.8829464285718</v>
      </c>
      <c r="E380" s="3">
        <f t="shared" si="0"/>
        <v>1515.6028486833288</v>
      </c>
      <c r="F380" s="3">
        <f t="shared" si="1"/>
        <v>13276680.954465959</v>
      </c>
      <c r="G380" s="3">
        <f t="shared" si="2"/>
        <v>4112401971828.8486</v>
      </c>
      <c r="H380" s="3">
        <f t="shared" si="3"/>
        <v>34103063.571428575</v>
      </c>
      <c r="I380" s="3">
        <f t="shared" si="4"/>
        <v>1023091.9071428572</v>
      </c>
      <c r="J380" s="3">
        <f t="shared" si="5"/>
        <v>4112406064196.4771</v>
      </c>
    </row>
    <row r="381" spans="1:10" x14ac:dyDescent="0.25">
      <c r="A381" s="3">
        <v>380</v>
      </c>
      <c r="B381" s="3">
        <v>14.558035714285714</v>
      </c>
      <c r="C381" s="3">
        <v>0.35647279549718575</v>
      </c>
      <c r="D381" s="3">
        <v>4284.4299107142851</v>
      </c>
      <c r="E381" s="3">
        <f t="shared" si="0"/>
        <v>1527.2827073840792</v>
      </c>
      <c r="F381" s="3">
        <f t="shared" si="1"/>
        <v>13378996.516684534</v>
      </c>
      <c r="G381" s="3">
        <f t="shared" si="2"/>
        <v>4144093843113.7813</v>
      </c>
      <c r="H381" s="3">
        <f t="shared" si="3"/>
        <v>34275439.285714284</v>
      </c>
      <c r="I381" s="3">
        <f t="shared" si="4"/>
        <v>1028263.1785714285</v>
      </c>
      <c r="J381" s="3">
        <f t="shared" si="5"/>
        <v>4144097956166.4956</v>
      </c>
    </row>
    <row r="382" spans="1:10" x14ac:dyDescent="0.25">
      <c r="A382" s="3">
        <v>381</v>
      </c>
      <c r="B382" s="3">
        <v>14.560178571428573</v>
      </c>
      <c r="C382" s="3">
        <v>0.35741088180112568</v>
      </c>
      <c r="D382" s="3">
        <v>4285.0605535714294</v>
      </c>
      <c r="E382" s="3">
        <f t="shared" si="0"/>
        <v>1531.5272710231843</v>
      </c>
      <c r="F382" s="3">
        <f t="shared" si="1"/>
        <v>13416178.894163096</v>
      </c>
      <c r="G382" s="3">
        <f t="shared" si="2"/>
        <v>4155610955493.7939</v>
      </c>
      <c r="H382" s="3">
        <f t="shared" si="3"/>
        <v>34280484.428571433</v>
      </c>
      <c r="I382" s="3">
        <f t="shared" si="4"/>
        <v>1028414.532857143</v>
      </c>
      <c r="J382" s="3">
        <f t="shared" si="5"/>
        <v>4155615069151.9253</v>
      </c>
    </row>
    <row r="383" spans="1:10" x14ac:dyDescent="0.25">
      <c r="A383" s="3">
        <v>382</v>
      </c>
      <c r="B383" s="3">
        <v>14.631785714285714</v>
      </c>
      <c r="C383" s="3">
        <v>0.35834896810506567</v>
      </c>
      <c r="D383" s="3">
        <v>4306.1345357142854</v>
      </c>
      <c r="E383" s="3">
        <f t="shared" si="0"/>
        <v>1543.0988673948002</v>
      </c>
      <c r="F383" s="3">
        <f t="shared" si="1"/>
        <v>13517546.078378448</v>
      </c>
      <c r="G383" s="3">
        <f t="shared" si="2"/>
        <v>4187009070422.2598</v>
      </c>
      <c r="H383" s="3">
        <f t="shared" si="3"/>
        <v>34449076.285714284</v>
      </c>
      <c r="I383" s="3">
        <f t="shared" si="4"/>
        <v>1033472.2885714285</v>
      </c>
      <c r="J383" s="3">
        <f t="shared" si="5"/>
        <v>4187013204311.4141</v>
      </c>
    </row>
    <row r="384" spans="1:10" x14ac:dyDescent="0.25">
      <c r="A384" s="3">
        <v>383</v>
      </c>
      <c r="B384" s="3">
        <v>14.67767857142857</v>
      </c>
      <c r="C384" s="3">
        <v>0.3592870544090056</v>
      </c>
      <c r="D384" s="3">
        <v>4319.6408035714285</v>
      </c>
      <c r="E384" s="3">
        <f t="shared" si="0"/>
        <v>1551.9910204201285</v>
      </c>
      <c r="F384" s="3">
        <f t="shared" si="1"/>
        <v>13595441.338880325</v>
      </c>
      <c r="G384" s="3">
        <f t="shared" si="2"/>
        <v>4211136845324.2134</v>
      </c>
      <c r="H384" s="3">
        <f t="shared" si="3"/>
        <v>34557126.428571425</v>
      </c>
      <c r="I384" s="3">
        <f t="shared" si="4"/>
        <v>1036713.7928571427</v>
      </c>
      <c r="J384" s="3">
        <f t="shared" si="5"/>
        <v>4211140992179.3848</v>
      </c>
    </row>
    <row r="385" spans="1:10" x14ac:dyDescent="0.25">
      <c r="A385" s="3">
        <v>384</v>
      </c>
      <c r="B385" s="3">
        <v>14.719642857142858</v>
      </c>
      <c r="C385" s="3">
        <v>0.36022514071294559</v>
      </c>
      <c r="D385" s="3">
        <v>4331.990892857144</v>
      </c>
      <c r="E385" s="3">
        <f t="shared" si="0"/>
        <v>1560.4920289466636</v>
      </c>
      <c r="F385" s="3">
        <f t="shared" si="1"/>
        <v>13669910.173572773</v>
      </c>
      <c r="G385" s="3">
        <f t="shared" si="2"/>
        <v>4234203297777.4814</v>
      </c>
      <c r="H385" s="3">
        <f t="shared" si="3"/>
        <v>34655927.142857149</v>
      </c>
      <c r="I385" s="3">
        <f t="shared" si="4"/>
        <v>1039677.8142857144</v>
      </c>
      <c r="J385" s="3">
        <f t="shared" si="5"/>
        <v>4234207456488.7388</v>
      </c>
    </row>
    <row r="386" spans="1:10" x14ac:dyDescent="0.25">
      <c r="A386" s="3">
        <v>385</v>
      </c>
      <c r="B386" s="3">
        <v>14.737857142857143</v>
      </c>
      <c r="C386" s="3">
        <v>0.36116322701688558</v>
      </c>
      <c r="D386" s="3">
        <v>4337.3513571428575</v>
      </c>
      <c r="E386" s="3">
        <f t="shared" si="0"/>
        <v>1566.4918128517827</v>
      </c>
      <c r="F386" s="3">
        <f t="shared" si="1"/>
        <v>13722468.280581616</v>
      </c>
      <c r="G386" s="3">
        <f t="shared" si="2"/>
        <v>4250482984726.707</v>
      </c>
      <c r="H386" s="3">
        <f t="shared" si="3"/>
        <v>34698810.857142858</v>
      </c>
      <c r="I386" s="3">
        <f t="shared" si="4"/>
        <v>1040964.3257142857</v>
      </c>
      <c r="J386" s="3">
        <f t="shared" si="5"/>
        <v>4250487148584.0098</v>
      </c>
    </row>
    <row r="387" spans="1:10" x14ac:dyDescent="0.25">
      <c r="A387" s="3">
        <v>386</v>
      </c>
      <c r="B387" s="3">
        <v>14.744821428571429</v>
      </c>
      <c r="C387" s="3">
        <v>0.36210131332082551</v>
      </c>
      <c r="D387" s="3">
        <v>4339.4009464285718</v>
      </c>
      <c r="E387" s="3">
        <f t="shared" si="0"/>
        <v>1571.302781727419</v>
      </c>
      <c r="F387" s="3">
        <f t="shared" si="1"/>
        <v>13764612.367932191</v>
      </c>
      <c r="G387" s="3">
        <f t="shared" si="2"/>
        <v>4263536968238.2227</v>
      </c>
      <c r="H387" s="3">
        <f t="shared" si="3"/>
        <v>34715207.571428575</v>
      </c>
      <c r="I387" s="3">
        <f t="shared" si="4"/>
        <v>1041456.2271428572</v>
      </c>
      <c r="J387" s="3">
        <f t="shared" si="5"/>
        <v>4263541134063.1313</v>
      </c>
    </row>
    <row r="388" spans="1:10" x14ac:dyDescent="0.25">
      <c r="A388" s="3">
        <v>387</v>
      </c>
      <c r="B388" s="3">
        <v>14.757142857142856</v>
      </c>
      <c r="C388" s="3">
        <v>0.3630393996247655</v>
      </c>
      <c r="D388" s="3">
        <v>4343.0271428571423</v>
      </c>
      <c r="E388" s="3">
        <f t="shared" si="0"/>
        <v>1576.6899664969176</v>
      </c>
      <c r="F388" s="3">
        <f t="shared" si="1"/>
        <v>13811804.106512997</v>
      </c>
      <c r="G388" s="3">
        <f t="shared" si="2"/>
        <v>4278154442768.7305</v>
      </c>
      <c r="H388" s="3">
        <f t="shared" si="3"/>
        <v>34744217.142857142</v>
      </c>
      <c r="I388" s="3">
        <f t="shared" si="4"/>
        <v>1042326.5142857142</v>
      </c>
      <c r="J388" s="3">
        <f t="shared" si="5"/>
        <v>4278158612074.7876</v>
      </c>
    </row>
    <row r="389" spans="1:10" x14ac:dyDescent="0.25">
      <c r="A389" s="3">
        <v>388</v>
      </c>
      <c r="B389" s="3">
        <v>14.758928571428573</v>
      </c>
      <c r="C389" s="3">
        <v>0.36397748592870544</v>
      </c>
      <c r="D389" s="3">
        <v>4343.5526785714292</v>
      </c>
      <c r="E389" s="3">
        <f t="shared" si="0"/>
        <v>1580.9553839453231</v>
      </c>
      <c r="F389" s="3">
        <f t="shared" si="1"/>
        <v>13849169.163361032</v>
      </c>
      <c r="G389" s="3">
        <f t="shared" si="2"/>
        <v>4289728139553.3125</v>
      </c>
      <c r="H389" s="3">
        <f t="shared" si="3"/>
        <v>34748421.428571433</v>
      </c>
      <c r="I389" s="3">
        <f t="shared" si="4"/>
        <v>1042452.642857143</v>
      </c>
      <c r="J389" s="3">
        <f t="shared" si="5"/>
        <v>4289732309363.8843</v>
      </c>
    </row>
    <row r="390" spans="1:10" x14ac:dyDescent="0.25">
      <c r="A390" s="3">
        <v>389</v>
      </c>
      <c r="B390" s="3">
        <v>14.760178571428574</v>
      </c>
      <c r="C390" s="3">
        <v>0.36491557223264542</v>
      </c>
      <c r="D390" s="3">
        <v>4343.9205535714291</v>
      </c>
      <c r="E390" s="3">
        <f t="shared" si="0"/>
        <v>1585.164254539668</v>
      </c>
      <c r="F390" s="3">
        <f t="shared" si="1"/>
        <v>13886038.869767493</v>
      </c>
      <c r="G390" s="3">
        <f t="shared" si="2"/>
        <v>4301148403401.0547</v>
      </c>
      <c r="H390" s="3">
        <f t="shared" si="3"/>
        <v>34751364.428571433</v>
      </c>
      <c r="I390" s="3">
        <f t="shared" si="4"/>
        <v>1042540.932857143</v>
      </c>
      <c r="J390" s="3">
        <f t="shared" si="5"/>
        <v>4301152573564.7856</v>
      </c>
    </row>
    <row r="391" spans="1:10" x14ac:dyDescent="0.25">
      <c r="A391" s="3">
        <v>390</v>
      </c>
      <c r="B391" s="3">
        <v>14.779285714285715</v>
      </c>
      <c r="C391" s="3">
        <v>0.36585365853658536</v>
      </c>
      <c r="D391" s="3">
        <v>4349.5437857142861</v>
      </c>
      <c r="E391" s="3">
        <f t="shared" si="0"/>
        <v>1591.2965069686411</v>
      </c>
      <c r="F391" s="3">
        <f t="shared" si="1"/>
        <v>13939757.401045294</v>
      </c>
      <c r="G391" s="3">
        <f t="shared" si="2"/>
        <v>4317787527506.8945</v>
      </c>
      <c r="H391" s="3">
        <f t="shared" si="3"/>
        <v>34796350.285714291</v>
      </c>
      <c r="I391" s="3">
        <f t="shared" si="4"/>
        <v>1043890.5085714287</v>
      </c>
      <c r="J391" s="3">
        <f t="shared" si="5"/>
        <v>4317791703068.9292</v>
      </c>
    </row>
    <row r="392" spans="1:10" x14ac:dyDescent="0.25">
      <c r="A392" s="3">
        <v>391</v>
      </c>
      <c r="B392" s="3">
        <v>14.798035714285714</v>
      </c>
      <c r="C392" s="3">
        <v>0.36679174484052535</v>
      </c>
      <c r="D392" s="3">
        <v>4355.0619107142857</v>
      </c>
      <c r="E392" s="3">
        <f t="shared" si="0"/>
        <v>1597.4007571194049</v>
      </c>
      <c r="F392" s="3">
        <f t="shared" si="1"/>
        <v>13993230.632365987</v>
      </c>
      <c r="G392" s="3">
        <f t="shared" si="2"/>
        <v>4334350670899.2607</v>
      </c>
      <c r="H392" s="3">
        <f t="shared" si="3"/>
        <v>34840495.285714284</v>
      </c>
      <c r="I392" s="3">
        <f t="shared" si="4"/>
        <v>1045214.8585714285</v>
      </c>
      <c r="J392" s="3">
        <f t="shared" si="5"/>
        <v>4334354851758.6948</v>
      </c>
    </row>
    <row r="393" spans="1:10" x14ac:dyDescent="0.25">
      <c r="A393" s="3">
        <v>392</v>
      </c>
      <c r="B393" s="3">
        <v>14.813750000000001</v>
      </c>
      <c r="C393" s="3">
        <v>0.36772983114446528</v>
      </c>
      <c r="D393" s="3">
        <v>4359.6866250000003</v>
      </c>
      <c r="E393" s="3">
        <f t="shared" si="0"/>
        <v>1603.1868264540337</v>
      </c>
      <c r="F393" s="3">
        <f t="shared" si="1"/>
        <v>14043916.599737337</v>
      </c>
      <c r="G393" s="3">
        <f t="shared" si="2"/>
        <v>4350050469768.9976</v>
      </c>
      <c r="H393" s="3">
        <f t="shared" si="3"/>
        <v>34877493</v>
      </c>
      <c r="I393" s="3">
        <f t="shared" si="4"/>
        <v>1046324.7899999999</v>
      </c>
      <c r="J393" s="3">
        <f t="shared" si="5"/>
        <v>4350054655068.1577</v>
      </c>
    </row>
    <row r="394" spans="1:10" x14ac:dyDescent="0.25">
      <c r="A394" s="3">
        <v>393</v>
      </c>
      <c r="B394" s="3">
        <v>14.825535714285715</v>
      </c>
      <c r="C394" s="3">
        <v>0.36866791744840527</v>
      </c>
      <c r="D394" s="3">
        <v>4363.1551607142865</v>
      </c>
      <c r="E394" s="3">
        <f t="shared" si="0"/>
        <v>1608.555326604798</v>
      </c>
      <c r="F394" s="3">
        <f t="shared" si="1"/>
        <v>14090944.661058029</v>
      </c>
      <c r="G394" s="3">
        <f t="shared" si="2"/>
        <v>4364617245984.9268</v>
      </c>
      <c r="H394" s="3">
        <f t="shared" si="3"/>
        <v>34905241.285714291</v>
      </c>
      <c r="I394" s="3">
        <f t="shared" si="4"/>
        <v>1047157.2385714287</v>
      </c>
      <c r="J394" s="3">
        <f t="shared" si="5"/>
        <v>4364621434613.8813</v>
      </c>
    </row>
    <row r="395" spans="1:10" x14ac:dyDescent="0.25">
      <c r="A395" s="3">
        <v>394</v>
      </c>
      <c r="B395" s="3">
        <v>14.841964285714287</v>
      </c>
      <c r="C395" s="3">
        <v>0.3696060037523452</v>
      </c>
      <c r="D395" s="3">
        <v>4367.9900892857149</v>
      </c>
      <c r="E395" s="3">
        <f t="shared" si="0"/>
        <v>1614.4353613307426</v>
      </c>
      <c r="F395" s="3">
        <f t="shared" si="1"/>
        <v>14142453.765257305</v>
      </c>
      <c r="G395" s="3">
        <f t="shared" si="2"/>
        <v>4380572008441.9585</v>
      </c>
      <c r="H395" s="3">
        <f t="shared" si="3"/>
        <v>34943920.714285716</v>
      </c>
      <c r="I395" s="3">
        <f t="shared" si="4"/>
        <v>1048317.6214285714</v>
      </c>
      <c r="J395" s="3">
        <f t="shared" si="5"/>
        <v>4380576201712.4443</v>
      </c>
    </row>
    <row r="396" spans="1:10" x14ac:dyDescent="0.25">
      <c r="A396" s="3">
        <v>395</v>
      </c>
      <c r="B396" s="3">
        <v>14.843392857142859</v>
      </c>
      <c r="C396" s="3">
        <v>0.37054409005628519</v>
      </c>
      <c r="D396" s="3">
        <v>4368.4105178571435</v>
      </c>
      <c r="E396" s="3">
        <f t="shared" si="0"/>
        <v>1618.6887003316808</v>
      </c>
      <c r="F396" s="3">
        <f t="shared" si="1"/>
        <v>14179713.014905525</v>
      </c>
      <c r="G396" s="3">
        <f t="shared" si="2"/>
        <v>4392112931912.7896</v>
      </c>
      <c r="H396" s="3">
        <f t="shared" si="3"/>
        <v>34947284.142857149</v>
      </c>
      <c r="I396" s="3">
        <f t="shared" si="4"/>
        <v>1048418.5242857145</v>
      </c>
      <c r="J396" s="3">
        <f t="shared" si="5"/>
        <v>4392117125586.8867</v>
      </c>
    </row>
    <row r="397" spans="1:10" x14ac:dyDescent="0.25">
      <c r="A397" s="3">
        <v>396</v>
      </c>
      <c r="B397" s="3">
        <v>14.848035714285714</v>
      </c>
      <c r="C397" s="3">
        <v>0.37148217636022512</v>
      </c>
      <c r="D397" s="3">
        <v>4369.7769107142858</v>
      </c>
      <c r="E397" s="3">
        <f t="shared" si="0"/>
        <v>1623.2942370008041</v>
      </c>
      <c r="F397" s="3">
        <f t="shared" si="1"/>
        <v>14220057.516127044</v>
      </c>
      <c r="G397" s="3">
        <f t="shared" si="2"/>
        <v>4404609500492.9834</v>
      </c>
      <c r="H397" s="3">
        <f t="shared" si="3"/>
        <v>34958215.285714284</v>
      </c>
      <c r="I397" s="3">
        <f t="shared" si="4"/>
        <v>1048746.4585714284</v>
      </c>
      <c r="J397" s="3">
        <f t="shared" si="5"/>
        <v>4404613695478.8184</v>
      </c>
    </row>
    <row r="398" spans="1:10" x14ac:dyDescent="0.25">
      <c r="A398" s="3">
        <v>397</v>
      </c>
      <c r="B398" s="3">
        <v>14.854285714285716</v>
      </c>
      <c r="C398" s="3">
        <v>0.37242026266416511</v>
      </c>
      <c r="D398" s="3">
        <v>4371.6162857142863</v>
      </c>
      <c r="E398" s="3">
        <f t="shared" si="0"/>
        <v>1628.0784853926564</v>
      </c>
      <c r="F398" s="3">
        <f t="shared" si="1"/>
        <v>14261967.53203967</v>
      </c>
      <c r="G398" s="3">
        <f t="shared" si="2"/>
        <v>4417590981386.9512</v>
      </c>
      <c r="H398" s="3">
        <f t="shared" si="3"/>
        <v>34972930.285714291</v>
      </c>
      <c r="I398" s="3">
        <f t="shared" si="4"/>
        <v>1049187.9085714286</v>
      </c>
      <c r="J398" s="3">
        <f t="shared" si="5"/>
        <v>4417595178138.585</v>
      </c>
    </row>
    <row r="399" spans="1:10" x14ac:dyDescent="0.25">
      <c r="A399" s="3">
        <v>398</v>
      </c>
      <c r="B399" s="3">
        <v>14.86</v>
      </c>
      <c r="C399" s="3">
        <v>0.37335834896810505</v>
      </c>
      <c r="D399" s="3">
        <v>4373.2979999999998</v>
      </c>
      <c r="E399" s="3">
        <f t="shared" si="0"/>
        <v>1632.8073208255157</v>
      </c>
      <c r="F399" s="3">
        <f t="shared" si="1"/>
        <v>14303392.130431518</v>
      </c>
      <c r="G399" s="3">
        <f t="shared" si="2"/>
        <v>4430422106031.9824</v>
      </c>
      <c r="H399" s="3">
        <f t="shared" si="3"/>
        <v>34986384</v>
      </c>
      <c r="I399" s="3">
        <f t="shared" si="4"/>
        <v>1049591.52</v>
      </c>
      <c r="J399" s="3">
        <f t="shared" si="5"/>
        <v>4430426304398.0615</v>
      </c>
    </row>
    <row r="400" spans="1:10" x14ac:dyDescent="0.25">
      <c r="A400" s="3">
        <v>399</v>
      </c>
      <c r="B400" s="3">
        <v>14.876071428571429</v>
      </c>
      <c r="C400" s="3">
        <v>0.37429643527204504</v>
      </c>
      <c r="D400" s="3">
        <v>4378.0278214285718</v>
      </c>
      <c r="E400" s="3">
        <f t="shared" si="0"/>
        <v>1638.6802070825518</v>
      </c>
      <c r="F400" s="3">
        <f t="shared" si="1"/>
        <v>14354838.614043154</v>
      </c>
      <c r="G400" s="3">
        <f t="shared" si="2"/>
        <v>4446357472079.2041</v>
      </c>
      <c r="H400" s="3">
        <f t="shared" si="3"/>
        <v>35024222.571428575</v>
      </c>
      <c r="I400" s="3">
        <f t="shared" si="4"/>
        <v>1050726.6771428571</v>
      </c>
      <c r="J400" s="3">
        <f t="shared" si="5"/>
        <v>4446361674985.9121</v>
      </c>
    </row>
    <row r="401" spans="1:10" x14ac:dyDescent="0.25">
      <c r="A401" s="3">
        <v>400</v>
      </c>
      <c r="B401" s="3">
        <v>14.891607142857142</v>
      </c>
      <c r="C401" s="3">
        <v>0.37523452157598497</v>
      </c>
      <c r="D401" s="3">
        <v>4382.5999821428577</v>
      </c>
      <c r="E401" s="3">
        <f t="shared" si="0"/>
        <v>1644.5028075582954</v>
      </c>
      <c r="F401" s="3">
        <f t="shared" si="1"/>
        <v>14405844.594210668</v>
      </c>
      <c r="G401" s="3">
        <f t="shared" si="2"/>
        <v>4462156393857.5869</v>
      </c>
      <c r="H401" s="3">
        <f t="shared" si="3"/>
        <v>35060799.857142858</v>
      </c>
      <c r="I401" s="3">
        <f t="shared" si="4"/>
        <v>1051823.9957142856</v>
      </c>
      <c r="J401" s="3">
        <f t="shared" si="5"/>
        <v>4462160601153.5703</v>
      </c>
    </row>
    <row r="402" spans="1:10" x14ac:dyDescent="0.25">
      <c r="A402" s="3">
        <v>401</v>
      </c>
      <c r="B402" s="3">
        <v>14.922857142857142</v>
      </c>
      <c r="C402" s="3">
        <v>0.37617260787992496</v>
      </c>
      <c r="D402" s="3">
        <v>4391.7968571428573</v>
      </c>
      <c r="E402" s="3">
        <f t="shared" si="0"/>
        <v>1652.0736770302869</v>
      </c>
      <c r="F402" s="3">
        <f t="shared" si="1"/>
        <v>14472165.410785316</v>
      </c>
      <c r="G402" s="3">
        <f t="shared" si="2"/>
        <v>4482699028871.5352</v>
      </c>
      <c r="H402" s="3">
        <f t="shared" si="3"/>
        <v>35134374.857142858</v>
      </c>
      <c r="I402" s="3">
        <f t="shared" si="4"/>
        <v>1054031.2457142856</v>
      </c>
      <c r="J402" s="3">
        <f t="shared" si="5"/>
        <v>4482703244996.5186</v>
      </c>
    </row>
    <row r="403" spans="1:10" x14ac:dyDescent="0.25">
      <c r="A403" s="3">
        <v>402</v>
      </c>
      <c r="B403" s="3">
        <v>14.969464285714285</v>
      </c>
      <c r="C403" s="3">
        <v>0.37711069418386489</v>
      </c>
      <c r="D403" s="3">
        <v>4405.5133392857133</v>
      </c>
      <c r="E403" s="3">
        <f t="shared" si="0"/>
        <v>1661.3661936143121</v>
      </c>
      <c r="F403" s="3">
        <f t="shared" si="1"/>
        <v>14553567.856061373</v>
      </c>
      <c r="G403" s="3">
        <f t="shared" si="2"/>
        <v>4507913141940.668</v>
      </c>
      <c r="H403" s="3">
        <f t="shared" si="3"/>
        <v>35244106.714285709</v>
      </c>
      <c r="I403" s="3">
        <f t="shared" si="4"/>
        <v>1057323.2014285713</v>
      </c>
      <c r="J403" s="3">
        <f t="shared" si="5"/>
        <v>4507917371233.4736</v>
      </c>
    </row>
    <row r="404" spans="1:10" x14ac:dyDescent="0.25">
      <c r="A404" s="3">
        <v>403</v>
      </c>
      <c r="B404" s="3">
        <v>15.007678571428569</v>
      </c>
      <c r="C404" s="3">
        <v>0.37804878048780488</v>
      </c>
      <c r="D404" s="3">
        <v>4416.7598035714282</v>
      </c>
      <c r="E404" s="3">
        <f t="shared" si="0"/>
        <v>1669.750657447735</v>
      </c>
      <c r="F404" s="3">
        <f t="shared" si="1"/>
        <v>14627015.759242158</v>
      </c>
      <c r="G404" s="3">
        <f t="shared" si="2"/>
        <v>4530663365444.2686</v>
      </c>
      <c r="H404" s="3">
        <f t="shared" si="3"/>
        <v>35334078.428571425</v>
      </c>
      <c r="I404" s="3">
        <f t="shared" si="4"/>
        <v>1060022.3528571427</v>
      </c>
      <c r="J404" s="3">
        <f t="shared" si="5"/>
        <v>4530667605533.6797</v>
      </c>
    </row>
    <row r="405" spans="1:10" x14ac:dyDescent="0.25">
      <c r="A405" s="3">
        <v>404</v>
      </c>
      <c r="B405" s="3">
        <v>15.043392857142857</v>
      </c>
      <c r="C405" s="3">
        <v>0.37898686679174481</v>
      </c>
      <c r="D405" s="3">
        <v>4427.2705178571423</v>
      </c>
      <c r="E405" s="3">
        <f t="shared" si="0"/>
        <v>1677.8773820021438</v>
      </c>
      <c r="F405" s="3">
        <f t="shared" si="1"/>
        <v>14698205.86633878</v>
      </c>
      <c r="G405" s="3">
        <f t="shared" si="2"/>
        <v>4552714245116.1914</v>
      </c>
      <c r="H405" s="3">
        <f t="shared" si="3"/>
        <v>35418164.142857142</v>
      </c>
      <c r="I405" s="3">
        <f t="shared" si="4"/>
        <v>1062544.9242857143</v>
      </c>
      <c r="J405" s="3">
        <f t="shared" si="5"/>
        <v>4552718495295.8877</v>
      </c>
    </row>
    <row r="406" spans="1:10" x14ac:dyDescent="0.25">
      <c r="A406" s="3">
        <v>405</v>
      </c>
      <c r="B406" s="3">
        <v>15.082678571428573</v>
      </c>
      <c r="C406" s="3">
        <v>0.3799249530956848</v>
      </c>
      <c r="D406" s="3">
        <v>4438.8323035714293</v>
      </c>
      <c r="E406" s="3">
        <f t="shared" si="0"/>
        <v>1686.4231547339857</v>
      </c>
      <c r="F406" s="3">
        <f t="shared" si="1"/>
        <v>14773066.835469713</v>
      </c>
      <c r="G406" s="3">
        <f t="shared" si="2"/>
        <v>4575902160614.0068</v>
      </c>
      <c r="H406" s="3">
        <f t="shared" si="3"/>
        <v>35510658.428571433</v>
      </c>
      <c r="I406" s="3">
        <f t="shared" si="4"/>
        <v>1065319.7528571431</v>
      </c>
      <c r="J406" s="3">
        <f t="shared" si="5"/>
        <v>4575906421893.0186</v>
      </c>
    </row>
    <row r="407" spans="1:10" x14ac:dyDescent="0.25">
      <c r="A407" s="3">
        <v>406</v>
      </c>
      <c r="B407" s="3">
        <v>15.103035714285717</v>
      </c>
      <c r="C407" s="3">
        <v>0.38086303939962479</v>
      </c>
      <c r="D407" s="3">
        <v>4444.8234107142871</v>
      </c>
      <c r="E407" s="3">
        <f t="shared" si="0"/>
        <v>1692.8689537992502</v>
      </c>
      <c r="F407" s="3">
        <f t="shared" si="1"/>
        <v>14829532.035281431</v>
      </c>
      <c r="G407" s="3">
        <f t="shared" si="2"/>
        <v>4593392055457.291</v>
      </c>
      <c r="H407" s="3">
        <f t="shared" si="3"/>
        <v>35558587.285714298</v>
      </c>
      <c r="I407" s="3">
        <f t="shared" si="4"/>
        <v>1066757.6185714288</v>
      </c>
      <c r="J407" s="3">
        <f t="shared" si="5"/>
        <v>4593396322487.7646</v>
      </c>
    </row>
    <row r="408" spans="1:10" x14ac:dyDescent="0.25">
      <c r="A408" s="3">
        <v>407</v>
      </c>
      <c r="B408" s="3">
        <v>15.133571428571429</v>
      </c>
      <c r="C408" s="3">
        <v>0.38180112570356473</v>
      </c>
      <c r="D408" s="3">
        <v>4453.810071428572</v>
      </c>
      <c r="E408" s="3">
        <f t="shared" si="0"/>
        <v>1700.4696989413028</v>
      </c>
      <c r="F408" s="3">
        <f t="shared" si="1"/>
        <v>14896114.562725814</v>
      </c>
      <c r="G408" s="3">
        <f t="shared" si="2"/>
        <v>4614015754710.9209</v>
      </c>
      <c r="H408" s="3">
        <f t="shared" si="3"/>
        <v>35630480.571428575</v>
      </c>
      <c r="I408" s="3">
        <f t="shared" si="4"/>
        <v>1068914.4171428571</v>
      </c>
      <c r="J408" s="3">
        <f t="shared" si="5"/>
        <v>4614020030368.5889</v>
      </c>
    </row>
    <row r="409" spans="1:10" x14ac:dyDescent="0.25">
      <c r="A409" s="3">
        <v>408</v>
      </c>
      <c r="B409" s="3">
        <v>15.135714285714288</v>
      </c>
      <c r="C409" s="3">
        <v>0.38273921200750471</v>
      </c>
      <c r="D409" s="3">
        <v>4454.4407142857153</v>
      </c>
      <c r="E409" s="3">
        <f t="shared" si="0"/>
        <v>1704.8891289198612</v>
      </c>
      <c r="F409" s="3">
        <f t="shared" si="1"/>
        <v>14934828.769337984</v>
      </c>
      <c r="G409" s="3">
        <f t="shared" si="2"/>
        <v>4626007345873.6914</v>
      </c>
      <c r="H409" s="3">
        <f t="shared" si="3"/>
        <v>35635525.714285724</v>
      </c>
      <c r="I409" s="3">
        <f t="shared" si="4"/>
        <v>1069065.7714285718</v>
      </c>
      <c r="J409" s="3">
        <f t="shared" si="5"/>
        <v>4626011622136.7773</v>
      </c>
    </row>
    <row r="410" spans="1:10" x14ac:dyDescent="0.25">
      <c r="A410" s="3">
        <v>409</v>
      </c>
      <c r="B410" s="3">
        <v>15.152857142857144</v>
      </c>
      <c r="C410" s="3">
        <v>0.38367729831144465</v>
      </c>
      <c r="D410" s="3">
        <v>4459.4858571428576</v>
      </c>
      <c r="E410" s="3">
        <f t="shared" si="0"/>
        <v>1711.0034855266686</v>
      </c>
      <c r="F410" s="3">
        <f t="shared" si="1"/>
        <v>14988390.533213617</v>
      </c>
      <c r="G410" s="3">
        <f t="shared" si="2"/>
        <v>4642597912373.1963</v>
      </c>
      <c r="H410" s="3">
        <f t="shared" si="3"/>
        <v>35675886.857142858</v>
      </c>
      <c r="I410" s="3">
        <f t="shared" si="4"/>
        <v>1070276.6057142857</v>
      </c>
      <c r="J410" s="3">
        <f t="shared" si="5"/>
        <v>4642602193479.6191</v>
      </c>
    </row>
    <row r="411" spans="1:10" x14ac:dyDescent="0.25">
      <c r="A411" s="3">
        <v>410</v>
      </c>
      <c r="B411" s="3">
        <v>15.185357142857143</v>
      </c>
      <c r="C411" s="3">
        <v>0.38461538461538464</v>
      </c>
      <c r="D411" s="3">
        <v>4469.0506071428572</v>
      </c>
      <c r="E411" s="3">
        <f t="shared" si="0"/>
        <v>1718.8656181318681</v>
      </c>
      <c r="F411" s="3">
        <f t="shared" si="1"/>
        <v>15057262.814835165</v>
      </c>
      <c r="G411" s="3">
        <f t="shared" si="2"/>
        <v>4663930854518.7725</v>
      </c>
      <c r="H411" s="3">
        <f t="shared" si="3"/>
        <v>35752404.857142858</v>
      </c>
      <c r="I411" s="3">
        <f t="shared" si="4"/>
        <v>1072572.1457142858</v>
      </c>
      <c r="J411" s="3">
        <f t="shared" si="5"/>
        <v>4663935144807.3555</v>
      </c>
    </row>
    <row r="412" spans="1:10" x14ac:dyDescent="0.25">
      <c r="A412" s="3">
        <v>411</v>
      </c>
      <c r="B412" s="3">
        <v>15.190178571428573</v>
      </c>
      <c r="C412" s="3">
        <v>0.38555347091932457</v>
      </c>
      <c r="D412" s="3">
        <v>4470.4695535714291</v>
      </c>
      <c r="E412" s="3">
        <f t="shared" si="0"/>
        <v>1723.6050530186278</v>
      </c>
      <c r="F412" s="3">
        <f t="shared" si="1"/>
        <v>15098780.26444318</v>
      </c>
      <c r="G412" s="3">
        <f t="shared" si="2"/>
        <v>4676790739759.5342</v>
      </c>
      <c r="H412" s="3">
        <f t="shared" si="3"/>
        <v>35763756.428571433</v>
      </c>
      <c r="I412" s="3">
        <f t="shared" si="4"/>
        <v>1072912.692857143</v>
      </c>
      <c r="J412" s="3">
        <f t="shared" si="5"/>
        <v>4676795031410.3047</v>
      </c>
    </row>
    <row r="413" spans="1:10" x14ac:dyDescent="0.25">
      <c r="A413" s="3">
        <v>412</v>
      </c>
      <c r="B413" s="3">
        <v>15.191071428571428</v>
      </c>
      <c r="C413" s="3">
        <v>0.38649155722326456</v>
      </c>
      <c r="D413" s="3">
        <v>4470.7323214285716</v>
      </c>
      <c r="E413" s="3">
        <f t="shared" si="0"/>
        <v>1727.9002968373093</v>
      </c>
      <c r="F413" s="3">
        <f t="shared" si="1"/>
        <v>15136406.600294828</v>
      </c>
      <c r="G413" s="3">
        <f t="shared" si="2"/>
        <v>4688445367065.21</v>
      </c>
      <c r="H413" s="3">
        <f t="shared" si="3"/>
        <v>35765858.571428575</v>
      </c>
      <c r="I413" s="3">
        <f t="shared" si="4"/>
        <v>1072975.7571428572</v>
      </c>
      <c r="J413" s="3">
        <f t="shared" si="5"/>
        <v>4688449658968.2383</v>
      </c>
    </row>
    <row r="414" spans="1:10" x14ac:dyDescent="0.25">
      <c r="A414" s="3">
        <v>413</v>
      </c>
      <c r="B414" s="3">
        <v>15.234642857142857</v>
      </c>
      <c r="C414" s="3">
        <v>0.38742964352720449</v>
      </c>
      <c r="D414" s="3">
        <v>4483.5553928571426</v>
      </c>
      <c r="E414" s="3">
        <f t="shared" si="0"/>
        <v>1737.0622675891179</v>
      </c>
      <c r="F414" s="3">
        <f t="shared" si="1"/>
        <v>15216665.464080673</v>
      </c>
      <c r="G414" s="3">
        <f t="shared" si="2"/>
        <v>4713305260575.6807</v>
      </c>
      <c r="H414" s="3">
        <f t="shared" si="3"/>
        <v>35868443.142857142</v>
      </c>
      <c r="I414" s="3">
        <f t="shared" si="4"/>
        <v>1076053.2942857142</v>
      </c>
      <c r="J414" s="3">
        <f t="shared" si="5"/>
        <v>4713309564788.8574</v>
      </c>
    </row>
    <row r="415" spans="1:10" x14ac:dyDescent="0.25">
      <c r="A415" s="3">
        <v>414</v>
      </c>
      <c r="B415" s="3">
        <v>15.290892857142859</v>
      </c>
      <c r="C415" s="3">
        <v>0.38836772983114448</v>
      </c>
      <c r="D415" s="3">
        <v>4500.1097678571441</v>
      </c>
      <c r="E415" s="3">
        <f t="shared" si="0"/>
        <v>1747.6974145336376</v>
      </c>
      <c r="F415" s="3">
        <f t="shared" si="1"/>
        <v>15309829.351314666</v>
      </c>
      <c r="G415" s="3">
        <f t="shared" si="2"/>
        <v>4742162436939.5234</v>
      </c>
      <c r="H415" s="3">
        <f t="shared" si="3"/>
        <v>36000878.142857149</v>
      </c>
      <c r="I415" s="3">
        <f t="shared" si="4"/>
        <v>1080026.3442857144</v>
      </c>
      <c r="J415" s="3">
        <f t="shared" si="5"/>
        <v>4742166757044.9014</v>
      </c>
    </row>
    <row r="416" spans="1:10" x14ac:dyDescent="0.25">
      <c r="A416" s="3">
        <v>415</v>
      </c>
      <c r="B416" s="3">
        <v>15.302142857142858</v>
      </c>
      <c r="C416" s="3">
        <v>0.38930581613508441</v>
      </c>
      <c r="D416" s="3">
        <v>4503.4206428571433</v>
      </c>
      <c r="E416" s="3">
        <f t="shared" si="0"/>
        <v>1753.2078487670867</v>
      </c>
      <c r="F416" s="3">
        <f t="shared" si="1"/>
        <v>15358100.755199678</v>
      </c>
      <c r="G416" s="3">
        <f t="shared" si="2"/>
        <v>4757114334371.2461</v>
      </c>
      <c r="H416" s="3">
        <f t="shared" si="3"/>
        <v>36027365.142857149</v>
      </c>
      <c r="I416" s="3">
        <f t="shared" si="4"/>
        <v>1080820.9542857145</v>
      </c>
      <c r="J416" s="3">
        <f t="shared" si="5"/>
        <v>4757118657655.0635</v>
      </c>
    </row>
    <row r="417" spans="1:10" x14ac:dyDescent="0.25">
      <c r="A417" s="3">
        <v>416</v>
      </c>
      <c r="B417" s="3">
        <v>15.329285714285716</v>
      </c>
      <c r="C417" s="3">
        <v>0.3902439024390244</v>
      </c>
      <c r="D417" s="3">
        <v>4511.4087857142868</v>
      </c>
      <c r="E417" s="3">
        <f t="shared" si="0"/>
        <v>1760.5497700348437</v>
      </c>
      <c r="F417" s="3">
        <f t="shared" si="1"/>
        <v>15422415.985505229</v>
      </c>
      <c r="G417" s="3">
        <f t="shared" si="2"/>
        <v>4777035747126.5918</v>
      </c>
      <c r="H417" s="3">
        <f t="shared" si="3"/>
        <v>36091270.285714291</v>
      </c>
      <c r="I417" s="3">
        <f t="shared" si="4"/>
        <v>1082738.1085714288</v>
      </c>
      <c r="J417" s="3">
        <f t="shared" si="5"/>
        <v>4777040078079.0264</v>
      </c>
    </row>
    <row r="418" spans="1:10" x14ac:dyDescent="0.25">
      <c r="A418" s="3">
        <v>417</v>
      </c>
      <c r="B418" s="3">
        <v>15.332142857142859</v>
      </c>
      <c r="C418" s="3">
        <v>0.39118198874296434</v>
      </c>
      <c r="D418" s="3">
        <v>4512.249642857144</v>
      </c>
      <c r="E418" s="3">
        <f t="shared" si="0"/>
        <v>1765.1107889975881</v>
      </c>
      <c r="F418" s="3">
        <f t="shared" si="1"/>
        <v>15462370.511618871</v>
      </c>
      <c r="G418" s="3">
        <f t="shared" si="2"/>
        <v>4789411522768.7217</v>
      </c>
      <c r="H418" s="3">
        <f t="shared" si="3"/>
        <v>36097997.142857149</v>
      </c>
      <c r="I418" s="3">
        <f t="shared" si="4"/>
        <v>1082939.9142857145</v>
      </c>
      <c r="J418" s="3">
        <f t="shared" si="5"/>
        <v>4789415854528.3789</v>
      </c>
    </row>
    <row r="419" spans="1:10" x14ac:dyDescent="0.25">
      <c r="A419" s="3">
        <v>418</v>
      </c>
      <c r="B419" s="3">
        <v>15.362321428571429</v>
      </c>
      <c r="C419" s="3">
        <v>0.39212007504690433</v>
      </c>
      <c r="D419" s="3">
        <v>4521.1311964285715</v>
      </c>
      <c r="E419" s="3">
        <f t="shared" si="0"/>
        <v>1772.8263040404718</v>
      </c>
      <c r="F419" s="3">
        <f t="shared" si="1"/>
        <v>15529958.423394533</v>
      </c>
      <c r="G419" s="3">
        <f t="shared" si="2"/>
        <v>4810346636446.9824</v>
      </c>
      <c r="H419" s="3">
        <f t="shared" si="3"/>
        <v>36169049.571428575</v>
      </c>
      <c r="I419" s="3">
        <f t="shared" si="4"/>
        <v>1085071.4871428572</v>
      </c>
      <c r="J419" s="3">
        <f t="shared" si="5"/>
        <v>4810350976732.9316</v>
      </c>
    </row>
    <row r="420" spans="1:10" x14ac:dyDescent="0.25">
      <c r="A420" s="3">
        <v>419</v>
      </c>
      <c r="B420" s="3">
        <v>15.383035714285713</v>
      </c>
      <c r="C420" s="3">
        <v>0.39305816135084426</v>
      </c>
      <c r="D420" s="3">
        <v>4527.2274107142857</v>
      </c>
      <c r="E420" s="3">
        <f t="shared" si="0"/>
        <v>1779.4636820725007</v>
      </c>
      <c r="F420" s="3">
        <f t="shared" si="1"/>
        <v>15588101.854955105</v>
      </c>
      <c r="G420" s="3">
        <f t="shared" si="2"/>
        <v>4828356357676.4805</v>
      </c>
      <c r="H420" s="3">
        <f t="shared" si="3"/>
        <v>36217819.285714284</v>
      </c>
      <c r="I420" s="3">
        <f t="shared" si="4"/>
        <v>1086534.5785714285</v>
      </c>
      <c r="J420" s="3">
        <f t="shared" si="5"/>
        <v>4828360703814.7939</v>
      </c>
    </row>
    <row r="421" spans="1:10" x14ac:dyDescent="0.25">
      <c r="A421" s="3">
        <v>420</v>
      </c>
      <c r="B421" s="3">
        <v>15.385535714285714</v>
      </c>
      <c r="C421" s="3">
        <v>0.39399624765478425</v>
      </c>
      <c r="D421" s="3">
        <v>4527.9631607142856</v>
      </c>
      <c r="E421" s="3">
        <f t="shared" si="0"/>
        <v>1784.0004948405253</v>
      </c>
      <c r="F421" s="3">
        <f t="shared" si="1"/>
        <v>15627844.334803</v>
      </c>
      <c r="G421" s="3">
        <f t="shared" si="2"/>
        <v>4840666452821.165</v>
      </c>
      <c r="H421" s="3">
        <f t="shared" si="3"/>
        <v>36223705.285714284</v>
      </c>
      <c r="I421" s="3">
        <f t="shared" si="4"/>
        <v>1086711.1585714284</v>
      </c>
      <c r="J421" s="3">
        <f t="shared" si="5"/>
        <v>4840670799665.7988</v>
      </c>
    </row>
    <row r="422" spans="1:10" x14ac:dyDescent="0.25">
      <c r="A422" s="3">
        <v>421</v>
      </c>
      <c r="B422" s="3">
        <v>15.398928571428572</v>
      </c>
      <c r="C422" s="3">
        <v>0.39493433395872418</v>
      </c>
      <c r="D422" s="3">
        <v>4531.904678571429</v>
      </c>
      <c r="E422" s="3">
        <f t="shared" si="0"/>
        <v>1789.8047557960333</v>
      </c>
      <c r="F422" s="3">
        <f t="shared" si="1"/>
        <v>15678689.660773251</v>
      </c>
      <c r="G422" s="3">
        <f t="shared" si="2"/>
        <v>4856415613122.3096</v>
      </c>
      <c r="H422" s="3">
        <f t="shared" si="3"/>
        <v>36255237.428571433</v>
      </c>
      <c r="I422" s="3">
        <f t="shared" si="4"/>
        <v>1087657.1228571429</v>
      </c>
      <c r="J422" s="3">
        <f t="shared" si="5"/>
        <v>4856419963750.8008</v>
      </c>
    </row>
    <row r="423" spans="1:10" x14ac:dyDescent="0.25">
      <c r="A423" s="3">
        <v>422</v>
      </c>
      <c r="B423" s="3">
        <v>15.403571428571428</v>
      </c>
      <c r="C423" s="3">
        <v>0.39587242026266417</v>
      </c>
      <c r="D423" s="3">
        <v>4533.2710714285722</v>
      </c>
      <c r="E423" s="3">
        <f t="shared" si="0"/>
        <v>1794.5969907531496</v>
      </c>
      <c r="F423" s="3">
        <f t="shared" si="1"/>
        <v>15720669.63899759</v>
      </c>
      <c r="G423" s="3">
        <f t="shared" si="2"/>
        <v>4869418765054.7217</v>
      </c>
      <c r="H423" s="3">
        <f t="shared" si="3"/>
        <v>36266168.571428575</v>
      </c>
      <c r="I423" s="3">
        <f t="shared" si="4"/>
        <v>1087985.0571428572</v>
      </c>
      <c r="J423" s="3">
        <f t="shared" si="5"/>
        <v>4869423116994.9512</v>
      </c>
    </row>
    <row r="424" spans="1:10" x14ac:dyDescent="0.25">
      <c r="A424" s="3">
        <v>423</v>
      </c>
      <c r="B424" s="3">
        <v>15.404999999999999</v>
      </c>
      <c r="C424" s="3">
        <v>0.3968105065666041</v>
      </c>
      <c r="D424" s="3">
        <v>4533.6914999999999</v>
      </c>
      <c r="E424" s="3">
        <f t="shared" si="0"/>
        <v>1799.0164207317073</v>
      </c>
      <c r="F424" s="3">
        <f t="shared" si="1"/>
        <v>15759383.845609754</v>
      </c>
      <c r="G424" s="3">
        <f t="shared" si="2"/>
        <v>4881410356419.2979</v>
      </c>
      <c r="H424" s="3">
        <f t="shared" si="3"/>
        <v>36269532</v>
      </c>
      <c r="I424" s="3">
        <f t="shared" si="4"/>
        <v>1088085.96</v>
      </c>
      <c r="J424" s="3">
        <f t="shared" si="5"/>
        <v>4881414708763.1377</v>
      </c>
    </row>
    <row r="425" spans="1:10" x14ac:dyDescent="0.25">
      <c r="A425" s="3">
        <v>424</v>
      </c>
      <c r="B425" s="3">
        <v>15.429821428571429</v>
      </c>
      <c r="C425" s="3">
        <v>0.39774859287054409</v>
      </c>
      <c r="D425" s="3">
        <v>4540.9964464285722</v>
      </c>
      <c r="E425" s="3">
        <f t="shared" si="0"/>
        <v>1806.1749467971056</v>
      </c>
      <c r="F425" s="3">
        <f t="shared" si="1"/>
        <v>15822092.533942644</v>
      </c>
      <c r="G425" s="3">
        <f t="shared" si="2"/>
        <v>4900834149003.9355</v>
      </c>
      <c r="H425" s="3">
        <f t="shared" si="3"/>
        <v>36327971.571428575</v>
      </c>
      <c r="I425" s="3">
        <f t="shared" si="4"/>
        <v>1089839.1471428573</v>
      </c>
      <c r="J425" s="3">
        <f t="shared" si="5"/>
        <v>4900838508360.5244</v>
      </c>
    </row>
    <row r="426" spans="1:10" x14ac:dyDescent="0.25">
      <c r="A426" s="3">
        <v>425</v>
      </c>
      <c r="B426" s="3">
        <v>15.442142857142857</v>
      </c>
      <c r="C426" s="3">
        <v>0.39868667917448403</v>
      </c>
      <c r="D426" s="3">
        <v>4544.6226428571426</v>
      </c>
      <c r="E426" s="3">
        <f t="shared" si="0"/>
        <v>1811.8805095818814</v>
      </c>
      <c r="F426" s="3">
        <f t="shared" si="1"/>
        <v>15872073.26393728</v>
      </c>
      <c r="G426" s="3">
        <f t="shared" si="2"/>
        <v>4916315503990.9043</v>
      </c>
      <c r="H426" s="3">
        <f t="shared" si="3"/>
        <v>36356981.142857142</v>
      </c>
      <c r="I426" s="3">
        <f t="shared" si="4"/>
        <v>1090709.4342857143</v>
      </c>
      <c r="J426" s="3">
        <f t="shared" si="5"/>
        <v>4916319866828.6416</v>
      </c>
    </row>
    <row r="427" spans="1:10" x14ac:dyDescent="0.25">
      <c r="A427" s="3">
        <v>426</v>
      </c>
      <c r="B427" s="3">
        <v>15.454464285714288</v>
      </c>
      <c r="C427" s="3">
        <v>0.39962476547842402</v>
      </c>
      <c r="D427" s="3">
        <v>4548.2488392857158</v>
      </c>
      <c r="E427" s="3">
        <f t="shared" si="0"/>
        <v>1817.5928757370684</v>
      </c>
      <c r="F427" s="3">
        <f t="shared" si="1"/>
        <v>15922113.591456719</v>
      </c>
      <c r="G427" s="3">
        <f t="shared" si="2"/>
        <v>4931815319105.3135</v>
      </c>
      <c r="H427" s="3">
        <f t="shared" si="3"/>
        <v>36385990.714285724</v>
      </c>
      <c r="I427" s="3">
        <f t="shared" si="4"/>
        <v>1091579.7214285717</v>
      </c>
      <c r="J427" s="3">
        <f t="shared" si="5"/>
        <v>4931819685424.1992</v>
      </c>
    </row>
    <row r="428" spans="1:10" x14ac:dyDescent="0.25">
      <c r="A428" s="3">
        <v>427</v>
      </c>
      <c r="B428" s="3">
        <v>15.464285714285715</v>
      </c>
      <c r="C428" s="3">
        <v>0.400562851782364</v>
      </c>
      <c r="D428" s="3">
        <v>4551.1392857142864</v>
      </c>
      <c r="E428" s="3">
        <f t="shared" si="0"/>
        <v>1823.0173311444657</v>
      </c>
      <c r="F428" s="3">
        <f t="shared" si="1"/>
        <v>15969631.820825519</v>
      </c>
      <c r="G428" s="3">
        <f t="shared" si="2"/>
        <v>4946533923735.9287</v>
      </c>
      <c r="H428" s="3">
        <f t="shared" si="3"/>
        <v>36409114.285714291</v>
      </c>
      <c r="I428" s="3">
        <f t="shared" si="4"/>
        <v>1092273.4285714286</v>
      </c>
      <c r="J428" s="3">
        <f t="shared" si="5"/>
        <v>4946538292829.6436</v>
      </c>
    </row>
    <row r="429" spans="1:10" x14ac:dyDescent="0.25">
      <c r="A429" s="3">
        <v>428</v>
      </c>
      <c r="B429" s="3">
        <v>15.47625</v>
      </c>
      <c r="C429" s="3">
        <v>0.40150093808630394</v>
      </c>
      <c r="D429" s="3">
        <v>4554.6603750000004</v>
      </c>
      <c r="E429" s="3">
        <f t="shared" si="0"/>
        <v>1828.700413227017</v>
      </c>
      <c r="F429" s="3">
        <f t="shared" si="1"/>
        <v>16019415.61986867</v>
      </c>
      <c r="G429" s="3">
        <f t="shared" si="2"/>
        <v>4961954280141.834</v>
      </c>
      <c r="H429" s="3">
        <f t="shared" si="3"/>
        <v>36437283</v>
      </c>
      <c r="I429" s="3">
        <f t="shared" si="4"/>
        <v>1093118.49</v>
      </c>
      <c r="J429" s="3">
        <f t="shared" si="5"/>
        <v>4961958652615.7939</v>
      </c>
    </row>
    <row r="430" spans="1:10" x14ac:dyDescent="0.25">
      <c r="A430" s="3">
        <v>429</v>
      </c>
      <c r="B430" s="3">
        <v>15.488035714285713</v>
      </c>
      <c r="C430" s="3">
        <v>0.40243902439024393</v>
      </c>
      <c r="D430" s="3">
        <v>4558.1289107142857</v>
      </c>
      <c r="E430" s="3">
        <f t="shared" si="0"/>
        <v>1834.3689518728224</v>
      </c>
      <c r="F430" s="3">
        <f t="shared" si="1"/>
        <v>16069072.018405924</v>
      </c>
      <c r="G430" s="3">
        <f t="shared" si="2"/>
        <v>4977335174731.5664</v>
      </c>
      <c r="H430" s="3">
        <f t="shared" si="3"/>
        <v>36465031.285714284</v>
      </c>
      <c r="I430" s="3">
        <f t="shared" si="4"/>
        <v>1093950.9385714284</v>
      </c>
      <c r="J430" s="3">
        <f t="shared" si="5"/>
        <v>4977339550535.3203</v>
      </c>
    </row>
    <row r="431" spans="1:10" x14ac:dyDescent="0.25">
      <c r="A431" s="3">
        <v>430</v>
      </c>
      <c r="B431" s="3">
        <v>15.509642857142856</v>
      </c>
      <c r="C431" s="3">
        <v>0.40337711069418386</v>
      </c>
      <c r="D431" s="3">
        <v>4564.4878928571425</v>
      </c>
      <c r="E431" s="3">
        <f t="shared" si="0"/>
        <v>1841.2099380192976</v>
      </c>
      <c r="F431" s="3">
        <f t="shared" si="1"/>
        <v>16128999.057049047</v>
      </c>
      <c r="G431" s="3">
        <f t="shared" si="2"/>
        <v>4995897361841.5361</v>
      </c>
      <c r="H431" s="3">
        <f t="shared" si="3"/>
        <v>36515903.142857142</v>
      </c>
      <c r="I431" s="3">
        <f t="shared" si="4"/>
        <v>1095477.0942857142</v>
      </c>
      <c r="J431" s="3">
        <f t="shared" si="5"/>
        <v>4995901743749.9141</v>
      </c>
    </row>
    <row r="432" spans="1:10" x14ac:dyDescent="0.25">
      <c r="A432" s="3">
        <v>431</v>
      </c>
      <c r="B432" s="3">
        <v>15.512857142857143</v>
      </c>
      <c r="C432" s="3">
        <v>0.40431519699812385</v>
      </c>
      <c r="D432" s="3">
        <v>4565.4338571428571</v>
      </c>
      <c r="E432" s="3">
        <f t="shared" si="0"/>
        <v>1845.8742893326187</v>
      </c>
      <c r="F432" s="3">
        <f t="shared" si="1"/>
        <v>16169858.774553739</v>
      </c>
      <c r="G432" s="3">
        <f t="shared" si="2"/>
        <v>5008553517289.3516</v>
      </c>
      <c r="H432" s="3">
        <f t="shared" si="3"/>
        <v>36523470.857142858</v>
      </c>
      <c r="I432" s="3">
        <f t="shared" si="4"/>
        <v>1095704.1257142858</v>
      </c>
      <c r="J432" s="3">
        <f t="shared" si="5"/>
        <v>5008557900105.8545</v>
      </c>
    </row>
    <row r="433" spans="1:10" x14ac:dyDescent="0.25">
      <c r="A433" s="3">
        <v>432</v>
      </c>
      <c r="B433" s="3">
        <v>15.535892857142859</v>
      </c>
      <c r="C433" s="3">
        <v>0.40525328330206378</v>
      </c>
      <c r="D433" s="3">
        <v>4572.2132678571434</v>
      </c>
      <c r="E433" s="3">
        <f t="shared" si="0"/>
        <v>1852.9044387563658</v>
      </c>
      <c r="F433" s="3">
        <f t="shared" si="1"/>
        <v>16231442.883505763</v>
      </c>
      <c r="G433" s="3">
        <f t="shared" si="2"/>
        <v>5027628975799.8984</v>
      </c>
      <c r="H433" s="3">
        <f t="shared" si="3"/>
        <v>36577706.142857149</v>
      </c>
      <c r="I433" s="3">
        <f t="shared" si="4"/>
        <v>1097331.1842857145</v>
      </c>
      <c r="J433" s="3">
        <f t="shared" si="5"/>
        <v>5027633365124.6357</v>
      </c>
    </row>
    <row r="434" spans="1:10" x14ac:dyDescent="0.25">
      <c r="A434" s="3">
        <v>433</v>
      </c>
      <c r="B434" s="3">
        <v>15.560714285714287</v>
      </c>
      <c r="C434" s="3">
        <v>0.40619136960600377</v>
      </c>
      <c r="D434" s="3">
        <v>4579.5182142857147</v>
      </c>
      <c r="E434" s="3">
        <f t="shared" si="0"/>
        <v>1860.1607755963551</v>
      </c>
      <c r="F434" s="3">
        <f t="shared" si="1"/>
        <v>16295008.39422407</v>
      </c>
      <c r="G434" s="3">
        <f t="shared" si="2"/>
        <v>5047318166158.7109</v>
      </c>
      <c r="H434" s="3">
        <f t="shared" si="3"/>
        <v>36636145.714285716</v>
      </c>
      <c r="I434" s="3">
        <f t="shared" si="4"/>
        <v>1099084.3714285714</v>
      </c>
      <c r="J434" s="3">
        <f t="shared" si="5"/>
        <v>5047322562496.1963</v>
      </c>
    </row>
    <row r="435" spans="1:10" x14ac:dyDescent="0.25">
      <c r="A435" s="3">
        <v>434</v>
      </c>
      <c r="B435" s="3">
        <v>15.592142857142859</v>
      </c>
      <c r="C435" s="3">
        <v>0.4071294559099437</v>
      </c>
      <c r="D435" s="3">
        <v>4588.767642857144</v>
      </c>
      <c r="E435" s="3">
        <f t="shared" si="0"/>
        <v>1868.2224737335839</v>
      </c>
      <c r="F435" s="3">
        <f t="shared" si="1"/>
        <v>16365628.869906196</v>
      </c>
      <c r="G435" s="3">
        <f t="shared" si="2"/>
        <v>5069192605678.4971</v>
      </c>
      <c r="H435" s="3">
        <f t="shared" si="3"/>
        <v>36710141.142857149</v>
      </c>
      <c r="I435" s="3">
        <f t="shared" si="4"/>
        <v>1101304.2342857143</v>
      </c>
      <c r="J435" s="3">
        <f t="shared" si="5"/>
        <v>5069197010895.4346</v>
      </c>
    </row>
    <row r="436" spans="1:10" x14ac:dyDescent="0.25">
      <c r="A436" s="3">
        <v>435</v>
      </c>
      <c r="B436" s="3">
        <v>15.597142857142858</v>
      </c>
      <c r="C436" s="3">
        <v>0.40806754221388369</v>
      </c>
      <c r="D436" s="3">
        <v>4590.2391428571436</v>
      </c>
      <c r="E436" s="3">
        <f t="shared" si="0"/>
        <v>1873.1276051996788</v>
      </c>
      <c r="F436" s="3">
        <f t="shared" si="1"/>
        <v>16408597.821549185</v>
      </c>
      <c r="G436" s="3">
        <f t="shared" si="2"/>
        <v>5082502088610.2373</v>
      </c>
      <c r="H436" s="3">
        <f t="shared" si="3"/>
        <v>36721913.142857149</v>
      </c>
      <c r="I436" s="3">
        <f t="shared" si="4"/>
        <v>1101657.3942857145</v>
      </c>
      <c r="J436" s="3">
        <f t="shared" si="5"/>
        <v>5082506495239.8145</v>
      </c>
    </row>
    <row r="437" spans="1:10" x14ac:dyDescent="0.25">
      <c r="A437" s="3">
        <v>436</v>
      </c>
      <c r="B437" s="3">
        <v>15.617321428571426</v>
      </c>
      <c r="C437" s="3">
        <v>0.40900562851782363</v>
      </c>
      <c r="D437" s="3">
        <v>4596.1776964285709</v>
      </c>
      <c r="E437" s="3">
        <f t="shared" si="0"/>
        <v>1879.8625475073704</v>
      </c>
      <c r="F437" s="3">
        <f t="shared" si="1"/>
        <v>16467595.916164566</v>
      </c>
      <c r="G437" s="3">
        <f t="shared" si="2"/>
        <v>5100776538920.0645</v>
      </c>
      <c r="H437" s="3">
        <f t="shared" si="3"/>
        <v>36769421.571428567</v>
      </c>
      <c r="I437" s="3">
        <f t="shared" si="4"/>
        <v>1103082.6471428571</v>
      </c>
      <c r="J437" s="3">
        <f t="shared" si="5"/>
        <v>5100780951250.6533</v>
      </c>
    </row>
    <row r="438" spans="1:10" x14ac:dyDescent="0.25">
      <c r="A438" s="3">
        <v>437</v>
      </c>
      <c r="B438" s="3">
        <v>15.623035714285717</v>
      </c>
      <c r="C438" s="3">
        <v>0.40994371482176362</v>
      </c>
      <c r="D438" s="3">
        <v>4597.8594107142872</v>
      </c>
      <c r="E438" s="3">
        <f t="shared" si="0"/>
        <v>1884.8635670564199</v>
      </c>
      <c r="F438" s="3">
        <f t="shared" si="1"/>
        <v>16511404.847414238</v>
      </c>
      <c r="G438" s="3">
        <f t="shared" si="2"/>
        <v>5114346202431.6396</v>
      </c>
      <c r="H438" s="3">
        <f t="shared" si="3"/>
        <v>36782875.285714298</v>
      </c>
      <c r="I438" s="3">
        <f t="shared" si="4"/>
        <v>1103486.2585714289</v>
      </c>
      <c r="J438" s="3">
        <f t="shared" si="5"/>
        <v>5114350616376.6738</v>
      </c>
    </row>
    <row r="439" spans="1:10" x14ac:dyDescent="0.25">
      <c r="A439" s="3">
        <v>438</v>
      </c>
      <c r="B439" s="3">
        <v>15.645535714285712</v>
      </c>
      <c r="C439" s="3">
        <v>0.41088180112570355</v>
      </c>
      <c r="D439" s="3">
        <v>4604.4811607142856</v>
      </c>
      <c r="E439" s="3">
        <f t="shared" si="0"/>
        <v>1891.8975125636557</v>
      </c>
      <c r="F439" s="3">
        <f t="shared" si="1"/>
        <v>16573022.210057626</v>
      </c>
      <c r="G439" s="3">
        <f t="shared" si="2"/>
        <v>5133431961309.5732</v>
      </c>
      <c r="H439" s="3">
        <f t="shared" si="3"/>
        <v>36835849.285714284</v>
      </c>
      <c r="I439" s="3">
        <f t="shared" si="4"/>
        <v>1105075.4785714285</v>
      </c>
      <c r="J439" s="3">
        <f t="shared" si="5"/>
        <v>5133436381611.4873</v>
      </c>
    </row>
    <row r="440" spans="1:10" x14ac:dyDescent="0.25">
      <c r="A440" s="3">
        <v>439</v>
      </c>
      <c r="B440" s="3">
        <v>15.650357142857143</v>
      </c>
      <c r="C440" s="3">
        <v>0.41181988742964354</v>
      </c>
      <c r="D440" s="3">
        <v>4605.9001071428575</v>
      </c>
      <c r="E440" s="3">
        <f t="shared" si="0"/>
        <v>1896.8012636357546</v>
      </c>
      <c r="F440" s="3">
        <f t="shared" si="1"/>
        <v>16615979.069449211</v>
      </c>
      <c r="G440" s="3">
        <f t="shared" si="2"/>
        <v>5146737698758.6621</v>
      </c>
      <c r="H440" s="3">
        <f t="shared" si="3"/>
        <v>36847200.857142858</v>
      </c>
      <c r="I440" s="3">
        <f t="shared" si="4"/>
        <v>1105416.0257142857</v>
      </c>
      <c r="J440" s="3">
        <f t="shared" si="5"/>
        <v>5146742120422.7646</v>
      </c>
    </row>
    <row r="441" spans="1:10" x14ac:dyDescent="0.25">
      <c r="A441" s="3">
        <v>440</v>
      </c>
      <c r="B441" s="3">
        <v>15.657857142857143</v>
      </c>
      <c r="C441" s="3">
        <v>0.41275797373358347</v>
      </c>
      <c r="D441" s="3">
        <v>4608.1073571428569</v>
      </c>
      <c r="E441" s="3">
        <f t="shared" si="0"/>
        <v>1902.0330554811042</v>
      </c>
      <c r="F441" s="3">
        <f t="shared" si="1"/>
        <v>16661809.566014472</v>
      </c>
      <c r="G441" s="3">
        <f t="shared" si="2"/>
        <v>5160933534639.1631</v>
      </c>
      <c r="H441" s="3">
        <f t="shared" si="3"/>
        <v>36864858.857142858</v>
      </c>
      <c r="I441" s="3">
        <f t="shared" si="4"/>
        <v>1105945.7657142857</v>
      </c>
      <c r="J441" s="3">
        <f t="shared" si="5"/>
        <v>5160937958422.2256</v>
      </c>
    </row>
    <row r="442" spans="1:10" x14ac:dyDescent="0.25">
      <c r="A442" s="3">
        <v>441</v>
      </c>
      <c r="B442" s="3">
        <v>15.668571428571427</v>
      </c>
      <c r="C442" s="3">
        <v>0.41369606003752346</v>
      </c>
      <c r="D442" s="3">
        <v>4611.2605714285719</v>
      </c>
      <c r="E442" s="3">
        <f t="shared" si="0"/>
        <v>1907.6603302063793</v>
      </c>
      <c r="F442" s="3">
        <f t="shared" si="1"/>
        <v>16711104.492607882</v>
      </c>
      <c r="G442" s="3">
        <f t="shared" si="2"/>
        <v>5176202464845.625</v>
      </c>
      <c r="H442" s="3">
        <f t="shared" si="3"/>
        <v>36890084.571428575</v>
      </c>
      <c r="I442" s="3">
        <f t="shared" si="4"/>
        <v>1106702.5371428572</v>
      </c>
      <c r="J442" s="3">
        <f t="shared" si="5"/>
        <v>5176206891655.7734</v>
      </c>
    </row>
    <row r="443" spans="1:10" x14ac:dyDescent="0.25">
      <c r="A443" s="3">
        <v>442</v>
      </c>
      <c r="B443" s="3">
        <v>15.683392857142858</v>
      </c>
      <c r="C443" s="3">
        <v>0.41463414634146339</v>
      </c>
      <c r="D443" s="3">
        <v>4615.6225178571431</v>
      </c>
      <c r="E443" s="3">
        <f t="shared" si="0"/>
        <v>1913.7947025261324</v>
      </c>
      <c r="F443" s="3">
        <f t="shared" si="1"/>
        <v>16764841.594128918</v>
      </c>
      <c r="G443" s="3">
        <f t="shared" si="2"/>
        <v>5192847342230.9951</v>
      </c>
      <c r="H443" s="3">
        <f t="shared" si="3"/>
        <v>36924980.142857142</v>
      </c>
      <c r="I443" s="3">
        <f t="shared" si="4"/>
        <v>1107749.4042857143</v>
      </c>
      <c r="J443" s="3">
        <f t="shared" si="5"/>
        <v>5192851773228.6123</v>
      </c>
    </row>
    <row r="444" spans="1:10" x14ac:dyDescent="0.25">
      <c r="A444" s="3">
        <v>443</v>
      </c>
      <c r="B444" s="3">
        <v>15.704285714285712</v>
      </c>
      <c r="C444" s="3">
        <v>0.41557223264540338</v>
      </c>
      <c r="D444" s="3">
        <v>4621.7712857142851</v>
      </c>
      <c r="E444" s="3">
        <f t="shared" si="0"/>
        <v>1920.679811980702</v>
      </c>
      <c r="F444" s="3">
        <f t="shared" si="1"/>
        <v>16825155.15295095</v>
      </c>
      <c r="G444" s="3">
        <f t="shared" si="2"/>
        <v>5211529252833.0371</v>
      </c>
      <c r="H444" s="3">
        <f t="shared" si="3"/>
        <v>36974170.285714284</v>
      </c>
      <c r="I444" s="3">
        <f t="shared" si="4"/>
        <v>1109225.1085714286</v>
      </c>
      <c r="J444" s="3">
        <f t="shared" si="5"/>
        <v>5211533689733.4717</v>
      </c>
    </row>
    <row r="445" spans="1:10" x14ac:dyDescent="0.25">
      <c r="A445" s="3">
        <v>444</v>
      </c>
      <c r="B445" s="3">
        <v>15.711607142857146</v>
      </c>
      <c r="C445" s="3">
        <v>0.41651031894934332</v>
      </c>
      <c r="D445" s="3">
        <v>4623.9259821428577</v>
      </c>
      <c r="E445" s="3">
        <f t="shared" si="0"/>
        <v>1925.9128856204773</v>
      </c>
      <c r="F445" s="3">
        <f t="shared" si="1"/>
        <v>16870996.878035381</v>
      </c>
      <c r="G445" s="3">
        <f t="shared" si="2"/>
        <v>5225728566759.0156</v>
      </c>
      <c r="H445" s="3">
        <f t="shared" si="3"/>
        <v>36991407.857142858</v>
      </c>
      <c r="I445" s="3">
        <f t="shared" si="4"/>
        <v>1109742.2357142856</v>
      </c>
      <c r="J445" s="3">
        <f t="shared" si="5"/>
        <v>5225733005727.958</v>
      </c>
    </row>
    <row r="446" spans="1:10" x14ac:dyDescent="0.25">
      <c r="A446" s="3">
        <v>445</v>
      </c>
      <c r="B446" s="3">
        <v>15.763035714285712</v>
      </c>
      <c r="C446" s="3">
        <v>0.41744840525328331</v>
      </c>
      <c r="D446" s="3">
        <v>4639.0614107142856</v>
      </c>
      <c r="E446" s="3">
        <f t="shared" si="0"/>
        <v>1936.5687877747253</v>
      </c>
      <c r="F446" s="3">
        <f t="shared" si="1"/>
        <v>16964342.580906592</v>
      </c>
      <c r="G446" s="3">
        <f t="shared" si="2"/>
        <v>5254642061250.6338</v>
      </c>
      <c r="H446" s="3">
        <f t="shared" si="3"/>
        <v>37112491.285714284</v>
      </c>
      <c r="I446" s="3">
        <f t="shared" si="4"/>
        <v>1113374.7385714285</v>
      </c>
      <c r="J446" s="3">
        <f t="shared" si="5"/>
        <v>5254646514749.5879</v>
      </c>
    </row>
    <row r="447" spans="1:10" x14ac:dyDescent="0.25">
      <c r="A447" s="3">
        <v>446</v>
      </c>
      <c r="B447" s="3">
        <v>15.765714285714285</v>
      </c>
      <c r="C447" s="3">
        <v>0.41838649155722324</v>
      </c>
      <c r="D447" s="3">
        <v>4639.8497142857141</v>
      </c>
      <c r="E447" s="3">
        <f t="shared" si="0"/>
        <v>1941.2504433127845</v>
      </c>
      <c r="F447" s="3">
        <f t="shared" si="1"/>
        <v>17005353.883419994</v>
      </c>
      <c r="G447" s="3">
        <f t="shared" si="2"/>
        <v>5267345169782.6328</v>
      </c>
      <c r="H447" s="3">
        <f t="shared" si="3"/>
        <v>37118797.714285709</v>
      </c>
      <c r="I447" s="3">
        <f t="shared" si="4"/>
        <v>1113563.9314285712</v>
      </c>
      <c r="J447" s="3">
        <f t="shared" si="5"/>
        <v>5267349624038.3584</v>
      </c>
    </row>
    <row r="448" spans="1:10" x14ac:dyDescent="0.25">
      <c r="A448" s="3">
        <v>447</v>
      </c>
      <c r="B448" s="3">
        <v>15.78875</v>
      </c>
      <c r="C448" s="3">
        <v>0.41932457786116323</v>
      </c>
      <c r="D448" s="3">
        <v>4646.6291250000004</v>
      </c>
      <c r="E448" s="3">
        <f t="shared" si="0"/>
        <v>1948.4457963180114</v>
      </c>
      <c r="F448" s="3">
        <f t="shared" si="1"/>
        <v>17068385.175745782</v>
      </c>
      <c r="G448" s="3">
        <f t="shared" si="2"/>
        <v>5286868888344.2178</v>
      </c>
      <c r="H448" s="3">
        <f t="shared" si="3"/>
        <v>37173033</v>
      </c>
      <c r="I448" s="3">
        <f t="shared" si="4"/>
        <v>1115190.99</v>
      </c>
      <c r="J448" s="3">
        <f t="shared" si="5"/>
        <v>5286873349108.1777</v>
      </c>
    </row>
    <row r="449" spans="1:10" x14ac:dyDescent="0.25">
      <c r="A449" s="3">
        <v>448</v>
      </c>
      <c r="B449" s="3">
        <v>15.865892857142857</v>
      </c>
      <c r="C449" s="3">
        <v>0.42026266416510322</v>
      </c>
      <c r="D449" s="3">
        <v>4669.3322678571431</v>
      </c>
      <c r="E449" s="3">
        <f t="shared" si="0"/>
        <v>1962.3460187617263</v>
      </c>
      <c r="F449" s="3">
        <f t="shared" si="1"/>
        <v>17190151.124352723</v>
      </c>
      <c r="G449" s="3">
        <f t="shared" si="2"/>
        <v>5324585448515.8252</v>
      </c>
      <c r="H449" s="3">
        <f t="shared" si="3"/>
        <v>37354658.142857142</v>
      </c>
      <c r="I449" s="3">
        <f t="shared" si="4"/>
        <v>1120639.7442857141</v>
      </c>
      <c r="J449" s="3">
        <f t="shared" si="5"/>
        <v>5324589931074.8018</v>
      </c>
    </row>
    <row r="450" spans="1:10" x14ac:dyDescent="0.25">
      <c r="A450" s="3">
        <v>449</v>
      </c>
      <c r="B450" s="3">
        <v>15.907678571428573</v>
      </c>
      <c r="C450" s="3">
        <v>0.42120075046904315</v>
      </c>
      <c r="D450" s="3">
        <v>4681.629803571429</v>
      </c>
      <c r="E450" s="3">
        <f t="shared" si="0"/>
        <v>1971.9059866825251</v>
      </c>
      <c r="F450" s="3">
        <f t="shared" si="1"/>
        <v>17273896.443338919</v>
      </c>
      <c r="G450" s="3">
        <f t="shared" si="2"/>
        <v>5350525259985.9043</v>
      </c>
      <c r="H450" s="3">
        <f t="shared" si="3"/>
        <v>37453038.428571433</v>
      </c>
      <c r="I450" s="3">
        <f t="shared" si="4"/>
        <v>1123591.152857143</v>
      </c>
      <c r="J450" s="3">
        <f t="shared" si="5"/>
        <v>5350529754350.5166</v>
      </c>
    </row>
    <row r="451" spans="1:10" x14ac:dyDescent="0.25">
      <c r="A451" s="3">
        <v>450</v>
      </c>
      <c r="B451" s="3">
        <v>15.911249999999999</v>
      </c>
      <c r="C451" s="3">
        <v>0.42213883677298314</v>
      </c>
      <c r="D451" s="3">
        <v>4682.680875</v>
      </c>
      <c r="E451" s="3">
        <f t="shared" si="0"/>
        <v>1976.741457551595</v>
      </c>
      <c r="F451" s="3">
        <f t="shared" si="1"/>
        <v>17316255.168151971</v>
      </c>
      <c r="G451" s="3">
        <f t="shared" si="2"/>
        <v>5363645727668.5811</v>
      </c>
      <c r="H451" s="3">
        <f t="shared" si="3"/>
        <v>37461447</v>
      </c>
      <c r="I451" s="3">
        <f t="shared" si="4"/>
        <v>1123843.4099999999</v>
      </c>
      <c r="J451" s="3">
        <f t="shared" si="5"/>
        <v>5363650223042.2217</v>
      </c>
    </row>
    <row r="452" spans="1:10" x14ac:dyDescent="0.25">
      <c r="A452" s="3">
        <v>451</v>
      </c>
      <c r="B452" s="3">
        <v>15.925714285714285</v>
      </c>
      <c r="C452" s="3">
        <v>0.42307692307692307</v>
      </c>
      <c r="D452" s="3">
        <v>4686.9377142857138</v>
      </c>
      <c r="E452" s="3">
        <f t="shared" si="0"/>
        <v>1982.9351868131866</v>
      </c>
      <c r="F452" s="3">
        <f t="shared" si="1"/>
        <v>17370512.236483514</v>
      </c>
      <c r="G452" s="3">
        <f t="shared" si="2"/>
        <v>5380451663078.2949</v>
      </c>
      <c r="H452" s="3">
        <f t="shared" si="3"/>
        <v>37495501.714285709</v>
      </c>
      <c r="I452" s="3">
        <f t="shared" si="4"/>
        <v>1124865.0514285713</v>
      </c>
      <c r="J452" s="3">
        <f t="shared" si="5"/>
        <v>5380456162538.501</v>
      </c>
    </row>
    <row r="453" spans="1:10" x14ac:dyDescent="0.25">
      <c r="A453" s="3">
        <v>452</v>
      </c>
      <c r="B453" s="3">
        <v>15.949821428571431</v>
      </c>
      <c r="C453" s="3">
        <v>0.42401500938086306</v>
      </c>
      <c r="D453" s="3">
        <v>4694.0324464285732</v>
      </c>
      <c r="E453" s="3">
        <f t="shared" si="0"/>
        <v>1990.3402118064871</v>
      </c>
      <c r="F453" s="3">
        <f t="shared" si="1"/>
        <v>17435380.255424827</v>
      </c>
      <c r="G453" s="3">
        <f t="shared" si="2"/>
        <v>5400544301061.7529</v>
      </c>
      <c r="H453" s="3">
        <f t="shared" si="3"/>
        <v>37552259.571428582</v>
      </c>
      <c r="I453" s="3">
        <f t="shared" si="4"/>
        <v>1126567.7871428574</v>
      </c>
      <c r="J453" s="3">
        <f t="shared" si="5"/>
        <v>5400548807332.9014</v>
      </c>
    </row>
    <row r="454" spans="1:10" x14ac:dyDescent="0.25">
      <c r="A454" s="3">
        <v>453</v>
      </c>
      <c r="B454" s="3">
        <v>15.980178571428572</v>
      </c>
      <c r="C454" s="3">
        <v>0.424953095684803</v>
      </c>
      <c r="D454" s="3">
        <v>4702.9665535714294</v>
      </c>
      <c r="E454" s="3">
        <f t="shared" si="0"/>
        <v>1998.5401958422678</v>
      </c>
      <c r="F454" s="3">
        <f t="shared" si="1"/>
        <v>17507212.115578264</v>
      </c>
      <c r="G454" s="3">
        <f t="shared" si="2"/>
        <v>5422793963039.7686</v>
      </c>
      <c r="H454" s="3">
        <f t="shared" si="3"/>
        <v>37623732.428571433</v>
      </c>
      <c r="I454" s="3">
        <f t="shared" si="4"/>
        <v>1128711.972857143</v>
      </c>
      <c r="J454" s="3">
        <f t="shared" si="5"/>
        <v>5422798477887.6602</v>
      </c>
    </row>
    <row r="455" spans="1:10" x14ac:dyDescent="0.25">
      <c r="A455" s="3">
        <v>454</v>
      </c>
      <c r="B455" s="3">
        <v>16.001249999999999</v>
      </c>
      <c r="C455" s="3">
        <v>0.42589118198874298</v>
      </c>
      <c r="D455" s="3">
        <v>4709.1678750000001</v>
      </c>
      <c r="E455" s="3">
        <f t="shared" si="0"/>
        <v>2005.5930724671671</v>
      </c>
      <c r="F455" s="3">
        <f t="shared" si="1"/>
        <v>17568995.314812385</v>
      </c>
      <c r="G455" s="3">
        <f t="shared" si="2"/>
        <v>5441931089632.4463</v>
      </c>
      <c r="H455" s="3">
        <f t="shared" si="3"/>
        <v>37673343</v>
      </c>
      <c r="I455" s="3">
        <f t="shared" si="4"/>
        <v>1130200.29</v>
      </c>
      <c r="J455" s="3">
        <f t="shared" si="5"/>
        <v>5441935610433.6064</v>
      </c>
    </row>
    <row r="456" spans="1:10" x14ac:dyDescent="0.25">
      <c r="A456" s="3">
        <v>455</v>
      </c>
      <c r="B456" s="3">
        <v>16.037321428571428</v>
      </c>
      <c r="C456" s="3">
        <v>0.42682926829268292</v>
      </c>
      <c r="D456" s="3">
        <v>4719.7836964285716</v>
      </c>
      <c r="E456" s="3">
        <f t="shared" si="0"/>
        <v>2014.5418216463415</v>
      </c>
      <c r="F456" s="3">
        <f t="shared" si="1"/>
        <v>17647386.357621953</v>
      </c>
      <c r="G456" s="3">
        <f t="shared" si="2"/>
        <v>5466212434166.4619</v>
      </c>
      <c r="H456" s="3">
        <f t="shared" si="3"/>
        <v>37758269.571428575</v>
      </c>
      <c r="I456" s="3">
        <f t="shared" si="4"/>
        <v>1132748.0871428573</v>
      </c>
      <c r="J456" s="3">
        <f t="shared" si="5"/>
        <v>5466216965158.8105</v>
      </c>
    </row>
    <row r="457" spans="1:10" x14ac:dyDescent="0.25">
      <c r="A457" s="3">
        <v>456</v>
      </c>
      <c r="B457" s="3">
        <v>16.071071428571432</v>
      </c>
      <c r="C457" s="3">
        <v>0.42776735459662291</v>
      </c>
      <c r="D457" s="3">
        <v>4729.7163214285729</v>
      </c>
      <c r="E457" s="3">
        <f t="shared" si="0"/>
        <v>2023.2182388099711</v>
      </c>
      <c r="F457" s="3">
        <f t="shared" si="1"/>
        <v>17723391.771975346</v>
      </c>
      <c r="G457" s="3">
        <f t="shared" si="2"/>
        <v>5489754839182.6895</v>
      </c>
      <c r="H457" s="3">
        <f t="shared" si="3"/>
        <v>37837730.571428582</v>
      </c>
      <c r="I457" s="3">
        <f t="shared" si="4"/>
        <v>1135131.9171428573</v>
      </c>
      <c r="J457" s="3">
        <f t="shared" si="5"/>
        <v>5489759379710.3574</v>
      </c>
    </row>
    <row r="458" spans="1:10" x14ac:dyDescent="0.25">
      <c r="A458" s="3">
        <v>457</v>
      </c>
      <c r="B458" s="3">
        <v>16.14517857142857</v>
      </c>
      <c r="C458" s="3">
        <v>0.42870544090056284</v>
      </c>
      <c r="D458" s="3">
        <v>4751.5260535714278</v>
      </c>
      <c r="E458" s="3">
        <f t="shared" si="0"/>
        <v>2037.0050717468503</v>
      </c>
      <c r="F458" s="3">
        <f t="shared" si="1"/>
        <v>17844164.428502407</v>
      </c>
      <c r="G458" s="3">
        <f t="shared" si="2"/>
        <v>5527163731421.3408</v>
      </c>
      <c r="H458" s="3">
        <f t="shared" si="3"/>
        <v>38012208.428571425</v>
      </c>
      <c r="I458" s="3">
        <f t="shared" si="4"/>
        <v>1140366.2528571428</v>
      </c>
      <c r="J458" s="3">
        <f t="shared" si="5"/>
        <v>5527168292886.3525</v>
      </c>
    </row>
    <row r="459" spans="1:10" x14ac:dyDescent="0.25">
      <c r="A459" s="3">
        <v>458</v>
      </c>
      <c r="B459" s="3">
        <v>16.187857142857144</v>
      </c>
      <c r="C459" s="3">
        <v>0.42964352720450283</v>
      </c>
      <c r="D459" s="3">
        <v>4764.0863571428572</v>
      </c>
      <c r="E459" s="3">
        <f t="shared" si="0"/>
        <v>2046.8588663897081</v>
      </c>
      <c r="F459" s="3">
        <f t="shared" si="1"/>
        <v>17930483.669573843</v>
      </c>
      <c r="G459" s="3">
        <f t="shared" si="2"/>
        <v>5553900806114.0059</v>
      </c>
      <c r="H459" s="3">
        <f t="shared" si="3"/>
        <v>38112690.857142858</v>
      </c>
      <c r="I459" s="3">
        <f t="shared" si="4"/>
        <v>1143380.7257142856</v>
      </c>
      <c r="J459" s="3">
        <f t="shared" si="5"/>
        <v>5553905379636.9082</v>
      </c>
    </row>
    <row r="460" spans="1:10" x14ac:dyDescent="0.25">
      <c r="A460" s="3">
        <v>459</v>
      </c>
      <c r="B460" s="3">
        <v>16.196785714285717</v>
      </c>
      <c r="C460" s="3">
        <v>0.43058161350844276</v>
      </c>
      <c r="D460" s="3">
        <v>4766.7140357142871</v>
      </c>
      <c r="E460" s="3">
        <f t="shared" si="0"/>
        <v>2052.4594206311986</v>
      </c>
      <c r="F460" s="3">
        <f t="shared" si="1"/>
        <v>17979544.5247293</v>
      </c>
      <c r="G460" s="3">
        <f t="shared" si="2"/>
        <v>5569097234005.627</v>
      </c>
      <c r="H460" s="3">
        <f t="shared" si="3"/>
        <v>38133712.285714298</v>
      </c>
      <c r="I460" s="3">
        <f t="shared" si="4"/>
        <v>1144011.3685714288</v>
      </c>
      <c r="J460" s="3">
        <f t="shared" si="5"/>
        <v>5569101810051.1006</v>
      </c>
    </row>
    <row r="461" spans="1:10" x14ac:dyDescent="0.25">
      <c r="A461" s="3">
        <v>460</v>
      </c>
      <c r="B461" s="3">
        <v>16.210714285714282</v>
      </c>
      <c r="C461" s="3">
        <v>0.43151969981238275</v>
      </c>
      <c r="D461" s="3">
        <v>4770.8132142857139</v>
      </c>
      <c r="E461" s="3">
        <f t="shared" si="0"/>
        <v>2058.6998860895201</v>
      </c>
      <c r="F461" s="3">
        <f t="shared" si="1"/>
        <v>18034211.002144195</v>
      </c>
      <c r="G461" s="3">
        <f t="shared" si="2"/>
        <v>5586029982616.0459</v>
      </c>
      <c r="H461" s="3">
        <f t="shared" si="3"/>
        <v>38166505.714285709</v>
      </c>
      <c r="I461" s="3">
        <f t="shared" si="4"/>
        <v>1144995.1714285712</v>
      </c>
      <c r="J461" s="3">
        <f t="shared" si="5"/>
        <v>5586034562596.7324</v>
      </c>
    </row>
    <row r="462" spans="1:10" x14ac:dyDescent="0.25">
      <c r="A462" s="3">
        <v>461</v>
      </c>
      <c r="B462" s="3">
        <v>16.212857142857143</v>
      </c>
      <c r="C462" s="3">
        <v>0.43245778611632268</v>
      </c>
      <c r="D462" s="3">
        <v>4771.4438571428573</v>
      </c>
      <c r="E462" s="3">
        <f t="shared" si="0"/>
        <v>2063.4480470383273</v>
      </c>
      <c r="F462" s="3">
        <f t="shared" si="1"/>
        <v>18075804.892055746</v>
      </c>
      <c r="G462" s="3">
        <f t="shared" si="2"/>
        <v>5598913545733.5527</v>
      </c>
      <c r="H462" s="3">
        <f t="shared" si="3"/>
        <v>38171550.857142858</v>
      </c>
      <c r="I462" s="3">
        <f t="shared" si="4"/>
        <v>1145146.5257142857</v>
      </c>
      <c r="J462" s="3">
        <f t="shared" si="5"/>
        <v>5598918126319.6553</v>
      </c>
    </row>
    <row r="463" spans="1:10" x14ac:dyDescent="0.25">
      <c r="A463" s="3">
        <v>462</v>
      </c>
      <c r="B463" s="3">
        <v>16.22</v>
      </c>
      <c r="C463" s="3">
        <v>0.43339587242026267</v>
      </c>
      <c r="D463" s="3">
        <v>4773.5460000000003</v>
      </c>
      <c r="E463" s="3">
        <f t="shared" si="0"/>
        <v>2068.8351332082552</v>
      </c>
      <c r="F463" s="3">
        <f t="shared" si="1"/>
        <v>18122995.766904317</v>
      </c>
      <c r="G463" s="3">
        <f t="shared" si="2"/>
        <v>5613530754189.0752</v>
      </c>
      <c r="H463" s="3">
        <f t="shared" si="3"/>
        <v>38188368</v>
      </c>
      <c r="I463" s="3">
        <f t="shared" si="4"/>
        <v>1145651.04</v>
      </c>
      <c r="J463" s="3">
        <f t="shared" si="5"/>
        <v>5613535336793.2354</v>
      </c>
    </row>
    <row r="464" spans="1:10" x14ac:dyDescent="0.25">
      <c r="A464" s="3">
        <v>463</v>
      </c>
      <c r="B464" s="3">
        <v>16.239285714285714</v>
      </c>
      <c r="C464" s="3">
        <v>0.43433395872420261</v>
      </c>
      <c r="D464" s="3">
        <v>4779.221785714285</v>
      </c>
      <c r="E464" s="3">
        <f t="shared" si="0"/>
        <v>2075.7783178102381</v>
      </c>
      <c r="F464" s="3">
        <f t="shared" si="1"/>
        <v>18183818.064017687</v>
      </c>
      <c r="G464" s="3">
        <f t="shared" si="2"/>
        <v>5632370245173.5957</v>
      </c>
      <c r="H464" s="3">
        <f t="shared" si="3"/>
        <v>38233774.285714284</v>
      </c>
      <c r="I464" s="3">
        <f t="shared" si="4"/>
        <v>1147013.2285714285</v>
      </c>
      <c r="J464" s="3">
        <f t="shared" si="5"/>
        <v>5632374833226.5098</v>
      </c>
    </row>
    <row r="465" spans="1:10" x14ac:dyDescent="0.25">
      <c r="A465" s="3">
        <v>464</v>
      </c>
      <c r="B465" s="3">
        <v>16.309107142857144</v>
      </c>
      <c r="C465" s="3">
        <v>0.4352720450281426</v>
      </c>
      <c r="D465" s="3">
        <v>4799.7702321428569</v>
      </c>
      <c r="E465" s="3">
        <f t="shared" si="0"/>
        <v>2089.2058046100242</v>
      </c>
      <c r="F465" s="3">
        <f t="shared" si="1"/>
        <v>18301442.84838381</v>
      </c>
      <c r="G465" s="3">
        <f t="shared" si="2"/>
        <v>5668804096094.8809</v>
      </c>
      <c r="H465" s="3">
        <f t="shared" si="3"/>
        <v>38398161.857142858</v>
      </c>
      <c r="I465" s="3">
        <f t="shared" si="4"/>
        <v>1151944.8557142857</v>
      </c>
      <c r="J465" s="3">
        <f t="shared" si="5"/>
        <v>5668808703874.3037</v>
      </c>
    </row>
    <row r="466" spans="1:10" x14ac:dyDescent="0.25">
      <c r="A466" s="3">
        <v>465</v>
      </c>
      <c r="B466" s="3">
        <v>16.315535714285712</v>
      </c>
      <c r="C466" s="3">
        <v>0.43621013133208253</v>
      </c>
      <c r="D466" s="3">
        <v>4801.6621607142852</v>
      </c>
      <c r="E466" s="3">
        <f t="shared" si="0"/>
        <v>2094.5336817374696</v>
      </c>
      <c r="F466" s="3">
        <f t="shared" si="1"/>
        <v>18348115.052020233</v>
      </c>
      <c r="G466" s="3">
        <f t="shared" si="2"/>
        <v>5683260648135.8848</v>
      </c>
      <c r="H466" s="3">
        <f t="shared" si="3"/>
        <v>38413297.285714284</v>
      </c>
      <c r="I466" s="3">
        <f t="shared" si="4"/>
        <v>1152398.9185714284</v>
      </c>
      <c r="J466" s="3">
        <f t="shared" si="5"/>
        <v>5683265257731.5596</v>
      </c>
    </row>
    <row r="467" spans="1:10" x14ac:dyDescent="0.25">
      <c r="A467" s="3">
        <v>466</v>
      </c>
      <c r="B467" s="3">
        <v>16.366428571428575</v>
      </c>
      <c r="C467" s="3">
        <v>0.43714821763602252</v>
      </c>
      <c r="D467" s="3">
        <v>4816.6399285714288</v>
      </c>
      <c r="E467" s="3">
        <f t="shared" si="0"/>
        <v>2105.585559769499</v>
      </c>
      <c r="F467" s="3">
        <f t="shared" si="1"/>
        <v>18444929.503580812</v>
      </c>
      <c r="G467" s="3">
        <f t="shared" si="2"/>
        <v>5713248575703.3398</v>
      </c>
      <c r="H467" s="3">
        <f t="shared" si="3"/>
        <v>38533119.428571433</v>
      </c>
      <c r="I467" s="3">
        <f t="shared" si="4"/>
        <v>1155993.5828571429</v>
      </c>
      <c r="J467" s="3">
        <f t="shared" si="5"/>
        <v>5713253199677.6719</v>
      </c>
    </row>
    <row r="468" spans="1:10" x14ac:dyDescent="0.25">
      <c r="A468" s="3">
        <v>467</v>
      </c>
      <c r="B468" s="3">
        <v>16.371964285714284</v>
      </c>
      <c r="C468" s="3">
        <v>0.43808630393996245</v>
      </c>
      <c r="D468" s="3">
        <v>4818.2690892857136</v>
      </c>
      <c r="E468" s="3">
        <f t="shared" si="0"/>
        <v>2110.8176967133472</v>
      </c>
      <c r="F468" s="3">
        <f t="shared" si="1"/>
        <v>18490763.02320892</v>
      </c>
      <c r="G468" s="3">
        <f t="shared" si="2"/>
        <v>5727445348522.0811</v>
      </c>
      <c r="H468" s="3">
        <f t="shared" si="3"/>
        <v>38546152.714285709</v>
      </c>
      <c r="I468" s="3">
        <f t="shared" si="4"/>
        <v>1156384.5814285711</v>
      </c>
      <c r="J468" s="3">
        <f t="shared" si="5"/>
        <v>5727449974060.4063</v>
      </c>
    </row>
    <row r="469" spans="1:10" x14ac:dyDescent="0.25">
      <c r="A469" s="3">
        <v>468</v>
      </c>
      <c r="B469" s="3">
        <v>16.438035714285714</v>
      </c>
      <c r="C469" s="3">
        <v>0.43902439024390244</v>
      </c>
      <c r="D469" s="3">
        <v>4837.7139107142857</v>
      </c>
      <c r="E469" s="3">
        <f t="shared" si="0"/>
        <v>2123.8743998257842</v>
      </c>
      <c r="F469" s="3">
        <f t="shared" si="1"/>
        <v>18605139.742473871</v>
      </c>
      <c r="G469" s="3">
        <f t="shared" si="2"/>
        <v>5762873123557.5029</v>
      </c>
      <c r="H469" s="3">
        <f t="shared" si="3"/>
        <v>38701711.285714284</v>
      </c>
      <c r="I469" s="3">
        <f t="shared" si="4"/>
        <v>1161051.3385714286</v>
      </c>
      <c r="J469" s="3">
        <f t="shared" si="5"/>
        <v>5762877767762.8574</v>
      </c>
    </row>
    <row r="470" spans="1:10" x14ac:dyDescent="0.25">
      <c r="A470" s="3">
        <v>469</v>
      </c>
      <c r="B470" s="3">
        <v>16.446607142857143</v>
      </c>
      <c r="C470" s="3">
        <v>0.43996247654784237</v>
      </c>
      <c r="D470" s="3">
        <v>4840.2364821428573</v>
      </c>
      <c r="E470" s="3">
        <f t="shared" si="0"/>
        <v>2129.5224297607879</v>
      </c>
      <c r="F470" s="3">
        <f t="shared" si="1"/>
        <v>18654616.484704502</v>
      </c>
      <c r="G470" s="3">
        <f t="shared" si="2"/>
        <v>5778198371134.9678</v>
      </c>
      <c r="H470" s="3">
        <f t="shared" si="3"/>
        <v>38721891.857142858</v>
      </c>
      <c r="I470" s="3">
        <f t="shared" si="4"/>
        <v>1161656.7557142857</v>
      </c>
      <c r="J470" s="3">
        <f t="shared" si="5"/>
        <v>5778203017761.9912</v>
      </c>
    </row>
    <row r="471" spans="1:10" x14ac:dyDescent="0.25">
      <c r="A471" s="3">
        <v>470</v>
      </c>
      <c r="B471" s="3">
        <v>16.524999999999999</v>
      </c>
      <c r="C471" s="3">
        <v>0.44090056285178236</v>
      </c>
      <c r="D471" s="3">
        <v>4863.3074999999999</v>
      </c>
      <c r="E471" s="3">
        <f t="shared" si="0"/>
        <v>2144.2350140712947</v>
      </c>
      <c r="F471" s="3">
        <f t="shared" si="1"/>
        <v>18783498.723264541</v>
      </c>
      <c r="G471" s="3">
        <f t="shared" si="2"/>
        <v>5818119177184.6885</v>
      </c>
      <c r="H471" s="3">
        <f t="shared" si="3"/>
        <v>38906460</v>
      </c>
      <c r="I471" s="3">
        <f t="shared" si="4"/>
        <v>1167193.8</v>
      </c>
      <c r="J471" s="3">
        <f t="shared" si="5"/>
        <v>5818123845959.8887</v>
      </c>
    </row>
    <row r="472" spans="1:10" x14ac:dyDescent="0.25">
      <c r="A472" s="3">
        <v>471</v>
      </c>
      <c r="B472" s="3">
        <v>16.525535714285716</v>
      </c>
      <c r="C472" s="3">
        <v>0.44183864915572235</v>
      </c>
      <c r="D472" s="3">
        <v>4863.4651607142869</v>
      </c>
      <c r="E472" s="3">
        <f t="shared" si="0"/>
        <v>2148.8668768259186</v>
      </c>
      <c r="F472" s="3">
        <f t="shared" si="1"/>
        <v>18824073.840995047</v>
      </c>
      <c r="G472" s="3">
        <f t="shared" si="2"/>
        <v>5830687179592.3086</v>
      </c>
      <c r="H472" s="3">
        <f t="shared" si="3"/>
        <v>38907721.285714298</v>
      </c>
      <c r="I472" s="3">
        <f t="shared" si="4"/>
        <v>1167231.6385714288</v>
      </c>
      <c r="J472" s="3">
        <f t="shared" si="5"/>
        <v>5830691848518.8633</v>
      </c>
    </row>
    <row r="473" spans="1:10" x14ac:dyDescent="0.25">
      <c r="A473" s="3">
        <v>472</v>
      </c>
      <c r="B473" s="3">
        <v>16.548750000000002</v>
      </c>
      <c r="C473" s="3">
        <v>0.44277673545966229</v>
      </c>
      <c r="D473" s="3">
        <v>4870.297125000001</v>
      </c>
      <c r="E473" s="3">
        <f t="shared" si="0"/>
        <v>2156.454261726079</v>
      </c>
      <c r="F473" s="3">
        <f t="shared" si="1"/>
        <v>18890539.332720451</v>
      </c>
      <c r="G473" s="3">
        <f t="shared" si="2"/>
        <v>5851274629504.7686</v>
      </c>
      <c r="H473" s="3">
        <f t="shared" si="3"/>
        <v>38962377.000000007</v>
      </c>
      <c r="I473" s="3">
        <f t="shared" si="4"/>
        <v>1168871.3100000003</v>
      </c>
      <c r="J473" s="3">
        <f t="shared" si="5"/>
        <v>5851279304990.0078</v>
      </c>
    </row>
    <row r="474" spans="1:10" x14ac:dyDescent="0.25">
      <c r="A474" s="3">
        <v>473</v>
      </c>
      <c r="B474" s="3">
        <v>16.581428571428575</v>
      </c>
      <c r="C474" s="3">
        <v>0.44371482176360227</v>
      </c>
      <c r="D474" s="3">
        <v>4879.9144285714301</v>
      </c>
      <c r="E474" s="3">
        <f t="shared" si="0"/>
        <v>2165.2903608952033</v>
      </c>
      <c r="F474" s="3">
        <f t="shared" si="1"/>
        <v>18967943.56144198</v>
      </c>
      <c r="G474" s="3">
        <f t="shared" si="2"/>
        <v>5875250312742.3291</v>
      </c>
      <c r="H474" s="3">
        <f t="shared" si="3"/>
        <v>39039315.42857144</v>
      </c>
      <c r="I474" s="3">
        <f t="shared" si="4"/>
        <v>1171179.4628571433</v>
      </c>
      <c r="J474" s="3">
        <f t="shared" si="5"/>
        <v>5875254997460.1807</v>
      </c>
    </row>
    <row r="475" spans="1:10" x14ac:dyDescent="0.25">
      <c r="A475" s="3">
        <v>474</v>
      </c>
      <c r="B475" s="3">
        <v>16.589285714285712</v>
      </c>
      <c r="C475" s="3">
        <v>0.44465290806754221</v>
      </c>
      <c r="D475" s="3">
        <v>4882.2267857142842</v>
      </c>
      <c r="E475" s="3">
        <f t="shared" si="0"/>
        <v>2170.8963381131057</v>
      </c>
      <c r="F475" s="3">
        <f t="shared" si="1"/>
        <v>19017051.921870805</v>
      </c>
      <c r="G475" s="3">
        <f t="shared" si="2"/>
        <v>5890461455530.9863</v>
      </c>
      <c r="H475" s="3">
        <f t="shared" si="3"/>
        <v>39057814.285714276</v>
      </c>
      <c r="I475" s="3">
        <f t="shared" si="4"/>
        <v>1171734.4285714282</v>
      </c>
      <c r="J475" s="3">
        <f t="shared" si="5"/>
        <v>5890466142468.7012</v>
      </c>
    </row>
    <row r="476" spans="1:10" x14ac:dyDescent="0.25">
      <c r="A476" s="3">
        <v>475</v>
      </c>
      <c r="B476" s="3">
        <v>16.658392857142857</v>
      </c>
      <c r="C476" s="3">
        <v>0.4455909943714822</v>
      </c>
      <c r="D476" s="3">
        <v>4902.5650178571441</v>
      </c>
      <c r="E476" s="3">
        <f t="shared" si="0"/>
        <v>2184.538821277808</v>
      </c>
      <c r="F476" s="3">
        <f t="shared" si="1"/>
        <v>19136560.074393597</v>
      </c>
      <c r="G476" s="3">
        <f t="shared" si="2"/>
        <v>5927478673434.915</v>
      </c>
      <c r="H476" s="3">
        <f t="shared" si="3"/>
        <v>39220520.142857149</v>
      </c>
      <c r="I476" s="3">
        <f t="shared" si="4"/>
        <v>1176615.6042857144</v>
      </c>
      <c r="J476" s="3">
        <f t="shared" si="5"/>
        <v>5927483379897.332</v>
      </c>
    </row>
    <row r="477" spans="1:10" x14ac:dyDescent="0.25">
      <c r="A477" s="3">
        <v>476</v>
      </c>
      <c r="B477" s="3">
        <v>16.668035714285711</v>
      </c>
      <c r="C477" s="3">
        <v>0.44652908067542213</v>
      </c>
      <c r="D477" s="3">
        <v>4905.4029107142842</v>
      </c>
      <c r="E477" s="3">
        <f t="shared" si="0"/>
        <v>2190.4050520637893</v>
      </c>
      <c r="F477" s="3">
        <f t="shared" si="1"/>
        <v>19187948.256078795</v>
      </c>
      <c r="G477" s="3">
        <f t="shared" si="2"/>
        <v>5943395982478.0654</v>
      </c>
      <c r="H477" s="3">
        <f t="shared" si="3"/>
        <v>39243223.285714276</v>
      </c>
      <c r="I477" s="3">
        <f t="shared" si="4"/>
        <v>1177296.6985714282</v>
      </c>
      <c r="J477" s="3">
        <f t="shared" si="5"/>
        <v>5943400691664.8594</v>
      </c>
    </row>
    <row r="478" spans="1:10" x14ac:dyDescent="0.25">
      <c r="A478" s="3">
        <v>477</v>
      </c>
      <c r="B478" s="3">
        <v>16.731071428571429</v>
      </c>
      <c r="C478" s="3">
        <v>0.44746716697936212</v>
      </c>
      <c r="D478" s="3">
        <v>4923.9543214285723</v>
      </c>
      <c r="E478" s="3">
        <f t="shared" si="0"/>
        <v>2203.3078905454308</v>
      </c>
      <c r="F478" s="3">
        <f t="shared" si="1"/>
        <v>19300977.121177971</v>
      </c>
      <c r="G478" s="3">
        <f t="shared" si="2"/>
        <v>5978406265199.1875</v>
      </c>
      <c r="H478" s="3">
        <f t="shared" si="3"/>
        <v>39391634.571428575</v>
      </c>
      <c r="I478" s="3">
        <f t="shared" si="4"/>
        <v>1181749.0371428572</v>
      </c>
      <c r="J478" s="3">
        <f t="shared" si="5"/>
        <v>5978410992195.3359</v>
      </c>
    </row>
    <row r="479" spans="1:10" x14ac:dyDescent="0.25">
      <c r="A479" s="3">
        <v>478</v>
      </c>
      <c r="B479" s="3">
        <v>16.731071428571429</v>
      </c>
      <c r="C479" s="3">
        <v>0.44840525328330205</v>
      </c>
      <c r="D479" s="3">
        <v>4923.9543214285723</v>
      </c>
      <c r="E479" s="3">
        <f t="shared" si="0"/>
        <v>2207.9269846555885</v>
      </c>
      <c r="F479" s="3">
        <f t="shared" si="1"/>
        <v>19341440.385582954</v>
      </c>
      <c r="G479" s="3">
        <f t="shared" si="2"/>
        <v>5990939621576.9541</v>
      </c>
      <c r="H479" s="3">
        <f t="shared" si="3"/>
        <v>39391634.571428575</v>
      </c>
      <c r="I479" s="3">
        <f t="shared" si="4"/>
        <v>1181749.0371428572</v>
      </c>
      <c r="J479" s="3">
        <f t="shared" si="5"/>
        <v>5990944348573.1025</v>
      </c>
    </row>
    <row r="480" spans="1:10" x14ac:dyDescent="0.25">
      <c r="A480" s="3">
        <v>479</v>
      </c>
      <c r="B480" s="3">
        <v>16.743928571428572</v>
      </c>
      <c r="C480" s="3">
        <v>0.44934333958724204</v>
      </c>
      <c r="D480" s="3">
        <v>4927.7381785714288</v>
      </c>
      <c r="E480" s="3">
        <f t="shared" si="0"/>
        <v>2214.2463297708391</v>
      </c>
      <c r="F480" s="3">
        <f t="shared" si="1"/>
        <v>19396797.848792549</v>
      </c>
      <c r="G480" s="3">
        <f t="shared" si="2"/>
        <v>6008086400953.1299</v>
      </c>
      <c r="H480" s="3">
        <f t="shared" si="3"/>
        <v>39421905.428571433</v>
      </c>
      <c r="I480" s="3">
        <f t="shared" si="4"/>
        <v>1182657.162857143</v>
      </c>
      <c r="J480" s="3">
        <f t="shared" si="5"/>
        <v>6008091131581.7813</v>
      </c>
    </row>
    <row r="481" spans="1:10" x14ac:dyDescent="0.25">
      <c r="A481" s="3">
        <v>480</v>
      </c>
      <c r="B481" s="3">
        <v>16.753392857142856</v>
      </c>
      <c r="C481" s="3">
        <v>0.45028142589118197</v>
      </c>
      <c r="D481" s="3">
        <v>4930.5235178571429</v>
      </c>
      <c r="E481" s="3">
        <f t="shared" si="0"/>
        <v>2220.1231600107208</v>
      </c>
      <c r="F481" s="3">
        <f t="shared" si="1"/>
        <v>19448278.881693915</v>
      </c>
      <c r="G481" s="3">
        <f t="shared" si="2"/>
        <v>6024032470390.2051</v>
      </c>
      <c r="H481" s="3">
        <f t="shared" si="3"/>
        <v>39444188.142857142</v>
      </c>
      <c r="I481" s="3">
        <f t="shared" si="4"/>
        <v>1183325.6442857143</v>
      </c>
      <c r="J481" s="3">
        <f t="shared" si="5"/>
        <v>6024037203692.7822</v>
      </c>
    </row>
    <row r="482" spans="1:10" x14ac:dyDescent="0.25">
      <c r="A482" s="3">
        <v>481</v>
      </c>
      <c r="B482" s="3">
        <v>16.791785714285712</v>
      </c>
      <c r="C482" s="3">
        <v>0.45121951219512196</v>
      </c>
      <c r="D482" s="3">
        <v>4941.8225357142856</v>
      </c>
      <c r="E482" s="3">
        <f t="shared" si="0"/>
        <v>2229.8467539198605</v>
      </c>
      <c r="F482" s="3">
        <f t="shared" si="1"/>
        <v>19533457.564337976</v>
      </c>
      <c r="G482" s="3">
        <f t="shared" si="2"/>
        <v>6050416262260.6396</v>
      </c>
      <c r="H482" s="3">
        <f t="shared" si="3"/>
        <v>39534580.285714284</v>
      </c>
      <c r="I482" s="3">
        <f t="shared" si="4"/>
        <v>1186037.4085714284</v>
      </c>
      <c r="J482" s="3">
        <f t="shared" si="5"/>
        <v>6050421006410.2734</v>
      </c>
    </row>
    <row r="483" spans="1:10" x14ac:dyDescent="0.25">
      <c r="A483" s="3">
        <v>482</v>
      </c>
      <c r="B483" s="3">
        <v>16.820535714285711</v>
      </c>
      <c r="C483" s="3">
        <v>0.4521575984990619</v>
      </c>
      <c r="D483" s="3">
        <v>4950.2836607142845</v>
      </c>
      <c r="E483" s="3">
        <f t="shared" si="0"/>
        <v>2238.3083719177157</v>
      </c>
      <c r="F483" s="3">
        <f t="shared" si="1"/>
        <v>19607581.337999191</v>
      </c>
      <c r="G483" s="3">
        <f t="shared" si="2"/>
        <v>6073375836984.8291</v>
      </c>
      <c r="H483" s="3">
        <f t="shared" si="3"/>
        <v>39602269.285714276</v>
      </c>
      <c r="I483" s="3">
        <f t="shared" si="4"/>
        <v>1188068.0785714283</v>
      </c>
      <c r="J483" s="3">
        <f t="shared" si="5"/>
        <v>6073380589257.1426</v>
      </c>
    </row>
    <row r="484" spans="1:10" x14ac:dyDescent="0.25">
      <c r="A484" s="3">
        <v>483</v>
      </c>
      <c r="B484" s="3">
        <v>16.823392857142856</v>
      </c>
      <c r="C484" s="3">
        <v>0.45309568480300189</v>
      </c>
      <c r="D484" s="3">
        <v>4951.1245178571426</v>
      </c>
      <c r="E484" s="3">
        <f t="shared" si="0"/>
        <v>2243.3331539634146</v>
      </c>
      <c r="F484" s="3">
        <f t="shared" si="1"/>
        <v>19651598.428719513</v>
      </c>
      <c r="G484" s="3">
        <f t="shared" si="2"/>
        <v>6087009977980.6162</v>
      </c>
      <c r="H484" s="3">
        <f t="shared" si="3"/>
        <v>39608996.142857142</v>
      </c>
      <c r="I484" s="3">
        <f t="shared" si="4"/>
        <v>1188269.8842857142</v>
      </c>
      <c r="J484" s="3">
        <f t="shared" si="5"/>
        <v>6087014731060.1543</v>
      </c>
    </row>
    <row r="485" spans="1:10" x14ac:dyDescent="0.25">
      <c r="A485" s="3">
        <v>484</v>
      </c>
      <c r="B485" s="3">
        <v>16.827321428571427</v>
      </c>
      <c r="C485" s="3">
        <v>0.45403377110694182</v>
      </c>
      <c r="D485" s="3">
        <v>4952.2806964285719</v>
      </c>
      <c r="E485" s="3">
        <f t="shared" si="0"/>
        <v>2248.5026801795766</v>
      </c>
      <c r="F485" s="3">
        <f t="shared" si="1"/>
        <v>19696883.478373092</v>
      </c>
      <c r="G485" s="3">
        <f t="shared" si="2"/>
        <v>6101036864573.3818</v>
      </c>
      <c r="H485" s="3">
        <f t="shared" si="3"/>
        <v>39618245.571428575</v>
      </c>
      <c r="I485" s="3">
        <f t="shared" si="4"/>
        <v>1188547.3671428573</v>
      </c>
      <c r="J485" s="3">
        <f t="shared" si="5"/>
        <v>6101041618762.8506</v>
      </c>
    </row>
    <row r="486" spans="1:10" x14ac:dyDescent="0.25">
      <c r="A486" s="3">
        <v>485</v>
      </c>
      <c r="B486" s="3">
        <v>16.835357142857141</v>
      </c>
      <c r="C486" s="3">
        <v>0.45497185741088181</v>
      </c>
      <c r="D486" s="3">
        <v>4954.6456071428574</v>
      </c>
      <c r="E486" s="3">
        <f t="shared" si="0"/>
        <v>2254.224314694452</v>
      </c>
      <c r="F486" s="3">
        <f t="shared" si="1"/>
        <v>19747004.996723399</v>
      </c>
      <c r="G486" s="3">
        <f t="shared" si="2"/>
        <v>6116561829478.0313</v>
      </c>
      <c r="H486" s="3">
        <f t="shared" si="3"/>
        <v>39637164.857142858</v>
      </c>
      <c r="I486" s="3">
        <f t="shared" si="4"/>
        <v>1189114.9457142856</v>
      </c>
      <c r="J486" s="3">
        <f t="shared" si="5"/>
        <v>6116566585937.8135</v>
      </c>
    </row>
    <row r="487" spans="1:10" x14ac:dyDescent="0.25">
      <c r="A487" s="3">
        <v>486</v>
      </c>
      <c r="B487" s="3">
        <v>16.878035714285716</v>
      </c>
      <c r="C487" s="3">
        <v>0.45590994371482174</v>
      </c>
      <c r="D487" s="3">
        <v>4967.2059107142877</v>
      </c>
      <c r="E487" s="3">
        <f t="shared" si="0"/>
        <v>2264.5985671736807</v>
      </c>
      <c r="F487" s="3">
        <f t="shared" si="1"/>
        <v>19837883.448441442</v>
      </c>
      <c r="G487" s="3">
        <f t="shared" si="2"/>
        <v>6144711103919.665</v>
      </c>
      <c r="H487" s="3">
        <f t="shared" si="3"/>
        <v>39737647.285714298</v>
      </c>
      <c r="I487" s="3">
        <f t="shared" si="4"/>
        <v>1192129.4185714289</v>
      </c>
      <c r="J487" s="3">
        <f t="shared" si="5"/>
        <v>6144715872437.3398</v>
      </c>
    </row>
    <row r="488" spans="1:10" x14ac:dyDescent="0.25">
      <c r="A488" s="3">
        <v>487</v>
      </c>
      <c r="B488" s="3">
        <v>16.903928571428573</v>
      </c>
      <c r="C488" s="3">
        <v>0.45684803001876173</v>
      </c>
      <c r="D488" s="3">
        <v>4974.8261785714294</v>
      </c>
      <c r="E488" s="3">
        <f t="shared" si="0"/>
        <v>2272.7395393661222</v>
      </c>
      <c r="F488" s="3">
        <f t="shared" si="1"/>
        <v>19909198.364847228</v>
      </c>
      <c r="G488" s="3">
        <f t="shared" si="2"/>
        <v>6166800645618.8027</v>
      </c>
      <c r="H488" s="3">
        <f t="shared" si="3"/>
        <v>39798609.428571433</v>
      </c>
      <c r="I488" s="3">
        <f t="shared" si="4"/>
        <v>1193958.2828571429</v>
      </c>
      <c r="J488" s="3">
        <f t="shared" si="5"/>
        <v>6166805421451.9346</v>
      </c>
    </row>
    <row r="489" spans="1:10" x14ac:dyDescent="0.25">
      <c r="A489" s="3">
        <v>488</v>
      </c>
      <c r="B489" s="3">
        <v>16.932321428571427</v>
      </c>
      <c r="C489" s="3">
        <v>0.45778611632270166</v>
      </c>
      <c r="D489" s="3">
        <v>4983.1821964285718</v>
      </c>
      <c r="E489" s="3">
        <f t="shared" si="0"/>
        <v>2281.2316246314663</v>
      </c>
      <c r="F489" s="3">
        <f t="shared" si="1"/>
        <v>19983589.031771645</v>
      </c>
      <c r="G489" s="3">
        <f t="shared" si="2"/>
        <v>6189842889710.2461</v>
      </c>
      <c r="H489" s="3">
        <f t="shared" si="3"/>
        <v>39865457.571428575</v>
      </c>
      <c r="I489" s="3">
        <f t="shared" si="4"/>
        <v>1195963.7271428572</v>
      </c>
      <c r="J489" s="3">
        <f t="shared" si="5"/>
        <v>6189847673565.1553</v>
      </c>
    </row>
    <row r="490" spans="1:10" x14ac:dyDescent="0.25">
      <c r="A490" s="3">
        <v>489</v>
      </c>
      <c r="B490" s="3">
        <v>16.961964285714284</v>
      </c>
      <c r="C490" s="3">
        <v>0.45872420262664165</v>
      </c>
      <c r="D490" s="3">
        <v>4991.9060892857133</v>
      </c>
      <c r="E490" s="3">
        <f t="shared" si="0"/>
        <v>2289.9081403946657</v>
      </c>
      <c r="F490" s="3">
        <f t="shared" si="1"/>
        <v>20059595.309857272</v>
      </c>
      <c r="G490" s="3">
        <f t="shared" si="2"/>
        <v>6213385563424.9307</v>
      </c>
      <c r="H490" s="3">
        <f t="shared" si="3"/>
        <v>39935248.714285709</v>
      </c>
      <c r="I490" s="3">
        <f t="shared" si="4"/>
        <v>1198057.4614285713</v>
      </c>
      <c r="J490" s="3">
        <f t="shared" si="5"/>
        <v>6213390355654.7773</v>
      </c>
    </row>
    <row r="491" spans="1:10" x14ac:dyDescent="0.25">
      <c r="A491" s="3">
        <v>490</v>
      </c>
      <c r="B491" s="3">
        <v>16.97232142857143</v>
      </c>
      <c r="C491" s="3">
        <v>0.45966228893058159</v>
      </c>
      <c r="D491" s="3">
        <v>4994.9541964285727</v>
      </c>
      <c r="E491" s="3">
        <f t="shared" si="0"/>
        <v>2295.9920790337715</v>
      </c>
      <c r="F491" s="3">
        <f t="shared" si="1"/>
        <v>20112890.612335838</v>
      </c>
      <c r="G491" s="3">
        <f t="shared" si="2"/>
        <v>6229893596344.2832</v>
      </c>
      <c r="H491" s="3">
        <f t="shared" si="3"/>
        <v>39959633.571428582</v>
      </c>
      <c r="I491" s="3">
        <f t="shared" si="4"/>
        <v>1198789.0071428574</v>
      </c>
      <c r="J491" s="3">
        <f t="shared" si="5"/>
        <v>6229898391500.3115</v>
      </c>
    </row>
    <row r="492" spans="1:10" x14ac:dyDescent="0.25">
      <c r="A492" s="3">
        <v>491</v>
      </c>
      <c r="B492" s="3">
        <v>17.042321428571427</v>
      </c>
      <c r="C492" s="3">
        <v>0.46060037523452158</v>
      </c>
      <c r="D492" s="3">
        <v>5015.5551964285714</v>
      </c>
      <c r="E492" s="3">
        <f t="shared" si="0"/>
        <v>2310.1666054844545</v>
      </c>
      <c r="F492" s="3">
        <f t="shared" si="1"/>
        <v>20237059.464043822</v>
      </c>
      <c r="G492" s="3">
        <f t="shared" si="2"/>
        <v>6268354449469.1807</v>
      </c>
      <c r="H492" s="3">
        <f t="shared" si="3"/>
        <v>40124441.571428575</v>
      </c>
      <c r="I492" s="3">
        <f t="shared" si="4"/>
        <v>1203733.2471428572</v>
      </c>
      <c r="J492" s="3">
        <f t="shared" si="5"/>
        <v>6268359264402.1689</v>
      </c>
    </row>
    <row r="493" spans="1:10" x14ac:dyDescent="0.25">
      <c r="A493" s="3">
        <v>492</v>
      </c>
      <c r="B493" s="3">
        <v>17.042321428571427</v>
      </c>
      <c r="C493" s="3">
        <v>0.46153846153846156</v>
      </c>
      <c r="D493" s="3">
        <v>5015.5551964285714</v>
      </c>
      <c r="E493" s="3">
        <f t="shared" si="0"/>
        <v>2314.8716291208793</v>
      </c>
      <c r="F493" s="3">
        <f t="shared" si="1"/>
        <v>20278275.471098904</v>
      </c>
      <c r="G493" s="3">
        <f t="shared" si="2"/>
        <v>6281120965282.6279</v>
      </c>
      <c r="H493" s="3">
        <f t="shared" si="3"/>
        <v>40124441.571428575</v>
      </c>
      <c r="I493" s="3">
        <f t="shared" si="4"/>
        <v>1203733.2471428572</v>
      </c>
      <c r="J493" s="3">
        <f t="shared" si="5"/>
        <v>6281125780215.6162</v>
      </c>
    </row>
    <row r="494" spans="1:10" x14ac:dyDescent="0.25">
      <c r="A494" s="3">
        <v>493</v>
      </c>
      <c r="B494" s="3">
        <v>17.063928571428569</v>
      </c>
      <c r="C494" s="3">
        <v>0.4624765478424015</v>
      </c>
      <c r="D494" s="3">
        <v>5021.9141785714282</v>
      </c>
      <c r="E494" s="3">
        <f t="shared" si="0"/>
        <v>2322.5175328665237</v>
      </c>
      <c r="F494" s="3">
        <f t="shared" si="1"/>
        <v>20345253.587910749</v>
      </c>
      <c r="G494" s="3">
        <f t="shared" si="2"/>
        <v>6301867199498.9209</v>
      </c>
      <c r="H494" s="3">
        <f t="shared" si="3"/>
        <v>40175313.428571425</v>
      </c>
      <c r="I494" s="3">
        <f t="shared" si="4"/>
        <v>1205259.4028571427</v>
      </c>
      <c r="J494" s="3">
        <f t="shared" si="5"/>
        <v>6301872020536.5332</v>
      </c>
    </row>
    <row r="495" spans="1:10" x14ac:dyDescent="0.25">
      <c r="A495" s="3">
        <v>494</v>
      </c>
      <c r="B495" s="3">
        <v>17.093392857142859</v>
      </c>
      <c r="C495" s="3">
        <v>0.46341463414634149</v>
      </c>
      <c r="D495" s="3">
        <v>5030.5855178571437</v>
      </c>
      <c r="E495" s="3">
        <f t="shared" si="0"/>
        <v>2331.2469472996522</v>
      </c>
      <c r="F495" s="3">
        <f t="shared" si="1"/>
        <v>20421723.258344952</v>
      </c>
      <c r="G495" s="3">
        <f t="shared" si="2"/>
        <v>6325553407443.3398</v>
      </c>
      <c r="H495" s="3">
        <f t="shared" si="3"/>
        <v>40244684.142857149</v>
      </c>
      <c r="I495" s="3">
        <f t="shared" si="4"/>
        <v>1207340.5242857144</v>
      </c>
      <c r="J495" s="3">
        <f t="shared" si="5"/>
        <v>6325558236805.4375</v>
      </c>
    </row>
    <row r="496" spans="1:10" x14ac:dyDescent="0.25">
      <c r="A496" s="3">
        <v>495</v>
      </c>
      <c r="B496" s="3">
        <v>17.104642857142856</v>
      </c>
      <c r="C496" s="3">
        <v>0.46435272045028142</v>
      </c>
      <c r="D496" s="3">
        <v>5033.8963928571429</v>
      </c>
      <c r="E496" s="3">
        <f t="shared" si="0"/>
        <v>2337.5034844880729</v>
      </c>
      <c r="F496" s="3">
        <f t="shared" si="1"/>
        <v>20476530.524115518</v>
      </c>
      <c r="G496" s="3">
        <f t="shared" si="2"/>
        <v>6342529765517.377</v>
      </c>
      <c r="H496" s="3">
        <f t="shared" si="3"/>
        <v>40271171.142857142</v>
      </c>
      <c r="I496" s="3">
        <f t="shared" si="4"/>
        <v>1208135.1342857142</v>
      </c>
      <c r="J496" s="3">
        <f t="shared" si="5"/>
        <v>6342534598057.915</v>
      </c>
    </row>
    <row r="497" spans="1:10" x14ac:dyDescent="0.25">
      <c r="A497" s="3">
        <v>496</v>
      </c>
      <c r="B497" s="3">
        <v>17.13625</v>
      </c>
      <c r="C497" s="3">
        <v>0.46529080675422141</v>
      </c>
      <c r="D497" s="3">
        <v>5043.1983749999999</v>
      </c>
      <c r="E497" s="3">
        <f t="shared" si="0"/>
        <v>2346.5538405253283</v>
      </c>
      <c r="F497" s="3">
        <f t="shared" si="1"/>
        <v>20555811.643001877</v>
      </c>
      <c r="G497" s="3">
        <f t="shared" si="2"/>
        <v>6367086809302.8877</v>
      </c>
      <c r="H497" s="3">
        <f t="shared" si="3"/>
        <v>40345587</v>
      </c>
      <c r="I497" s="3">
        <f t="shared" si="4"/>
        <v>1210367.6099999999</v>
      </c>
      <c r="J497" s="3">
        <f t="shared" si="5"/>
        <v>6367091650773.3281</v>
      </c>
    </row>
    <row r="498" spans="1:10" x14ac:dyDescent="0.25">
      <c r="A498" s="3">
        <v>497</v>
      </c>
      <c r="B498" s="3">
        <v>17.148035714285712</v>
      </c>
      <c r="C498" s="3">
        <v>0.46622889305816134</v>
      </c>
      <c r="D498" s="3">
        <v>5046.6669107142843</v>
      </c>
      <c r="E498" s="3">
        <f t="shared" si="0"/>
        <v>2352.9019274155717</v>
      </c>
      <c r="F498" s="3">
        <f t="shared" si="1"/>
        <v>20611420.884160407</v>
      </c>
      <c r="G498" s="3">
        <f t="shared" si="2"/>
        <v>6384311576331.7412</v>
      </c>
      <c r="H498" s="3">
        <f t="shared" si="3"/>
        <v>40373335.285714276</v>
      </c>
      <c r="I498" s="3">
        <f t="shared" si="4"/>
        <v>1211200.0585714283</v>
      </c>
      <c r="J498" s="3">
        <f t="shared" si="5"/>
        <v>6384316421131.9756</v>
      </c>
    </row>
    <row r="499" spans="1:10" x14ac:dyDescent="0.25">
      <c r="A499" s="3">
        <v>498</v>
      </c>
      <c r="B499" s="3">
        <v>17.154107142857143</v>
      </c>
      <c r="C499" s="3">
        <v>0.46716697936210133</v>
      </c>
      <c r="D499" s="3">
        <v>5048.453732142857</v>
      </c>
      <c r="E499" s="3">
        <f t="shared" si="0"/>
        <v>2358.4708804945053</v>
      </c>
      <c r="F499" s="3">
        <f t="shared" si="1"/>
        <v>20660204.913131867</v>
      </c>
      <c r="G499" s="3">
        <f t="shared" si="2"/>
        <v>6399422259076.3281</v>
      </c>
      <c r="H499" s="3">
        <f t="shared" si="3"/>
        <v>40387629.857142858</v>
      </c>
      <c r="I499" s="3">
        <f t="shared" si="4"/>
        <v>1211628.8957142858</v>
      </c>
      <c r="J499" s="3">
        <f t="shared" si="5"/>
        <v>6399427105591.9111</v>
      </c>
    </row>
    <row r="500" spans="1:10" x14ac:dyDescent="0.25">
      <c r="A500" s="3">
        <v>499</v>
      </c>
      <c r="B500" s="3">
        <v>17.156428571428574</v>
      </c>
      <c r="C500" s="3">
        <v>0.46810506566604126</v>
      </c>
      <c r="D500" s="3">
        <v>5049.1369285714291</v>
      </c>
      <c r="E500" s="3">
        <f t="shared" si="0"/>
        <v>2363.5265735057628</v>
      </c>
      <c r="F500" s="3">
        <f t="shared" si="1"/>
        <v>20704492.783910483</v>
      </c>
      <c r="G500" s="3">
        <f t="shared" si="2"/>
        <v>6413140273411.1758</v>
      </c>
      <c r="H500" s="3">
        <f t="shared" si="3"/>
        <v>40393095.428571433</v>
      </c>
      <c r="I500" s="3">
        <f t="shared" si="4"/>
        <v>1211792.8628571429</v>
      </c>
      <c r="J500" s="3">
        <f t="shared" si="5"/>
        <v>6413145120582.6279</v>
      </c>
    </row>
    <row r="501" spans="1:10" x14ac:dyDescent="0.25">
      <c r="A501" s="3">
        <v>500</v>
      </c>
      <c r="B501" s="3">
        <v>17.167857142857144</v>
      </c>
      <c r="C501" s="3">
        <v>0.46904315196998125</v>
      </c>
      <c r="D501" s="3">
        <v>5052.500357142857</v>
      </c>
      <c r="E501" s="3">
        <f t="shared" si="0"/>
        <v>2369.8406928437416</v>
      </c>
      <c r="F501" s="3">
        <f t="shared" si="1"/>
        <v>20759804.469311178</v>
      </c>
      <c r="G501" s="3">
        <f t="shared" si="2"/>
        <v>6430272873672.7852</v>
      </c>
      <c r="H501" s="3">
        <f t="shared" si="3"/>
        <v>40420002.857142858</v>
      </c>
      <c r="I501" s="3">
        <f t="shared" si="4"/>
        <v>1212600.0857142857</v>
      </c>
      <c r="J501" s="3">
        <f t="shared" si="5"/>
        <v>6430277724073.1279</v>
      </c>
    </row>
    <row r="502" spans="1:10" x14ac:dyDescent="0.25">
      <c r="A502" s="3">
        <v>501</v>
      </c>
      <c r="B502" s="3">
        <v>17.168035714285715</v>
      </c>
      <c r="C502" s="3">
        <v>0.46998123827392119</v>
      </c>
      <c r="D502" s="3">
        <v>5052.5529107142856</v>
      </c>
      <c r="E502" s="3">
        <f t="shared" si="0"/>
        <v>2374.6050734220048</v>
      </c>
      <c r="F502" s="3">
        <f t="shared" si="1"/>
        <v>20801540.443176765</v>
      </c>
      <c r="G502" s="3">
        <f t="shared" si="2"/>
        <v>6443200447359.2217</v>
      </c>
      <c r="H502" s="3">
        <f t="shared" si="3"/>
        <v>40420423.285714284</v>
      </c>
      <c r="I502" s="3">
        <f t="shared" si="4"/>
        <v>1212612.6985714284</v>
      </c>
      <c r="J502" s="3">
        <f t="shared" si="5"/>
        <v>6443205297810.0156</v>
      </c>
    </row>
    <row r="503" spans="1:10" x14ac:dyDescent="0.25">
      <c r="A503" s="3">
        <v>502</v>
      </c>
      <c r="B503" s="3">
        <v>17.175535714285711</v>
      </c>
      <c r="C503" s="3">
        <v>0.47091932457786118</v>
      </c>
      <c r="D503" s="3">
        <v>5054.7601607142842</v>
      </c>
      <c r="E503" s="3">
        <f t="shared" si="0"/>
        <v>2380.3842407866518</v>
      </c>
      <c r="F503" s="3">
        <f t="shared" si="1"/>
        <v>20852165.949291069</v>
      </c>
      <c r="G503" s="3">
        <f t="shared" si="2"/>
        <v>6458881520884.2051</v>
      </c>
      <c r="H503" s="3">
        <f t="shared" si="3"/>
        <v>40438081.285714276</v>
      </c>
      <c r="I503" s="3">
        <f t="shared" si="4"/>
        <v>1213142.4385714282</v>
      </c>
      <c r="J503" s="3">
        <f t="shared" si="5"/>
        <v>6458886373453.959</v>
      </c>
    </row>
    <row r="504" spans="1:10" x14ac:dyDescent="0.25">
      <c r="A504" s="3">
        <v>503</v>
      </c>
      <c r="B504" s="3">
        <v>17.187142857142859</v>
      </c>
      <c r="C504" s="3">
        <v>0.47185741088180111</v>
      </c>
      <c r="D504" s="3">
        <v>5058.1761428571435</v>
      </c>
      <c r="E504" s="3">
        <f t="shared" si="0"/>
        <v>2386.737898552667</v>
      </c>
      <c r="F504" s="3">
        <f t="shared" si="1"/>
        <v>20907823.991321366</v>
      </c>
      <c r="G504" s="3">
        <f t="shared" si="2"/>
        <v>6476121403864.9658</v>
      </c>
      <c r="H504" s="3">
        <f t="shared" si="3"/>
        <v>40465409.142857149</v>
      </c>
      <c r="I504" s="3">
        <f t="shared" si="4"/>
        <v>1213962.2742857144</v>
      </c>
      <c r="J504" s="3">
        <f t="shared" si="5"/>
        <v>6476126259714.0635</v>
      </c>
    </row>
    <row r="505" spans="1:10" x14ac:dyDescent="0.25">
      <c r="A505" s="3">
        <v>504</v>
      </c>
      <c r="B505" s="3">
        <v>17.193928571428572</v>
      </c>
      <c r="C505" s="3">
        <v>0.4727954971857411</v>
      </c>
      <c r="D505" s="3">
        <v>5060.1731785714292</v>
      </c>
      <c r="E505" s="3">
        <f t="shared" si="0"/>
        <v>2392.4270938086306</v>
      </c>
      <c r="F505" s="3">
        <f t="shared" si="1"/>
        <v>20957661.341763604</v>
      </c>
      <c r="G505" s="3">
        <f t="shared" si="2"/>
        <v>6491558349094.8486</v>
      </c>
      <c r="H505" s="3">
        <f t="shared" si="3"/>
        <v>40481385.428571433</v>
      </c>
      <c r="I505" s="3">
        <f t="shared" si="4"/>
        <v>1214441.5628571429</v>
      </c>
      <c r="J505" s="3">
        <f t="shared" si="5"/>
        <v>6491563206861.0996</v>
      </c>
    </row>
    <row r="506" spans="1:10" x14ac:dyDescent="0.25">
      <c r="A506" s="3">
        <v>505</v>
      </c>
      <c r="B506" s="3">
        <v>17.219821428571429</v>
      </c>
      <c r="C506" s="3">
        <v>0.47373358348968103</v>
      </c>
      <c r="D506" s="3">
        <v>5067.7934464285718</v>
      </c>
      <c r="E506" s="3">
        <f t="shared" si="0"/>
        <v>2400.783949762128</v>
      </c>
      <c r="F506" s="3">
        <f t="shared" si="1"/>
        <v>21030867.399916243</v>
      </c>
      <c r="G506" s="3">
        <f t="shared" si="2"/>
        <v>6514233665417.5303</v>
      </c>
      <c r="H506" s="3">
        <f t="shared" si="3"/>
        <v>40542347.571428575</v>
      </c>
      <c r="I506" s="3">
        <f t="shared" si="4"/>
        <v>1216270.4271428571</v>
      </c>
      <c r="J506" s="3">
        <f t="shared" si="5"/>
        <v>6514238530499.2383</v>
      </c>
    </row>
    <row r="507" spans="1:10" x14ac:dyDescent="0.25">
      <c r="A507" s="3">
        <v>506</v>
      </c>
      <c r="B507" s="3">
        <v>17.312857142857144</v>
      </c>
      <c r="C507" s="3">
        <v>0.47467166979362102</v>
      </c>
      <c r="D507" s="3">
        <v>5095.1738571428568</v>
      </c>
      <c r="E507" s="3">
        <f t="shared" si="0"/>
        <v>2418.5346826588043</v>
      </c>
      <c r="F507" s="3">
        <f t="shared" si="1"/>
        <v>21186363.820091125</v>
      </c>
      <c r="G507" s="3">
        <f t="shared" si="2"/>
        <v>6562398118152.4424</v>
      </c>
      <c r="H507" s="3">
        <f t="shared" si="3"/>
        <v>40761390.857142858</v>
      </c>
      <c r="I507" s="3">
        <f t="shared" si="4"/>
        <v>1222841.7257142856</v>
      </c>
      <c r="J507" s="3">
        <f t="shared" si="5"/>
        <v>6562403009519.3447</v>
      </c>
    </row>
    <row r="508" spans="1:10" x14ac:dyDescent="0.25">
      <c r="A508" s="3">
        <v>507</v>
      </c>
      <c r="B508" s="3">
        <v>17.335357142857145</v>
      </c>
      <c r="C508" s="3">
        <v>0.47560975609756095</v>
      </c>
      <c r="D508" s="3">
        <v>5101.7956071428571</v>
      </c>
      <c r="E508" s="3">
        <f t="shared" si="0"/>
        <v>2426.463764372822</v>
      </c>
      <c r="F508" s="3">
        <f t="shared" si="1"/>
        <v>21255822.575905919</v>
      </c>
      <c r="G508" s="3">
        <f t="shared" si="2"/>
        <v>6583912721478.8076</v>
      </c>
      <c r="H508" s="3">
        <f t="shared" si="3"/>
        <v>40814364.857142858</v>
      </c>
      <c r="I508" s="3">
        <f t="shared" si="4"/>
        <v>1224430.9457142856</v>
      </c>
      <c r="J508" s="3">
        <f t="shared" si="5"/>
        <v>6583917619202.5898</v>
      </c>
    </row>
    <row r="509" spans="1:10" x14ac:dyDescent="0.25">
      <c r="A509" s="3">
        <v>508</v>
      </c>
      <c r="B509" s="3">
        <v>17.358392857142857</v>
      </c>
      <c r="C509" s="3">
        <v>0.47654784240150094</v>
      </c>
      <c r="D509" s="3">
        <v>5108.5750178571425</v>
      </c>
      <c r="E509" s="3">
        <f t="shared" si="0"/>
        <v>2434.4804025060303</v>
      </c>
      <c r="F509" s="3">
        <f t="shared" si="1"/>
        <v>21326048.325952824</v>
      </c>
      <c r="G509" s="3">
        <f t="shared" si="2"/>
        <v>6605664898467.7969</v>
      </c>
      <c r="H509" s="3">
        <f t="shared" si="3"/>
        <v>40868600.142857142</v>
      </c>
      <c r="I509" s="3">
        <f t="shared" si="4"/>
        <v>1226058.0042857141</v>
      </c>
      <c r="J509" s="3">
        <f t="shared" si="5"/>
        <v>6605669802699.8135</v>
      </c>
    </row>
    <row r="510" spans="1:10" x14ac:dyDescent="0.25">
      <c r="A510" s="3">
        <v>509</v>
      </c>
      <c r="B510" s="3">
        <v>17.397678571428571</v>
      </c>
      <c r="C510" s="3">
        <v>0.47748592870544088</v>
      </c>
      <c r="D510" s="3">
        <v>5120.1368035714295</v>
      </c>
      <c r="E510" s="3">
        <f t="shared" si="0"/>
        <v>2444.7932767522116</v>
      </c>
      <c r="F510" s="3">
        <f t="shared" si="1"/>
        <v>21416389.104349375</v>
      </c>
      <c r="G510" s="3">
        <f t="shared" si="2"/>
        <v>6633647631413.9531</v>
      </c>
      <c r="H510" s="3">
        <f t="shared" si="3"/>
        <v>40961094.428571433</v>
      </c>
      <c r="I510" s="3">
        <f t="shared" si="4"/>
        <v>1228832.8328571429</v>
      </c>
      <c r="J510" s="3">
        <f t="shared" si="5"/>
        <v>6633652546745.2852</v>
      </c>
    </row>
    <row r="511" spans="1:10" x14ac:dyDescent="0.25">
      <c r="A511" s="3">
        <v>510</v>
      </c>
      <c r="B511" s="3">
        <v>17.39875</v>
      </c>
      <c r="C511" s="3">
        <v>0.47842401500938087</v>
      </c>
      <c r="D511" s="3">
        <v>5120.4521249999998</v>
      </c>
      <c r="E511" s="3">
        <f t="shared" si="0"/>
        <v>2449.7472643058159</v>
      </c>
      <c r="F511" s="3">
        <f t="shared" si="1"/>
        <v>21459786.035318948</v>
      </c>
      <c r="G511" s="3">
        <f t="shared" si="2"/>
        <v>6647089680573.6719</v>
      </c>
      <c r="H511" s="3">
        <f t="shared" si="3"/>
        <v>40963617</v>
      </c>
      <c r="I511" s="3">
        <f t="shared" si="4"/>
        <v>1228908.51</v>
      </c>
      <c r="J511" s="3">
        <f t="shared" si="5"/>
        <v>6647094596207.7119</v>
      </c>
    </row>
    <row r="512" spans="1:10" x14ac:dyDescent="0.25">
      <c r="A512" s="3">
        <v>511</v>
      </c>
      <c r="B512" s="3">
        <v>17.401428571428571</v>
      </c>
      <c r="C512" s="3">
        <v>0.4793621013133208</v>
      </c>
      <c r="D512" s="3">
        <v>5121.2404285714292</v>
      </c>
      <c r="E512" s="3">
        <f t="shared" si="0"/>
        <v>2454.9285731707319</v>
      </c>
      <c r="F512" s="3">
        <f t="shared" si="1"/>
        <v>21505174.300975613</v>
      </c>
      <c r="G512" s="3">
        <f t="shared" si="2"/>
        <v>6661148538320.0146</v>
      </c>
      <c r="H512" s="3">
        <f t="shared" si="3"/>
        <v>40969923.428571433</v>
      </c>
      <c r="I512" s="3">
        <f t="shared" si="4"/>
        <v>1229097.702857143</v>
      </c>
      <c r="J512" s="3">
        <f t="shared" si="5"/>
        <v>6661153454710.8262</v>
      </c>
    </row>
    <row r="513" spans="1:10" x14ac:dyDescent="0.25">
      <c r="A513" s="3">
        <v>512</v>
      </c>
      <c r="B513" s="3">
        <v>17.441428571428574</v>
      </c>
      <c r="C513" s="3">
        <v>0.48030018761726079</v>
      </c>
      <c r="D513" s="3">
        <v>5133.0124285714292</v>
      </c>
      <c r="E513" s="3">
        <f t="shared" si="0"/>
        <v>2465.3868324845889</v>
      </c>
      <c r="F513" s="3">
        <f t="shared" si="1"/>
        <v>21596788.652564999</v>
      </c>
      <c r="G513" s="3">
        <f t="shared" si="2"/>
        <v>6689525755961.5615</v>
      </c>
      <c r="H513" s="3">
        <f t="shared" si="3"/>
        <v>41064099.428571433</v>
      </c>
      <c r="I513" s="3">
        <f t="shared" si="4"/>
        <v>1231922.982857143</v>
      </c>
      <c r="J513" s="3">
        <f t="shared" si="5"/>
        <v>6689530683653.4922</v>
      </c>
    </row>
    <row r="514" spans="1:10" x14ac:dyDescent="0.25">
      <c r="A514" s="3">
        <v>513</v>
      </c>
      <c r="B514" s="3">
        <v>17.443749999999998</v>
      </c>
      <c r="C514" s="3">
        <v>0.48123827392120078</v>
      </c>
      <c r="D514" s="3">
        <v>5133.6956249999994</v>
      </c>
      <c r="E514" s="3">
        <f t="shared" si="0"/>
        <v>2470.5308214118199</v>
      </c>
      <c r="F514" s="3">
        <f t="shared" si="1"/>
        <v>21641849.995567545</v>
      </c>
      <c r="G514" s="3">
        <f t="shared" si="2"/>
        <v>6703483350645.9775</v>
      </c>
      <c r="H514" s="3">
        <f t="shared" si="3"/>
        <v>41069564.999999993</v>
      </c>
      <c r="I514" s="3">
        <f t="shared" si="4"/>
        <v>1232086.9499999997</v>
      </c>
      <c r="J514" s="3">
        <f t="shared" si="5"/>
        <v>6703488278993.7773</v>
      </c>
    </row>
    <row r="515" spans="1:10" x14ac:dyDescent="0.25">
      <c r="A515" s="3">
        <v>514</v>
      </c>
      <c r="B515" s="3">
        <v>17.446249999999999</v>
      </c>
      <c r="C515" s="3">
        <v>0.48217636022514071</v>
      </c>
      <c r="D515" s="3">
        <v>5134.4313750000001</v>
      </c>
      <c r="E515" s="3">
        <f t="shared" si="0"/>
        <v>2475.7014322232644</v>
      </c>
      <c r="F515" s="3">
        <f t="shared" si="1"/>
        <v>21687144.546275795</v>
      </c>
      <c r="G515" s="3">
        <f t="shared" si="2"/>
        <v>6717513180561.2178</v>
      </c>
      <c r="H515" s="3">
        <f t="shared" si="3"/>
        <v>41075451</v>
      </c>
      <c r="I515" s="3">
        <f t="shared" si="4"/>
        <v>1232263.53</v>
      </c>
      <c r="J515" s="3">
        <f t="shared" si="5"/>
        <v>6717518109615.3379</v>
      </c>
    </row>
    <row r="516" spans="1:10" x14ac:dyDescent="0.25">
      <c r="A516" s="3">
        <v>515</v>
      </c>
      <c r="B516" s="3">
        <v>17.47625</v>
      </c>
      <c r="C516" s="3">
        <v>0.4831144465290807</v>
      </c>
      <c r="D516" s="3">
        <v>5143.2603749999998</v>
      </c>
      <c r="E516" s="3">
        <f t="shared" si="0"/>
        <v>2484.7833894230771</v>
      </c>
      <c r="F516" s="3">
        <f t="shared" si="1"/>
        <v>21766702.491346154</v>
      </c>
      <c r="G516" s="3">
        <f t="shared" si="2"/>
        <v>6742155970755.0488</v>
      </c>
      <c r="H516" s="3">
        <f t="shared" si="3"/>
        <v>41146083</v>
      </c>
      <c r="I516" s="3">
        <f t="shared" si="4"/>
        <v>1234382.49</v>
      </c>
      <c r="J516" s="3">
        <f t="shared" si="5"/>
        <v>6742160908285.0088</v>
      </c>
    </row>
    <row r="517" spans="1:10" x14ac:dyDescent="0.25">
      <c r="A517" s="3">
        <v>516</v>
      </c>
      <c r="B517" s="3">
        <v>17.487142857142857</v>
      </c>
      <c r="C517" s="3">
        <v>0.48405253283302063</v>
      </c>
      <c r="D517" s="3">
        <v>5146.4661428571426</v>
      </c>
      <c r="E517" s="3">
        <f t="shared" si="0"/>
        <v>2491.1599715893863</v>
      </c>
      <c r="F517" s="3">
        <f t="shared" si="1"/>
        <v>21822561.351123024</v>
      </c>
      <c r="G517" s="3">
        <f t="shared" si="2"/>
        <v>6759458056540.9355</v>
      </c>
      <c r="H517" s="3">
        <f t="shared" si="3"/>
        <v>41171729.142857142</v>
      </c>
      <c r="I517" s="3">
        <f t="shared" si="4"/>
        <v>1235151.8742857142</v>
      </c>
      <c r="J517" s="3">
        <f t="shared" si="5"/>
        <v>6759462997148.4326</v>
      </c>
    </row>
    <row r="518" spans="1:10" x14ac:dyDescent="0.25">
      <c r="A518" s="3">
        <v>517</v>
      </c>
      <c r="B518" s="3">
        <v>17.518928571428575</v>
      </c>
      <c r="C518" s="3">
        <v>0.48499061913696062</v>
      </c>
      <c r="D518" s="3">
        <v>5155.8206785714301</v>
      </c>
      <c r="E518" s="3">
        <f t="shared" si="0"/>
        <v>2500.5246630595025</v>
      </c>
      <c r="F518" s="3">
        <f t="shared" si="1"/>
        <v>21904596.04840124</v>
      </c>
      <c r="G518" s="3">
        <f t="shared" si="2"/>
        <v>6784868011671.2266</v>
      </c>
      <c r="H518" s="3">
        <f t="shared" si="3"/>
        <v>41246565.42857144</v>
      </c>
      <c r="I518" s="3">
        <f t="shared" si="4"/>
        <v>1237396.9628571433</v>
      </c>
      <c r="J518" s="3">
        <f t="shared" si="5"/>
        <v>6784872961259.0781</v>
      </c>
    </row>
    <row r="519" spans="1:10" x14ac:dyDescent="0.25">
      <c r="A519" s="3">
        <v>518</v>
      </c>
      <c r="B519" s="3">
        <v>17.542678571428571</v>
      </c>
      <c r="C519" s="3">
        <v>0.48592870544090055</v>
      </c>
      <c r="D519" s="3">
        <v>5162.8103035714294</v>
      </c>
      <c r="E519" s="3">
        <f t="shared" si="0"/>
        <v>2508.7577272514077</v>
      </c>
      <c r="F519" s="3">
        <f t="shared" si="1"/>
        <v>21976717.690722331</v>
      </c>
      <c r="G519" s="3">
        <f t="shared" si="2"/>
        <v>6807207434541.3857</v>
      </c>
      <c r="H519" s="3">
        <f t="shared" si="3"/>
        <v>41302482.428571433</v>
      </c>
      <c r="I519" s="3">
        <f t="shared" si="4"/>
        <v>1239074.472857143</v>
      </c>
      <c r="J519" s="3">
        <f t="shared" si="5"/>
        <v>6807212390839.2773</v>
      </c>
    </row>
    <row r="520" spans="1:10" x14ac:dyDescent="0.25">
      <c r="A520" s="3">
        <v>519</v>
      </c>
      <c r="B520" s="3">
        <v>17.55857142857143</v>
      </c>
      <c r="C520" s="3">
        <v>0.48686679174484054</v>
      </c>
      <c r="D520" s="3">
        <v>5167.4875714285727</v>
      </c>
      <c r="E520" s="3">
        <f t="shared" si="0"/>
        <v>2515.8780952827669</v>
      </c>
      <c r="F520" s="3">
        <f t="shared" si="1"/>
        <v>22039092.114677038</v>
      </c>
      <c r="G520" s="3">
        <f t="shared" si="2"/>
        <v>6826527692412.0967</v>
      </c>
      <c r="H520" s="3">
        <f t="shared" si="3"/>
        <v>41339900.571428582</v>
      </c>
      <c r="I520" s="3">
        <f t="shared" si="4"/>
        <v>1240197.0171428574</v>
      </c>
      <c r="J520" s="3">
        <f t="shared" si="5"/>
        <v>6826532653200.166</v>
      </c>
    </row>
    <row r="521" spans="1:10" x14ac:dyDescent="0.25">
      <c r="A521" s="3">
        <v>520</v>
      </c>
      <c r="B521" s="3">
        <v>17.560178571428569</v>
      </c>
      <c r="C521" s="3">
        <v>0.48780487804878048</v>
      </c>
      <c r="D521" s="3">
        <v>5167.9605535714281</v>
      </c>
      <c r="E521" s="3">
        <f t="shared" si="0"/>
        <v>2520.9563675958184</v>
      </c>
      <c r="F521" s="3">
        <f t="shared" si="1"/>
        <v>22083577.780139372</v>
      </c>
      <c r="G521" s="3">
        <f t="shared" si="2"/>
        <v>6840306973168.793</v>
      </c>
      <c r="H521" s="3">
        <f t="shared" si="3"/>
        <v>41343684.428571425</v>
      </c>
      <c r="I521" s="3">
        <f t="shared" si="4"/>
        <v>1240310.5328571426</v>
      </c>
      <c r="J521" s="3">
        <f t="shared" si="5"/>
        <v>6840311934410.9248</v>
      </c>
    </row>
    <row r="522" spans="1:10" x14ac:dyDescent="0.25">
      <c r="A522" s="3">
        <v>521</v>
      </c>
      <c r="B522" s="3">
        <v>17.565892857142856</v>
      </c>
      <c r="C522" s="3">
        <v>0.48874296435272047</v>
      </c>
      <c r="D522" s="3">
        <v>5169.6422678571425</v>
      </c>
      <c r="E522" s="3">
        <f t="shared" si="0"/>
        <v>2526.6262866356205</v>
      </c>
      <c r="F522" s="3">
        <f t="shared" si="1"/>
        <v>22133246.270928036</v>
      </c>
      <c r="G522" s="3">
        <f t="shared" si="2"/>
        <v>6855691615006.9785</v>
      </c>
      <c r="H522" s="3">
        <f t="shared" si="3"/>
        <v>41357138.142857142</v>
      </c>
      <c r="I522" s="3">
        <f t="shared" si="4"/>
        <v>1240714.1442857143</v>
      </c>
      <c r="J522" s="3">
        <f t="shared" si="5"/>
        <v>6855696577863.5557</v>
      </c>
    </row>
    <row r="523" spans="1:10" x14ac:dyDescent="0.25">
      <c r="A523" s="3">
        <v>522</v>
      </c>
      <c r="B523" s="3">
        <v>17.5825</v>
      </c>
      <c r="C523" s="3">
        <v>0.4896810506566604</v>
      </c>
      <c r="D523" s="3">
        <v>5174.5297499999997</v>
      </c>
      <c r="E523" s="3">
        <f t="shared" si="0"/>
        <v>2533.8691646341463</v>
      </c>
      <c r="F523" s="3">
        <f t="shared" si="1"/>
        <v>22196693.882195119</v>
      </c>
      <c r="G523" s="3">
        <f t="shared" si="2"/>
        <v>6875344288738.7979</v>
      </c>
      <c r="H523" s="3">
        <f t="shared" si="3"/>
        <v>41396238</v>
      </c>
      <c r="I523" s="3">
        <f t="shared" si="4"/>
        <v>1241887.1399999999</v>
      </c>
      <c r="J523" s="3">
        <f t="shared" si="5"/>
        <v>6875349256287.3574</v>
      </c>
    </row>
    <row r="524" spans="1:10" x14ac:dyDescent="0.25">
      <c r="A524" s="3">
        <v>523</v>
      </c>
      <c r="B524" s="3">
        <v>17.622678571428573</v>
      </c>
      <c r="C524" s="3">
        <v>0.49061913696060039</v>
      </c>
      <c r="D524" s="3">
        <v>5186.3543035714292</v>
      </c>
      <c r="E524" s="3">
        <f t="shared" si="0"/>
        <v>2544.5246723901105</v>
      </c>
      <c r="F524" s="3">
        <f t="shared" si="1"/>
        <v>22290036.130137365</v>
      </c>
      <c r="G524" s="3">
        <f t="shared" si="2"/>
        <v>6904256716256.543</v>
      </c>
      <c r="H524" s="3">
        <f t="shared" si="3"/>
        <v>41490834.428571433</v>
      </c>
      <c r="I524" s="3">
        <f t="shared" si="4"/>
        <v>1244725.0328571429</v>
      </c>
      <c r="J524" s="3">
        <f t="shared" si="5"/>
        <v>6904261695156.6748</v>
      </c>
    </row>
    <row r="525" spans="1:10" x14ac:dyDescent="0.25">
      <c r="A525" s="3">
        <v>524</v>
      </c>
      <c r="B525" s="3">
        <v>17.624285714285715</v>
      </c>
      <c r="C525" s="3">
        <v>0.49155722326454032</v>
      </c>
      <c r="D525" s="3">
        <v>5186.8272857142856</v>
      </c>
      <c r="E525" s="3">
        <f t="shared" si="0"/>
        <v>2549.6224181184666</v>
      </c>
      <c r="F525" s="3">
        <f t="shared" si="1"/>
        <v>22334692.38271777</v>
      </c>
      <c r="G525" s="3">
        <f t="shared" si="2"/>
        <v>6918088835783.8047</v>
      </c>
      <c r="H525" s="3">
        <f t="shared" si="3"/>
        <v>41494618.285714284</v>
      </c>
      <c r="I525" s="3">
        <f t="shared" si="4"/>
        <v>1244838.5485714285</v>
      </c>
      <c r="J525" s="3">
        <f t="shared" si="5"/>
        <v>6918093815137.999</v>
      </c>
    </row>
    <row r="526" spans="1:10" x14ac:dyDescent="0.25">
      <c r="A526" s="3">
        <v>525</v>
      </c>
      <c r="B526" s="3">
        <v>17.661071428571429</v>
      </c>
      <c r="C526" s="3">
        <v>0.49249530956848031</v>
      </c>
      <c r="D526" s="3">
        <v>5197.6533214285719</v>
      </c>
      <c r="E526" s="3">
        <f t="shared" si="0"/>
        <v>2559.8198815666042</v>
      </c>
      <c r="F526" s="3">
        <f t="shared" si="1"/>
        <v>22424022.162523452</v>
      </c>
      <c r="G526" s="3">
        <f t="shared" si="2"/>
        <v>6945758416115.0391</v>
      </c>
      <c r="H526" s="3">
        <f t="shared" si="3"/>
        <v>41581226.571428575</v>
      </c>
      <c r="I526" s="3">
        <f t="shared" si="4"/>
        <v>1247436.7971428572</v>
      </c>
      <c r="J526" s="3">
        <f t="shared" si="5"/>
        <v>6945763405862.2275</v>
      </c>
    </row>
    <row r="527" spans="1:10" x14ac:dyDescent="0.25">
      <c r="A527" s="3">
        <v>526</v>
      </c>
      <c r="B527" s="3">
        <v>17.731428571428573</v>
      </c>
      <c r="C527" s="3">
        <v>0.49343339587242024</v>
      </c>
      <c r="D527" s="3">
        <v>5218.3594285714289</v>
      </c>
      <c r="E527" s="3">
        <f t="shared" si="0"/>
        <v>2574.9128137228627</v>
      </c>
      <c r="F527" s="3">
        <f t="shared" si="1"/>
        <v>22556236.248212278</v>
      </c>
      <c r="G527" s="3">
        <f t="shared" si="2"/>
        <v>6986711252574.0625</v>
      </c>
      <c r="H527" s="3">
        <f t="shared" si="3"/>
        <v>41746875.428571433</v>
      </c>
      <c r="I527" s="3">
        <f t="shared" si="4"/>
        <v>1252406.2628571428</v>
      </c>
      <c r="J527" s="3">
        <f t="shared" si="5"/>
        <v>6986716262199.1133</v>
      </c>
    </row>
    <row r="528" spans="1:10" x14ac:dyDescent="0.25">
      <c r="A528" s="3">
        <v>527</v>
      </c>
      <c r="B528" s="3">
        <v>17.784642857142856</v>
      </c>
      <c r="C528" s="3">
        <v>0.49437148217636023</v>
      </c>
      <c r="D528" s="3">
        <v>5234.0203928571427</v>
      </c>
      <c r="E528" s="3">
        <f t="shared" si="0"/>
        <v>2587.5504193580809</v>
      </c>
      <c r="F528" s="3">
        <f t="shared" si="1"/>
        <v>22666941.673576791</v>
      </c>
      <c r="G528" s="3">
        <f t="shared" si="2"/>
        <v>7021001860638.0254</v>
      </c>
      <c r="H528" s="3">
        <f t="shared" si="3"/>
        <v>41872163.142857142</v>
      </c>
      <c r="I528" s="3">
        <f t="shared" si="4"/>
        <v>1256164.8942857143</v>
      </c>
      <c r="J528" s="3">
        <f t="shared" si="5"/>
        <v>7021006885297.6025</v>
      </c>
    </row>
    <row r="529" spans="1:10" x14ac:dyDescent="0.25">
      <c r="A529" s="3">
        <v>528</v>
      </c>
      <c r="B529" s="3">
        <v>17.838749999999997</v>
      </c>
      <c r="C529" s="3">
        <v>0.49530956848030017</v>
      </c>
      <c r="D529" s="3">
        <v>5249.9441249999991</v>
      </c>
      <c r="E529" s="3">
        <f t="shared" si="0"/>
        <v>2600.3475590994367</v>
      </c>
      <c r="F529" s="3">
        <f t="shared" si="1"/>
        <v>22779044.617711067</v>
      </c>
      <c r="G529" s="3">
        <f t="shared" si="2"/>
        <v>7055725345061.2363</v>
      </c>
      <c r="H529" s="3">
        <f t="shared" si="3"/>
        <v>41999552.999999993</v>
      </c>
      <c r="I529" s="3">
        <f t="shared" si="4"/>
        <v>1259986.5899999996</v>
      </c>
      <c r="J529" s="3">
        <f t="shared" si="5"/>
        <v>7055730385007.5957</v>
      </c>
    </row>
    <row r="530" spans="1:10" x14ac:dyDescent="0.25">
      <c r="A530" s="3">
        <v>529</v>
      </c>
      <c r="B530" s="3">
        <v>17.869107142857146</v>
      </c>
      <c r="C530" s="3">
        <v>0.49624765478424016</v>
      </c>
      <c r="D530" s="3">
        <v>5258.8782321428571</v>
      </c>
      <c r="E530" s="3">
        <f t="shared" si="0"/>
        <v>2609.7059894967838</v>
      </c>
      <c r="F530" s="3">
        <f t="shared" si="1"/>
        <v>22861024.467991825</v>
      </c>
      <c r="G530" s="3">
        <f t="shared" si="2"/>
        <v>7081118311927.1328</v>
      </c>
      <c r="H530" s="3">
        <f t="shared" si="3"/>
        <v>42071025.857142858</v>
      </c>
      <c r="I530" s="3">
        <f t="shared" si="4"/>
        <v>1262130.7757142857</v>
      </c>
      <c r="J530" s="3">
        <f t="shared" si="5"/>
        <v>7081123360450.2354</v>
      </c>
    </row>
    <row r="531" spans="1:10" x14ac:dyDescent="0.25">
      <c r="A531" s="3">
        <v>530</v>
      </c>
      <c r="B531" s="3">
        <v>17.902857142857144</v>
      </c>
      <c r="C531" s="3">
        <v>0.49718574108818009</v>
      </c>
      <c r="D531" s="3">
        <v>5268.8108571428575</v>
      </c>
      <c r="E531" s="3">
        <f t="shared" si="0"/>
        <v>2619.577630662021</v>
      </c>
      <c r="F531" s="3">
        <f t="shared" si="1"/>
        <v>22947500.044599302</v>
      </c>
      <c r="G531" s="3">
        <f t="shared" si="2"/>
        <v>7107903813534.6289</v>
      </c>
      <c r="H531" s="3">
        <f t="shared" si="3"/>
        <v>42150486.857142858</v>
      </c>
      <c r="I531" s="3">
        <f t="shared" si="4"/>
        <v>1264514.6057142857</v>
      </c>
      <c r="J531" s="3">
        <f t="shared" si="5"/>
        <v>7107908871593.0518</v>
      </c>
    </row>
    <row r="532" spans="1:10" x14ac:dyDescent="0.25">
      <c r="A532" s="3">
        <v>531</v>
      </c>
      <c r="B532" s="3">
        <v>17.908392857142857</v>
      </c>
      <c r="C532" s="3">
        <v>0.49812382739212008</v>
      </c>
      <c r="D532" s="3">
        <v>5270.4400178571441</v>
      </c>
      <c r="E532" s="3">
        <f t="shared" si="0"/>
        <v>2625.3317537355942</v>
      </c>
      <c r="F532" s="3">
        <f t="shared" si="1"/>
        <v>22997906.162723806</v>
      </c>
      <c r="G532" s="3">
        <f t="shared" si="2"/>
        <v>7123516932942.5664</v>
      </c>
      <c r="H532" s="3">
        <f t="shared" si="3"/>
        <v>42163520.142857149</v>
      </c>
      <c r="I532" s="3">
        <f t="shared" si="4"/>
        <v>1264905.6042857144</v>
      </c>
      <c r="J532" s="3">
        <f t="shared" si="5"/>
        <v>7123521992564.9834</v>
      </c>
    </row>
    <row r="533" spans="1:10" x14ac:dyDescent="0.25">
      <c r="A533" s="3">
        <v>532</v>
      </c>
      <c r="B533" s="3">
        <v>17.915178571428573</v>
      </c>
      <c r="C533" s="3">
        <v>0.49906191369606001</v>
      </c>
      <c r="D533" s="3">
        <v>5272.4370535714288</v>
      </c>
      <c r="E533" s="3">
        <f t="shared" si="0"/>
        <v>2631.2725257973734</v>
      </c>
      <c r="F533" s="3">
        <f t="shared" si="1"/>
        <v>23049947.325984992</v>
      </c>
      <c r="G533" s="3">
        <f t="shared" si="2"/>
        <v>7139636501580.5176</v>
      </c>
      <c r="H533" s="3">
        <f t="shared" si="3"/>
        <v>42179496.428571433</v>
      </c>
      <c r="I533" s="3">
        <f t="shared" si="4"/>
        <v>1265384.892857143</v>
      </c>
      <c r="J533" s="3">
        <f t="shared" si="5"/>
        <v>7139641563120.0889</v>
      </c>
    </row>
    <row r="534" spans="1:10" x14ac:dyDescent="0.25">
      <c r="A534" s="3">
        <v>533</v>
      </c>
      <c r="B534" s="3">
        <v>17.916071428571428</v>
      </c>
      <c r="C534" s="3">
        <v>0.5</v>
      </c>
      <c r="D534" s="3">
        <v>5272.6998214285722</v>
      </c>
      <c r="E534" s="3">
        <f t="shared" si="0"/>
        <v>2636.3499107142861</v>
      </c>
      <c r="F534" s="3">
        <f t="shared" si="1"/>
        <v>23094425.217857145</v>
      </c>
      <c r="G534" s="3">
        <f t="shared" si="2"/>
        <v>7153413374696.3135</v>
      </c>
      <c r="H534" s="3">
        <f t="shared" si="3"/>
        <v>42181598.571428575</v>
      </c>
      <c r="I534" s="3">
        <f t="shared" si="4"/>
        <v>1265447.9571428571</v>
      </c>
      <c r="J534" s="3">
        <f t="shared" si="5"/>
        <v>7153418436488.1416</v>
      </c>
    </row>
    <row r="535" spans="1:10" x14ac:dyDescent="0.25">
      <c r="A535" s="3">
        <v>534</v>
      </c>
      <c r="B535" s="3">
        <v>17.942678571428573</v>
      </c>
      <c r="C535" s="3">
        <v>0.50093808630393999</v>
      </c>
      <c r="D535" s="3">
        <v>5280.5303035714287</v>
      </c>
      <c r="E535" s="3">
        <f t="shared" si="0"/>
        <v>2645.2187449410349</v>
      </c>
      <c r="F535" s="3">
        <f t="shared" si="1"/>
        <v>23172116.205683466</v>
      </c>
      <c r="G535" s="3">
        <f t="shared" si="2"/>
        <v>7177477882291.3848</v>
      </c>
      <c r="H535" s="3">
        <f t="shared" si="3"/>
        <v>42244242.428571433</v>
      </c>
      <c r="I535" s="3">
        <f t="shared" si="4"/>
        <v>1267327.2728571428</v>
      </c>
      <c r="J535" s="3">
        <f t="shared" si="5"/>
        <v>7177482951600.4756</v>
      </c>
    </row>
    <row r="536" spans="1:10" x14ac:dyDescent="0.25">
      <c r="A536" s="3">
        <v>535</v>
      </c>
      <c r="B536" s="3">
        <v>17.960892857142856</v>
      </c>
      <c r="C536" s="3">
        <v>0.50187617260787998</v>
      </c>
      <c r="D536" s="3">
        <v>5285.8907678571431</v>
      </c>
      <c r="E536" s="3">
        <f t="shared" si="0"/>
        <v>2652.862627395471</v>
      </c>
      <c r="F536" s="3">
        <f t="shared" si="1"/>
        <v>23239076.615984328</v>
      </c>
      <c r="G536" s="3">
        <f t="shared" si="2"/>
        <v>7198218632935.6416</v>
      </c>
      <c r="H536" s="3">
        <f t="shared" si="3"/>
        <v>42287126.142857142</v>
      </c>
      <c r="I536" s="3">
        <f t="shared" si="4"/>
        <v>1268613.7842857142</v>
      </c>
      <c r="J536" s="3">
        <f t="shared" si="5"/>
        <v>7198223707390.7783</v>
      </c>
    </row>
    <row r="537" spans="1:10" x14ac:dyDescent="0.25">
      <c r="A537" s="3">
        <v>536</v>
      </c>
      <c r="B537" s="3">
        <v>17.982142857142858</v>
      </c>
      <c r="C537" s="3">
        <v>0.50281425891181986</v>
      </c>
      <c r="D537" s="3">
        <v>5292.1446428571435</v>
      </c>
      <c r="E537" s="3">
        <f t="shared" si="0"/>
        <v>2660.9657866523721</v>
      </c>
      <c r="F537" s="3">
        <f t="shared" si="1"/>
        <v>23310060.291074779</v>
      </c>
      <c r="G537" s="3">
        <f t="shared" si="2"/>
        <v>7220205575093.2949</v>
      </c>
      <c r="H537" s="3">
        <f t="shared" si="3"/>
        <v>42337157.142857149</v>
      </c>
      <c r="I537" s="3">
        <f t="shared" si="4"/>
        <v>1270114.7142857143</v>
      </c>
      <c r="J537" s="3">
        <f t="shared" si="5"/>
        <v>7220210655552.1514</v>
      </c>
    </row>
    <row r="538" spans="1:10" x14ac:dyDescent="0.25">
      <c r="A538" s="3">
        <v>537</v>
      </c>
      <c r="B538" s="3">
        <v>18.023392857142856</v>
      </c>
      <c r="C538" s="3">
        <v>0.50375234521575984</v>
      </c>
      <c r="D538" s="3">
        <v>5304.2845178571424</v>
      </c>
      <c r="E538" s="3">
        <f t="shared" si="0"/>
        <v>2672.0457655621813</v>
      </c>
      <c r="F538" s="3">
        <f t="shared" si="1"/>
        <v>23407120.906324707</v>
      </c>
      <c r="G538" s="3">
        <f t="shared" si="2"/>
        <v>7250269753737.583</v>
      </c>
      <c r="H538" s="3">
        <f t="shared" si="3"/>
        <v>42434276.142857142</v>
      </c>
      <c r="I538" s="3">
        <f t="shared" si="4"/>
        <v>1273028.2842857142</v>
      </c>
      <c r="J538" s="3">
        <f t="shared" si="5"/>
        <v>7250274845850.7197</v>
      </c>
    </row>
    <row r="539" spans="1:10" x14ac:dyDescent="0.25">
      <c r="A539" s="3">
        <v>538</v>
      </c>
      <c r="B539" s="3">
        <v>18.037142857142857</v>
      </c>
      <c r="C539" s="3">
        <v>0.50469043151969983</v>
      </c>
      <c r="D539" s="3">
        <v>5308.3311428571433</v>
      </c>
      <c r="E539" s="3">
        <f t="shared" si="0"/>
        <v>2679.0639351380332</v>
      </c>
      <c r="F539" s="3">
        <f t="shared" si="1"/>
        <v>23468600.071809173</v>
      </c>
      <c r="G539" s="3">
        <f t="shared" si="2"/>
        <v>7269312708995.0322</v>
      </c>
      <c r="H539" s="3">
        <f t="shared" si="3"/>
        <v>42466649.142857149</v>
      </c>
      <c r="I539" s="3">
        <f t="shared" si="4"/>
        <v>1273999.4742857143</v>
      </c>
      <c r="J539" s="3">
        <f t="shared" si="5"/>
        <v>7269317804992.9297</v>
      </c>
    </row>
    <row r="540" spans="1:10" x14ac:dyDescent="0.25">
      <c r="A540" s="3">
        <v>539</v>
      </c>
      <c r="B540" s="3">
        <v>18.074464285714289</v>
      </c>
      <c r="C540" s="3">
        <v>0.50562851782363982</v>
      </c>
      <c r="D540" s="3">
        <v>5319.3148392857156</v>
      </c>
      <c r="E540" s="3">
        <f t="shared" si="0"/>
        <v>2689.5972780253292</v>
      </c>
      <c r="F540" s="3">
        <f t="shared" si="1"/>
        <v>23560872.155501883</v>
      </c>
      <c r="G540" s="3">
        <f t="shared" si="2"/>
        <v>7297893657640.3604</v>
      </c>
      <c r="H540" s="3">
        <f t="shared" si="3"/>
        <v>42554518.714285724</v>
      </c>
      <c r="I540" s="3">
        <f t="shared" si="4"/>
        <v>1276635.5614285716</v>
      </c>
      <c r="J540" s="3">
        <f t="shared" si="5"/>
        <v>7297898764182.6064</v>
      </c>
    </row>
    <row r="541" spans="1:10" x14ac:dyDescent="0.25">
      <c r="A541" s="3">
        <v>540</v>
      </c>
      <c r="B541" s="3">
        <v>18.074464285714289</v>
      </c>
      <c r="C541" s="3">
        <v>0.5065666041275797</v>
      </c>
      <c r="D541" s="3">
        <v>5319.3148392857156</v>
      </c>
      <c r="E541" s="3">
        <f t="shared" si="0"/>
        <v>2694.5872544224071</v>
      </c>
      <c r="F541" s="3">
        <f t="shared" si="1"/>
        <v>23604584.348740283</v>
      </c>
      <c r="G541" s="3">
        <f t="shared" si="2"/>
        <v>7311433358501.5498</v>
      </c>
      <c r="H541" s="3">
        <f t="shared" si="3"/>
        <v>42554518.714285724</v>
      </c>
      <c r="I541" s="3">
        <f t="shared" si="4"/>
        <v>1276635.5614285716</v>
      </c>
      <c r="J541" s="3">
        <f t="shared" si="5"/>
        <v>7311438465043.7959</v>
      </c>
    </row>
    <row r="542" spans="1:10" x14ac:dyDescent="0.25">
      <c r="A542" s="3">
        <v>541</v>
      </c>
      <c r="B542" s="3">
        <v>18.110714285714284</v>
      </c>
      <c r="C542" s="3">
        <v>0.50750469043151969</v>
      </c>
      <c r="D542" s="3">
        <v>5329.983214285714</v>
      </c>
      <c r="E542" s="3">
        <f t="shared" si="0"/>
        <v>2704.9914811712674</v>
      </c>
      <c r="F542" s="3">
        <f t="shared" si="1"/>
        <v>23695725.375060301</v>
      </c>
      <c r="G542" s="3">
        <f t="shared" si="2"/>
        <v>7339663966335.3906</v>
      </c>
      <c r="H542" s="3">
        <f t="shared" si="3"/>
        <v>42639865.714285709</v>
      </c>
      <c r="I542" s="3">
        <f t="shared" si="4"/>
        <v>1279195.9714285713</v>
      </c>
      <c r="J542" s="3">
        <f t="shared" si="5"/>
        <v>7339669083119.2764</v>
      </c>
    </row>
    <row r="543" spans="1:10" x14ac:dyDescent="0.25">
      <c r="A543" s="3">
        <v>542</v>
      </c>
      <c r="B543" s="3">
        <v>18.138571428571431</v>
      </c>
      <c r="C543" s="3">
        <v>0.50844277673545968</v>
      </c>
      <c r="D543" s="3">
        <v>5338.1815714285731</v>
      </c>
      <c r="E543" s="3">
        <f t="shared" si="0"/>
        <v>2714.1598608952031</v>
      </c>
      <c r="F543" s="3">
        <f t="shared" si="1"/>
        <v>23776040.381441981</v>
      </c>
      <c r="G543" s="3">
        <f t="shared" si="2"/>
        <v>7364541254260.7139</v>
      </c>
      <c r="H543" s="3">
        <f t="shared" si="3"/>
        <v>42705452.571428582</v>
      </c>
      <c r="I543" s="3">
        <f t="shared" si="4"/>
        <v>1281163.5771428575</v>
      </c>
      <c r="J543" s="3">
        <f t="shared" si="5"/>
        <v>7364546378915.0225</v>
      </c>
    </row>
    <row r="544" spans="1:10" x14ac:dyDescent="0.25">
      <c r="A544" s="3">
        <v>543</v>
      </c>
      <c r="B544" s="3">
        <v>18.19125</v>
      </c>
      <c r="C544" s="3">
        <v>0.50938086303939967</v>
      </c>
      <c r="D544" s="3">
        <v>5353.6848749999999</v>
      </c>
      <c r="E544" s="3">
        <f t="shared" si="0"/>
        <v>2727.0646220684803</v>
      </c>
      <c r="F544" s="3">
        <f t="shared" si="1"/>
        <v>23889086.089319889</v>
      </c>
      <c r="G544" s="3">
        <f t="shared" si="2"/>
        <v>7399556756900.5498</v>
      </c>
      <c r="H544" s="3">
        <f t="shared" si="3"/>
        <v>42829479</v>
      </c>
      <c r="I544" s="3">
        <f t="shared" si="4"/>
        <v>1284884.3699999999</v>
      </c>
      <c r="J544" s="3">
        <f t="shared" si="5"/>
        <v>7399561896438.0303</v>
      </c>
    </row>
    <row r="545" spans="1:10" x14ac:dyDescent="0.25">
      <c r="A545" s="3">
        <v>544</v>
      </c>
      <c r="B545" s="3">
        <v>18.237857142857141</v>
      </c>
      <c r="C545" s="3">
        <v>0.51031894934333955</v>
      </c>
      <c r="D545" s="3">
        <v>5367.4013571428568</v>
      </c>
      <c r="E545" s="3">
        <f t="shared" si="0"/>
        <v>2739.0866212811575</v>
      </c>
      <c r="F545" s="3">
        <f t="shared" si="1"/>
        <v>23994398.802422937</v>
      </c>
      <c r="G545" s="3">
        <f t="shared" si="2"/>
        <v>7432176992836.1953</v>
      </c>
      <c r="H545" s="3">
        <f t="shared" si="3"/>
        <v>42939210.857142851</v>
      </c>
      <c r="I545" s="3">
        <f t="shared" si="4"/>
        <v>1288176.3257142855</v>
      </c>
      <c r="J545" s="3">
        <f t="shared" si="5"/>
        <v>7432182145541.499</v>
      </c>
    </row>
    <row r="546" spans="1:10" x14ac:dyDescent="0.25">
      <c r="A546" s="3">
        <v>545</v>
      </c>
      <c r="B546" s="3">
        <v>18.244285714285713</v>
      </c>
      <c r="C546" s="3">
        <v>0.51125703564727953</v>
      </c>
      <c r="D546" s="3">
        <v>5369.293285714285</v>
      </c>
      <c r="E546" s="3">
        <f t="shared" si="0"/>
        <v>2745.0889687751269</v>
      </c>
      <c r="F546" s="3">
        <f t="shared" si="1"/>
        <v>24046979.366470113</v>
      </c>
      <c r="G546" s="3">
        <f t="shared" si="2"/>
        <v>7448463639105.2666</v>
      </c>
      <c r="H546" s="3">
        <f t="shared" si="3"/>
        <v>42954346.285714284</v>
      </c>
      <c r="I546" s="3">
        <f t="shared" si="4"/>
        <v>1288630.3885714284</v>
      </c>
      <c r="J546" s="3">
        <f t="shared" si="5"/>
        <v>7448468793626.8213</v>
      </c>
    </row>
    <row r="547" spans="1:10" x14ac:dyDescent="0.25">
      <c r="A547" s="3">
        <v>546</v>
      </c>
      <c r="B547" s="3">
        <v>18.250357142857144</v>
      </c>
      <c r="C547" s="3">
        <v>0.51219512195121952</v>
      </c>
      <c r="D547" s="3">
        <v>5371.0801071428568</v>
      </c>
      <c r="E547" s="3">
        <f t="shared" si="0"/>
        <v>2751.0410304878046</v>
      </c>
      <c r="F547" s="3">
        <f t="shared" si="1"/>
        <v>24099119.427073169</v>
      </c>
      <c r="G547" s="3">
        <f t="shared" si="2"/>
        <v>7464613841055.0488</v>
      </c>
      <c r="H547" s="3">
        <f t="shared" si="3"/>
        <v>42968640.857142858</v>
      </c>
      <c r="I547" s="3">
        <f t="shared" si="4"/>
        <v>1289059.2257142856</v>
      </c>
      <c r="J547" s="3">
        <f t="shared" si="5"/>
        <v>7464618997291.9512</v>
      </c>
    </row>
    <row r="548" spans="1:10" x14ac:dyDescent="0.25">
      <c r="A548" s="3">
        <v>547</v>
      </c>
      <c r="B548" s="3">
        <v>18.275178571428572</v>
      </c>
      <c r="C548" s="3">
        <v>0.51313320825515951</v>
      </c>
      <c r="D548" s="3">
        <v>5378.3850535714291</v>
      </c>
      <c r="E548" s="3">
        <f t="shared" si="0"/>
        <v>2759.8279777707053</v>
      </c>
      <c r="F548" s="3">
        <f t="shared" si="1"/>
        <v>24176093.085271381</v>
      </c>
      <c r="G548" s="3">
        <f t="shared" si="2"/>
        <v>7488456158780.1875</v>
      </c>
      <c r="H548" s="3">
        <f t="shared" si="3"/>
        <v>43027080.428571433</v>
      </c>
      <c r="I548" s="3">
        <f t="shared" si="4"/>
        <v>1290812.412857143</v>
      </c>
      <c r="J548" s="3">
        <f t="shared" si="5"/>
        <v>7488461322029.8389</v>
      </c>
    </row>
    <row r="549" spans="1:10" x14ac:dyDescent="0.25">
      <c r="A549" s="3">
        <v>548</v>
      </c>
      <c r="B549" s="3">
        <v>18.280178571428571</v>
      </c>
      <c r="C549" s="3">
        <v>0.51407129455909939</v>
      </c>
      <c r="D549" s="3">
        <v>5379.8565535714288</v>
      </c>
      <c r="E549" s="3">
        <f t="shared" si="0"/>
        <v>2765.6298230367192</v>
      </c>
      <c r="F549" s="3">
        <f t="shared" si="1"/>
        <v>24226917.249801662</v>
      </c>
      <c r="G549" s="3">
        <f t="shared" si="2"/>
        <v>7504198766769.6162</v>
      </c>
      <c r="H549" s="3">
        <f t="shared" si="3"/>
        <v>43038852.428571433</v>
      </c>
      <c r="I549" s="3">
        <f t="shared" si="4"/>
        <v>1291165.5728571429</v>
      </c>
      <c r="J549" s="3">
        <f t="shared" si="5"/>
        <v>7504203931431.9082</v>
      </c>
    </row>
    <row r="550" spans="1:10" x14ac:dyDescent="0.25">
      <c r="A550" s="3">
        <v>549</v>
      </c>
      <c r="B550" s="3">
        <v>18.289642857142859</v>
      </c>
      <c r="C550" s="3">
        <v>0.51500938086303938</v>
      </c>
      <c r="D550" s="3">
        <v>5382.6418928571438</v>
      </c>
      <c r="E550" s="3">
        <f t="shared" si="0"/>
        <v>2772.111068647816</v>
      </c>
      <c r="F550" s="3">
        <f t="shared" si="1"/>
        <v>24283692.961354867</v>
      </c>
      <c r="G550" s="3">
        <f t="shared" si="2"/>
        <v>7521784844629.7666</v>
      </c>
      <c r="H550" s="3">
        <f t="shared" si="3"/>
        <v>43061135.142857149</v>
      </c>
      <c r="I550" s="3">
        <f t="shared" si="4"/>
        <v>1291834.0542857144</v>
      </c>
      <c r="J550" s="3">
        <f t="shared" si="5"/>
        <v>7521790011965.9844</v>
      </c>
    </row>
    <row r="551" spans="1:10" x14ac:dyDescent="0.25">
      <c r="A551" s="3">
        <v>550</v>
      </c>
      <c r="B551" s="3">
        <v>18.358035714285716</v>
      </c>
      <c r="C551" s="3">
        <v>0.51594746716697937</v>
      </c>
      <c r="D551" s="3">
        <v>5402.7699107142862</v>
      </c>
      <c r="E551" s="3">
        <f t="shared" si="0"/>
        <v>2787.5454511190032</v>
      </c>
      <c r="F551" s="3">
        <f t="shared" si="1"/>
        <v>24418898.151802465</v>
      </c>
      <c r="G551" s="3">
        <f t="shared" si="2"/>
        <v>7563664166010.6563</v>
      </c>
      <c r="H551" s="3">
        <f t="shared" si="3"/>
        <v>43222159.285714291</v>
      </c>
      <c r="I551" s="3">
        <f t="shared" si="4"/>
        <v>1296664.7785714287</v>
      </c>
      <c r="J551" s="3">
        <f t="shared" si="5"/>
        <v>7563669352669.7705</v>
      </c>
    </row>
    <row r="552" spans="1:10" x14ac:dyDescent="0.25">
      <c r="A552" s="3">
        <v>551</v>
      </c>
      <c r="B552" s="3">
        <v>18.370892857142856</v>
      </c>
      <c r="C552" s="3">
        <v>0.51688555347091936</v>
      </c>
      <c r="D552" s="3">
        <v>5406.5537678571427</v>
      </c>
      <c r="E552" s="3">
        <f t="shared" si="0"/>
        <v>2794.5695366691239</v>
      </c>
      <c r="F552" s="3">
        <f t="shared" si="1"/>
        <v>24480429.141221527</v>
      </c>
      <c r="G552" s="3">
        <f t="shared" si="2"/>
        <v>7582723173805.0898</v>
      </c>
      <c r="H552" s="3">
        <f t="shared" si="3"/>
        <v>43252430.142857142</v>
      </c>
      <c r="I552" s="3">
        <f t="shared" si="4"/>
        <v>1297572.9042857143</v>
      </c>
      <c r="J552" s="3">
        <f t="shared" si="5"/>
        <v>7582728364096.707</v>
      </c>
    </row>
    <row r="553" spans="1:10" x14ac:dyDescent="0.25">
      <c r="A553" s="3">
        <v>552</v>
      </c>
      <c r="B553" s="3">
        <v>18.461428571428574</v>
      </c>
      <c r="C553" s="3">
        <v>0.51782363977485923</v>
      </c>
      <c r="D553" s="3">
        <v>5433.1984285714288</v>
      </c>
      <c r="E553" s="3">
        <f t="shared" si="0"/>
        <v>2813.438585901903</v>
      </c>
      <c r="F553" s="3">
        <f t="shared" si="1"/>
        <v>24645722.012500674</v>
      </c>
      <c r="G553" s="3">
        <f t="shared" si="2"/>
        <v>7633922044136.127</v>
      </c>
      <c r="H553" s="3">
        <f t="shared" si="3"/>
        <v>43465587.428571433</v>
      </c>
      <c r="I553" s="3">
        <f t="shared" si="4"/>
        <v>1303967.6228571429</v>
      </c>
      <c r="J553" s="3">
        <f t="shared" si="5"/>
        <v>7633927260006.6182</v>
      </c>
    </row>
    <row r="554" spans="1:10" x14ac:dyDescent="0.25">
      <c r="A554" s="3">
        <v>553</v>
      </c>
      <c r="B554" s="3">
        <v>18.471249999999998</v>
      </c>
      <c r="C554" s="3">
        <v>0.51876172607879922</v>
      </c>
      <c r="D554" s="3">
        <v>5436.0888749999995</v>
      </c>
      <c r="E554" s="3">
        <f t="shared" si="0"/>
        <v>2820.0348479127574</v>
      </c>
      <c r="F554" s="3">
        <f t="shared" si="1"/>
        <v>24703505.267715756</v>
      </c>
      <c r="G554" s="3">
        <f t="shared" si="2"/>
        <v>7651820205064.2969</v>
      </c>
      <c r="H554" s="3">
        <f t="shared" si="3"/>
        <v>43488710.999999993</v>
      </c>
      <c r="I554" s="3">
        <f t="shared" si="4"/>
        <v>1304661.3299999998</v>
      </c>
      <c r="J554" s="3">
        <f t="shared" si="5"/>
        <v>7651825423709.6172</v>
      </c>
    </row>
    <row r="555" spans="1:10" x14ac:dyDescent="0.25">
      <c r="A555" s="3">
        <v>554</v>
      </c>
      <c r="B555" s="3">
        <v>18.472142857142856</v>
      </c>
      <c r="C555" s="3">
        <v>0.51969981238273921</v>
      </c>
      <c r="D555" s="3">
        <v>5436.3516428571429</v>
      </c>
      <c r="E555" s="3">
        <f t="shared" si="0"/>
        <v>2825.2709288394531</v>
      </c>
      <c r="F555" s="3">
        <f t="shared" si="1"/>
        <v>24749373.336633611</v>
      </c>
      <c r="G555" s="3">
        <f t="shared" si="2"/>
        <v>7666027680717.9307</v>
      </c>
      <c r="H555" s="3">
        <f t="shared" si="3"/>
        <v>43490813.142857142</v>
      </c>
      <c r="I555" s="3">
        <f t="shared" si="4"/>
        <v>1304724.3942857143</v>
      </c>
      <c r="J555" s="3">
        <f t="shared" si="5"/>
        <v>7666032899615.5078</v>
      </c>
    </row>
    <row r="556" spans="1:10" x14ac:dyDescent="0.25">
      <c r="A556" s="3">
        <v>555</v>
      </c>
      <c r="B556" s="3">
        <v>18.484464285714285</v>
      </c>
      <c r="C556" s="3">
        <v>0.5206378986866792</v>
      </c>
      <c r="D556" s="3">
        <v>5439.9778392857152</v>
      </c>
      <c r="E556" s="3">
        <f t="shared" si="0"/>
        <v>2832.2586311478162</v>
      </c>
      <c r="F556" s="3">
        <f t="shared" si="1"/>
        <v>24810585.608854871</v>
      </c>
      <c r="G556" s="3">
        <f t="shared" si="2"/>
        <v>7684987967112.6396</v>
      </c>
      <c r="H556" s="3">
        <f t="shared" si="3"/>
        <v>43519822.714285724</v>
      </c>
      <c r="I556" s="3">
        <f t="shared" si="4"/>
        <v>1305594.6814285717</v>
      </c>
      <c r="J556" s="3">
        <f t="shared" si="5"/>
        <v>7684993189491.3652</v>
      </c>
    </row>
    <row r="557" spans="1:10" x14ac:dyDescent="0.25">
      <c r="A557" s="3">
        <v>556</v>
      </c>
      <c r="B557" s="3">
        <v>18.496964285714288</v>
      </c>
      <c r="C557" s="3">
        <v>0.52157598499061919</v>
      </c>
      <c r="D557" s="3">
        <v>5443.6565892857152</v>
      </c>
      <c r="E557" s="3">
        <f t="shared" si="0"/>
        <v>2839.2805475073715</v>
      </c>
      <c r="F557" s="3">
        <f t="shared" si="1"/>
        <v>24872097.596164577</v>
      </c>
      <c r="G557" s="3">
        <f t="shared" si="2"/>
        <v>7704041089170.2422</v>
      </c>
      <c r="H557" s="3">
        <f t="shared" si="3"/>
        <v>43549252.714285724</v>
      </c>
      <c r="I557" s="3">
        <f t="shared" si="4"/>
        <v>1306477.5814285716</v>
      </c>
      <c r="J557" s="3">
        <f t="shared" si="5"/>
        <v>7704046315080.5674</v>
      </c>
    </row>
    <row r="558" spans="1:10" x14ac:dyDescent="0.25">
      <c r="A558" s="3">
        <v>557</v>
      </c>
      <c r="B558" s="3">
        <v>18.509464285714284</v>
      </c>
      <c r="C558" s="3">
        <v>0.52251407129455907</v>
      </c>
      <c r="D558" s="3">
        <v>5447.3353392857134</v>
      </c>
      <c r="E558" s="3">
        <f t="shared" si="0"/>
        <v>2846.3093658369062</v>
      </c>
      <c r="F558" s="3">
        <f t="shared" si="1"/>
        <v>24933670.044731297</v>
      </c>
      <c r="G558" s="3">
        <f t="shared" si="2"/>
        <v>7723112938893.3535</v>
      </c>
      <c r="H558" s="3">
        <f t="shared" si="3"/>
        <v>43578682.714285709</v>
      </c>
      <c r="I558" s="3">
        <f t="shared" si="4"/>
        <v>1307360.4814285713</v>
      </c>
      <c r="J558" s="3">
        <f t="shared" si="5"/>
        <v>7723118168335.2793</v>
      </c>
    </row>
    <row r="559" spans="1:10" x14ac:dyDescent="0.25">
      <c r="A559" s="3">
        <v>558</v>
      </c>
      <c r="B559" s="3">
        <v>18.528214285714288</v>
      </c>
      <c r="C559" s="3">
        <v>0.52345215759849906</v>
      </c>
      <c r="D559" s="3">
        <v>5452.8534642857157</v>
      </c>
      <c r="E559" s="3">
        <f t="shared" si="0"/>
        <v>2854.3079109488081</v>
      </c>
      <c r="F559" s="3">
        <f t="shared" si="1"/>
        <v>25003737.299911559</v>
      </c>
      <c r="G559" s="3">
        <f t="shared" si="2"/>
        <v>7744816023855.7217</v>
      </c>
      <c r="H559" s="3">
        <f t="shared" si="3"/>
        <v>43622827.714285724</v>
      </c>
      <c r="I559" s="3">
        <f t="shared" si="4"/>
        <v>1308684.8314285716</v>
      </c>
      <c r="J559" s="3">
        <f t="shared" si="5"/>
        <v>7744821258595.0469</v>
      </c>
    </row>
    <row r="560" spans="1:10" x14ac:dyDescent="0.25">
      <c r="A560" s="3">
        <v>559</v>
      </c>
      <c r="B560" s="3">
        <v>18.540357142857143</v>
      </c>
      <c r="C560" s="3">
        <v>0.52439024390243905</v>
      </c>
      <c r="D560" s="3">
        <v>5456.4271071428584</v>
      </c>
      <c r="E560" s="3">
        <f t="shared" si="0"/>
        <v>2861.2971415505235</v>
      </c>
      <c r="F560" s="3">
        <f t="shared" si="1"/>
        <v>25064962.959982585</v>
      </c>
      <c r="G560" s="3">
        <f t="shared" si="2"/>
        <v>7763780457141.1016</v>
      </c>
      <c r="H560" s="3">
        <f t="shared" si="3"/>
        <v>43651416.857142866</v>
      </c>
      <c r="I560" s="3">
        <f t="shared" si="4"/>
        <v>1309542.5057142859</v>
      </c>
      <c r="J560" s="3">
        <f t="shared" si="5"/>
        <v>7763785695311.125</v>
      </c>
    </row>
    <row r="561" spans="1:10" x14ac:dyDescent="0.25">
      <c r="A561" s="3">
        <v>560</v>
      </c>
      <c r="B561" s="3">
        <v>18.544642857142858</v>
      </c>
      <c r="C561" s="3">
        <v>0.52532833020637903</v>
      </c>
      <c r="D561" s="3">
        <v>5457.6883928571433</v>
      </c>
      <c r="E561" s="3">
        <f t="shared" si="0"/>
        <v>2867.0783302063796</v>
      </c>
      <c r="F561" s="3">
        <f t="shared" si="1"/>
        <v>25115606.172607888</v>
      </c>
      <c r="G561" s="3">
        <f t="shared" si="2"/>
        <v>7779467016104.8301</v>
      </c>
      <c r="H561" s="3">
        <f t="shared" si="3"/>
        <v>43661507.142857149</v>
      </c>
      <c r="I561" s="3">
        <f t="shared" si="4"/>
        <v>1309845.2142857143</v>
      </c>
      <c r="J561" s="3">
        <f t="shared" si="5"/>
        <v>7779472255485.6865</v>
      </c>
    </row>
    <row r="562" spans="1:10" x14ac:dyDescent="0.25">
      <c r="A562" s="3">
        <v>561</v>
      </c>
      <c r="B562" s="3">
        <v>18.552857142857142</v>
      </c>
      <c r="C562" s="3">
        <v>0.52626641651031891</v>
      </c>
      <c r="D562" s="3">
        <v>5460.1058571428566</v>
      </c>
      <c r="E562" s="3">
        <f t="shared" si="0"/>
        <v>2873.4703432055744</v>
      </c>
      <c r="F562" s="3">
        <f t="shared" si="1"/>
        <v>25171600.206480835</v>
      </c>
      <c r="G562" s="3">
        <f t="shared" si="2"/>
        <v>7796810972356.8184</v>
      </c>
      <c r="H562" s="3">
        <f t="shared" si="3"/>
        <v>43680846.857142851</v>
      </c>
      <c r="I562" s="3">
        <f t="shared" si="4"/>
        <v>1310425.4057142856</v>
      </c>
      <c r="J562" s="3">
        <f t="shared" si="5"/>
        <v>7796816214058.4404</v>
      </c>
    </row>
    <row r="563" spans="1:10" x14ac:dyDescent="0.25">
      <c r="A563" s="3">
        <v>562</v>
      </c>
      <c r="B563" s="3">
        <v>18.594999999999999</v>
      </c>
      <c r="C563" s="3">
        <v>0.5272045028142589</v>
      </c>
      <c r="D563" s="3">
        <v>5472.5084999999999</v>
      </c>
      <c r="E563" s="3">
        <f t="shared" si="0"/>
        <v>2885.1311228893055</v>
      </c>
      <c r="F563" s="3">
        <f t="shared" si="1"/>
        <v>25273748.636510313</v>
      </c>
      <c r="G563" s="3">
        <f t="shared" si="2"/>
        <v>7828451083802.0488</v>
      </c>
      <c r="H563" s="3">
        <f t="shared" si="3"/>
        <v>43780068</v>
      </c>
      <c r="I563" s="3">
        <f t="shared" si="4"/>
        <v>1313402.04</v>
      </c>
      <c r="J563" s="3">
        <f t="shared" si="5"/>
        <v>7828456337410.209</v>
      </c>
    </row>
    <row r="564" spans="1:10" x14ac:dyDescent="0.25">
      <c r="A564" s="3">
        <v>563</v>
      </c>
      <c r="B564" s="3">
        <v>18.605892857142855</v>
      </c>
      <c r="C564" s="3">
        <v>0.52814258911819889</v>
      </c>
      <c r="D564" s="3">
        <v>5475.7142678571427</v>
      </c>
      <c r="E564" s="3">
        <f t="shared" si="0"/>
        <v>2891.9579106975343</v>
      </c>
      <c r="F564" s="3">
        <f t="shared" si="1"/>
        <v>25333551.2977104</v>
      </c>
      <c r="G564" s="3">
        <f t="shared" si="2"/>
        <v>7846974748455.7607</v>
      </c>
      <c r="H564" s="3">
        <f t="shared" si="3"/>
        <v>43805714.142857142</v>
      </c>
      <c r="I564" s="3">
        <f t="shared" si="4"/>
        <v>1314171.4242857143</v>
      </c>
      <c r="J564" s="3">
        <f t="shared" si="5"/>
        <v>7846980005141.457</v>
      </c>
    </row>
    <row r="565" spans="1:10" x14ac:dyDescent="0.25">
      <c r="A565" s="3">
        <v>564</v>
      </c>
      <c r="B565" s="3">
        <v>18.6675</v>
      </c>
      <c r="C565" s="3">
        <v>0.52908067542213888</v>
      </c>
      <c r="D565" s="3">
        <v>5493.8452500000003</v>
      </c>
      <c r="E565" s="3">
        <f t="shared" si="0"/>
        <v>2906.6873555347097</v>
      </c>
      <c r="F565" s="3">
        <f t="shared" si="1"/>
        <v>25462581.234484054</v>
      </c>
      <c r="G565" s="3">
        <f t="shared" si="2"/>
        <v>7886941308259.3887</v>
      </c>
      <c r="H565" s="3">
        <f t="shared" si="3"/>
        <v>43950762</v>
      </c>
      <c r="I565" s="3">
        <f t="shared" si="4"/>
        <v>1318522.8599999999</v>
      </c>
      <c r="J565" s="3">
        <f t="shared" si="5"/>
        <v>7886946582350.8291</v>
      </c>
    </row>
    <row r="566" spans="1:10" x14ac:dyDescent="0.25">
      <c r="A566" s="3">
        <v>565</v>
      </c>
      <c r="B566" s="3">
        <v>18.674107142857142</v>
      </c>
      <c r="C566" s="3">
        <v>0.53001876172607876</v>
      </c>
      <c r="D566" s="3">
        <v>5495.7897321428563</v>
      </c>
      <c r="E566" s="3">
        <f t="shared" si="0"/>
        <v>2912.8716685372547</v>
      </c>
      <c r="F566" s="3">
        <f t="shared" si="1"/>
        <v>25516755.816386349</v>
      </c>
      <c r="G566" s="3">
        <f t="shared" si="2"/>
        <v>7903721696002.4375</v>
      </c>
      <c r="H566" s="3">
        <f t="shared" si="3"/>
        <v>43966317.857142851</v>
      </c>
      <c r="I566" s="3">
        <f t="shared" si="4"/>
        <v>1318989.5357142854</v>
      </c>
      <c r="J566" s="3">
        <f t="shared" si="5"/>
        <v>7903726971960.5811</v>
      </c>
    </row>
    <row r="567" spans="1:10" x14ac:dyDescent="0.25">
      <c r="A567" s="3">
        <v>566</v>
      </c>
      <c r="B567" s="3">
        <v>18.713928571428568</v>
      </c>
      <c r="C567" s="3">
        <v>0.53095684803001875</v>
      </c>
      <c r="D567" s="3">
        <v>5507.5091785714285</v>
      </c>
      <c r="E567" s="3">
        <f t="shared" si="0"/>
        <v>2924.2497139506831</v>
      </c>
      <c r="F567" s="3">
        <f t="shared" si="1"/>
        <v>25616427.494207986</v>
      </c>
      <c r="G567" s="3">
        <f t="shared" si="2"/>
        <v>7934594642662.5684</v>
      </c>
      <c r="H567" s="3">
        <f t="shared" si="3"/>
        <v>44060073.428571425</v>
      </c>
      <c r="I567" s="3">
        <f t="shared" si="4"/>
        <v>1321802.2028571428</v>
      </c>
      <c r="J567" s="3">
        <f t="shared" si="5"/>
        <v>7934599929871.3799</v>
      </c>
    </row>
    <row r="568" spans="1:10" x14ac:dyDescent="0.25">
      <c r="A568" s="3">
        <v>567</v>
      </c>
      <c r="B568" s="3">
        <v>18.809999999999999</v>
      </c>
      <c r="C568" s="3">
        <v>0.53189493433395874</v>
      </c>
      <c r="D568" s="3">
        <v>5535.7830000000004</v>
      </c>
      <c r="E568" s="3">
        <f t="shared" si="0"/>
        <v>2944.4549352720451</v>
      </c>
      <c r="F568" s="3">
        <f t="shared" si="1"/>
        <v>25793425.232983112</v>
      </c>
      <c r="G568" s="3">
        <f t="shared" si="2"/>
        <v>7989419053704.5352</v>
      </c>
      <c r="H568" s="3">
        <f t="shared" si="3"/>
        <v>44286264</v>
      </c>
      <c r="I568" s="3">
        <f t="shared" si="4"/>
        <v>1328587.92</v>
      </c>
      <c r="J568" s="3">
        <f t="shared" si="5"/>
        <v>7989424368056.2148</v>
      </c>
    </row>
    <row r="569" spans="1:10" x14ac:dyDescent="0.25">
      <c r="A569" s="3">
        <v>568</v>
      </c>
      <c r="B569" s="3">
        <v>18.826428571428572</v>
      </c>
      <c r="C569" s="3">
        <v>0.53283302063789872</v>
      </c>
      <c r="D569" s="3">
        <v>5540.6179285714288</v>
      </c>
      <c r="E569" s="3">
        <f t="shared" si="0"/>
        <v>2952.2241870812118</v>
      </c>
      <c r="F569" s="3">
        <f t="shared" si="1"/>
        <v>25861483.878831413</v>
      </c>
      <c r="G569" s="3">
        <f t="shared" si="2"/>
        <v>8010499979520.5068</v>
      </c>
      <c r="H569" s="3">
        <f t="shared" si="3"/>
        <v>44324943.428571433</v>
      </c>
      <c r="I569" s="3">
        <f t="shared" si="4"/>
        <v>1329748.3028571429</v>
      </c>
      <c r="J569" s="3">
        <f t="shared" si="5"/>
        <v>8010505298513.7178</v>
      </c>
    </row>
    <row r="570" spans="1:10" x14ac:dyDescent="0.25">
      <c r="A570" s="3">
        <v>569</v>
      </c>
      <c r="B570" s="3">
        <v>18.839642857142856</v>
      </c>
      <c r="C570" s="3">
        <v>0.5337711069418386</v>
      </c>
      <c r="D570" s="3">
        <v>5544.5068928571427</v>
      </c>
      <c r="E570" s="3">
        <f t="shared" si="0"/>
        <v>2959.497581647011</v>
      </c>
      <c r="F570" s="3">
        <f t="shared" si="1"/>
        <v>25925198.815227818</v>
      </c>
      <c r="G570" s="3">
        <f t="shared" si="2"/>
        <v>8030235457246.293</v>
      </c>
      <c r="H570" s="3">
        <f t="shared" si="3"/>
        <v>44356055.142857142</v>
      </c>
      <c r="I570" s="3">
        <f t="shared" si="4"/>
        <v>1330681.6542857143</v>
      </c>
      <c r="J570" s="3">
        <f t="shared" si="5"/>
        <v>8030240779972.9102</v>
      </c>
    </row>
    <row r="571" spans="1:10" x14ac:dyDescent="0.25">
      <c r="A571" s="3">
        <v>570</v>
      </c>
      <c r="B571" s="3">
        <v>18.876785714285713</v>
      </c>
      <c r="C571" s="3">
        <v>0.53470919324577859</v>
      </c>
      <c r="D571" s="3">
        <v>5555.4380357142854</v>
      </c>
      <c r="E571" s="3">
        <f t="shared" si="0"/>
        <v>2970.5437902036983</v>
      </c>
      <c r="F571" s="3">
        <f t="shared" si="1"/>
        <v>26021963.6021844</v>
      </c>
      <c r="G571" s="3">
        <f t="shared" si="2"/>
        <v>8060208005258.9756</v>
      </c>
      <c r="H571" s="3">
        <f t="shared" si="3"/>
        <v>44443504.285714284</v>
      </c>
      <c r="I571" s="3">
        <f t="shared" si="4"/>
        <v>1333305.1285714284</v>
      </c>
      <c r="J571" s="3">
        <f t="shared" si="5"/>
        <v>8060213338479.4902</v>
      </c>
    </row>
    <row r="572" spans="1:10" x14ac:dyDescent="0.25">
      <c r="A572" s="3">
        <v>571</v>
      </c>
      <c r="B572" s="3">
        <v>18.935357142857143</v>
      </c>
      <c r="C572" s="3">
        <v>0.53564727954971858</v>
      </c>
      <c r="D572" s="3">
        <v>5572.6756071428563</v>
      </c>
      <c r="E572" s="3">
        <f t="shared" si="0"/>
        <v>2984.9885287791471</v>
      </c>
      <c r="F572" s="3">
        <f t="shared" si="1"/>
        <v>26148499.512105327</v>
      </c>
      <c r="G572" s="3">
        <f t="shared" si="2"/>
        <v>8099402049717.7285</v>
      </c>
      <c r="H572" s="3">
        <f t="shared" si="3"/>
        <v>44581404.857142851</v>
      </c>
      <c r="I572" s="3">
        <f t="shared" si="4"/>
        <v>1337442.1457142856</v>
      </c>
      <c r="J572" s="3">
        <f t="shared" si="5"/>
        <v>8099407399486.3115</v>
      </c>
    </row>
    <row r="573" spans="1:10" x14ac:dyDescent="0.25">
      <c r="A573" s="3">
        <v>572</v>
      </c>
      <c r="B573" s="3">
        <v>18.974821428571428</v>
      </c>
      <c r="C573" s="3">
        <v>0.53658536585365857</v>
      </c>
      <c r="D573" s="3">
        <v>5584.289946428572</v>
      </c>
      <c r="E573" s="3">
        <f t="shared" si="0"/>
        <v>2996.4482639372827</v>
      </c>
      <c r="F573" s="3">
        <f t="shared" si="1"/>
        <v>26248886.792090595</v>
      </c>
      <c r="G573" s="3">
        <f t="shared" si="2"/>
        <v>8130496651777.0518</v>
      </c>
      <c r="H573" s="3">
        <f t="shared" si="3"/>
        <v>44674319.571428575</v>
      </c>
      <c r="I573" s="3">
        <f t="shared" si="4"/>
        <v>1340229.5871428573</v>
      </c>
      <c r="J573" s="3">
        <f t="shared" si="5"/>
        <v>8130502012695.4004</v>
      </c>
    </row>
    <row r="574" spans="1:10" x14ac:dyDescent="0.25">
      <c r="A574" s="3">
        <v>573</v>
      </c>
      <c r="B574" s="3">
        <v>18.996964285714284</v>
      </c>
      <c r="C574" s="3">
        <v>0.53752345215759845</v>
      </c>
      <c r="D574" s="3">
        <v>5590.8065892857139</v>
      </c>
      <c r="E574" s="3">
        <f t="shared" si="0"/>
        <v>3005.1896582183058</v>
      </c>
      <c r="F574" s="3">
        <f t="shared" si="1"/>
        <v>26325461.405992359</v>
      </c>
      <c r="G574" s="3">
        <f t="shared" si="2"/>
        <v>8154215367666.5518</v>
      </c>
      <c r="H574" s="3">
        <f t="shared" si="3"/>
        <v>44726452.714285709</v>
      </c>
      <c r="I574" s="3">
        <f t="shared" si="4"/>
        <v>1341793.5814285711</v>
      </c>
      <c r="J574" s="3">
        <f t="shared" si="5"/>
        <v>8154220734840.877</v>
      </c>
    </row>
    <row r="575" spans="1:10" x14ac:dyDescent="0.25">
      <c r="A575" s="3">
        <v>574</v>
      </c>
      <c r="B575" s="3">
        <v>19.037499999999998</v>
      </c>
      <c r="C575" s="3">
        <v>0.53846153846153844</v>
      </c>
      <c r="D575" s="3">
        <v>5602.736249999999</v>
      </c>
      <c r="E575" s="3">
        <f t="shared" si="0"/>
        <v>3016.8579807692299</v>
      </c>
      <c r="F575" s="3">
        <f t="shared" si="1"/>
        <v>26427675.911538456</v>
      </c>
      <c r="G575" s="3">
        <f t="shared" si="2"/>
        <v>8185875946228.875</v>
      </c>
      <c r="H575" s="3">
        <f t="shared" si="3"/>
        <v>44821889.999999993</v>
      </c>
      <c r="I575" s="3">
        <f t="shared" si="4"/>
        <v>1344656.6999999997</v>
      </c>
      <c r="J575" s="3">
        <f t="shared" si="5"/>
        <v>8185881324855.6748</v>
      </c>
    </row>
    <row r="576" spans="1:10" x14ac:dyDescent="0.25">
      <c r="A576" s="3">
        <v>575</v>
      </c>
      <c r="B576" s="3">
        <v>19.043928571428573</v>
      </c>
      <c r="C576" s="3">
        <v>0.53939962476547842</v>
      </c>
      <c r="D576" s="3">
        <v>5604.6281785714291</v>
      </c>
      <c r="E576" s="3">
        <f t="shared" si="0"/>
        <v>3023.1343364714558</v>
      </c>
      <c r="F576" s="3">
        <f t="shared" si="1"/>
        <v>26482656.787489951</v>
      </c>
      <c r="G576" s="3">
        <f t="shared" si="2"/>
        <v>8202906080818.9453</v>
      </c>
      <c r="H576" s="3">
        <f t="shared" si="3"/>
        <v>44837025.428571433</v>
      </c>
      <c r="I576" s="3">
        <f t="shared" si="4"/>
        <v>1345110.7628571428</v>
      </c>
      <c r="J576" s="3">
        <f t="shared" si="5"/>
        <v>8202911461261.9961</v>
      </c>
    </row>
    <row r="577" spans="1:10" x14ac:dyDescent="0.25">
      <c r="A577" s="3">
        <v>576</v>
      </c>
      <c r="B577" s="3">
        <v>19.055535714285714</v>
      </c>
      <c r="C577" s="3">
        <v>0.54033771106941841</v>
      </c>
      <c r="D577" s="3">
        <v>5608.0441607142857</v>
      </c>
      <c r="E577" s="3">
        <f t="shared" si="0"/>
        <v>3030.2377453765748</v>
      </c>
      <c r="F577" s="3">
        <f t="shared" si="1"/>
        <v>26544882.649498794</v>
      </c>
      <c r="G577" s="3">
        <f t="shared" si="2"/>
        <v>8222180323350.9346</v>
      </c>
      <c r="H577" s="3">
        <f t="shared" si="3"/>
        <v>44864353.285714284</v>
      </c>
      <c r="I577" s="3">
        <f t="shared" si="4"/>
        <v>1345930.5985714286</v>
      </c>
      <c r="J577" s="3">
        <f t="shared" si="5"/>
        <v>8222185707073.3291</v>
      </c>
    </row>
    <row r="578" spans="1:10" x14ac:dyDescent="0.25">
      <c r="A578" s="3">
        <v>577</v>
      </c>
      <c r="B578" s="3">
        <v>19.092500000000001</v>
      </c>
      <c r="C578" s="3">
        <v>0.5412757973733584</v>
      </c>
      <c r="D578" s="3">
        <v>5618.9227499999997</v>
      </c>
      <c r="E578" s="3">
        <f t="shared" si="0"/>
        <v>3041.3868918855537</v>
      </c>
      <c r="F578" s="3">
        <f t="shared" si="1"/>
        <v>26642549.172917452</v>
      </c>
      <c r="G578" s="3">
        <f t="shared" si="2"/>
        <v>8252432181168.3418</v>
      </c>
      <c r="H578" s="3">
        <f t="shared" si="3"/>
        <v>44951382</v>
      </c>
      <c r="I578" s="3">
        <f t="shared" si="4"/>
        <v>1348541.46</v>
      </c>
      <c r="J578" s="3">
        <f t="shared" si="5"/>
        <v>8252437575334.1816</v>
      </c>
    </row>
    <row r="579" spans="1:10" x14ac:dyDescent="0.25">
      <c r="A579" s="3">
        <v>578</v>
      </c>
      <c r="B579" s="3">
        <v>19.095357142857143</v>
      </c>
      <c r="C579" s="3">
        <v>0.54221388367729828</v>
      </c>
      <c r="D579" s="3">
        <v>5619.763607142856</v>
      </c>
      <c r="E579" s="3">
        <f t="shared" si="0"/>
        <v>3047.1138507772707</v>
      </c>
      <c r="F579" s="3">
        <f t="shared" si="1"/>
        <v>26692717.332808893</v>
      </c>
      <c r="G579" s="3">
        <f t="shared" si="2"/>
        <v>8267971594592.335</v>
      </c>
      <c r="H579" s="3">
        <f t="shared" si="3"/>
        <v>44958108.857142851</v>
      </c>
      <c r="I579" s="3">
        <f t="shared" si="4"/>
        <v>1348743.2657142854</v>
      </c>
      <c r="J579" s="3">
        <f t="shared" si="5"/>
        <v>8267976989565.3975</v>
      </c>
    </row>
    <row r="580" spans="1:10" x14ac:dyDescent="0.25">
      <c r="A580" s="3">
        <v>579</v>
      </c>
      <c r="B580" s="3">
        <v>19.098392857142859</v>
      </c>
      <c r="C580" s="3">
        <v>0.54315196998123827</v>
      </c>
      <c r="D580" s="3">
        <v>5620.6570178571437</v>
      </c>
      <c r="E580" s="3">
        <f t="shared" si="0"/>
        <v>3052.8709318379797</v>
      </c>
      <c r="F580" s="3">
        <f t="shared" si="1"/>
        <v>26743149.3629007</v>
      </c>
      <c r="G580" s="3">
        <f t="shared" si="2"/>
        <v>8283592740848.9561</v>
      </c>
      <c r="H580" s="3">
        <f t="shared" si="3"/>
        <v>44965256.142857149</v>
      </c>
      <c r="I580" s="3">
        <f t="shared" si="4"/>
        <v>1348957.6842857145</v>
      </c>
      <c r="J580" s="3">
        <f t="shared" si="5"/>
        <v>8283598136679.6934</v>
      </c>
    </row>
    <row r="581" spans="1:10" x14ac:dyDescent="0.25">
      <c r="A581" s="3">
        <v>580</v>
      </c>
      <c r="B581" s="3">
        <v>19.115535714285716</v>
      </c>
      <c r="C581" s="3">
        <v>0.54409005628517826</v>
      </c>
      <c r="D581" s="3">
        <v>5625.702160714286</v>
      </c>
      <c r="E581" s="3">
        <f t="shared" si="0"/>
        <v>3060.8886052666849</v>
      </c>
      <c r="F581" s="3">
        <f t="shared" si="1"/>
        <v>26813384.182136156</v>
      </c>
      <c r="G581" s="3">
        <f t="shared" si="2"/>
        <v>8305347728652.6689</v>
      </c>
      <c r="H581" s="3">
        <f t="shared" si="3"/>
        <v>45005617.285714291</v>
      </c>
      <c r="I581" s="3">
        <f t="shared" si="4"/>
        <v>1350168.5185714287</v>
      </c>
      <c r="J581" s="3">
        <f t="shared" si="5"/>
        <v>8305353129326.7432</v>
      </c>
    </row>
    <row r="582" spans="1:10" x14ac:dyDescent="0.25">
      <c r="A582" s="3">
        <v>581</v>
      </c>
      <c r="B582" s="3">
        <v>19.115714285714287</v>
      </c>
      <c r="C582" s="3">
        <v>0.54502814258911825</v>
      </c>
      <c r="D582" s="3">
        <v>5625.7547142857156</v>
      </c>
      <c r="E582" s="3">
        <f t="shared" si="0"/>
        <v>3066.1946425891192</v>
      </c>
      <c r="F582" s="3">
        <f t="shared" si="1"/>
        <v>26859865.069080688</v>
      </c>
      <c r="G582" s="3">
        <f t="shared" si="2"/>
        <v>8319745022775.0215</v>
      </c>
      <c r="H582" s="3">
        <f t="shared" si="3"/>
        <v>45006037.714285724</v>
      </c>
      <c r="I582" s="3">
        <f t="shared" si="4"/>
        <v>1350181.1314285717</v>
      </c>
      <c r="J582" s="3">
        <f t="shared" si="5"/>
        <v>8319750423499.5479</v>
      </c>
    </row>
    <row r="583" spans="1:10" x14ac:dyDescent="0.25">
      <c r="A583" s="3">
        <v>582</v>
      </c>
      <c r="B583" s="3">
        <v>19.19107142857143</v>
      </c>
      <c r="C583" s="3">
        <v>0.54596622889305813</v>
      </c>
      <c r="D583" s="3">
        <v>5647.9323214285723</v>
      </c>
      <c r="E583" s="3">
        <f t="shared" si="0"/>
        <v>3083.5803105735731</v>
      </c>
      <c r="F583" s="3">
        <f t="shared" si="1"/>
        <v>27012163.520624503</v>
      </c>
      <c r="G583" s="3">
        <f t="shared" si="2"/>
        <v>8366918920767.8516</v>
      </c>
      <c r="H583" s="3">
        <f t="shared" si="3"/>
        <v>45183458.571428582</v>
      </c>
      <c r="I583" s="3">
        <f t="shared" si="4"/>
        <v>1355503.7571428574</v>
      </c>
      <c r="J583" s="3">
        <f t="shared" si="5"/>
        <v>8366924342782.8799</v>
      </c>
    </row>
    <row r="584" spans="1:10" x14ac:dyDescent="0.25">
      <c r="A584" s="3">
        <v>583</v>
      </c>
      <c r="B584" s="3">
        <v>19.200000000000003</v>
      </c>
      <c r="C584" s="3">
        <v>0.54690431519699811</v>
      </c>
      <c r="D584" s="3">
        <v>5650.5600000000022</v>
      </c>
      <c r="E584" s="3">
        <f t="shared" si="0"/>
        <v>3090.3156472795508</v>
      </c>
      <c r="F584" s="3">
        <f t="shared" si="1"/>
        <v>27071165.070168864</v>
      </c>
      <c r="G584" s="3">
        <f t="shared" si="2"/>
        <v>8385194444408.4346</v>
      </c>
      <c r="H584" s="3">
        <f t="shared" si="3"/>
        <v>45204480.000000015</v>
      </c>
      <c r="I584" s="3">
        <f t="shared" si="4"/>
        <v>1356134.4000000004</v>
      </c>
      <c r="J584" s="3">
        <f t="shared" si="5"/>
        <v>8385199868946.0352</v>
      </c>
    </row>
    <row r="585" spans="1:10" x14ac:dyDescent="0.25">
      <c r="A585" s="3">
        <v>584</v>
      </c>
      <c r="B585" s="3">
        <v>19.215</v>
      </c>
      <c r="C585" s="3">
        <v>0.5478424015009381</v>
      </c>
      <c r="D585" s="3">
        <v>5654.9745000000003</v>
      </c>
      <c r="E585" s="3">
        <f t="shared" si="0"/>
        <v>3098.0348105065668</v>
      </c>
      <c r="F585" s="3">
        <f t="shared" si="1"/>
        <v>27138784.940037522</v>
      </c>
      <c r="G585" s="3">
        <f t="shared" si="2"/>
        <v>8406139461283.9824</v>
      </c>
      <c r="H585" s="3">
        <f t="shared" si="3"/>
        <v>45239796</v>
      </c>
      <c r="I585" s="3">
        <f t="shared" si="4"/>
        <v>1357193.88</v>
      </c>
      <c r="J585" s="3">
        <f t="shared" si="5"/>
        <v>8406144890059.502</v>
      </c>
    </row>
    <row r="586" spans="1:10" x14ac:dyDescent="0.25">
      <c r="A586" s="3">
        <v>585</v>
      </c>
      <c r="B586" s="3">
        <v>19.218392857142856</v>
      </c>
      <c r="C586" s="3">
        <v>0.54878048780487809</v>
      </c>
      <c r="D586" s="3">
        <v>5655.9730178571426</v>
      </c>
      <c r="E586" s="3">
        <f t="shared" si="0"/>
        <v>3103.8876317508712</v>
      </c>
      <c r="F586" s="3">
        <f t="shared" si="1"/>
        <v>27190055.65413763</v>
      </c>
      <c r="G586" s="3">
        <f t="shared" si="2"/>
        <v>8422020386914.2178</v>
      </c>
      <c r="H586" s="3">
        <f t="shared" si="3"/>
        <v>45247784.142857142</v>
      </c>
      <c r="I586" s="3">
        <f t="shared" si="4"/>
        <v>1357433.5242857141</v>
      </c>
      <c r="J586" s="3">
        <f t="shared" si="5"/>
        <v>8422025816648.3154</v>
      </c>
    </row>
    <row r="587" spans="1:10" x14ac:dyDescent="0.25">
      <c r="A587" s="3">
        <v>586</v>
      </c>
      <c r="B587" s="3">
        <v>19.264107142857146</v>
      </c>
      <c r="C587" s="3">
        <v>0.54971857410881797</v>
      </c>
      <c r="D587" s="3">
        <v>5669.4267321428579</v>
      </c>
      <c r="E587" s="3">
        <f t="shared" si="0"/>
        <v>3116.5891792079874</v>
      </c>
      <c r="F587" s="3">
        <f t="shared" si="1"/>
        <v>27301321.209861971</v>
      </c>
      <c r="G587" s="3">
        <f t="shared" si="2"/>
        <v>8456484495541.2471</v>
      </c>
      <c r="H587" s="3">
        <f t="shared" si="3"/>
        <v>45355413.857142866</v>
      </c>
      <c r="I587" s="3">
        <f t="shared" si="4"/>
        <v>1360662.415714286</v>
      </c>
      <c r="J587" s="3">
        <f t="shared" si="5"/>
        <v>8456489938190.9102</v>
      </c>
    </row>
    <row r="588" spans="1:10" x14ac:dyDescent="0.25">
      <c r="A588" s="3">
        <v>587</v>
      </c>
      <c r="B588" s="3">
        <v>19.269642857142856</v>
      </c>
      <c r="C588" s="3">
        <v>0.55065666041275796</v>
      </c>
      <c r="D588" s="3">
        <v>5671.0558928571427</v>
      </c>
      <c r="E588" s="3">
        <f t="shared" si="0"/>
        <v>3122.8046989748054</v>
      </c>
      <c r="F588" s="3">
        <f t="shared" si="1"/>
        <v>27355769.163019296</v>
      </c>
      <c r="G588" s="3">
        <f t="shared" si="2"/>
        <v>8473349559388.9473</v>
      </c>
      <c r="H588" s="3">
        <f t="shared" si="3"/>
        <v>45368447.142857142</v>
      </c>
      <c r="I588" s="3">
        <f t="shared" si="4"/>
        <v>1361053.4142857143</v>
      </c>
      <c r="J588" s="3">
        <f t="shared" si="5"/>
        <v>8473355003602.6045</v>
      </c>
    </row>
    <row r="589" spans="1:10" x14ac:dyDescent="0.25">
      <c r="A589" s="3">
        <v>588</v>
      </c>
      <c r="B589" s="3">
        <v>19.269642857142856</v>
      </c>
      <c r="C589" s="3">
        <v>0.55159474671669795</v>
      </c>
      <c r="D589" s="3">
        <v>5671.0558928571427</v>
      </c>
      <c r="E589" s="3">
        <f t="shared" si="0"/>
        <v>3128.1246388367731</v>
      </c>
      <c r="F589" s="3">
        <f t="shared" si="1"/>
        <v>27402371.836210135</v>
      </c>
      <c r="G589" s="3">
        <f t="shared" si="2"/>
        <v>8487784576430.8613</v>
      </c>
      <c r="H589" s="3">
        <f t="shared" si="3"/>
        <v>45368447.142857142</v>
      </c>
      <c r="I589" s="3">
        <f t="shared" si="4"/>
        <v>1361053.4142857143</v>
      </c>
      <c r="J589" s="3">
        <f t="shared" si="5"/>
        <v>8487790020644.5186</v>
      </c>
    </row>
    <row r="590" spans="1:10" x14ac:dyDescent="0.25">
      <c r="A590" s="3">
        <v>589</v>
      </c>
      <c r="B590" s="3">
        <v>19.321428571428573</v>
      </c>
      <c r="C590" s="3">
        <v>0.55253283302063794</v>
      </c>
      <c r="D590" s="3">
        <v>5686.2964285714288</v>
      </c>
      <c r="E590" s="3">
        <f t="shared" si="0"/>
        <v>3141.8654750737073</v>
      </c>
      <c r="F590" s="3">
        <f t="shared" si="1"/>
        <v>27522741.561645675</v>
      </c>
      <c r="G590" s="3">
        <f t="shared" si="2"/>
        <v>8525068668462.1836</v>
      </c>
      <c r="H590" s="3">
        <f t="shared" si="3"/>
        <v>45490371.428571433</v>
      </c>
      <c r="I590" s="3">
        <f t="shared" si="4"/>
        <v>1364711.142857143</v>
      </c>
      <c r="J590" s="3">
        <f t="shared" si="5"/>
        <v>8525074127306.7549</v>
      </c>
    </row>
    <row r="591" spans="1:10" x14ac:dyDescent="0.25">
      <c r="A591" s="3">
        <v>590</v>
      </c>
      <c r="B591" s="3">
        <v>19.334107142857142</v>
      </c>
      <c r="C591" s="3">
        <v>0.55347091932457781</v>
      </c>
      <c r="D591" s="3">
        <v>5690.0277321428566</v>
      </c>
      <c r="E591" s="3">
        <f t="shared" si="0"/>
        <v>3149.2648798914493</v>
      </c>
      <c r="F591" s="3">
        <f t="shared" si="1"/>
        <v>27587560.347849097</v>
      </c>
      <c r="G591" s="3">
        <f t="shared" si="2"/>
        <v>8545146060004.0352</v>
      </c>
      <c r="H591" s="3">
        <f t="shared" si="3"/>
        <v>45520221.857142851</v>
      </c>
      <c r="I591" s="3">
        <f t="shared" si="4"/>
        <v>1365606.6557142856</v>
      </c>
      <c r="J591" s="3">
        <f t="shared" si="5"/>
        <v>8545151522430.6572</v>
      </c>
    </row>
    <row r="592" spans="1:10" x14ac:dyDescent="0.25">
      <c r="A592" s="3">
        <v>591</v>
      </c>
      <c r="B592" s="3">
        <v>19.350535714285712</v>
      </c>
      <c r="C592" s="3">
        <v>0.5544090056285178</v>
      </c>
      <c r="D592" s="3">
        <v>5694.8626607142851</v>
      </c>
      <c r="E592" s="3">
        <f t="shared" si="0"/>
        <v>3157.2831449175819</v>
      </c>
      <c r="F592" s="3">
        <f t="shared" si="1"/>
        <v>27657800.349478014</v>
      </c>
      <c r="G592" s="3">
        <f t="shared" si="2"/>
        <v>8566902653238.0264</v>
      </c>
      <c r="H592" s="3">
        <f t="shared" si="3"/>
        <v>45558901.285714284</v>
      </c>
      <c r="I592" s="3">
        <f t="shared" si="4"/>
        <v>1366767.0385714285</v>
      </c>
      <c r="J592" s="3">
        <f t="shared" si="5"/>
        <v>8566908120306.1797</v>
      </c>
    </row>
    <row r="593" spans="1:10" x14ac:dyDescent="0.25">
      <c r="A593" s="3">
        <v>592</v>
      </c>
      <c r="B593" s="3">
        <v>19.351964285714285</v>
      </c>
      <c r="C593" s="3">
        <v>0.55534709193245779</v>
      </c>
      <c r="D593" s="3">
        <v>5695.2830892857155</v>
      </c>
      <c r="E593" s="3">
        <f t="shared" si="0"/>
        <v>3162.8589013669266</v>
      </c>
      <c r="F593" s="3">
        <f t="shared" si="1"/>
        <v>27706643.975974277</v>
      </c>
      <c r="G593" s="3">
        <f t="shared" si="2"/>
        <v>8582031797421.79</v>
      </c>
      <c r="H593" s="3">
        <f t="shared" si="3"/>
        <v>45562264.714285724</v>
      </c>
      <c r="I593" s="3">
        <f t="shared" si="4"/>
        <v>1366867.9414285717</v>
      </c>
      <c r="J593" s="3">
        <f t="shared" si="5"/>
        <v>8582037264893.5557</v>
      </c>
    </row>
    <row r="594" spans="1:10" x14ac:dyDescent="0.25">
      <c r="A594" s="3">
        <v>593</v>
      </c>
      <c r="B594" s="3">
        <v>19.362857142857145</v>
      </c>
      <c r="C594" s="3">
        <v>0.55628517823639778</v>
      </c>
      <c r="D594" s="3">
        <v>5698.4888571428583</v>
      </c>
      <c r="E594" s="3">
        <f t="shared" si="0"/>
        <v>3169.9848895738414</v>
      </c>
      <c r="F594" s="3">
        <f t="shared" si="1"/>
        <v>27769067.632666852</v>
      </c>
      <c r="G594" s="3">
        <f t="shared" si="2"/>
        <v>8601367306375.6318</v>
      </c>
      <c r="H594" s="3">
        <f t="shared" si="3"/>
        <v>45587910.857142866</v>
      </c>
      <c r="I594" s="3">
        <f t="shared" si="4"/>
        <v>1367637.325714286</v>
      </c>
      <c r="J594" s="3">
        <f t="shared" si="5"/>
        <v>8601372776924.9355</v>
      </c>
    </row>
    <row r="595" spans="1:10" x14ac:dyDescent="0.25">
      <c r="A595" s="3">
        <v>594</v>
      </c>
      <c r="B595" s="3">
        <v>19.374642857142856</v>
      </c>
      <c r="C595" s="3">
        <v>0.55722326454033766</v>
      </c>
      <c r="D595" s="3">
        <v>5701.9573928571426</v>
      </c>
      <c r="E595" s="3">
        <f t="shared" si="0"/>
        <v>3177.2633127177696</v>
      </c>
      <c r="F595" s="3">
        <f t="shared" si="1"/>
        <v>27832826.619407665</v>
      </c>
      <c r="G595" s="3">
        <f t="shared" si="2"/>
        <v>8621116428947.0479</v>
      </c>
      <c r="H595" s="3">
        <f t="shared" si="3"/>
        <v>45615659.142857142</v>
      </c>
      <c r="I595" s="3">
        <f t="shared" si="4"/>
        <v>1368469.7742857141</v>
      </c>
      <c r="J595" s="3">
        <f t="shared" si="5"/>
        <v>8621121902826.1455</v>
      </c>
    </row>
    <row r="596" spans="1:10" x14ac:dyDescent="0.25">
      <c r="A596" s="3">
        <v>595</v>
      </c>
      <c r="B596" s="3">
        <v>19.389464285714286</v>
      </c>
      <c r="C596" s="3">
        <v>0.55816135084427765</v>
      </c>
      <c r="D596" s="3">
        <v>5706.3193392857156</v>
      </c>
      <c r="E596" s="3">
        <f t="shared" si="0"/>
        <v>3185.0469107645408</v>
      </c>
      <c r="F596" s="3">
        <f t="shared" si="1"/>
        <v>27901010.93829738</v>
      </c>
      <c r="G596" s="3">
        <f t="shared" si="2"/>
        <v>8642236282007.5508</v>
      </c>
      <c r="H596" s="3">
        <f t="shared" si="3"/>
        <v>45650554.714285724</v>
      </c>
      <c r="I596" s="3">
        <f t="shared" si="4"/>
        <v>1369516.6414285717</v>
      </c>
      <c r="J596" s="3">
        <f t="shared" si="5"/>
        <v>8642241760074.1162</v>
      </c>
    </row>
    <row r="597" spans="1:10" x14ac:dyDescent="0.25">
      <c r="A597" s="3">
        <v>596</v>
      </c>
      <c r="B597" s="3">
        <v>19.476964285714285</v>
      </c>
      <c r="C597" s="3">
        <v>0.55909943714821764</v>
      </c>
      <c r="D597" s="3">
        <v>5732.0705892857159</v>
      </c>
      <c r="E597" s="3">
        <f t="shared" si="0"/>
        <v>3204.797440163496</v>
      </c>
      <c r="F597" s="3">
        <f t="shared" si="1"/>
        <v>28074025.575832225</v>
      </c>
      <c r="G597" s="3">
        <f t="shared" si="2"/>
        <v>8695826943620.7783</v>
      </c>
      <c r="H597" s="3">
        <f t="shared" si="3"/>
        <v>45856564.714285724</v>
      </c>
      <c r="I597" s="3">
        <f t="shared" si="4"/>
        <v>1375696.9414285717</v>
      </c>
      <c r="J597" s="3">
        <f t="shared" si="5"/>
        <v>8695832446408.5439</v>
      </c>
    </row>
    <row r="598" spans="1:10" x14ac:dyDescent="0.25">
      <c r="A598" s="3">
        <v>597</v>
      </c>
      <c r="B598" s="3">
        <v>19.60642857142857</v>
      </c>
      <c r="C598" s="3">
        <v>0.56003752345215763</v>
      </c>
      <c r="D598" s="3">
        <v>5770.171928571428</v>
      </c>
      <c r="E598" s="3">
        <f t="shared" si="0"/>
        <v>3231.5127967703029</v>
      </c>
      <c r="F598" s="3">
        <f t="shared" si="1"/>
        <v>28308052.099707853</v>
      </c>
      <c r="G598" s="3">
        <f t="shared" si="2"/>
        <v>8768315814419.4902</v>
      </c>
      <c r="H598" s="3">
        <f t="shared" si="3"/>
        <v>46161375.428571425</v>
      </c>
      <c r="I598" s="3">
        <f t="shared" si="4"/>
        <v>1384841.2628571426</v>
      </c>
      <c r="J598" s="3">
        <f t="shared" si="5"/>
        <v>8768321353784.541</v>
      </c>
    </row>
    <row r="599" spans="1:10" x14ac:dyDescent="0.25">
      <c r="A599" s="3">
        <v>598</v>
      </c>
      <c r="B599" s="3">
        <v>19.613571428571429</v>
      </c>
      <c r="C599" s="3">
        <v>0.56097560975609762</v>
      </c>
      <c r="D599" s="3">
        <v>5772.2740714285719</v>
      </c>
      <c r="E599" s="3">
        <f t="shared" si="0"/>
        <v>3238.1049668989554</v>
      </c>
      <c r="F599" s="3">
        <f t="shared" si="1"/>
        <v>28365799.510034852</v>
      </c>
      <c r="G599" s="3">
        <f t="shared" si="2"/>
        <v>8786202873274.166</v>
      </c>
      <c r="H599" s="3">
        <f t="shared" si="3"/>
        <v>46178192.571428575</v>
      </c>
      <c r="I599" s="3">
        <f t="shared" si="4"/>
        <v>1385345.7771428572</v>
      </c>
      <c r="J599" s="3">
        <f t="shared" si="5"/>
        <v>8786208414657.2744</v>
      </c>
    </row>
    <row r="600" spans="1:10" x14ac:dyDescent="0.25">
      <c r="A600" s="3">
        <v>599</v>
      </c>
      <c r="B600" s="3">
        <v>19.632678571428571</v>
      </c>
      <c r="C600" s="3">
        <v>0.56191369606003749</v>
      </c>
      <c r="D600" s="3">
        <v>5777.897303571428</v>
      </c>
      <c r="E600" s="3">
        <f t="shared" si="0"/>
        <v>3246.6796293051457</v>
      </c>
      <c r="F600" s="3">
        <f t="shared" si="1"/>
        <v>28440913.552713078</v>
      </c>
      <c r="G600" s="3">
        <f t="shared" si="2"/>
        <v>8809469183130.0781</v>
      </c>
      <c r="H600" s="3">
        <f t="shared" si="3"/>
        <v>46223178.428571425</v>
      </c>
      <c r="I600" s="3">
        <f t="shared" si="4"/>
        <v>1386695.3528571427</v>
      </c>
      <c r="J600" s="3">
        <f t="shared" si="5"/>
        <v>8809474729911.4902</v>
      </c>
    </row>
    <row r="601" spans="1:10" x14ac:dyDescent="0.25">
      <c r="A601" s="3">
        <v>600</v>
      </c>
      <c r="B601" s="3">
        <v>19.676428571428573</v>
      </c>
      <c r="C601" s="3">
        <v>0.56285178236397748</v>
      </c>
      <c r="D601" s="3">
        <v>5790.7729285714295</v>
      </c>
      <c r="E601" s="3">
        <f t="shared" si="0"/>
        <v>3259.3468641114987</v>
      </c>
      <c r="F601" s="3">
        <f t="shared" si="1"/>
        <v>28551878.529616725</v>
      </c>
      <c r="G601" s="3">
        <f t="shared" si="2"/>
        <v>8843840189060.6504</v>
      </c>
      <c r="H601" s="3">
        <f t="shared" si="3"/>
        <v>46326183.428571433</v>
      </c>
      <c r="I601" s="3">
        <f t="shared" si="4"/>
        <v>1389785.5028571428</v>
      </c>
      <c r="J601" s="3">
        <f t="shared" si="5"/>
        <v>8843845748202.6602</v>
      </c>
    </row>
    <row r="602" spans="1:10" x14ac:dyDescent="0.25">
      <c r="A602" s="3">
        <v>601</v>
      </c>
      <c r="B602" s="3">
        <v>19.682678571428571</v>
      </c>
      <c r="C602" s="3">
        <v>0.56378986866791747</v>
      </c>
      <c r="D602" s="3">
        <v>5792.612303571429</v>
      </c>
      <c r="E602" s="3">
        <f t="shared" si="0"/>
        <v>3265.8161298746991</v>
      </c>
      <c r="F602" s="3">
        <f t="shared" si="1"/>
        <v>28608549.297702361</v>
      </c>
      <c r="G602" s="3">
        <f t="shared" si="2"/>
        <v>8861393761952.3496</v>
      </c>
      <c r="H602" s="3">
        <f t="shared" si="3"/>
        <v>46340898.428571433</v>
      </c>
      <c r="I602" s="3">
        <f t="shared" si="4"/>
        <v>1390226.952857143</v>
      </c>
      <c r="J602" s="3">
        <f t="shared" si="5"/>
        <v>8861399322860.1621</v>
      </c>
    </row>
    <row r="603" spans="1:10" x14ac:dyDescent="0.25">
      <c r="A603" s="3">
        <v>602</v>
      </c>
      <c r="B603" s="3">
        <v>19.696964285714287</v>
      </c>
      <c r="C603" s="3">
        <v>0.56472795497185746</v>
      </c>
      <c r="D603" s="3">
        <v>5796.8165892857151</v>
      </c>
      <c r="E603" s="3">
        <f t="shared" si="0"/>
        <v>3273.6243778142598</v>
      </c>
      <c r="F603" s="3">
        <f t="shared" si="1"/>
        <v>28676949.549652915</v>
      </c>
      <c r="G603" s="3">
        <f t="shared" si="2"/>
        <v>8882580499683.9082</v>
      </c>
      <c r="H603" s="3">
        <f t="shared" si="3"/>
        <v>46374532.714285724</v>
      </c>
      <c r="I603" s="3">
        <f t="shared" si="4"/>
        <v>1391235.9814285717</v>
      </c>
      <c r="J603" s="3">
        <f t="shared" si="5"/>
        <v>8882586064627.832</v>
      </c>
    </row>
    <row r="604" spans="1:10" x14ac:dyDescent="0.25">
      <c r="A604" s="3">
        <v>603</v>
      </c>
      <c r="B604" s="3">
        <v>19.736785714285713</v>
      </c>
      <c r="C604" s="3">
        <v>0.56566604127579734</v>
      </c>
      <c r="D604" s="3">
        <v>5808.5360357142854</v>
      </c>
      <c r="E604" s="3">
        <f t="shared" si="0"/>
        <v>3285.6915849303132</v>
      </c>
      <c r="F604" s="3">
        <f t="shared" si="1"/>
        <v>28782658.283989545</v>
      </c>
      <c r="G604" s="3">
        <f t="shared" si="2"/>
        <v>8915323403745.8398</v>
      </c>
      <c r="H604" s="3">
        <f t="shared" si="3"/>
        <v>46468288.285714284</v>
      </c>
      <c r="I604" s="3">
        <f t="shared" si="4"/>
        <v>1394048.6485714284</v>
      </c>
      <c r="J604" s="3">
        <f t="shared" si="5"/>
        <v>8915328979940.4336</v>
      </c>
    </row>
    <row r="605" spans="1:10" x14ac:dyDescent="0.25">
      <c r="A605" s="3">
        <v>604</v>
      </c>
      <c r="B605" s="3">
        <v>19.774464285714288</v>
      </c>
      <c r="C605" s="3">
        <v>0.56660412757973733</v>
      </c>
      <c r="D605" s="3">
        <v>5819.6248392857151</v>
      </c>
      <c r="E605" s="3">
        <f t="shared" si="0"/>
        <v>3297.4234549048515</v>
      </c>
      <c r="F605" s="3">
        <f t="shared" si="1"/>
        <v>28885429.464966498</v>
      </c>
      <c r="G605" s="3">
        <f t="shared" si="2"/>
        <v>8947156411407.1758</v>
      </c>
      <c r="H605" s="3">
        <f t="shared" si="3"/>
        <v>46556998.714285724</v>
      </c>
      <c r="I605" s="3">
        <f t="shared" si="4"/>
        <v>1396709.9614285717</v>
      </c>
      <c r="J605" s="3">
        <f t="shared" si="5"/>
        <v>8947161998247.0215</v>
      </c>
    </row>
    <row r="606" spans="1:10" x14ac:dyDescent="0.25">
      <c r="A606" s="3">
        <v>605</v>
      </c>
      <c r="B606" s="3">
        <v>19.777857142857144</v>
      </c>
      <c r="C606" s="3">
        <v>0.56754221388367732</v>
      </c>
      <c r="D606" s="3">
        <v>5820.6233571428584</v>
      </c>
      <c r="E606" s="3">
        <f t="shared" si="0"/>
        <v>3303.4494662959</v>
      </c>
      <c r="F606" s="3">
        <f t="shared" si="1"/>
        <v>28938217.324752081</v>
      </c>
      <c r="G606" s="3">
        <f t="shared" si="2"/>
        <v>8963507267672.834</v>
      </c>
      <c r="H606" s="3">
        <f t="shared" si="3"/>
        <v>46564986.857142866</v>
      </c>
      <c r="I606" s="3">
        <f t="shared" si="4"/>
        <v>1396949.605714286</v>
      </c>
      <c r="J606" s="3">
        <f t="shared" si="5"/>
        <v>8963512855471.2559</v>
      </c>
    </row>
    <row r="607" spans="1:10" x14ac:dyDescent="0.25">
      <c r="A607" s="3">
        <v>606</v>
      </c>
      <c r="B607" s="3">
        <v>19.821428571428569</v>
      </c>
      <c r="C607" s="3">
        <v>0.5684803001876173</v>
      </c>
      <c r="D607" s="3">
        <v>5833.4464285714284</v>
      </c>
      <c r="E607" s="3">
        <f t="shared" si="0"/>
        <v>3316.1993768426696</v>
      </c>
      <c r="F607" s="3">
        <f t="shared" si="1"/>
        <v>29049906.541141786</v>
      </c>
      <c r="G607" s="3">
        <f t="shared" si="2"/>
        <v>8998102604332.9316</v>
      </c>
      <c r="H607" s="3">
        <f t="shared" si="3"/>
        <v>46667571.428571425</v>
      </c>
      <c r="I607" s="3">
        <f t="shared" si="4"/>
        <v>1400027.1428571427</v>
      </c>
      <c r="J607" s="3">
        <f t="shared" si="5"/>
        <v>8998108204441.502</v>
      </c>
    </row>
    <row r="608" spans="1:10" x14ac:dyDescent="0.25">
      <c r="A608" s="3">
        <v>607</v>
      </c>
      <c r="B608" s="3">
        <v>19.843035714285712</v>
      </c>
      <c r="C608" s="3">
        <v>0.56941838649155718</v>
      </c>
      <c r="D608" s="3">
        <v>5839.8054107142852</v>
      </c>
      <c r="E608" s="3">
        <f t="shared" si="0"/>
        <v>3325.2925743935939</v>
      </c>
      <c r="F608" s="3">
        <f t="shared" si="1"/>
        <v>29129562.951687884</v>
      </c>
      <c r="G608" s="3">
        <f t="shared" si="2"/>
        <v>9022775896238.9609</v>
      </c>
      <c r="H608" s="3">
        <f t="shared" si="3"/>
        <v>46718443.285714284</v>
      </c>
      <c r="I608" s="3">
        <f t="shared" si="4"/>
        <v>1401553.2985714285</v>
      </c>
      <c r="J608" s="3">
        <f t="shared" si="5"/>
        <v>9022781502452.1563</v>
      </c>
    </row>
    <row r="609" spans="1:10" x14ac:dyDescent="0.25">
      <c r="A609" s="3">
        <v>608</v>
      </c>
      <c r="B609" s="3">
        <v>19.850178571428572</v>
      </c>
      <c r="C609" s="3">
        <v>0.57035647279549717</v>
      </c>
      <c r="D609" s="3">
        <v>5841.9075535714292</v>
      </c>
      <c r="E609" s="3">
        <f t="shared" si="0"/>
        <v>3331.9697866523725</v>
      </c>
      <c r="F609" s="3">
        <f t="shared" si="1"/>
        <v>29188055.331074782</v>
      </c>
      <c r="G609" s="3">
        <f t="shared" si="2"/>
        <v>9040893706686.6055</v>
      </c>
      <c r="H609" s="3">
        <f t="shared" si="3"/>
        <v>46735260.428571433</v>
      </c>
      <c r="I609" s="3">
        <f t="shared" si="4"/>
        <v>1402057.8128571429</v>
      </c>
      <c r="J609" s="3">
        <f t="shared" si="5"/>
        <v>9040899314917.8574</v>
      </c>
    </row>
    <row r="610" spans="1:10" x14ac:dyDescent="0.25">
      <c r="A610" s="3">
        <v>609</v>
      </c>
      <c r="B610" s="3">
        <v>19.893392857142857</v>
      </c>
      <c r="C610" s="3">
        <v>0.57129455909943716</v>
      </c>
      <c r="D610" s="3">
        <v>5854.6255178571428</v>
      </c>
      <c r="E610" s="3">
        <f t="shared" si="0"/>
        <v>3344.7157039165104</v>
      </c>
      <c r="F610" s="3">
        <f t="shared" si="1"/>
        <v>29299709.566308632</v>
      </c>
      <c r="G610" s="3">
        <f t="shared" si="2"/>
        <v>9075478208155.4141</v>
      </c>
      <c r="H610" s="3">
        <f t="shared" si="3"/>
        <v>46837004.142857142</v>
      </c>
      <c r="I610" s="3">
        <f t="shared" si="4"/>
        <v>1405110.1242857142</v>
      </c>
      <c r="J610" s="3">
        <f t="shared" si="5"/>
        <v>9075483828595.9121</v>
      </c>
    </row>
    <row r="611" spans="1:10" x14ac:dyDescent="0.25">
      <c r="A611" s="3">
        <v>610</v>
      </c>
      <c r="B611" s="3">
        <v>19.910892857142855</v>
      </c>
      <c r="C611" s="3">
        <v>0.57223264540337715</v>
      </c>
      <c r="D611" s="3">
        <v>5859.7757678571425</v>
      </c>
      <c r="E611" s="3">
        <f t="shared" si="0"/>
        <v>3353.1549891114983</v>
      </c>
      <c r="F611" s="3">
        <f t="shared" si="1"/>
        <v>29373637.704616722</v>
      </c>
      <c r="G611" s="3">
        <f t="shared" si="2"/>
        <v>9098377188683.1953</v>
      </c>
      <c r="H611" s="3">
        <f t="shared" si="3"/>
        <v>46878206.142857142</v>
      </c>
      <c r="I611" s="3">
        <f t="shared" si="4"/>
        <v>1406346.1842857143</v>
      </c>
      <c r="J611" s="3">
        <f t="shared" si="5"/>
        <v>9098382814067.9316</v>
      </c>
    </row>
    <row r="612" spans="1:10" x14ac:dyDescent="0.25">
      <c r="A612" s="3">
        <v>611</v>
      </c>
      <c r="B612" s="3">
        <v>19.969464285714285</v>
      </c>
      <c r="C612" s="3">
        <v>0.57317073170731703</v>
      </c>
      <c r="D612" s="3">
        <v>5877.0133392857151</v>
      </c>
      <c r="E612" s="3">
        <f t="shared" si="0"/>
        <v>3368.5320359320558</v>
      </c>
      <c r="F612" s="3">
        <f t="shared" si="1"/>
        <v>29508340.634764809</v>
      </c>
      <c r="G612" s="3">
        <f t="shared" si="2"/>
        <v>9140100939446.0898</v>
      </c>
      <c r="H612" s="3">
        <f t="shared" si="3"/>
        <v>47016106.714285724</v>
      </c>
      <c r="I612" s="3">
        <f t="shared" si="4"/>
        <v>1410483.2014285717</v>
      </c>
      <c r="J612" s="3">
        <f t="shared" si="5"/>
        <v>9140106581378.8945</v>
      </c>
    </row>
    <row r="613" spans="1:10" x14ac:dyDescent="0.25">
      <c r="A613" s="3">
        <v>612</v>
      </c>
      <c r="B613" s="3">
        <v>19.992142857142859</v>
      </c>
      <c r="C613" s="3">
        <v>0.57410881801125702</v>
      </c>
      <c r="D613" s="3">
        <v>5883.6876428571441</v>
      </c>
      <c r="E613" s="3">
        <f t="shared" si="0"/>
        <v>3377.8769581881538</v>
      </c>
      <c r="F613" s="3">
        <f t="shared" si="1"/>
        <v>29590202.153728228</v>
      </c>
      <c r="G613" s="3">
        <f t="shared" si="2"/>
        <v>9165457255764.5977</v>
      </c>
      <c r="H613" s="3">
        <f t="shared" si="3"/>
        <v>47069501.142857149</v>
      </c>
      <c r="I613" s="3">
        <f t="shared" si="4"/>
        <v>1412085.0342857144</v>
      </c>
      <c r="J613" s="3">
        <f t="shared" si="5"/>
        <v>9165462904104.7363</v>
      </c>
    </row>
    <row r="614" spans="1:10" x14ac:dyDescent="0.25">
      <c r="A614" s="3">
        <v>613</v>
      </c>
      <c r="B614" s="3">
        <v>20.029285714285713</v>
      </c>
      <c r="C614" s="3">
        <v>0.575046904315197</v>
      </c>
      <c r="D614" s="3">
        <v>5894.6187857142859</v>
      </c>
      <c r="E614" s="3">
        <f t="shared" si="0"/>
        <v>3389.6822848432057</v>
      </c>
      <c r="F614" s="3">
        <f t="shared" si="1"/>
        <v>29693616.81522648</v>
      </c>
      <c r="G614" s="3">
        <f t="shared" si="2"/>
        <v>9197489579446</v>
      </c>
      <c r="H614" s="3">
        <f t="shared" si="3"/>
        <v>47156950.285714284</v>
      </c>
      <c r="I614" s="3">
        <f t="shared" si="4"/>
        <v>1414708.5085714285</v>
      </c>
      <c r="J614" s="3">
        <f t="shared" si="5"/>
        <v>9197495238280.0332</v>
      </c>
    </row>
    <row r="615" spans="1:10" x14ac:dyDescent="0.25">
      <c r="A615" s="3">
        <v>614</v>
      </c>
      <c r="B615" s="3">
        <v>20.039464285714285</v>
      </c>
      <c r="C615" s="3">
        <v>0.57598499061913699</v>
      </c>
      <c r="D615" s="3">
        <v>5897.6143392857157</v>
      </c>
      <c r="E615" s="3">
        <f t="shared" si="0"/>
        <v>3396.9373398887706</v>
      </c>
      <c r="F615" s="3">
        <f t="shared" si="1"/>
        <v>29757171.097425628</v>
      </c>
      <c r="G615" s="3">
        <f t="shared" si="2"/>
        <v>9217175295946.8047</v>
      </c>
      <c r="H615" s="3">
        <f t="shared" si="3"/>
        <v>47180914.714285724</v>
      </c>
      <c r="I615" s="3">
        <f t="shared" si="4"/>
        <v>1415427.4414285717</v>
      </c>
      <c r="J615" s="3">
        <f t="shared" si="5"/>
        <v>9217180957656.5703</v>
      </c>
    </row>
    <row r="616" spans="1:10" x14ac:dyDescent="0.25">
      <c r="A616" s="3">
        <v>615</v>
      </c>
      <c r="B616" s="3">
        <v>20.064107142857143</v>
      </c>
      <c r="C616" s="3">
        <v>0.57692307692307687</v>
      </c>
      <c r="D616" s="3">
        <v>5904.8667321428566</v>
      </c>
      <c r="E616" s="3">
        <f t="shared" si="0"/>
        <v>3406.6538839285708</v>
      </c>
      <c r="F616" s="3">
        <f t="shared" si="1"/>
        <v>29842288.023214281</v>
      </c>
      <c r="G616" s="3">
        <f t="shared" si="2"/>
        <v>9243539962729.3613</v>
      </c>
      <c r="H616" s="3">
        <f t="shared" si="3"/>
        <v>47238933.857142851</v>
      </c>
      <c r="I616" s="3">
        <f t="shared" si="4"/>
        <v>1417168.0157142854</v>
      </c>
      <c r="J616" s="3">
        <f t="shared" si="5"/>
        <v>9243545631401.4238</v>
      </c>
    </row>
    <row r="617" spans="1:10" x14ac:dyDescent="0.25">
      <c r="A617" s="3">
        <v>616</v>
      </c>
      <c r="B617" s="3">
        <v>20.081071428571427</v>
      </c>
      <c r="C617" s="3">
        <v>0.57786116322701686</v>
      </c>
      <c r="D617" s="3">
        <v>5909.859321428572</v>
      </c>
      <c r="E617" s="3">
        <f t="shared" si="0"/>
        <v>3415.0781819887429</v>
      </c>
      <c r="F617" s="3">
        <f t="shared" si="1"/>
        <v>29916084.874221388</v>
      </c>
      <c r="G617" s="3">
        <f t="shared" si="2"/>
        <v>9266398277620.5195</v>
      </c>
      <c r="H617" s="3">
        <f t="shared" si="3"/>
        <v>47278874.571428575</v>
      </c>
      <c r="I617" s="3">
        <f t="shared" si="4"/>
        <v>1418366.2371428572</v>
      </c>
      <c r="J617" s="3">
        <f t="shared" si="5"/>
        <v>9266403951085.4668</v>
      </c>
    </row>
    <row r="618" spans="1:10" x14ac:dyDescent="0.25">
      <c r="A618" s="3">
        <v>617</v>
      </c>
      <c r="B618" s="3">
        <v>20.197678571428572</v>
      </c>
      <c r="C618" s="3">
        <v>0.57879924953095685</v>
      </c>
      <c r="D618" s="3">
        <v>5944.1768035714294</v>
      </c>
      <c r="E618" s="3">
        <f t="shared" si="0"/>
        <v>3440.4850729864652</v>
      </c>
      <c r="F618" s="3">
        <f t="shared" si="1"/>
        <v>30138649.239361435</v>
      </c>
      <c r="G618" s="3">
        <f t="shared" si="2"/>
        <v>9335336787976.957</v>
      </c>
      <c r="H618" s="3">
        <f t="shared" si="3"/>
        <v>47553414.428571433</v>
      </c>
      <c r="I618" s="3">
        <f t="shared" si="4"/>
        <v>1426602.432857143</v>
      </c>
      <c r="J618" s="3">
        <f t="shared" si="5"/>
        <v>9335342494386.6895</v>
      </c>
    </row>
    <row r="619" spans="1:10" x14ac:dyDescent="0.25">
      <c r="A619" s="3">
        <v>618</v>
      </c>
      <c r="B619" s="3">
        <v>20.205178571428572</v>
      </c>
      <c r="C619" s="3">
        <v>0.57973733583489684</v>
      </c>
      <c r="D619" s="3">
        <v>5946.3840535714289</v>
      </c>
      <c r="E619" s="3">
        <f t="shared" si="0"/>
        <v>3447.3408490686147</v>
      </c>
      <c r="F619" s="3">
        <f t="shared" si="1"/>
        <v>30198705.837841067</v>
      </c>
      <c r="G619" s="3">
        <f t="shared" si="2"/>
        <v>9353939109784.4121</v>
      </c>
      <c r="H619" s="3">
        <f t="shared" si="3"/>
        <v>47571072.428571433</v>
      </c>
      <c r="I619" s="3">
        <f t="shared" si="4"/>
        <v>1427132.172857143</v>
      </c>
      <c r="J619" s="3">
        <f t="shared" si="5"/>
        <v>9353944818313.1055</v>
      </c>
    </row>
    <row r="620" spans="1:10" x14ac:dyDescent="0.25">
      <c r="A620" s="3">
        <v>619</v>
      </c>
      <c r="B620" s="3">
        <v>20.251785714285713</v>
      </c>
      <c r="C620" s="3">
        <v>0.58067542213883683</v>
      </c>
      <c r="D620" s="3">
        <v>5960.1005357142858</v>
      </c>
      <c r="E620" s="3">
        <f t="shared" si="0"/>
        <v>3460.8838945658003</v>
      </c>
      <c r="F620" s="3">
        <f t="shared" si="1"/>
        <v>30317342.916396409</v>
      </c>
      <c r="G620" s="3">
        <f t="shared" si="2"/>
        <v>9390686521892.7441</v>
      </c>
      <c r="H620" s="3">
        <f t="shared" si="3"/>
        <v>47680804.285714284</v>
      </c>
      <c r="I620" s="3">
        <f t="shared" si="4"/>
        <v>1430424.1285714284</v>
      </c>
      <c r="J620" s="3">
        <f t="shared" si="5"/>
        <v>9390692243589.2578</v>
      </c>
    </row>
    <row r="621" spans="1:10" x14ac:dyDescent="0.25">
      <c r="A621" s="3">
        <v>620</v>
      </c>
      <c r="B621" s="3">
        <v>20.267857142857142</v>
      </c>
      <c r="C621" s="3">
        <v>0.58161350844277671</v>
      </c>
      <c r="D621" s="3">
        <v>5964.830357142856</v>
      </c>
      <c r="E621" s="3">
        <f t="shared" si="0"/>
        <v>3469.2259112838374</v>
      </c>
      <c r="F621" s="3">
        <f t="shared" si="1"/>
        <v>30390418.982846417</v>
      </c>
      <c r="G621" s="3">
        <f t="shared" si="2"/>
        <v>9413321576509.3926</v>
      </c>
      <c r="H621" s="3">
        <f t="shared" si="3"/>
        <v>47718642.857142851</v>
      </c>
      <c r="I621" s="3">
        <f t="shared" si="4"/>
        <v>1431559.2857142854</v>
      </c>
      <c r="J621" s="3">
        <f t="shared" si="5"/>
        <v>9413327302746.5352</v>
      </c>
    </row>
    <row r="622" spans="1:10" x14ac:dyDescent="0.25">
      <c r="A622" s="3">
        <v>621</v>
      </c>
      <c r="B622" s="3">
        <v>20.355892857142859</v>
      </c>
      <c r="C622" s="3">
        <v>0.58255159474671669</v>
      </c>
      <c r="D622" s="3">
        <v>5990.7392678571432</v>
      </c>
      <c r="E622" s="3">
        <f t="shared" si="0"/>
        <v>3489.9147142019569</v>
      </c>
      <c r="F622" s="3">
        <f t="shared" si="1"/>
        <v>30571652.896409143</v>
      </c>
      <c r="G622" s="3">
        <f t="shared" si="2"/>
        <v>9469458130329.1738</v>
      </c>
      <c r="H622" s="3">
        <f t="shared" si="3"/>
        <v>47925914.142857149</v>
      </c>
      <c r="I622" s="3">
        <f t="shared" si="4"/>
        <v>1437777.4242857145</v>
      </c>
      <c r="J622" s="3">
        <f t="shared" si="5"/>
        <v>9469463881438.8711</v>
      </c>
    </row>
    <row r="623" spans="1:10" x14ac:dyDescent="0.25">
      <c r="A623" s="3">
        <v>622</v>
      </c>
      <c r="B623" s="3">
        <v>20.382499999999997</v>
      </c>
      <c r="C623" s="3">
        <v>0.58348968105065668</v>
      </c>
      <c r="D623" s="3">
        <v>5998.5697499999987</v>
      </c>
      <c r="E623" s="3">
        <f t="shared" si="0"/>
        <v>3500.1035501876167</v>
      </c>
      <c r="F623" s="3">
        <f t="shared" si="1"/>
        <v>30660907.099643521</v>
      </c>
      <c r="G623" s="3">
        <f t="shared" si="2"/>
        <v>9497104303954.2402</v>
      </c>
      <c r="H623" s="3">
        <f t="shared" si="3"/>
        <v>47988557.999999993</v>
      </c>
      <c r="I623" s="3">
        <f t="shared" si="4"/>
        <v>1439656.7399999998</v>
      </c>
      <c r="J623" s="3">
        <f t="shared" si="5"/>
        <v>9497110062581.2012</v>
      </c>
    </row>
    <row r="624" spans="1:10" x14ac:dyDescent="0.25">
      <c r="A624" s="3">
        <v>623</v>
      </c>
      <c r="B624" s="3">
        <v>20.404107142857139</v>
      </c>
      <c r="C624" s="3">
        <v>0.58442776735459667</v>
      </c>
      <c r="D624" s="3">
        <v>6004.9287321428556</v>
      </c>
      <c r="E624" s="3">
        <f t="shared" si="0"/>
        <v>3509.4470920497179</v>
      </c>
      <c r="F624" s="3">
        <f t="shared" si="1"/>
        <v>30742756.526355527</v>
      </c>
      <c r="G624" s="3">
        <f t="shared" si="2"/>
        <v>9522456875042.3555</v>
      </c>
      <c r="H624" s="3">
        <f t="shared" si="3"/>
        <v>48039429.857142843</v>
      </c>
      <c r="I624" s="3">
        <f t="shared" si="4"/>
        <v>1441182.8957142853</v>
      </c>
      <c r="J624" s="3">
        <f t="shared" si="5"/>
        <v>9522462639773.9395</v>
      </c>
    </row>
    <row r="625" spans="1:10" x14ac:dyDescent="0.25">
      <c r="A625" s="3">
        <v>624</v>
      </c>
      <c r="B625" s="3">
        <v>20.420535714285712</v>
      </c>
      <c r="C625" s="3">
        <v>0.58536585365853655</v>
      </c>
      <c r="D625" s="3">
        <v>6009.7636607142858</v>
      </c>
      <c r="E625" s="3">
        <f t="shared" si="0"/>
        <v>3517.9104355400696</v>
      </c>
      <c r="F625" s="3">
        <f t="shared" si="1"/>
        <v>30816895.415331006</v>
      </c>
      <c r="G625" s="3">
        <f t="shared" si="2"/>
        <v>9545421135164.0723</v>
      </c>
      <c r="H625" s="3">
        <f t="shared" si="3"/>
        <v>48078109.285714284</v>
      </c>
      <c r="I625" s="3">
        <f t="shared" si="4"/>
        <v>1442343.2785714285</v>
      </c>
      <c r="J625" s="3">
        <f t="shared" si="5"/>
        <v>9545426904537.1875</v>
      </c>
    </row>
    <row r="626" spans="1:10" x14ac:dyDescent="0.25">
      <c r="A626" s="3">
        <v>625</v>
      </c>
      <c r="B626" s="3">
        <v>20.478392857142858</v>
      </c>
      <c r="C626" s="3">
        <v>0.58630393996247654</v>
      </c>
      <c r="D626" s="3">
        <v>6026.7910178571437</v>
      </c>
      <c r="E626" s="3">
        <f t="shared" si="0"/>
        <v>3533.5313191001078</v>
      </c>
      <c r="F626" s="3">
        <f t="shared" si="1"/>
        <v>30953734.355316944</v>
      </c>
      <c r="G626" s="3">
        <f t="shared" si="2"/>
        <v>9587806507797.6602</v>
      </c>
      <c r="H626" s="3">
        <f t="shared" si="3"/>
        <v>48214328.142857149</v>
      </c>
      <c r="I626" s="3">
        <f t="shared" si="4"/>
        <v>1446429.8442857144</v>
      </c>
      <c r="J626" s="3">
        <f t="shared" si="5"/>
        <v>9587812293517.0371</v>
      </c>
    </row>
    <row r="627" spans="1:10" x14ac:dyDescent="0.25">
      <c r="A627" s="3">
        <v>626</v>
      </c>
      <c r="B627" s="3">
        <v>20.500892857142855</v>
      </c>
      <c r="C627" s="3">
        <v>0.58724202626641653</v>
      </c>
      <c r="D627" s="3">
        <v>6033.4127678571431</v>
      </c>
      <c r="E627" s="3">
        <f t="shared" si="0"/>
        <v>3543.0735390980972</v>
      </c>
      <c r="F627" s="3">
        <f t="shared" si="1"/>
        <v>31037324.20249933</v>
      </c>
      <c r="G627" s="3">
        <f t="shared" si="2"/>
        <v>9613698167862.3086</v>
      </c>
      <c r="H627" s="3">
        <f t="shared" si="3"/>
        <v>48267302.142857142</v>
      </c>
      <c r="I627" s="3">
        <f t="shared" si="4"/>
        <v>1448019.0642857142</v>
      </c>
      <c r="J627" s="3">
        <f t="shared" si="5"/>
        <v>9613703959938.5664</v>
      </c>
    </row>
    <row r="628" spans="1:10" x14ac:dyDescent="0.25">
      <c r="A628" s="3">
        <v>627</v>
      </c>
      <c r="B628" s="3">
        <v>20.543035714285711</v>
      </c>
      <c r="C628" s="3">
        <v>0.58818011257035652</v>
      </c>
      <c r="D628" s="3">
        <v>6045.8154107142855</v>
      </c>
      <c r="E628" s="3">
        <f t="shared" si="0"/>
        <v>3556.0283888535246</v>
      </c>
      <c r="F628" s="3">
        <f t="shared" si="1"/>
        <v>31150808.686356872</v>
      </c>
      <c r="G628" s="3">
        <f t="shared" si="2"/>
        <v>9648849582822.8145</v>
      </c>
      <c r="H628" s="3">
        <f t="shared" si="3"/>
        <v>48366523.285714284</v>
      </c>
      <c r="I628" s="3">
        <f t="shared" si="4"/>
        <v>1450995.6985714284</v>
      </c>
      <c r="J628" s="3">
        <f t="shared" si="5"/>
        <v>9648855386805.6094</v>
      </c>
    </row>
    <row r="629" spans="1:10" x14ac:dyDescent="0.25">
      <c r="A629" s="3">
        <v>628</v>
      </c>
      <c r="B629" s="3">
        <v>20.571607142857143</v>
      </c>
      <c r="C629" s="3">
        <v>0.58911819887429639</v>
      </c>
      <c r="D629" s="3">
        <v>6054.2239821428584</v>
      </c>
      <c r="E629" s="3">
        <f t="shared" si="0"/>
        <v>3566.6535279415712</v>
      </c>
      <c r="F629" s="3">
        <f t="shared" si="1"/>
        <v>31243884.904768161</v>
      </c>
      <c r="G629" s="3">
        <f t="shared" si="2"/>
        <v>9677679611891.6309</v>
      </c>
      <c r="H629" s="3">
        <f t="shared" si="3"/>
        <v>48433791.857142866</v>
      </c>
      <c r="I629" s="3">
        <f t="shared" si="4"/>
        <v>1453013.7557142859</v>
      </c>
      <c r="J629" s="3">
        <f t="shared" si="5"/>
        <v>9677685423946.6543</v>
      </c>
    </row>
    <row r="630" spans="1:10" x14ac:dyDescent="0.25">
      <c r="A630" s="3">
        <v>629</v>
      </c>
      <c r="B630" s="3">
        <v>20.576250000000002</v>
      </c>
      <c r="C630" s="3">
        <v>0.59005628517823638</v>
      </c>
      <c r="D630" s="3">
        <v>6055.5903749999998</v>
      </c>
      <c r="E630" s="3">
        <f t="shared" si="0"/>
        <v>3573.1391612335833</v>
      </c>
      <c r="F630" s="3">
        <f t="shared" si="1"/>
        <v>31300699.052406192</v>
      </c>
      <c r="G630" s="3">
        <f t="shared" si="2"/>
        <v>9695277596558.4746</v>
      </c>
      <c r="H630" s="3">
        <f t="shared" si="3"/>
        <v>48444723</v>
      </c>
      <c r="I630" s="3">
        <f t="shared" si="4"/>
        <v>1453341.69</v>
      </c>
      <c r="J630" s="3">
        <f t="shared" si="5"/>
        <v>9695283409925.2344</v>
      </c>
    </row>
    <row r="631" spans="1:10" x14ac:dyDescent="0.25">
      <c r="A631" s="3">
        <v>630</v>
      </c>
      <c r="B631" s="3">
        <v>20.577857142857145</v>
      </c>
      <c r="C631" s="3">
        <v>0.59099437148217637</v>
      </c>
      <c r="D631" s="3">
        <v>6056.063357142858</v>
      </c>
      <c r="E631" s="3">
        <f t="shared" si="0"/>
        <v>3579.0993574108825</v>
      </c>
      <c r="F631" s="3">
        <f t="shared" si="1"/>
        <v>31352910.370919328</v>
      </c>
      <c r="G631" s="3">
        <f t="shared" si="2"/>
        <v>9711449871661.0449</v>
      </c>
      <c r="H631" s="3">
        <f t="shared" si="3"/>
        <v>48448506.857142866</v>
      </c>
      <c r="I631" s="3">
        <f t="shared" si="4"/>
        <v>1453455.2057142858</v>
      </c>
      <c r="J631" s="3">
        <f t="shared" si="5"/>
        <v>9711455685481.8672</v>
      </c>
    </row>
    <row r="632" spans="1:10" x14ac:dyDescent="0.25">
      <c r="A632" s="3">
        <v>631</v>
      </c>
      <c r="B632" s="3">
        <v>20.618392857142858</v>
      </c>
      <c r="C632" s="3">
        <v>0.59193245778611636</v>
      </c>
      <c r="D632" s="3">
        <v>6067.993017857144</v>
      </c>
      <c r="E632" s="3">
        <f t="shared" si="0"/>
        <v>3591.8420208891725</v>
      </c>
      <c r="F632" s="3">
        <f t="shared" si="1"/>
        <v>31464536.102989148</v>
      </c>
      <c r="G632" s="3">
        <f t="shared" si="2"/>
        <v>9746025545130.0254</v>
      </c>
      <c r="H632" s="3">
        <f t="shared" si="3"/>
        <v>48543944.142857149</v>
      </c>
      <c r="I632" s="3">
        <f t="shared" si="4"/>
        <v>1456318.3242857144</v>
      </c>
      <c r="J632" s="3">
        <f t="shared" si="5"/>
        <v>9746031370403.3223</v>
      </c>
    </row>
    <row r="633" spans="1:10" x14ac:dyDescent="0.25">
      <c r="A633" s="3">
        <v>632</v>
      </c>
      <c r="B633" s="3">
        <v>20.631071428571428</v>
      </c>
      <c r="C633" s="3">
        <v>0.59287054409005624</v>
      </c>
      <c r="D633" s="3">
        <v>6071.7243214285718</v>
      </c>
      <c r="E633" s="3">
        <f t="shared" si="0"/>
        <v>3599.7465020101849</v>
      </c>
      <c r="F633" s="3">
        <f t="shared" si="1"/>
        <v>31533779.35760922</v>
      </c>
      <c r="G633" s="3">
        <f t="shared" si="2"/>
        <v>9767473400480.5547</v>
      </c>
      <c r="H633" s="3">
        <f t="shared" si="3"/>
        <v>48573794.571428575</v>
      </c>
      <c r="I633" s="3">
        <f t="shared" si="4"/>
        <v>1457213.8371428573</v>
      </c>
      <c r="J633" s="3">
        <f t="shared" si="5"/>
        <v>9767479229335.9043</v>
      </c>
    </row>
    <row r="634" spans="1:10" x14ac:dyDescent="0.25">
      <c r="A634" s="3">
        <v>633</v>
      </c>
      <c r="B634" s="3">
        <v>20.651607142857141</v>
      </c>
      <c r="C634" s="3">
        <v>0.59380863039399623</v>
      </c>
      <c r="D634" s="3">
        <v>6077.7679821428565</v>
      </c>
      <c r="E634" s="3">
        <f t="shared" si="0"/>
        <v>3609.0310813287319</v>
      </c>
      <c r="F634" s="3">
        <f t="shared" si="1"/>
        <v>31615112.272439692</v>
      </c>
      <c r="G634" s="3">
        <f t="shared" si="2"/>
        <v>9792665984100.2539</v>
      </c>
      <c r="H634" s="3">
        <f t="shared" si="3"/>
        <v>48622143.857142851</v>
      </c>
      <c r="I634" s="3">
        <f t="shared" si="4"/>
        <v>1458664.3157142855</v>
      </c>
      <c r="J634" s="3">
        <f t="shared" si="5"/>
        <v>9792671818757.5176</v>
      </c>
    </row>
    <row r="635" spans="1:10" x14ac:dyDescent="0.25">
      <c r="A635" s="3">
        <v>634</v>
      </c>
      <c r="B635" s="3">
        <v>20.677857142857139</v>
      </c>
      <c r="C635" s="3">
        <v>0.59474671669793622</v>
      </c>
      <c r="D635" s="3">
        <v>6085.4933571428555</v>
      </c>
      <c r="E635" s="3">
        <f t="shared" si="0"/>
        <v>3619.3271936478145</v>
      </c>
      <c r="F635" s="3">
        <f t="shared" si="1"/>
        <v>31705306.216354858</v>
      </c>
      <c r="G635" s="3">
        <f t="shared" si="2"/>
        <v>9820603239255.9648</v>
      </c>
      <c r="H635" s="3">
        <f t="shared" si="3"/>
        <v>48683946.857142843</v>
      </c>
      <c r="I635" s="3">
        <f t="shared" si="4"/>
        <v>1460518.4057142853</v>
      </c>
      <c r="J635" s="3">
        <f t="shared" si="5"/>
        <v>9820609081329.5879</v>
      </c>
    </row>
    <row r="636" spans="1:10" x14ac:dyDescent="0.25">
      <c r="A636" s="3">
        <v>635</v>
      </c>
      <c r="B636" s="3">
        <v>20.692321428571429</v>
      </c>
      <c r="C636" s="3">
        <v>0.59568480300187621</v>
      </c>
      <c r="D636" s="3">
        <v>6089.7501964285721</v>
      </c>
      <c r="E636" s="3">
        <f t="shared" si="0"/>
        <v>3627.5716460901908</v>
      </c>
      <c r="F636" s="3">
        <f t="shared" si="1"/>
        <v>31777527.619750071</v>
      </c>
      <c r="G636" s="3">
        <f t="shared" si="2"/>
        <v>9842973565397.7051</v>
      </c>
      <c r="H636" s="3">
        <f t="shared" si="3"/>
        <v>48718001.571428575</v>
      </c>
      <c r="I636" s="3">
        <f t="shared" si="4"/>
        <v>1461540.0471428572</v>
      </c>
      <c r="J636" s="3">
        <f t="shared" si="5"/>
        <v>9842979411557.8926</v>
      </c>
    </row>
    <row r="637" spans="1:10" x14ac:dyDescent="0.25">
      <c r="A637" s="3">
        <v>636</v>
      </c>
      <c r="B637" s="3">
        <v>20.710714285714285</v>
      </c>
      <c r="C637" s="3">
        <v>0.59662288930581608</v>
      </c>
      <c r="D637" s="3">
        <v>6095.1632142857152</v>
      </c>
      <c r="E637" s="3">
        <f t="shared" si="0"/>
        <v>3636.5138876976685</v>
      </c>
      <c r="F637" s="3">
        <f t="shared" si="1"/>
        <v>31855861.656231575</v>
      </c>
      <c r="G637" s="3">
        <f t="shared" si="2"/>
        <v>9867237257413.2109</v>
      </c>
      <c r="H637" s="3">
        <f t="shared" si="3"/>
        <v>48761305.714285724</v>
      </c>
      <c r="I637" s="3">
        <f t="shared" si="4"/>
        <v>1462839.1714285717</v>
      </c>
      <c r="J637" s="3">
        <f t="shared" si="5"/>
        <v>9867243108769.8965</v>
      </c>
    </row>
    <row r="638" spans="1:10" x14ac:dyDescent="0.25">
      <c r="A638" s="3">
        <v>637</v>
      </c>
      <c r="B638" s="3">
        <v>20.722499999999997</v>
      </c>
      <c r="C638" s="3">
        <v>0.59756097560975607</v>
      </c>
      <c r="D638" s="3">
        <v>6098.6317499999986</v>
      </c>
      <c r="E638" s="3">
        <f t="shared" si="0"/>
        <v>3644.3043384146331</v>
      </c>
      <c r="F638" s="3">
        <f t="shared" si="1"/>
        <v>31924106.004512187</v>
      </c>
      <c r="G638" s="3">
        <f t="shared" si="2"/>
        <v>9888375705227.8594</v>
      </c>
      <c r="H638" s="3">
        <f t="shared" si="3"/>
        <v>48789053.999999993</v>
      </c>
      <c r="I638" s="3">
        <f t="shared" si="4"/>
        <v>1463671.6199999996</v>
      </c>
      <c r="J638" s="3">
        <f t="shared" si="5"/>
        <v>9888381559914.3379</v>
      </c>
    </row>
    <row r="639" spans="1:10" x14ac:dyDescent="0.25">
      <c r="A639" s="3">
        <v>638</v>
      </c>
      <c r="B639" s="3">
        <v>20.746607142857144</v>
      </c>
      <c r="C639" s="3">
        <v>0.59849906191369606</v>
      </c>
      <c r="D639" s="3">
        <v>6105.726482142858</v>
      </c>
      <c r="E639" s="3">
        <f t="shared" si="0"/>
        <v>3654.271571864112</v>
      </c>
      <c r="F639" s="3">
        <f t="shared" si="1"/>
        <v>32011418.969529621</v>
      </c>
      <c r="G639" s="3">
        <f t="shared" si="2"/>
        <v>9915420587727.1387</v>
      </c>
      <c r="H639" s="3">
        <f t="shared" si="3"/>
        <v>48845811.857142866</v>
      </c>
      <c r="I639" s="3">
        <f t="shared" si="4"/>
        <v>1465374.355714286</v>
      </c>
      <c r="J639" s="3">
        <f t="shared" si="5"/>
        <v>9915426449224.5605</v>
      </c>
    </row>
    <row r="640" spans="1:10" x14ac:dyDescent="0.25">
      <c r="A640" s="3">
        <v>639</v>
      </c>
      <c r="B640" s="3">
        <v>20.824999999999999</v>
      </c>
      <c r="C640" s="3">
        <v>0.59943714821763605</v>
      </c>
      <c r="D640" s="3">
        <v>6128.7974999999997</v>
      </c>
      <c r="E640" s="3">
        <f t="shared" si="0"/>
        <v>3673.8288954033769</v>
      </c>
      <c r="F640" s="3">
        <f t="shared" si="1"/>
        <v>32182741.12373358</v>
      </c>
      <c r="G640" s="3">
        <f t="shared" si="2"/>
        <v>9968487011047.9668</v>
      </c>
      <c r="H640" s="3">
        <f t="shared" si="3"/>
        <v>49030380</v>
      </c>
      <c r="I640" s="3">
        <f t="shared" si="4"/>
        <v>1470911.4</v>
      </c>
      <c r="J640" s="3">
        <f t="shared" si="5"/>
        <v>9968492894693.5664</v>
      </c>
    </row>
    <row r="641" spans="1:10" x14ac:dyDescent="0.25">
      <c r="A641" s="3">
        <v>640</v>
      </c>
      <c r="B641" s="3">
        <v>20.854464285714286</v>
      </c>
      <c r="C641" s="3">
        <v>0.60037523452157604</v>
      </c>
      <c r="D641" s="3">
        <v>6137.4688392857151</v>
      </c>
      <c r="E641" s="3">
        <f t="shared" si="0"/>
        <v>3684.7842937550263</v>
      </c>
      <c r="F641" s="3">
        <f t="shared" si="1"/>
        <v>32278710.413294028</v>
      </c>
      <c r="G641" s="3">
        <f t="shared" si="2"/>
        <v>9998213158659.4844</v>
      </c>
      <c r="H641" s="3">
        <f t="shared" si="3"/>
        <v>49099750.714285724</v>
      </c>
      <c r="I641" s="3">
        <f t="shared" si="4"/>
        <v>1472992.5214285715</v>
      </c>
      <c r="J641" s="3">
        <f t="shared" si="5"/>
        <v>9998219050629.5703</v>
      </c>
    </row>
    <row r="642" spans="1:10" x14ac:dyDescent="0.25">
      <c r="A642" s="3">
        <v>641</v>
      </c>
      <c r="B642" s="3">
        <v>20.854642857142856</v>
      </c>
      <c r="C642" s="3">
        <v>0.60131332082551592</v>
      </c>
      <c r="D642" s="3">
        <v>6137.5213928571429</v>
      </c>
      <c r="E642" s="3">
        <f t="shared" si="0"/>
        <v>3690.5733703765745</v>
      </c>
      <c r="F642" s="3">
        <f t="shared" si="1"/>
        <v>32329422.724498793</v>
      </c>
      <c r="G642" s="3">
        <f t="shared" si="2"/>
        <v>10013921121829.896</v>
      </c>
      <c r="H642" s="3">
        <f t="shared" si="3"/>
        <v>49100171.142857142</v>
      </c>
      <c r="I642" s="3">
        <f t="shared" si="4"/>
        <v>1473005.1342857142</v>
      </c>
      <c r="J642" s="3">
        <f t="shared" si="5"/>
        <v>10013927013850.434</v>
      </c>
    </row>
    <row r="643" spans="1:10" x14ac:dyDescent="0.25">
      <c r="A643" s="3">
        <v>642</v>
      </c>
      <c r="B643" s="3">
        <v>20.903928571428573</v>
      </c>
      <c r="C643" s="3">
        <v>0.60225140712945591</v>
      </c>
      <c r="D643" s="3">
        <v>6152.0261785714292</v>
      </c>
      <c r="E643" s="3">
        <f t="shared" si="0"/>
        <v>3705.0664227418924</v>
      </c>
      <c r="F643" s="3">
        <f t="shared" si="1"/>
        <v>32456381.863218978</v>
      </c>
      <c r="G643" s="3">
        <f t="shared" si="2"/>
        <v>10053246262570.74</v>
      </c>
      <c r="H643" s="3">
        <f t="shared" si="3"/>
        <v>49216209.428571433</v>
      </c>
      <c r="I643" s="3">
        <f t="shared" si="4"/>
        <v>1476486.2828571429</v>
      </c>
      <c r="J643" s="3">
        <f t="shared" si="5"/>
        <v>10053252168515.871</v>
      </c>
    </row>
    <row r="644" spans="1:10" x14ac:dyDescent="0.25">
      <c r="A644" s="3">
        <v>643</v>
      </c>
      <c r="B644" s="3">
        <v>20.916785714285716</v>
      </c>
      <c r="C644" s="3">
        <v>0.6031894934333959</v>
      </c>
      <c r="D644" s="3">
        <v>6155.8100357142866</v>
      </c>
      <c r="E644" s="3">
        <f t="shared" si="0"/>
        <v>3713.1199371147154</v>
      </c>
      <c r="F644" s="3">
        <f t="shared" si="1"/>
        <v>32526930.649124905</v>
      </c>
      <c r="G644" s="3">
        <f t="shared" si="2"/>
        <v>10075098501676.936</v>
      </c>
      <c r="H644" s="3">
        <f t="shared" si="3"/>
        <v>49246480.285714291</v>
      </c>
      <c r="I644" s="3">
        <f t="shared" si="4"/>
        <v>1477394.4085714286</v>
      </c>
      <c r="J644" s="3">
        <f t="shared" si="5"/>
        <v>10075104411254.57</v>
      </c>
    </row>
    <row r="645" spans="1:10" x14ac:dyDescent="0.25">
      <c r="A645" s="3">
        <v>644</v>
      </c>
      <c r="B645" s="3">
        <v>20.962500000000002</v>
      </c>
      <c r="C645" s="3">
        <v>0.60412757973733588</v>
      </c>
      <c r="D645" s="3">
        <v>6169.2637500000019</v>
      </c>
      <c r="E645" s="3">
        <f t="shared" si="0"/>
        <v>3727.0223780487818</v>
      </c>
      <c r="F645" s="3">
        <f t="shared" si="1"/>
        <v>32648716.031707332</v>
      </c>
      <c r="G645" s="3">
        <f t="shared" si="2"/>
        <v>10112821090334.768</v>
      </c>
      <c r="H645" s="3">
        <f t="shared" si="3"/>
        <v>49354110.000000015</v>
      </c>
      <c r="I645" s="3">
        <f t="shared" si="4"/>
        <v>1480623.3000000003</v>
      </c>
      <c r="J645" s="3">
        <f t="shared" si="5"/>
        <v>10112827012827.969</v>
      </c>
    </row>
    <row r="646" spans="1:10" x14ac:dyDescent="0.25">
      <c r="A646" s="3">
        <v>645</v>
      </c>
      <c r="B646" s="3">
        <v>21.004107142857144</v>
      </c>
      <c r="C646" s="3">
        <v>0.60506566604127576</v>
      </c>
      <c r="D646" s="3">
        <v>6181.5087321428582</v>
      </c>
      <c r="E646" s="3">
        <f t="shared" si="0"/>
        <v>3740.2186981539808</v>
      </c>
      <c r="F646" s="3">
        <f t="shared" si="1"/>
        <v>32764315.795828868</v>
      </c>
      <c r="G646" s="3">
        <f t="shared" si="2"/>
        <v>10148627706201.619</v>
      </c>
      <c r="H646" s="3">
        <f t="shared" si="3"/>
        <v>49452069.857142866</v>
      </c>
      <c r="I646" s="3">
        <f t="shared" si="4"/>
        <v>1483562.095714286</v>
      </c>
      <c r="J646" s="3">
        <f t="shared" si="5"/>
        <v>10148633640450.002</v>
      </c>
    </row>
    <row r="647" spans="1:10" x14ac:dyDescent="0.25">
      <c r="A647" s="3">
        <v>646</v>
      </c>
      <c r="B647" s="3">
        <v>21.052500000000002</v>
      </c>
      <c r="C647" s="3">
        <v>0.60600375234521575</v>
      </c>
      <c r="D647" s="3">
        <v>6195.750750000002</v>
      </c>
      <c r="E647" s="3">
        <f t="shared" si="0"/>
        <v>3754.6482030956859</v>
      </c>
      <c r="F647" s="3">
        <f t="shared" si="1"/>
        <v>32890718.259118207</v>
      </c>
      <c r="G647" s="3">
        <f t="shared" si="2"/>
        <v>10187780418902.932</v>
      </c>
      <c r="H647" s="3">
        <f t="shared" si="3"/>
        <v>49566006.000000015</v>
      </c>
      <c r="I647" s="3">
        <f t="shared" si="4"/>
        <v>1486980.1800000004</v>
      </c>
      <c r="J647" s="3">
        <f t="shared" si="5"/>
        <v>10187786366823.65</v>
      </c>
    </row>
    <row r="648" spans="1:10" x14ac:dyDescent="0.25">
      <c r="A648" s="3">
        <v>647</v>
      </c>
      <c r="B648" s="3">
        <v>21.062678571428574</v>
      </c>
      <c r="C648" s="3">
        <v>0.60694183864915574</v>
      </c>
      <c r="D648" s="3">
        <v>6198.7463035714291</v>
      </c>
      <c r="E648" s="3">
        <f t="shared" si="0"/>
        <v>3762.2784788093009</v>
      </c>
      <c r="F648" s="3">
        <f t="shared" si="1"/>
        <v>32957559.474369474</v>
      </c>
      <c r="G648" s="3">
        <f t="shared" si="2"/>
        <v>10208484251562.625</v>
      </c>
      <c r="H648" s="3">
        <f t="shared" si="3"/>
        <v>49589970.428571433</v>
      </c>
      <c r="I648" s="3">
        <f t="shared" si="4"/>
        <v>1487699.1128571429</v>
      </c>
      <c r="J648" s="3">
        <f t="shared" si="5"/>
        <v>10208490202359.076</v>
      </c>
    </row>
    <row r="649" spans="1:10" x14ac:dyDescent="0.25">
      <c r="A649" s="3">
        <v>648</v>
      </c>
      <c r="B649" s="3">
        <v>21.083214285714284</v>
      </c>
      <c r="C649" s="3">
        <v>0.60787992495309573</v>
      </c>
      <c r="D649" s="3">
        <v>6204.7899642857146</v>
      </c>
      <c r="E649" s="3">
        <f t="shared" si="0"/>
        <v>3771.7672578397219</v>
      </c>
      <c r="F649" s="3">
        <f t="shared" si="1"/>
        <v>33040681.178675964</v>
      </c>
      <c r="G649" s="3">
        <f t="shared" si="2"/>
        <v>10234230906543.529</v>
      </c>
      <c r="H649" s="3">
        <f t="shared" si="3"/>
        <v>49638319.714285716</v>
      </c>
      <c r="I649" s="3">
        <f t="shared" si="4"/>
        <v>1489149.5914285714</v>
      </c>
      <c r="J649" s="3">
        <f t="shared" si="5"/>
        <v>10234236863141.895</v>
      </c>
    </row>
    <row r="650" spans="1:10" x14ac:dyDescent="0.25">
      <c r="A650" s="3">
        <v>649</v>
      </c>
      <c r="B650" s="3">
        <v>21.182500000000001</v>
      </c>
      <c r="C650" s="3">
        <v>0.60881801125703561</v>
      </c>
      <c r="D650" s="3">
        <v>6234.0097500000002</v>
      </c>
      <c r="E650" s="3">
        <f t="shared" si="0"/>
        <v>3795.3774181519698</v>
      </c>
      <c r="F650" s="3">
        <f t="shared" si="1"/>
        <v>33247506.183011256</v>
      </c>
      <c r="G650" s="3">
        <f t="shared" si="2"/>
        <v>10298294209152.734</v>
      </c>
      <c r="H650" s="3">
        <f t="shared" si="3"/>
        <v>49872078</v>
      </c>
      <c r="I650" s="3">
        <f t="shared" si="4"/>
        <v>1496162.3399999999</v>
      </c>
      <c r="J650" s="3">
        <f t="shared" si="5"/>
        <v>10298300193802.094</v>
      </c>
    </row>
    <row r="651" spans="1:10" x14ac:dyDescent="0.25">
      <c r="A651" s="3">
        <v>650</v>
      </c>
      <c r="B651" s="3">
        <v>21.183928571428574</v>
      </c>
      <c r="C651" s="3">
        <v>0.6097560975609756</v>
      </c>
      <c r="D651" s="3">
        <v>6234.4301785714288</v>
      </c>
      <c r="E651" s="3">
        <f t="shared" si="0"/>
        <v>3801.4818162020906</v>
      </c>
      <c r="F651" s="3">
        <f t="shared" si="1"/>
        <v>33300980.709930312</v>
      </c>
      <c r="G651" s="3">
        <f t="shared" si="2"/>
        <v>10314857758746.006</v>
      </c>
      <c r="H651" s="3">
        <f t="shared" si="3"/>
        <v>49875441.428571433</v>
      </c>
      <c r="I651" s="3">
        <f t="shared" si="4"/>
        <v>1496263.2428571428</v>
      </c>
      <c r="J651" s="3">
        <f t="shared" si="5"/>
        <v>10314863743798.977</v>
      </c>
    </row>
    <row r="652" spans="1:10" x14ac:dyDescent="0.25">
      <c r="A652" s="3">
        <v>651</v>
      </c>
      <c r="B652" s="3">
        <v>21.18410714285714</v>
      </c>
      <c r="C652" s="3">
        <v>0.61069418386491559</v>
      </c>
      <c r="D652" s="3">
        <v>6234.4827321428565</v>
      </c>
      <c r="E652" s="3">
        <f t="shared" si="0"/>
        <v>3807.3623439258909</v>
      </c>
      <c r="F652" s="3">
        <f t="shared" si="1"/>
        <v>33352494.1327908</v>
      </c>
      <c r="G652" s="3">
        <f t="shared" si="2"/>
        <v>10330813863484.512</v>
      </c>
      <c r="H652" s="3">
        <f t="shared" si="3"/>
        <v>49875861.857142851</v>
      </c>
      <c r="I652" s="3">
        <f t="shared" si="4"/>
        <v>1496275.8557142855</v>
      </c>
      <c r="J652" s="3">
        <f t="shared" si="5"/>
        <v>10330819848587.934</v>
      </c>
    </row>
    <row r="653" spans="1:10" x14ac:dyDescent="0.25">
      <c r="A653" s="3">
        <v>652</v>
      </c>
      <c r="B653" s="3">
        <v>21.187142857142859</v>
      </c>
      <c r="C653" s="3">
        <v>0.61163227016885557</v>
      </c>
      <c r="D653" s="3">
        <v>6235.3761428571433</v>
      </c>
      <c r="E653" s="3">
        <f t="shared" si="0"/>
        <v>3813.7572656124371</v>
      </c>
      <c r="F653" s="3">
        <f t="shared" si="1"/>
        <v>33408513.646764949</v>
      </c>
      <c r="G653" s="3">
        <f t="shared" si="2"/>
        <v>10348165713572.922</v>
      </c>
      <c r="H653" s="3">
        <f t="shared" si="3"/>
        <v>49883009.142857149</v>
      </c>
      <c r="I653" s="3">
        <f t="shared" si="4"/>
        <v>1496490.2742857144</v>
      </c>
      <c r="J653" s="3">
        <f t="shared" si="5"/>
        <v>10348171699534.018</v>
      </c>
    </row>
    <row r="654" spans="1:10" x14ac:dyDescent="0.25">
      <c r="A654" s="3">
        <v>653</v>
      </c>
      <c r="B654" s="3">
        <v>21.212678571428569</v>
      </c>
      <c r="C654" s="3">
        <v>0.61257035647279545</v>
      </c>
      <c r="D654" s="3">
        <v>6242.8913035714286</v>
      </c>
      <c r="E654" s="3">
        <f t="shared" si="0"/>
        <v>3824.2101512496647</v>
      </c>
      <c r="F654" s="3">
        <f t="shared" si="1"/>
        <v>33500080.924947064</v>
      </c>
      <c r="G654" s="3">
        <f t="shared" si="2"/>
        <v>10376528354475.738</v>
      </c>
      <c r="H654" s="3">
        <f t="shared" si="3"/>
        <v>49943130.428571425</v>
      </c>
      <c r="I654" s="3">
        <f t="shared" si="4"/>
        <v>1498293.9128571427</v>
      </c>
      <c r="J654" s="3">
        <f t="shared" si="5"/>
        <v>10376534347651.389</v>
      </c>
    </row>
    <row r="655" spans="1:10" x14ac:dyDescent="0.25">
      <c r="A655" s="3">
        <v>654</v>
      </c>
      <c r="B655" s="3">
        <v>21.240714285714287</v>
      </c>
      <c r="C655" s="3">
        <v>0.61350844277673544</v>
      </c>
      <c r="D655" s="3">
        <v>6251.1422142857155</v>
      </c>
      <c r="E655" s="3">
        <f t="shared" si="0"/>
        <v>3835.1285254623431</v>
      </c>
      <c r="F655" s="3">
        <f t="shared" si="1"/>
        <v>33595725.883050121</v>
      </c>
      <c r="G655" s="3">
        <f t="shared" si="2"/>
        <v>10406154041942.271</v>
      </c>
      <c r="H655" s="3">
        <f t="shared" si="3"/>
        <v>50009137.714285724</v>
      </c>
      <c r="I655" s="3">
        <f t="shared" si="4"/>
        <v>1500274.1314285717</v>
      </c>
      <c r="J655" s="3">
        <f t="shared" si="5"/>
        <v>10406160043038.797</v>
      </c>
    </row>
    <row r="656" spans="1:10" x14ac:dyDescent="0.25">
      <c r="A656" s="3">
        <v>655</v>
      </c>
      <c r="B656" s="3">
        <v>21.25375</v>
      </c>
      <c r="C656" s="3">
        <v>0.61444652908067543</v>
      </c>
      <c r="D656" s="3">
        <v>6254.9786249999997</v>
      </c>
      <c r="E656" s="3">
        <f t="shared" si="0"/>
        <v>3843.3499056050655</v>
      </c>
      <c r="F656" s="3">
        <f t="shared" si="1"/>
        <v>33667745.173100375</v>
      </c>
      <c r="G656" s="3">
        <f t="shared" si="2"/>
        <v>10428461764577.18</v>
      </c>
      <c r="H656" s="3">
        <f t="shared" si="3"/>
        <v>50039829</v>
      </c>
      <c r="I656" s="3">
        <f t="shared" si="4"/>
        <v>1501194.8699999999</v>
      </c>
      <c r="J656" s="3">
        <f t="shared" si="5"/>
        <v>10428467769356.658</v>
      </c>
    </row>
    <row r="657" spans="1:10" x14ac:dyDescent="0.25">
      <c r="A657" s="3">
        <v>656</v>
      </c>
      <c r="B657" s="3">
        <v>21.303571428571427</v>
      </c>
      <c r="C657" s="3">
        <v>0.61538461538461542</v>
      </c>
      <c r="D657" s="3">
        <v>6269.6410714285721</v>
      </c>
      <c r="E657" s="3">
        <f t="shared" si="0"/>
        <v>3858.2406593406599</v>
      </c>
      <c r="F657" s="3">
        <f t="shared" si="1"/>
        <v>33798188.17582418</v>
      </c>
      <c r="G657" s="3">
        <f t="shared" si="2"/>
        <v>10468866020007.527</v>
      </c>
      <c r="H657" s="3">
        <f t="shared" si="3"/>
        <v>50157128.571428575</v>
      </c>
      <c r="I657" s="3">
        <f t="shared" si="4"/>
        <v>1504713.8571428573</v>
      </c>
      <c r="J657" s="3">
        <f t="shared" si="5"/>
        <v>10468872038862.957</v>
      </c>
    </row>
    <row r="658" spans="1:10" x14ac:dyDescent="0.25">
      <c r="A658" s="3">
        <v>657</v>
      </c>
      <c r="B658" s="3">
        <v>21.30875</v>
      </c>
      <c r="C658" s="3">
        <v>0.6163227016885553</v>
      </c>
      <c r="D658" s="3">
        <v>6271.1651250000004</v>
      </c>
      <c r="E658" s="3">
        <f t="shared" si="0"/>
        <v>3865.0614325750466</v>
      </c>
      <c r="F658" s="3">
        <f t="shared" si="1"/>
        <v>33857938.149357408</v>
      </c>
      <c r="G658" s="3">
        <f t="shared" si="2"/>
        <v>10487373366452.873</v>
      </c>
      <c r="H658" s="3">
        <f t="shared" si="3"/>
        <v>50169321</v>
      </c>
      <c r="I658" s="3">
        <f t="shared" si="4"/>
        <v>1505079.63</v>
      </c>
      <c r="J658" s="3">
        <f t="shared" si="5"/>
        <v>10487379386771.395</v>
      </c>
    </row>
    <row r="659" spans="1:10" x14ac:dyDescent="0.25">
      <c r="A659" s="3">
        <v>658</v>
      </c>
      <c r="B659" s="3">
        <v>21.351785714285715</v>
      </c>
      <c r="C659" s="3">
        <v>0.61726078799249529</v>
      </c>
      <c r="D659" s="3">
        <v>6283.8305357142854</v>
      </c>
      <c r="E659" s="3">
        <f t="shared" si="0"/>
        <v>3878.7621880863035</v>
      </c>
      <c r="F659" s="3">
        <f t="shared" si="1"/>
        <v>33977956.767636016</v>
      </c>
      <c r="G659" s="3">
        <f t="shared" si="2"/>
        <v>10524548706727.279</v>
      </c>
      <c r="H659" s="3">
        <f t="shared" si="3"/>
        <v>50270644.285714284</v>
      </c>
      <c r="I659" s="3">
        <f t="shared" si="4"/>
        <v>1508119.3285714285</v>
      </c>
      <c r="J659" s="3">
        <f t="shared" si="5"/>
        <v>10524554739204.594</v>
      </c>
    </row>
    <row r="660" spans="1:10" x14ac:dyDescent="0.25">
      <c r="A660" s="3">
        <v>659</v>
      </c>
      <c r="B660" s="3">
        <v>21.431607142857143</v>
      </c>
      <c r="C660" s="3">
        <v>0.61819887429643527</v>
      </c>
      <c r="D660" s="3">
        <v>6307.3219821428565</v>
      </c>
      <c r="E660" s="3">
        <f t="shared" si="0"/>
        <v>3899.1793491858748</v>
      </c>
      <c r="F660" s="3">
        <f t="shared" si="1"/>
        <v>34156811.098868258</v>
      </c>
      <c r="G660" s="3">
        <f t="shared" si="2"/>
        <v>10579948195460.719</v>
      </c>
      <c r="H660" s="3">
        <f t="shared" si="3"/>
        <v>50458575.857142851</v>
      </c>
      <c r="I660" s="3">
        <f t="shared" si="4"/>
        <v>1513757.2757142854</v>
      </c>
      <c r="J660" s="3">
        <f t="shared" si="5"/>
        <v>10579954250489.82</v>
      </c>
    </row>
    <row r="661" spans="1:10" x14ac:dyDescent="0.25">
      <c r="A661" s="3">
        <v>660</v>
      </c>
      <c r="B661" s="3">
        <v>21.473749999999999</v>
      </c>
      <c r="C661" s="3">
        <v>0.61913696060037526</v>
      </c>
      <c r="D661" s="3">
        <v>6319.7246249999998</v>
      </c>
      <c r="E661" s="3">
        <f t="shared" si="0"/>
        <v>3912.7750961538463</v>
      </c>
      <c r="F661" s="3">
        <f t="shared" si="1"/>
        <v>34275909.842307694</v>
      </c>
      <c r="G661" s="3">
        <f t="shared" si="2"/>
        <v>10616838607933.457</v>
      </c>
      <c r="H661" s="3">
        <f t="shared" si="3"/>
        <v>50557797</v>
      </c>
      <c r="I661" s="3">
        <f t="shared" si="4"/>
        <v>1516733.91</v>
      </c>
      <c r="J661" s="3">
        <f t="shared" si="5"/>
        <v>10616844674869.098</v>
      </c>
    </row>
    <row r="662" spans="1:10" x14ac:dyDescent="0.25">
      <c r="A662" s="3">
        <v>661</v>
      </c>
      <c r="B662" s="3">
        <v>21.505892857142857</v>
      </c>
      <c r="C662" s="3">
        <v>0.62007504690431525</v>
      </c>
      <c r="D662" s="3">
        <v>6329.1842678571438</v>
      </c>
      <c r="E662" s="3">
        <f t="shared" si="0"/>
        <v>3924.5692317575727</v>
      </c>
      <c r="F662" s="3">
        <f t="shared" si="1"/>
        <v>34379226.470196337</v>
      </c>
      <c r="G662" s="3">
        <f t="shared" si="2"/>
        <v>10648840567455.555</v>
      </c>
      <c r="H662" s="3">
        <f t="shared" si="3"/>
        <v>50633474.142857149</v>
      </c>
      <c r="I662" s="3">
        <f t="shared" si="4"/>
        <v>1519004.2242857143</v>
      </c>
      <c r="J662" s="3">
        <f t="shared" si="5"/>
        <v>10648846643472.453</v>
      </c>
    </row>
    <row r="663" spans="1:10" x14ac:dyDescent="0.25">
      <c r="A663" s="3">
        <v>662</v>
      </c>
      <c r="B663" s="3">
        <v>21.510892857142856</v>
      </c>
      <c r="C663" s="3">
        <v>0.62101313320825513</v>
      </c>
      <c r="D663" s="3">
        <v>6330.6557678571426</v>
      </c>
      <c r="E663" s="3">
        <f t="shared" si="0"/>
        <v>3931.4203736598765</v>
      </c>
      <c r="F663" s="3">
        <f t="shared" si="1"/>
        <v>34439242.473260522</v>
      </c>
      <c r="G663" s="3">
        <f t="shared" si="2"/>
        <v>10667430315679.625</v>
      </c>
      <c r="H663" s="3">
        <f t="shared" si="3"/>
        <v>50645246.142857142</v>
      </c>
      <c r="I663" s="3">
        <f t="shared" si="4"/>
        <v>1519357.3842857142</v>
      </c>
      <c r="J663" s="3">
        <f t="shared" si="5"/>
        <v>10667436393109.162</v>
      </c>
    </row>
    <row r="664" spans="1:10" x14ac:dyDescent="0.25">
      <c r="A664" s="3">
        <v>663</v>
      </c>
      <c r="B664" s="3">
        <v>21.609821428571429</v>
      </c>
      <c r="C664" s="3">
        <v>0.62195121951219512</v>
      </c>
      <c r="D664" s="3">
        <v>6359.7704464285716</v>
      </c>
      <c r="E664" s="3">
        <f t="shared" si="0"/>
        <v>3955.4669849738675</v>
      </c>
      <c r="F664" s="3">
        <f t="shared" si="1"/>
        <v>34649890.788371079</v>
      </c>
      <c r="G664" s="3">
        <f t="shared" si="2"/>
        <v>10732677875695.564</v>
      </c>
      <c r="H664" s="3">
        <f t="shared" si="3"/>
        <v>50878163.571428575</v>
      </c>
      <c r="I664" s="3">
        <f t="shared" si="4"/>
        <v>1526344.9071428571</v>
      </c>
      <c r="J664" s="3">
        <f t="shared" si="5"/>
        <v>10732683981075.191</v>
      </c>
    </row>
    <row r="665" spans="1:10" x14ac:dyDescent="0.25">
      <c r="A665" s="3">
        <v>664</v>
      </c>
      <c r="B665" s="3">
        <v>21.701249999999998</v>
      </c>
      <c r="C665" s="3">
        <v>0.62288930581613511</v>
      </c>
      <c r="D665" s="3">
        <v>6386.6778749999994</v>
      </c>
      <c r="E665" s="3">
        <f t="shared" si="0"/>
        <v>3978.1933480300186</v>
      </c>
      <c r="F665" s="3">
        <f t="shared" si="1"/>
        <v>34848973.728742965</v>
      </c>
      <c r="G665" s="3">
        <f t="shared" si="2"/>
        <v>10794343102955.266</v>
      </c>
      <c r="H665" s="3">
        <f t="shared" si="3"/>
        <v>51093422.999999993</v>
      </c>
      <c r="I665" s="3">
        <f t="shared" si="4"/>
        <v>1532802.6899999997</v>
      </c>
      <c r="J665" s="3">
        <f t="shared" si="5"/>
        <v>10794349234166.025</v>
      </c>
    </row>
    <row r="666" spans="1:10" x14ac:dyDescent="0.25">
      <c r="A666" s="3">
        <v>665</v>
      </c>
      <c r="B666" s="3">
        <v>21.710357142857141</v>
      </c>
      <c r="C666" s="3">
        <v>0.6238273921200751</v>
      </c>
      <c r="D666" s="3">
        <v>6389.3581071428562</v>
      </c>
      <c r="E666" s="3">
        <f t="shared" si="0"/>
        <v>3985.8566053001873</v>
      </c>
      <c r="F666" s="3">
        <f t="shared" si="1"/>
        <v>34916103.862429641</v>
      </c>
      <c r="G666" s="3">
        <f t="shared" si="2"/>
        <v>10815136427405.029</v>
      </c>
      <c r="H666" s="3">
        <f t="shared" si="3"/>
        <v>51114864.857142851</v>
      </c>
      <c r="I666" s="3">
        <f t="shared" si="4"/>
        <v>1533445.9457142854</v>
      </c>
      <c r="J666" s="3">
        <f t="shared" si="5"/>
        <v>10815142561188.813</v>
      </c>
    </row>
    <row r="667" spans="1:10" x14ac:dyDescent="0.25">
      <c r="A667" s="3">
        <v>666</v>
      </c>
      <c r="B667" s="3">
        <v>21.731607142857143</v>
      </c>
      <c r="C667" s="3">
        <v>0.62476547842401498</v>
      </c>
      <c r="D667" s="3">
        <v>6395.6119821428583</v>
      </c>
      <c r="E667" s="3">
        <f t="shared" si="0"/>
        <v>3995.7575798378457</v>
      </c>
      <c r="F667" s="3">
        <f t="shared" si="1"/>
        <v>35002836.399379529</v>
      </c>
      <c r="G667" s="3">
        <f t="shared" si="2"/>
        <v>10842001525122.574</v>
      </c>
      <c r="H667" s="3">
        <f t="shared" si="3"/>
        <v>51164895.857142866</v>
      </c>
      <c r="I667" s="3">
        <f t="shared" si="4"/>
        <v>1534946.875714286</v>
      </c>
      <c r="J667" s="3">
        <f t="shared" si="5"/>
        <v>10842007664910.076</v>
      </c>
    </row>
    <row r="668" spans="1:10" x14ac:dyDescent="0.25">
      <c r="A668" s="3">
        <v>667</v>
      </c>
      <c r="B668" s="3">
        <v>21.779285714285717</v>
      </c>
      <c r="C668" s="3">
        <v>0.62570356472795496</v>
      </c>
      <c r="D668" s="3">
        <v>6409.6437857142864</v>
      </c>
      <c r="E668" s="3">
        <f t="shared" si="0"/>
        <v>4010.5369653578132</v>
      </c>
      <c r="F668" s="3">
        <f t="shared" si="1"/>
        <v>35132303.816534445</v>
      </c>
      <c r="G668" s="3">
        <f t="shared" si="2"/>
        <v>10882103596898.328</v>
      </c>
      <c r="H668" s="3">
        <f t="shared" si="3"/>
        <v>51277150.285714291</v>
      </c>
      <c r="I668" s="3">
        <f t="shared" si="4"/>
        <v>1538314.5085714287</v>
      </c>
      <c r="J668" s="3">
        <f t="shared" si="5"/>
        <v>10882109750156.361</v>
      </c>
    </row>
    <row r="669" spans="1:10" x14ac:dyDescent="0.25">
      <c r="A669" s="3">
        <v>668</v>
      </c>
      <c r="B669" s="3">
        <v>21.838750000000001</v>
      </c>
      <c r="C669" s="3">
        <v>0.62664165103189495</v>
      </c>
      <c r="D669" s="3">
        <v>6427.1441249999998</v>
      </c>
      <c r="E669" s="3">
        <f t="shared" si="0"/>
        <v>4027.5162059099439</v>
      </c>
      <c r="F669" s="3">
        <f t="shared" si="1"/>
        <v>35281041.963771105</v>
      </c>
      <c r="G669" s="3">
        <f t="shared" si="2"/>
        <v>10928174707420.502</v>
      </c>
      <c r="H669" s="3">
        <f t="shared" si="3"/>
        <v>51417153</v>
      </c>
      <c r="I669" s="3">
        <f t="shared" si="4"/>
        <v>1542514.5899999999</v>
      </c>
      <c r="J669" s="3">
        <f t="shared" si="5"/>
        <v>10928180877478.861</v>
      </c>
    </row>
    <row r="670" spans="1:10" x14ac:dyDescent="0.25">
      <c r="A670" s="3">
        <v>669</v>
      </c>
      <c r="B670" s="3">
        <v>21.991250000000001</v>
      </c>
      <c r="C670" s="3">
        <v>0.62757973733583494</v>
      </c>
      <c r="D670" s="3">
        <v>6472.0248750000001</v>
      </c>
      <c r="E670" s="3">
        <f t="shared" si="0"/>
        <v>4061.7116710834898</v>
      </c>
      <c r="F670" s="3">
        <f t="shared" si="1"/>
        <v>35580594.238691375</v>
      </c>
      <c r="G670" s="3">
        <f t="shared" si="2"/>
        <v>11020959946752.389</v>
      </c>
      <c r="H670" s="3">
        <f t="shared" si="3"/>
        <v>51776199</v>
      </c>
      <c r="I670" s="3">
        <f t="shared" si="4"/>
        <v>1553285.97</v>
      </c>
      <c r="J670" s="3">
        <f t="shared" si="5"/>
        <v>11020966159896.27</v>
      </c>
    </row>
    <row r="671" spans="1:10" x14ac:dyDescent="0.25">
      <c r="A671" s="3">
        <v>670</v>
      </c>
      <c r="B671" s="3">
        <v>22.016071428571429</v>
      </c>
      <c r="C671" s="3">
        <v>0.62851782363977482</v>
      </c>
      <c r="D671" s="3">
        <v>6479.3298214285714</v>
      </c>
      <c r="E671" s="3">
        <f t="shared" si="0"/>
        <v>4072.3742780085768</v>
      </c>
      <c r="F671" s="3">
        <f t="shared" si="1"/>
        <v>35673998.675355129</v>
      </c>
      <c r="G671" s="3">
        <f t="shared" si="2"/>
        <v>11049891641350.629</v>
      </c>
      <c r="H671" s="3">
        <f t="shared" si="3"/>
        <v>51834638.571428575</v>
      </c>
      <c r="I671" s="3">
        <f t="shared" si="4"/>
        <v>1555039.1571428571</v>
      </c>
      <c r="J671" s="3">
        <f t="shared" si="5"/>
        <v>11049897861507.256</v>
      </c>
    </row>
    <row r="672" spans="1:10" x14ac:dyDescent="0.25">
      <c r="A672" s="3">
        <v>671</v>
      </c>
      <c r="B672" s="3">
        <v>22.091607142857143</v>
      </c>
      <c r="C672" s="3">
        <v>0.62945590994371481</v>
      </c>
      <c r="D672" s="3">
        <v>6501.5599821428559</v>
      </c>
      <c r="E672" s="3">
        <f t="shared" si="0"/>
        <v>4092.4453546133736</v>
      </c>
      <c r="F672" s="3">
        <f t="shared" si="1"/>
        <v>35849821.306413151</v>
      </c>
      <c r="G672" s="3">
        <f t="shared" si="2"/>
        <v>11104352072638.293</v>
      </c>
      <c r="H672" s="3">
        <f t="shared" si="3"/>
        <v>52012479.857142851</v>
      </c>
      <c r="I672" s="3">
        <f t="shared" si="4"/>
        <v>1560374.3957142856</v>
      </c>
      <c r="J672" s="3">
        <f t="shared" si="5"/>
        <v>11104358314135.877</v>
      </c>
    </row>
    <row r="673" spans="1:10" x14ac:dyDescent="0.25">
      <c r="A673" s="3">
        <v>672</v>
      </c>
      <c r="B673" s="3">
        <v>22.239821428571428</v>
      </c>
      <c r="C673" s="3">
        <v>0.6303939962476548</v>
      </c>
      <c r="D673" s="3">
        <v>6545.1794464285722</v>
      </c>
      <c r="E673" s="3">
        <f t="shared" si="0"/>
        <v>4126.0418273921205</v>
      </c>
      <c r="F673" s="3">
        <f t="shared" si="1"/>
        <v>36144126.407954976</v>
      </c>
      <c r="G673" s="3">
        <f t="shared" si="2"/>
        <v>11195512019352.281</v>
      </c>
      <c r="H673" s="3">
        <f t="shared" si="3"/>
        <v>52361435.571428575</v>
      </c>
      <c r="I673" s="3">
        <f t="shared" si="4"/>
        <v>1570843.0671428572</v>
      </c>
      <c r="J673" s="3">
        <f t="shared" si="5"/>
        <v>11195518302724.549</v>
      </c>
    </row>
    <row r="674" spans="1:10" x14ac:dyDescent="0.25">
      <c r="A674" s="3">
        <v>673</v>
      </c>
      <c r="B674" s="3">
        <v>22.292857142857141</v>
      </c>
      <c r="C674" s="3">
        <v>0.63133208255159479</v>
      </c>
      <c r="D674" s="3">
        <v>6560.7878571428564</v>
      </c>
      <c r="E674" s="3">
        <f t="shared" si="0"/>
        <v>4142.0358610292142</v>
      </c>
      <c r="F674" s="3">
        <f t="shared" si="1"/>
        <v>36284234.142615922</v>
      </c>
      <c r="G674" s="3">
        <f t="shared" si="2"/>
        <v>11238909891207.287</v>
      </c>
      <c r="H674" s="3">
        <f t="shared" si="3"/>
        <v>52486302.857142851</v>
      </c>
      <c r="I674" s="3">
        <f t="shared" si="4"/>
        <v>1574589.0857142855</v>
      </c>
      <c r="J674" s="3">
        <f t="shared" si="5"/>
        <v>11238916189563.631</v>
      </c>
    </row>
    <row r="675" spans="1:10" x14ac:dyDescent="0.25">
      <c r="A675" s="3">
        <v>674</v>
      </c>
      <c r="B675" s="3">
        <v>22.366964285714285</v>
      </c>
      <c r="C675" s="3">
        <v>0.63227016885553466</v>
      </c>
      <c r="D675" s="3">
        <v>6582.5975892857159</v>
      </c>
      <c r="E675" s="3">
        <f t="shared" si="0"/>
        <v>4161.9800892857147</v>
      </c>
      <c r="F675" s="3">
        <f t="shared" si="1"/>
        <v>36458945.58214286</v>
      </c>
      <c r="G675" s="3">
        <f t="shared" si="2"/>
        <v>11293026135160.184</v>
      </c>
      <c r="H675" s="3">
        <f t="shared" si="3"/>
        <v>52660780.714285724</v>
      </c>
      <c r="I675" s="3">
        <f t="shared" si="4"/>
        <v>1579823.4214285717</v>
      </c>
      <c r="J675" s="3">
        <f t="shared" si="5"/>
        <v>11293032454453.869</v>
      </c>
    </row>
    <row r="676" spans="1:10" x14ac:dyDescent="0.25">
      <c r="A676" s="3">
        <v>675</v>
      </c>
      <c r="B676" s="3">
        <v>22.369464285714283</v>
      </c>
      <c r="C676" s="3">
        <v>0.63320825515947465</v>
      </c>
      <c r="D676" s="3">
        <v>6583.3333392857148</v>
      </c>
      <c r="E676" s="3">
        <f t="shared" si="0"/>
        <v>4168.6210169023052</v>
      </c>
      <c r="F676" s="3">
        <f t="shared" si="1"/>
        <v>36517120.108064197</v>
      </c>
      <c r="G676" s="3">
        <f t="shared" si="2"/>
        <v>11311045492906.564</v>
      </c>
      <c r="H676" s="3">
        <f t="shared" si="3"/>
        <v>52666666.714285716</v>
      </c>
      <c r="I676" s="3">
        <f t="shared" si="4"/>
        <v>1580000.0014285715</v>
      </c>
      <c r="J676" s="3">
        <f t="shared" si="5"/>
        <v>11311051812906.57</v>
      </c>
    </row>
    <row r="677" spans="1:10" x14ac:dyDescent="0.25">
      <c r="A677" s="3">
        <v>676</v>
      </c>
      <c r="B677" s="3">
        <v>22.392142857142858</v>
      </c>
      <c r="C677" s="3">
        <v>0.63414634146341464</v>
      </c>
      <c r="D677" s="3">
        <v>6590.0076428571438</v>
      </c>
      <c r="E677" s="3">
        <f t="shared" si="0"/>
        <v>4179.0292369337985</v>
      </c>
      <c r="F677" s="3">
        <f t="shared" si="1"/>
        <v>36608296.115540072</v>
      </c>
      <c r="G677" s="3">
        <f t="shared" si="2"/>
        <v>11339286939866.906</v>
      </c>
      <c r="H677" s="3">
        <f t="shared" si="3"/>
        <v>52720061.142857149</v>
      </c>
      <c r="I677" s="3">
        <f t="shared" si="4"/>
        <v>1581601.8342857144</v>
      </c>
      <c r="J677" s="3">
        <f t="shared" si="5"/>
        <v>11339293266274.242</v>
      </c>
    </row>
    <row r="678" spans="1:10" x14ac:dyDescent="0.25">
      <c r="A678" s="3">
        <v>677</v>
      </c>
      <c r="B678" s="3">
        <v>22.419464285714284</v>
      </c>
      <c r="C678" s="3">
        <v>0.63508442776735463</v>
      </c>
      <c r="D678" s="3">
        <v>6598.048339285715</v>
      </c>
      <c r="E678" s="3">
        <f t="shared" si="0"/>
        <v>4190.3177539366125</v>
      </c>
      <c r="F678" s="3">
        <f t="shared" si="1"/>
        <v>36707183.524484731</v>
      </c>
      <c r="G678" s="3">
        <f t="shared" si="2"/>
        <v>11369916965483.08</v>
      </c>
      <c r="H678" s="3">
        <f t="shared" si="3"/>
        <v>52784386.714285716</v>
      </c>
      <c r="I678" s="3">
        <f t="shared" si="4"/>
        <v>1583531.6014285714</v>
      </c>
      <c r="J678" s="3">
        <f t="shared" si="5"/>
        <v>11369923299609.486</v>
      </c>
    </row>
    <row r="679" spans="1:10" x14ac:dyDescent="0.25">
      <c r="A679" s="3">
        <v>678</v>
      </c>
      <c r="B679" s="3">
        <v>22.709642857142857</v>
      </c>
      <c r="C679" s="3">
        <v>0.63602251407129451</v>
      </c>
      <c r="D679" s="3">
        <v>6683.4478928571425</v>
      </c>
      <c r="E679" s="3">
        <f t="shared" si="0"/>
        <v>4250.8233314794952</v>
      </c>
      <c r="F679" s="3">
        <f t="shared" si="1"/>
        <v>37237212.383760378</v>
      </c>
      <c r="G679" s="3">
        <f t="shared" si="2"/>
        <v>11534091491789.025</v>
      </c>
      <c r="H679" s="3">
        <f t="shared" si="3"/>
        <v>53467583.142857142</v>
      </c>
      <c r="I679" s="3">
        <f t="shared" si="4"/>
        <v>1604027.4942857141</v>
      </c>
      <c r="J679" s="3">
        <f t="shared" si="5"/>
        <v>11534097907899.002</v>
      </c>
    </row>
    <row r="680" spans="1:10" x14ac:dyDescent="0.25">
      <c r="A680" s="3">
        <v>679</v>
      </c>
      <c r="B680" s="3">
        <v>22.72607142857143</v>
      </c>
      <c r="C680" s="3">
        <v>0.6369606003752345</v>
      </c>
      <c r="D680" s="3">
        <v>6688.2828214285728</v>
      </c>
      <c r="E680" s="3">
        <f t="shared" si="0"/>
        <v>4260.1726414165114</v>
      </c>
      <c r="F680" s="3">
        <f t="shared" si="1"/>
        <v>37319112.338808641</v>
      </c>
      <c r="G680" s="3">
        <f t="shared" si="2"/>
        <v>11559459715317.848</v>
      </c>
      <c r="H680" s="3">
        <f t="shared" si="3"/>
        <v>53506262.571428582</v>
      </c>
      <c r="I680" s="3">
        <f t="shared" si="4"/>
        <v>1605187.8771428573</v>
      </c>
      <c r="J680" s="3">
        <f t="shared" si="5"/>
        <v>11559466136069.355</v>
      </c>
    </row>
    <row r="681" spans="1:10" x14ac:dyDescent="0.25">
      <c r="A681" s="3">
        <v>680</v>
      </c>
      <c r="B681" s="3">
        <v>22.736607142857142</v>
      </c>
      <c r="C681" s="3">
        <v>0.63789868667917449</v>
      </c>
      <c r="D681" s="3">
        <v>6691.3834821428563</v>
      </c>
      <c r="E681" s="3">
        <f t="shared" si="0"/>
        <v>4268.4247353256496</v>
      </c>
      <c r="F681" s="3">
        <f t="shared" si="1"/>
        <v>37391400.681452692</v>
      </c>
      <c r="G681" s="3">
        <f t="shared" si="2"/>
        <v>11581850776770.619</v>
      </c>
      <c r="H681" s="3">
        <f t="shared" si="3"/>
        <v>53531067.857142851</v>
      </c>
      <c r="I681" s="3">
        <f t="shared" si="4"/>
        <v>1605932.0357142854</v>
      </c>
      <c r="J681" s="3">
        <f t="shared" si="5"/>
        <v>11581857200498.762</v>
      </c>
    </row>
    <row r="682" spans="1:10" x14ac:dyDescent="0.25">
      <c r="A682" s="3">
        <v>681</v>
      </c>
      <c r="B682" s="3">
        <v>22.745178571428568</v>
      </c>
      <c r="C682" s="3">
        <v>0.63883677298311448</v>
      </c>
      <c r="D682" s="3">
        <v>6693.9060535714279</v>
      </c>
      <c r="E682" s="3">
        <f t="shared" si="0"/>
        <v>4276.3133419157057</v>
      </c>
      <c r="F682" s="3">
        <f t="shared" si="1"/>
        <v>37460504.875181578</v>
      </c>
      <c r="G682" s="3">
        <f t="shared" si="2"/>
        <v>11603255559650.842</v>
      </c>
      <c r="H682" s="3">
        <f t="shared" si="3"/>
        <v>53551248.428571425</v>
      </c>
      <c r="I682" s="3">
        <f t="shared" si="4"/>
        <v>1606537.4528571428</v>
      </c>
      <c r="J682" s="3">
        <f t="shared" si="5"/>
        <v>11603261985800.654</v>
      </c>
    </row>
    <row r="683" spans="1:10" x14ac:dyDescent="0.25">
      <c r="A683" s="3">
        <v>682</v>
      </c>
      <c r="B683" s="3">
        <v>22.846250000000001</v>
      </c>
      <c r="C683" s="3">
        <v>0.63977485928705435</v>
      </c>
      <c r="D683" s="3">
        <v>6723.6513750000004</v>
      </c>
      <c r="E683" s="3">
        <f t="shared" si="0"/>
        <v>4301.6231123358348</v>
      </c>
      <c r="F683" s="3">
        <f t="shared" si="1"/>
        <v>37682218.464061916</v>
      </c>
      <c r="G683" s="3">
        <f t="shared" si="2"/>
        <v>11671930549388.936</v>
      </c>
      <c r="H683" s="3">
        <f t="shared" si="3"/>
        <v>53789211</v>
      </c>
      <c r="I683" s="3">
        <f t="shared" si="4"/>
        <v>1613676.3299999998</v>
      </c>
      <c r="J683" s="3">
        <f t="shared" si="5"/>
        <v>11671937004094.256</v>
      </c>
    </row>
    <row r="684" spans="1:10" x14ac:dyDescent="0.25">
      <c r="A684" s="3">
        <v>683</v>
      </c>
      <c r="B684" s="3">
        <v>22.872857142857143</v>
      </c>
      <c r="C684" s="3">
        <v>0.64071294559099434</v>
      </c>
      <c r="D684" s="3">
        <v>6731.4818571428559</v>
      </c>
      <c r="E684" s="3">
        <f t="shared" si="0"/>
        <v>4312.9475688823359</v>
      </c>
      <c r="F684" s="3">
        <f t="shared" si="1"/>
        <v>37781420.703409262</v>
      </c>
      <c r="G684" s="3">
        <f t="shared" si="2"/>
        <v>11702658092836.635</v>
      </c>
      <c r="H684" s="3">
        <f t="shared" si="3"/>
        <v>53851854.857142851</v>
      </c>
      <c r="I684" s="3">
        <f t="shared" si="4"/>
        <v>1615555.6457142856</v>
      </c>
      <c r="J684" s="3">
        <f t="shared" si="5"/>
        <v>11702664555059.219</v>
      </c>
    </row>
    <row r="685" spans="1:10" x14ac:dyDescent="0.25">
      <c r="A685" s="3">
        <v>684</v>
      </c>
      <c r="B685" s="3">
        <v>22.895</v>
      </c>
      <c r="C685" s="3">
        <v>0.64165103189493433</v>
      </c>
      <c r="D685" s="3">
        <v>6737.9984999999997</v>
      </c>
      <c r="E685" s="3">
        <f t="shared" si="0"/>
        <v>4323.4436904315198</v>
      </c>
      <c r="F685" s="3">
        <f t="shared" si="1"/>
        <v>37873366.728180118</v>
      </c>
      <c r="G685" s="3">
        <f t="shared" si="2"/>
        <v>11731138050145.592</v>
      </c>
      <c r="H685" s="3">
        <f t="shared" si="3"/>
        <v>53903988</v>
      </c>
      <c r="I685" s="3">
        <f t="shared" si="4"/>
        <v>1617119.64</v>
      </c>
      <c r="J685" s="3">
        <f t="shared" si="5"/>
        <v>11731144518624.152</v>
      </c>
    </row>
    <row r="686" spans="1:10" x14ac:dyDescent="0.25">
      <c r="A686" s="3">
        <v>685</v>
      </c>
      <c r="B686" s="3">
        <v>22.921607142857145</v>
      </c>
      <c r="C686" s="3">
        <v>0.64258911819887432</v>
      </c>
      <c r="D686" s="3">
        <v>6745.828982142858</v>
      </c>
      <c r="E686" s="3">
        <f t="shared" si="0"/>
        <v>4334.7962971555889</v>
      </c>
      <c r="F686" s="3">
        <f t="shared" si="1"/>
        <v>37972815.563082956</v>
      </c>
      <c r="G686" s="3">
        <f t="shared" si="2"/>
        <v>11761941975714.793</v>
      </c>
      <c r="H686" s="3">
        <f t="shared" si="3"/>
        <v>53966631.857142866</v>
      </c>
      <c r="I686" s="3">
        <f t="shared" si="4"/>
        <v>1618998.9557142858</v>
      </c>
      <c r="J686" s="3">
        <f t="shared" si="5"/>
        <v>11761948451710.615</v>
      </c>
    </row>
    <row r="687" spans="1:10" x14ac:dyDescent="0.25">
      <c r="A687" s="3">
        <v>686</v>
      </c>
      <c r="B687" s="3">
        <v>23.021607142857142</v>
      </c>
      <c r="C687" s="3">
        <v>0.64352720450281431</v>
      </c>
      <c r="D687" s="3">
        <v>6775.2589821428564</v>
      </c>
      <c r="E687" s="3">
        <f t="shared" si="0"/>
        <v>4360.0634725609752</v>
      </c>
      <c r="F687" s="3">
        <f t="shared" si="1"/>
        <v>38194156.019634143</v>
      </c>
      <c r="G687" s="3">
        <f t="shared" si="2"/>
        <v>11830501389305.547</v>
      </c>
      <c r="H687" s="3">
        <f t="shared" si="3"/>
        <v>54202071.857142851</v>
      </c>
      <c r="I687" s="3">
        <f t="shared" si="4"/>
        <v>1626062.1557142856</v>
      </c>
      <c r="J687" s="3">
        <f t="shared" si="5"/>
        <v>11830507893554.17</v>
      </c>
    </row>
    <row r="688" spans="1:10" x14ac:dyDescent="0.25">
      <c r="A688" s="3">
        <v>687</v>
      </c>
      <c r="B688" s="3">
        <v>23.119821428571431</v>
      </c>
      <c r="C688" s="3">
        <v>0.64446529080675419</v>
      </c>
      <c r="D688" s="3">
        <v>6804.1634464285726</v>
      </c>
      <c r="E688" s="3">
        <f t="shared" si="0"/>
        <v>4385.0471741992769</v>
      </c>
      <c r="F688" s="3">
        <f t="shared" si="1"/>
        <v>38413013.245985664</v>
      </c>
      <c r="G688" s="3">
        <f t="shared" si="2"/>
        <v>11898291631424.254</v>
      </c>
      <c r="H688" s="3">
        <f t="shared" si="3"/>
        <v>54433307.571428582</v>
      </c>
      <c r="I688" s="3">
        <f t="shared" si="4"/>
        <v>1632999.2271428574</v>
      </c>
      <c r="J688" s="3">
        <f t="shared" si="5"/>
        <v>11898298163421.162</v>
      </c>
    </row>
    <row r="689" spans="1:10" x14ac:dyDescent="0.25">
      <c r="A689" s="3">
        <v>688</v>
      </c>
      <c r="B689" s="3">
        <v>23.14535714285714</v>
      </c>
      <c r="C689" s="3">
        <v>0.64540337711069418</v>
      </c>
      <c r="D689" s="3">
        <v>6811.678607142856</v>
      </c>
      <c r="E689" s="3">
        <f t="shared" si="0"/>
        <v>4396.2803768426684</v>
      </c>
      <c r="F689" s="3">
        <f t="shared" si="1"/>
        <v>38511416.101141781</v>
      </c>
      <c r="G689" s="3">
        <f t="shared" si="2"/>
        <v>11928771568682.73</v>
      </c>
      <c r="H689" s="3">
        <f t="shared" si="3"/>
        <v>54493428.857142851</v>
      </c>
      <c r="I689" s="3">
        <f t="shared" si="4"/>
        <v>1634802.8657142855</v>
      </c>
      <c r="J689" s="3">
        <f t="shared" si="5"/>
        <v>11928778107894.193</v>
      </c>
    </row>
    <row r="690" spans="1:10" x14ac:dyDescent="0.25">
      <c r="A690" s="3">
        <v>689</v>
      </c>
      <c r="B690" s="3">
        <v>23.153392857142855</v>
      </c>
      <c r="C690" s="3">
        <v>0.64634146341463417</v>
      </c>
      <c r="D690" s="3">
        <v>6814.0435178571424</v>
      </c>
      <c r="E690" s="3">
        <f t="shared" si="0"/>
        <v>4404.1988591027875</v>
      </c>
      <c r="F690" s="3">
        <f t="shared" si="1"/>
        <v>38580782.005740419</v>
      </c>
      <c r="G690" s="3">
        <f t="shared" si="2"/>
        <v>11950257415752.191</v>
      </c>
      <c r="H690" s="3">
        <f t="shared" si="3"/>
        <v>54512348.142857142</v>
      </c>
      <c r="I690" s="3">
        <f t="shared" si="4"/>
        <v>1635370.4442857143</v>
      </c>
      <c r="J690" s="3">
        <f t="shared" si="5"/>
        <v>11950263957233.967</v>
      </c>
    </row>
    <row r="691" spans="1:10" x14ac:dyDescent="0.25">
      <c r="A691" s="3">
        <v>690</v>
      </c>
      <c r="B691" s="3">
        <v>23.248749999999998</v>
      </c>
      <c r="C691" s="3">
        <v>0.64727954971857415</v>
      </c>
      <c r="D691" s="3">
        <v>6842.1071249999986</v>
      </c>
      <c r="E691" s="3">
        <f t="shared" si="0"/>
        <v>4428.7560189962469</v>
      </c>
      <c r="F691" s="3">
        <f t="shared" si="1"/>
        <v>38795902.726407126</v>
      </c>
      <c r="G691" s="3">
        <f t="shared" si="2"/>
        <v>12016890288949.205</v>
      </c>
      <c r="H691" s="3">
        <f t="shared" si="3"/>
        <v>54736856.999999993</v>
      </c>
      <c r="I691" s="3">
        <f t="shared" si="4"/>
        <v>1642105.7099999997</v>
      </c>
      <c r="J691" s="3">
        <f t="shared" si="5"/>
        <v>12016896857372.047</v>
      </c>
    </row>
    <row r="692" spans="1:10" x14ac:dyDescent="0.25">
      <c r="A692" s="3">
        <v>691</v>
      </c>
      <c r="B692" s="3">
        <v>23.28142857142857</v>
      </c>
      <c r="C692" s="3">
        <v>0.64821763602251403</v>
      </c>
      <c r="D692" s="3">
        <v>6851.7244285714278</v>
      </c>
      <c r="E692" s="3">
        <f t="shared" si="0"/>
        <v>4441.4086117662819</v>
      </c>
      <c r="F692" s="3">
        <f t="shared" si="1"/>
        <v>38906739.439072631</v>
      </c>
      <c r="G692" s="3">
        <f t="shared" si="2"/>
        <v>12051221568603.064</v>
      </c>
      <c r="H692" s="3">
        <f t="shared" si="3"/>
        <v>54813795.428571425</v>
      </c>
      <c r="I692" s="3">
        <f t="shared" si="4"/>
        <v>1644413.8628571427</v>
      </c>
      <c r="J692" s="3">
        <f t="shared" si="5"/>
        <v>12051228146258.516</v>
      </c>
    </row>
    <row r="693" spans="1:10" x14ac:dyDescent="0.25">
      <c r="A693" s="3">
        <v>692</v>
      </c>
      <c r="B693" s="3">
        <v>23.291071428571428</v>
      </c>
      <c r="C693" s="3">
        <v>0.64915572232645402</v>
      </c>
      <c r="D693" s="3">
        <v>6854.5623214285715</v>
      </c>
      <c r="E693" s="3">
        <f t="shared" si="0"/>
        <v>4449.6783549986594</v>
      </c>
      <c r="F693" s="3">
        <f t="shared" si="1"/>
        <v>38979182.389788255</v>
      </c>
      <c r="G693" s="3">
        <f t="shared" si="2"/>
        <v>12073660519624.201</v>
      </c>
      <c r="H693" s="3">
        <f t="shared" si="3"/>
        <v>54836498.571428575</v>
      </c>
      <c r="I693" s="3">
        <f t="shared" si="4"/>
        <v>1645094.9571428571</v>
      </c>
      <c r="J693" s="3">
        <f t="shared" si="5"/>
        <v>12073667100004.029</v>
      </c>
    </row>
    <row r="694" spans="1:10" x14ac:dyDescent="0.25">
      <c r="A694" s="3">
        <v>693</v>
      </c>
      <c r="B694" s="3">
        <v>23.392857142857142</v>
      </c>
      <c r="C694" s="3">
        <v>0.65009380863039401</v>
      </c>
      <c r="D694" s="3">
        <v>6884.517857142856</v>
      </c>
      <c r="E694" s="3">
        <f t="shared" si="0"/>
        <v>4475.5824343339582</v>
      </c>
      <c r="F694" s="3">
        <f t="shared" si="1"/>
        <v>39206102.124765471</v>
      </c>
      <c r="G694" s="3">
        <f t="shared" si="2"/>
        <v>12143948094930.48</v>
      </c>
      <c r="H694" s="3">
        <f t="shared" si="3"/>
        <v>55076142.857142851</v>
      </c>
      <c r="I694" s="3">
        <f t="shared" si="4"/>
        <v>1652284.2857142854</v>
      </c>
      <c r="J694" s="3">
        <f t="shared" si="5"/>
        <v>12143954704067.623</v>
      </c>
    </row>
    <row r="695" spans="1:10" x14ac:dyDescent="0.25">
      <c r="A695" s="3">
        <v>694</v>
      </c>
      <c r="B695" s="3">
        <v>23.409464285714282</v>
      </c>
      <c r="C695" s="3">
        <v>0.651031894934334</v>
      </c>
      <c r="D695" s="3">
        <v>6889.4053392857149</v>
      </c>
      <c r="E695" s="3">
        <f t="shared" si="0"/>
        <v>4485.2226130058971</v>
      </c>
      <c r="F695" s="3">
        <f t="shared" si="1"/>
        <v>39290550.089931659</v>
      </c>
      <c r="G695" s="3">
        <f t="shared" si="2"/>
        <v>12170105555741.326</v>
      </c>
      <c r="H695" s="3">
        <f t="shared" si="3"/>
        <v>55115242.714285716</v>
      </c>
      <c r="I695" s="3">
        <f t="shared" si="4"/>
        <v>1653457.2814285713</v>
      </c>
      <c r="J695" s="3">
        <f t="shared" si="5"/>
        <v>12170112169570.451</v>
      </c>
    </row>
    <row r="696" spans="1:10" x14ac:dyDescent="0.25">
      <c r="A696" s="3">
        <v>695</v>
      </c>
      <c r="B696" s="3">
        <v>23.419285714285717</v>
      </c>
      <c r="C696" s="3">
        <v>0.65196998123827388</v>
      </c>
      <c r="D696" s="3">
        <v>6892.2957857142865</v>
      </c>
      <c r="E696" s="3">
        <f t="shared" si="0"/>
        <v>4493.5699541007771</v>
      </c>
      <c r="F696" s="3">
        <f t="shared" si="1"/>
        <v>39363672.797922805</v>
      </c>
      <c r="G696" s="3">
        <f t="shared" si="2"/>
        <v>12192755059180.029</v>
      </c>
      <c r="H696" s="3">
        <f t="shared" si="3"/>
        <v>55138366.285714291</v>
      </c>
      <c r="I696" s="3">
        <f t="shared" si="4"/>
        <v>1654150.9885714287</v>
      </c>
      <c r="J696" s="3">
        <f t="shared" si="5"/>
        <v>12192761675783.982</v>
      </c>
    </row>
    <row r="697" spans="1:10" x14ac:dyDescent="0.25">
      <c r="A697" s="3">
        <v>696</v>
      </c>
      <c r="B697" s="3">
        <v>23.43357142857143</v>
      </c>
      <c r="C697" s="3">
        <v>0.65290806754221387</v>
      </c>
      <c r="D697" s="3">
        <v>6896.5000714285725</v>
      </c>
      <c r="E697" s="3">
        <f t="shared" si="0"/>
        <v>4502.780534441169</v>
      </c>
      <c r="F697" s="3">
        <f t="shared" si="1"/>
        <v>39444357.481704645</v>
      </c>
      <c r="G697" s="3">
        <f t="shared" si="2"/>
        <v>12217746857237.389</v>
      </c>
      <c r="H697" s="3">
        <f t="shared" si="3"/>
        <v>55172000.571428582</v>
      </c>
      <c r="I697" s="3">
        <f t="shared" si="4"/>
        <v>1655160.0171428574</v>
      </c>
      <c r="J697" s="3">
        <f t="shared" si="5"/>
        <v>12217753477877.457</v>
      </c>
    </row>
    <row r="698" spans="1:10" x14ac:dyDescent="0.25">
      <c r="A698" s="3">
        <v>697</v>
      </c>
      <c r="B698" s="3">
        <v>23.438392857142858</v>
      </c>
      <c r="C698" s="3">
        <v>0.65384615384615385</v>
      </c>
      <c r="D698" s="3">
        <v>6897.9190178571434</v>
      </c>
      <c r="E698" s="3">
        <f t="shared" si="0"/>
        <v>4510.1778193681321</v>
      </c>
      <c r="F698" s="3">
        <f t="shared" si="1"/>
        <v>39509157.697664842</v>
      </c>
      <c r="G698" s="3">
        <f t="shared" si="2"/>
        <v>12237818498930.41</v>
      </c>
      <c r="H698" s="3">
        <f t="shared" si="3"/>
        <v>55183352.142857149</v>
      </c>
      <c r="I698" s="3">
        <f t="shared" si="4"/>
        <v>1655500.5642857144</v>
      </c>
      <c r="J698" s="3">
        <f t="shared" si="5"/>
        <v>12237825120932.668</v>
      </c>
    </row>
    <row r="699" spans="1:10" x14ac:dyDescent="0.25">
      <c r="A699" s="3">
        <v>698</v>
      </c>
      <c r="B699" s="3">
        <v>23.443392857142857</v>
      </c>
      <c r="C699" s="3">
        <v>0.65478424015009384</v>
      </c>
      <c r="D699" s="3">
        <v>6899.390517857144</v>
      </c>
      <c r="E699" s="3">
        <f t="shared" si="0"/>
        <v>4517.6121777338521</v>
      </c>
      <c r="F699" s="3">
        <f t="shared" si="1"/>
        <v>39574282.676948547</v>
      </c>
      <c r="G699" s="3">
        <f t="shared" si="2"/>
        <v>12257990734890.611</v>
      </c>
      <c r="H699" s="3">
        <f t="shared" si="3"/>
        <v>55195124.142857149</v>
      </c>
      <c r="I699" s="3">
        <f t="shared" si="4"/>
        <v>1655853.7242857143</v>
      </c>
      <c r="J699" s="3">
        <f t="shared" si="5"/>
        <v>12257997358305.51</v>
      </c>
    </row>
    <row r="700" spans="1:10" x14ac:dyDescent="0.25">
      <c r="A700" s="3">
        <v>699</v>
      </c>
      <c r="B700" s="3">
        <v>23.530714285714282</v>
      </c>
      <c r="C700" s="3">
        <v>0.65572232645403372</v>
      </c>
      <c r="D700" s="3">
        <v>6925.0892142857147</v>
      </c>
      <c r="E700" s="3">
        <f t="shared" si="0"/>
        <v>4540.9356104931649</v>
      </c>
      <c r="F700" s="3">
        <f t="shared" si="1"/>
        <v>39778595.947920121</v>
      </c>
      <c r="G700" s="3">
        <f t="shared" si="2"/>
        <v>12321276040146.895</v>
      </c>
      <c r="H700" s="3">
        <f t="shared" si="3"/>
        <v>55400713.714285716</v>
      </c>
      <c r="I700" s="3">
        <f t="shared" si="4"/>
        <v>1662021.4114285714</v>
      </c>
      <c r="J700" s="3">
        <f t="shared" si="5"/>
        <v>12321282688232.541</v>
      </c>
    </row>
    <row r="701" spans="1:10" x14ac:dyDescent="0.25">
      <c r="A701" s="3">
        <v>700</v>
      </c>
      <c r="B701" s="3">
        <v>23.551250000000003</v>
      </c>
      <c r="C701" s="3">
        <v>0.65666041275797371</v>
      </c>
      <c r="D701" s="3">
        <v>6931.1328750000021</v>
      </c>
      <c r="E701" s="3">
        <f t="shared" si="0"/>
        <v>4551.4005745778622</v>
      </c>
      <c r="F701" s="3">
        <f t="shared" si="1"/>
        <v>39870269.033302069</v>
      </c>
      <c r="G701" s="3">
        <f t="shared" si="2"/>
        <v>12349671455877.01</v>
      </c>
      <c r="H701" s="3">
        <f t="shared" si="3"/>
        <v>55449063.000000015</v>
      </c>
      <c r="I701" s="3">
        <f t="shared" si="4"/>
        <v>1663471.8900000004</v>
      </c>
      <c r="J701" s="3">
        <f t="shared" si="5"/>
        <v>12349678109764.57</v>
      </c>
    </row>
    <row r="702" spans="1:10" x14ac:dyDescent="0.25">
      <c r="A702" s="3">
        <v>701</v>
      </c>
      <c r="B702" s="3">
        <v>23.55517857142857</v>
      </c>
      <c r="C702" s="3">
        <v>0.6575984990619137</v>
      </c>
      <c r="D702" s="3">
        <v>6932.2890535714278</v>
      </c>
      <c r="E702" s="3">
        <f t="shared" si="0"/>
        <v>4558.6628766919048</v>
      </c>
      <c r="F702" s="3">
        <f t="shared" si="1"/>
        <v>39933886.799821086</v>
      </c>
      <c r="G702" s="3">
        <f t="shared" si="2"/>
        <v>12369376838192.402</v>
      </c>
      <c r="H702" s="3">
        <f t="shared" si="3"/>
        <v>55458312.428571425</v>
      </c>
      <c r="I702" s="3">
        <f t="shared" si="4"/>
        <v>1663749.3728571427</v>
      </c>
      <c r="J702" s="3">
        <f t="shared" si="5"/>
        <v>12369383493189.895</v>
      </c>
    </row>
    <row r="703" spans="1:10" x14ac:dyDescent="0.25">
      <c r="A703" s="3">
        <v>702</v>
      </c>
      <c r="B703" s="3">
        <v>23.567857142857143</v>
      </c>
      <c r="C703" s="3">
        <v>0.65853658536585369</v>
      </c>
      <c r="D703" s="3">
        <v>6936.0203571428565</v>
      </c>
      <c r="E703" s="3">
        <f t="shared" si="0"/>
        <v>4567.6231620209055</v>
      </c>
      <c r="F703" s="3">
        <f t="shared" si="1"/>
        <v>40012378.899303131</v>
      </c>
      <c r="G703" s="3">
        <f t="shared" si="2"/>
        <v>12393689491290.779</v>
      </c>
      <c r="H703" s="3">
        <f t="shared" si="3"/>
        <v>55488162.857142851</v>
      </c>
      <c r="I703" s="3">
        <f t="shared" si="4"/>
        <v>1664644.8857142855</v>
      </c>
      <c r="J703" s="3">
        <f t="shared" si="5"/>
        <v>12393696149870.32</v>
      </c>
    </row>
    <row r="704" spans="1:10" x14ac:dyDescent="0.25">
      <c r="A704" s="3">
        <v>703</v>
      </c>
      <c r="B704" s="3">
        <v>23.588035714285713</v>
      </c>
      <c r="C704" s="3">
        <v>0.65947467166979357</v>
      </c>
      <c r="D704" s="3">
        <v>6941.9589107142856</v>
      </c>
      <c r="E704" s="3">
        <f t="shared" si="0"/>
        <v>4578.0460733885011</v>
      </c>
      <c r="F704" s="3">
        <f t="shared" si="1"/>
        <v>40103683.602883272</v>
      </c>
      <c r="G704" s="3">
        <f t="shared" si="2"/>
        <v>12421970802131.18</v>
      </c>
      <c r="H704" s="3">
        <f t="shared" si="3"/>
        <v>55535671.285714284</v>
      </c>
      <c r="I704" s="3">
        <f t="shared" si="4"/>
        <v>1666070.1385714284</v>
      </c>
      <c r="J704" s="3">
        <f t="shared" si="5"/>
        <v>12421977466411.734</v>
      </c>
    </row>
    <row r="705" spans="1:10" x14ac:dyDescent="0.25">
      <c r="A705" s="3">
        <v>704</v>
      </c>
      <c r="B705" s="3">
        <v>23.5975</v>
      </c>
      <c r="C705" s="3">
        <v>0.66041275797373356</v>
      </c>
      <c r="D705" s="3">
        <v>6944.7442499999997</v>
      </c>
      <c r="E705" s="3">
        <f t="shared" si="0"/>
        <v>4586.3977035647276</v>
      </c>
      <c r="F705" s="3">
        <f t="shared" si="1"/>
        <v>40176843.883227013</v>
      </c>
      <c r="G705" s="3">
        <f t="shared" si="2"/>
        <v>12444631943577.219</v>
      </c>
      <c r="H705" s="3">
        <f t="shared" si="3"/>
        <v>55557954</v>
      </c>
      <c r="I705" s="3">
        <f t="shared" si="4"/>
        <v>1666738.6199999999</v>
      </c>
      <c r="J705" s="3">
        <f t="shared" si="5"/>
        <v>12444638610531.697</v>
      </c>
    </row>
    <row r="706" spans="1:10" x14ac:dyDescent="0.25">
      <c r="A706" s="3">
        <v>705</v>
      </c>
      <c r="B706" s="3">
        <v>23.598035714285714</v>
      </c>
      <c r="C706" s="3">
        <v>0.66135084427767354</v>
      </c>
      <c r="D706" s="3">
        <v>6944.9019107142858</v>
      </c>
      <c r="E706" s="3">
        <f t="shared" si="0"/>
        <v>4593.016742076521</v>
      </c>
      <c r="F706" s="3">
        <f t="shared" si="1"/>
        <v>40234826.660590321</v>
      </c>
      <c r="G706" s="3">
        <f t="shared" si="2"/>
        <v>12462591908425.068</v>
      </c>
      <c r="H706" s="3">
        <f t="shared" si="3"/>
        <v>55559215.285714284</v>
      </c>
      <c r="I706" s="3">
        <f t="shared" si="4"/>
        <v>1666776.4585714284</v>
      </c>
      <c r="J706" s="3">
        <f t="shared" si="5"/>
        <v>12462598575530.902</v>
      </c>
    </row>
    <row r="707" spans="1:10" x14ac:dyDescent="0.25">
      <c r="A707" s="3">
        <v>706</v>
      </c>
      <c r="B707" s="3">
        <v>23.611964285714286</v>
      </c>
      <c r="C707" s="3">
        <v>0.66228893058161353</v>
      </c>
      <c r="D707" s="3">
        <v>6949.0010892857154</v>
      </c>
      <c r="E707" s="3">
        <f t="shared" si="0"/>
        <v>4602.2465000335042</v>
      </c>
      <c r="F707" s="3">
        <f t="shared" si="1"/>
        <v>40315679.340293497</v>
      </c>
      <c r="G707" s="3">
        <f t="shared" si="2"/>
        <v>12487635742739.658</v>
      </c>
      <c r="H707" s="3">
        <f t="shared" si="3"/>
        <v>55592008.714285724</v>
      </c>
      <c r="I707" s="3">
        <f t="shared" si="4"/>
        <v>1667760.2614285715</v>
      </c>
      <c r="J707" s="3">
        <f t="shared" si="5"/>
        <v>12487642413780.705</v>
      </c>
    </row>
    <row r="708" spans="1:10" x14ac:dyDescent="0.25">
      <c r="A708" s="3">
        <v>707</v>
      </c>
      <c r="B708" s="3">
        <v>23.679642857142859</v>
      </c>
      <c r="C708" s="3">
        <v>0.66322701688555352</v>
      </c>
      <c r="D708" s="3">
        <v>6968.9188928571439</v>
      </c>
      <c r="E708" s="3">
        <f t="shared" si="0"/>
        <v>4621.9752882270177</v>
      </c>
      <c r="F708" s="3">
        <f t="shared" si="1"/>
        <v>40488503.524868675</v>
      </c>
      <c r="G708" s="3">
        <f t="shared" si="2"/>
        <v>12541167417806.615</v>
      </c>
      <c r="H708" s="3">
        <f t="shared" si="3"/>
        <v>55751351.142857149</v>
      </c>
      <c r="I708" s="3">
        <f t="shared" si="4"/>
        <v>1672540.5342857144</v>
      </c>
      <c r="J708" s="3">
        <f t="shared" si="5"/>
        <v>12541174107968.754</v>
      </c>
    </row>
    <row r="709" spans="1:10" x14ac:dyDescent="0.25">
      <c r="A709" s="3">
        <v>708</v>
      </c>
      <c r="B709" s="3">
        <v>23.704285714285717</v>
      </c>
      <c r="C709" s="3">
        <v>0.6641651031894934</v>
      </c>
      <c r="D709" s="3">
        <v>6976.1712857142866</v>
      </c>
      <c r="E709" s="3">
        <f t="shared" si="0"/>
        <v>4633.3295218440098</v>
      </c>
      <c r="F709" s="3">
        <f t="shared" si="1"/>
        <v>40587966.611353524</v>
      </c>
      <c r="G709" s="3">
        <f t="shared" si="2"/>
        <v>12571975758309.082</v>
      </c>
      <c r="H709" s="3">
        <f t="shared" si="3"/>
        <v>55809370.285714291</v>
      </c>
      <c r="I709" s="3">
        <f t="shared" si="4"/>
        <v>1674281.1085714286</v>
      </c>
      <c r="J709" s="3">
        <f t="shared" si="5"/>
        <v>12571982455433.518</v>
      </c>
    </row>
    <row r="710" spans="1:10" x14ac:dyDescent="0.25">
      <c r="A710" s="3">
        <v>709</v>
      </c>
      <c r="B710" s="3">
        <v>23.726607142857144</v>
      </c>
      <c r="C710" s="3">
        <v>0.66510318949343339</v>
      </c>
      <c r="D710" s="3">
        <v>6982.7404821428581</v>
      </c>
      <c r="E710" s="3">
        <f t="shared" si="0"/>
        <v>4644.2429660781299</v>
      </c>
      <c r="F710" s="3">
        <f t="shared" si="1"/>
        <v>40683568.382844418</v>
      </c>
      <c r="G710" s="3">
        <f t="shared" si="2"/>
        <v>12601588070486.127</v>
      </c>
      <c r="H710" s="3">
        <f t="shared" si="3"/>
        <v>55861923.857142866</v>
      </c>
      <c r="I710" s="3">
        <f t="shared" si="4"/>
        <v>1675857.7157142858</v>
      </c>
      <c r="J710" s="3">
        <f t="shared" si="5"/>
        <v>12601594773916.988</v>
      </c>
    </row>
    <row r="711" spans="1:10" x14ac:dyDescent="0.25">
      <c r="A711" s="3">
        <v>710</v>
      </c>
      <c r="B711" s="3">
        <v>23.759464285714287</v>
      </c>
      <c r="C711" s="3">
        <v>0.66604127579737338</v>
      </c>
      <c r="D711" s="3">
        <v>6992.4103392857151</v>
      </c>
      <c r="E711" s="3">
        <f t="shared" si="0"/>
        <v>4657.2339032766022</v>
      </c>
      <c r="F711" s="3">
        <f t="shared" si="1"/>
        <v>40797368.992703035</v>
      </c>
      <c r="G711" s="3">
        <f t="shared" si="2"/>
        <v>12636837407006.951</v>
      </c>
      <c r="H711" s="3">
        <f t="shared" si="3"/>
        <v>55939282.714285724</v>
      </c>
      <c r="I711" s="3">
        <f t="shared" si="4"/>
        <v>1678178.4814285717</v>
      </c>
      <c r="J711" s="3">
        <f t="shared" si="5"/>
        <v>12636844119720.875</v>
      </c>
    </row>
    <row r="712" spans="1:10" x14ac:dyDescent="0.25">
      <c r="A712" s="3">
        <v>711</v>
      </c>
      <c r="B712" s="3">
        <v>23.765000000000001</v>
      </c>
      <c r="C712" s="3">
        <v>0.66697936210131337</v>
      </c>
      <c r="D712" s="3">
        <v>6994.0394999999999</v>
      </c>
      <c r="E712" s="3">
        <f t="shared" si="0"/>
        <v>4664.8800042213888</v>
      </c>
      <c r="F712" s="3">
        <f t="shared" si="1"/>
        <v>40864348.836979367</v>
      </c>
      <c r="G712" s="3">
        <f t="shared" si="2"/>
        <v>12657584180840.029</v>
      </c>
      <c r="H712" s="3">
        <f t="shared" si="3"/>
        <v>55952316</v>
      </c>
      <c r="I712" s="3">
        <f t="shared" si="4"/>
        <v>1678569.48</v>
      </c>
      <c r="J712" s="3">
        <f t="shared" si="5"/>
        <v>12657590895117.949</v>
      </c>
    </row>
    <row r="713" spans="1:10" x14ac:dyDescent="0.25">
      <c r="A713" s="3">
        <v>712</v>
      </c>
      <c r="B713" s="3">
        <v>23.82375</v>
      </c>
      <c r="C713" s="3">
        <v>0.66791744840525324</v>
      </c>
      <c r="D713" s="3">
        <v>7011.3296250000003</v>
      </c>
      <c r="E713" s="3">
        <f t="shared" si="0"/>
        <v>4682.9893930581611</v>
      </c>
      <c r="F713" s="3">
        <f t="shared" si="1"/>
        <v>41022987.083189495</v>
      </c>
      <c r="G713" s="3">
        <f t="shared" si="2"/>
        <v>12706721813023.27</v>
      </c>
      <c r="H713" s="3">
        <f t="shared" si="3"/>
        <v>56090637</v>
      </c>
      <c r="I713" s="3">
        <f t="shared" si="4"/>
        <v>1682719.1099999999</v>
      </c>
      <c r="J713" s="3">
        <f t="shared" si="5"/>
        <v>12706728543899.709</v>
      </c>
    </row>
    <row r="714" spans="1:10" x14ac:dyDescent="0.25">
      <c r="A714" s="3">
        <v>713</v>
      </c>
      <c r="B714" s="3">
        <v>23.827142857142857</v>
      </c>
      <c r="C714" s="3">
        <v>0.66885553470919323</v>
      </c>
      <c r="D714" s="3">
        <v>7012.3281428571427</v>
      </c>
      <c r="E714" s="3">
        <f t="shared" si="0"/>
        <v>4690.2344895470378</v>
      </c>
      <c r="F714" s="3">
        <f t="shared" si="1"/>
        <v>41086454.12843205</v>
      </c>
      <c r="G714" s="3">
        <f t="shared" si="2"/>
        <v>12726380510095.266</v>
      </c>
      <c r="H714" s="3">
        <f t="shared" si="3"/>
        <v>56098625.142857142</v>
      </c>
      <c r="I714" s="3">
        <f t="shared" si="4"/>
        <v>1682958.7542857141</v>
      </c>
      <c r="J714" s="3">
        <f t="shared" si="5"/>
        <v>12726387241930.283</v>
      </c>
    </row>
    <row r="715" spans="1:10" x14ac:dyDescent="0.25">
      <c r="A715" s="3">
        <v>714</v>
      </c>
      <c r="B715" s="3">
        <v>23.828928571428573</v>
      </c>
      <c r="C715" s="3">
        <v>0.66979362101313322</v>
      </c>
      <c r="D715" s="3">
        <v>7012.8536785714296</v>
      </c>
      <c r="E715" s="3">
        <f t="shared" si="0"/>
        <v>4697.1646590056289</v>
      </c>
      <c r="F715" s="3">
        <f t="shared" si="1"/>
        <v>41147162.412889309</v>
      </c>
      <c r="G715" s="3">
        <f t="shared" si="2"/>
        <v>12745184690997.627</v>
      </c>
      <c r="H715" s="3">
        <f t="shared" si="3"/>
        <v>56102829.428571433</v>
      </c>
      <c r="I715" s="3">
        <f t="shared" si="4"/>
        <v>1683084.8828571429</v>
      </c>
      <c r="J715" s="3">
        <f t="shared" si="5"/>
        <v>12745191423337.158</v>
      </c>
    </row>
    <row r="716" spans="1:10" x14ac:dyDescent="0.25">
      <c r="A716" s="3">
        <v>715</v>
      </c>
      <c r="B716" s="3">
        <v>23.83839285714286</v>
      </c>
      <c r="C716" s="3">
        <v>0.67073170731707321</v>
      </c>
      <c r="D716" s="3">
        <v>7015.6390178571437</v>
      </c>
      <c r="E716" s="3">
        <f t="shared" si="0"/>
        <v>4705.6115363675963</v>
      </c>
      <c r="F716" s="3">
        <f t="shared" si="1"/>
        <v>41221157.058580145</v>
      </c>
      <c r="G716" s="3">
        <f t="shared" si="2"/>
        <v>12768104274227.789</v>
      </c>
      <c r="H716" s="3">
        <f t="shared" si="3"/>
        <v>56125112.142857149</v>
      </c>
      <c r="I716" s="3">
        <f t="shared" si="4"/>
        <v>1683753.3642857145</v>
      </c>
      <c r="J716" s="3">
        <f t="shared" si="5"/>
        <v>12768111009241.248</v>
      </c>
    </row>
    <row r="717" spans="1:10" x14ac:dyDescent="0.25">
      <c r="A717" s="3">
        <v>716</v>
      </c>
      <c r="B717" s="3">
        <v>23.885535714285712</v>
      </c>
      <c r="C717" s="3">
        <v>0.67166979362101309</v>
      </c>
      <c r="D717" s="3">
        <v>7029.5131607142857</v>
      </c>
      <c r="E717" s="3">
        <f t="shared" si="0"/>
        <v>4721.5116539131595</v>
      </c>
      <c r="F717" s="3">
        <f t="shared" si="1"/>
        <v>41360442.088279277</v>
      </c>
      <c r="G717" s="3">
        <f t="shared" si="2"/>
        <v>12811247317727.631</v>
      </c>
      <c r="H717" s="3">
        <f t="shared" si="3"/>
        <v>56236105.285714284</v>
      </c>
      <c r="I717" s="3">
        <f t="shared" si="4"/>
        <v>1687083.1585714284</v>
      </c>
      <c r="J717" s="3">
        <f t="shared" si="5"/>
        <v>12811254066060.266</v>
      </c>
    </row>
    <row r="718" spans="1:10" x14ac:dyDescent="0.25">
      <c r="A718" s="3">
        <v>717</v>
      </c>
      <c r="B718" s="3">
        <v>23.900178571428572</v>
      </c>
      <c r="C718" s="3">
        <v>0.67260787992495308</v>
      </c>
      <c r="D718" s="3">
        <v>7033.8225535714291</v>
      </c>
      <c r="E718" s="3">
        <f t="shared" si="0"/>
        <v>4731.0044755259987</v>
      </c>
      <c r="F718" s="3">
        <f t="shared" si="1"/>
        <v>41443599.20560775</v>
      </c>
      <c r="G718" s="3">
        <f t="shared" si="2"/>
        <v>12837004943434.666</v>
      </c>
      <c r="H718" s="3">
        <f t="shared" si="3"/>
        <v>56270580.428571433</v>
      </c>
      <c r="I718" s="3">
        <f t="shared" si="4"/>
        <v>1688117.412857143</v>
      </c>
      <c r="J718" s="3">
        <f t="shared" si="5"/>
        <v>12837011695904.316</v>
      </c>
    </row>
    <row r="719" spans="1:10" x14ac:dyDescent="0.25">
      <c r="A719" s="3">
        <v>718</v>
      </c>
      <c r="B719" s="3">
        <v>23.993035714285714</v>
      </c>
      <c r="C719" s="3">
        <v>0.67354596622889307</v>
      </c>
      <c r="D719" s="3">
        <v>7061.1504107142855</v>
      </c>
      <c r="E719" s="3">
        <f t="shared" si="0"/>
        <v>4756.0093760720983</v>
      </c>
      <c r="F719" s="3">
        <f t="shared" si="1"/>
        <v>41662642.134391576</v>
      </c>
      <c r="G719" s="3">
        <f t="shared" si="2"/>
        <v>12904852707753.855</v>
      </c>
      <c r="H719" s="3">
        <f t="shared" si="3"/>
        <v>56489203.285714284</v>
      </c>
      <c r="I719" s="3">
        <f t="shared" si="4"/>
        <v>1694676.0985714283</v>
      </c>
      <c r="J719" s="3">
        <f t="shared" si="5"/>
        <v>12904859486458.248</v>
      </c>
    </row>
    <row r="720" spans="1:10" x14ac:dyDescent="0.25">
      <c r="A720" s="3">
        <v>719</v>
      </c>
      <c r="B720" s="3">
        <v>23.999285714285715</v>
      </c>
      <c r="C720" s="3">
        <v>0.67448405253283306</v>
      </c>
      <c r="D720" s="3">
        <v>7062.9897857142851</v>
      </c>
      <c r="E720" s="3">
        <f t="shared" si="0"/>
        <v>4763.8739736665775</v>
      </c>
      <c r="F720" s="3">
        <f t="shared" si="1"/>
        <v>41731536.009319216</v>
      </c>
      <c r="G720" s="3">
        <f t="shared" si="2"/>
        <v>12926192345767.762</v>
      </c>
      <c r="H720" s="3">
        <f t="shared" si="3"/>
        <v>56503918.285714284</v>
      </c>
      <c r="I720" s="3">
        <f t="shared" si="4"/>
        <v>1695117.5485714285</v>
      </c>
      <c r="J720" s="3">
        <f t="shared" si="5"/>
        <v>12926199126237.957</v>
      </c>
    </row>
    <row r="721" spans="1:10" x14ac:dyDescent="0.25">
      <c r="A721" s="3">
        <v>720</v>
      </c>
      <c r="B721" s="3">
        <v>24.095535714285713</v>
      </c>
      <c r="C721" s="3">
        <v>0.67542213883677293</v>
      </c>
      <c r="D721" s="3">
        <v>7091.3161607142856</v>
      </c>
      <c r="E721" s="3">
        <f t="shared" si="0"/>
        <v>4789.6319284374158</v>
      </c>
      <c r="F721" s="3">
        <f t="shared" si="1"/>
        <v>41957175.693111762</v>
      </c>
      <c r="G721" s="3">
        <f t="shared" si="2"/>
        <v>12996083431205.248</v>
      </c>
      <c r="H721" s="3">
        <f t="shared" si="3"/>
        <v>56730529.285714284</v>
      </c>
      <c r="I721" s="3">
        <f t="shared" si="4"/>
        <v>1701915.8785714284</v>
      </c>
      <c r="J721" s="3">
        <f t="shared" si="5"/>
        <v>12996090238868.762</v>
      </c>
    </row>
    <row r="722" spans="1:10" x14ac:dyDescent="0.25">
      <c r="A722" s="3">
        <v>721</v>
      </c>
      <c r="B722" s="3">
        <v>24.1175</v>
      </c>
      <c r="C722" s="3">
        <v>0.67636022514071292</v>
      </c>
      <c r="D722" s="3">
        <v>7097.7802499999998</v>
      </c>
      <c r="E722" s="3">
        <f t="shared" si="0"/>
        <v>4800.6562478893056</v>
      </c>
      <c r="F722" s="3">
        <f t="shared" si="1"/>
        <v>42053748.731510311</v>
      </c>
      <c r="G722" s="3">
        <f t="shared" si="2"/>
        <v>13025996590052.807</v>
      </c>
      <c r="H722" s="3">
        <f t="shared" si="3"/>
        <v>56782242</v>
      </c>
      <c r="I722" s="3">
        <f t="shared" si="4"/>
        <v>1703467.26</v>
      </c>
      <c r="J722" s="3">
        <f t="shared" si="5"/>
        <v>13026003403921.846</v>
      </c>
    </row>
    <row r="723" spans="1:10" x14ac:dyDescent="0.25">
      <c r="A723" s="3">
        <v>722</v>
      </c>
      <c r="B723" s="3">
        <v>24.134821428571428</v>
      </c>
      <c r="C723" s="3">
        <v>0.67729831144465291</v>
      </c>
      <c r="D723" s="3">
        <v>7102.8779464285717</v>
      </c>
      <c r="E723" s="3">
        <f t="shared" si="0"/>
        <v>4810.7672395135351</v>
      </c>
      <c r="F723" s="3">
        <f t="shared" si="1"/>
        <v>42142321.018138573</v>
      </c>
      <c r="G723" s="3">
        <f t="shared" si="2"/>
        <v>13053431544988.137</v>
      </c>
      <c r="H723" s="3">
        <f t="shared" si="3"/>
        <v>56823023.571428575</v>
      </c>
      <c r="I723" s="3">
        <f t="shared" si="4"/>
        <v>1704690.7071428571</v>
      </c>
      <c r="J723" s="3">
        <f t="shared" si="5"/>
        <v>13053438363750.965</v>
      </c>
    </row>
    <row r="724" spans="1:10" x14ac:dyDescent="0.25">
      <c r="A724" s="3">
        <v>723</v>
      </c>
      <c r="B724" s="3">
        <v>24.253392857142856</v>
      </c>
      <c r="C724" s="3">
        <v>0.6782363977485929</v>
      </c>
      <c r="D724" s="3">
        <v>7137.7735178571429</v>
      </c>
      <c r="E724" s="3">
        <f t="shared" si="0"/>
        <v>4841.09779869673</v>
      </c>
      <c r="F724" s="3">
        <f t="shared" si="1"/>
        <v>42408016.716583356</v>
      </c>
      <c r="G724" s="3">
        <f t="shared" si="2"/>
        <v>13135729836292.803</v>
      </c>
      <c r="H724" s="3">
        <f t="shared" si="3"/>
        <v>57102188.142857142</v>
      </c>
      <c r="I724" s="3">
        <f t="shared" si="4"/>
        <v>1713065.6442857143</v>
      </c>
      <c r="J724" s="3">
        <f t="shared" si="5"/>
        <v>13135736688555.381</v>
      </c>
    </row>
    <row r="725" spans="1:10" x14ac:dyDescent="0.25">
      <c r="A725" s="3">
        <v>724</v>
      </c>
      <c r="B725" s="3">
        <v>24.343035714285712</v>
      </c>
      <c r="C725" s="3">
        <v>0.67917448405253278</v>
      </c>
      <c r="D725" s="3">
        <v>7164.1554107142856</v>
      </c>
      <c r="E725" s="3">
        <f t="shared" si="0"/>
        <v>4865.7115547440362</v>
      </c>
      <c r="F725" s="3">
        <f t="shared" si="1"/>
        <v>42623633.219557755</v>
      </c>
      <c r="G725" s="3">
        <f t="shared" si="2"/>
        <v>13202516277961.5</v>
      </c>
      <c r="H725" s="3">
        <f t="shared" si="3"/>
        <v>57313243.285714284</v>
      </c>
      <c r="I725" s="3">
        <f t="shared" si="4"/>
        <v>1719397.2985714285</v>
      </c>
      <c r="J725" s="3">
        <f t="shared" si="5"/>
        <v>13202523155550.695</v>
      </c>
    </row>
    <row r="726" spans="1:10" x14ac:dyDescent="0.25">
      <c r="A726" s="3">
        <v>725</v>
      </c>
      <c r="B726" s="3">
        <v>24.381785714285712</v>
      </c>
      <c r="C726" s="3">
        <v>0.68011257035647277</v>
      </c>
      <c r="D726" s="3">
        <v>7175.5595357142856</v>
      </c>
      <c r="E726" s="3">
        <f t="shared" si="0"/>
        <v>4880.1882395805414</v>
      </c>
      <c r="F726" s="3">
        <f t="shared" si="1"/>
        <v>42750448.978725545</v>
      </c>
      <c r="G726" s="3">
        <f t="shared" si="2"/>
        <v>13241797010357.898</v>
      </c>
      <c r="H726" s="3">
        <f t="shared" si="3"/>
        <v>57404476.285714284</v>
      </c>
      <c r="I726" s="3">
        <f t="shared" si="4"/>
        <v>1722134.2885714285</v>
      </c>
      <c r="J726" s="3">
        <f t="shared" si="5"/>
        <v>13241803898895.053</v>
      </c>
    </row>
    <row r="727" spans="1:10" x14ac:dyDescent="0.25">
      <c r="A727" s="3">
        <v>726</v>
      </c>
      <c r="B727" s="3">
        <v>24.446964285714287</v>
      </c>
      <c r="C727" s="3">
        <v>0.68105065666041276</v>
      </c>
      <c r="D727" s="3">
        <v>7194.7415892857152</v>
      </c>
      <c r="E727" s="3">
        <f t="shared" si="0"/>
        <v>4899.9834838850184</v>
      </c>
      <c r="F727" s="3">
        <f t="shared" si="1"/>
        <v>42923855.318832763</v>
      </c>
      <c r="G727" s="3">
        <f t="shared" si="2"/>
        <v>13295509006796.297</v>
      </c>
      <c r="H727" s="3">
        <f t="shared" si="3"/>
        <v>57557932.714285724</v>
      </c>
      <c r="I727" s="3">
        <f t="shared" si="4"/>
        <v>1726737.9814285717</v>
      </c>
      <c r="J727" s="3">
        <f t="shared" si="5"/>
        <v>13295515913748.221</v>
      </c>
    </row>
    <row r="728" spans="1:10" x14ac:dyDescent="0.25">
      <c r="A728" s="3">
        <v>727</v>
      </c>
      <c r="B728" s="3">
        <v>24.485714285714284</v>
      </c>
      <c r="C728" s="3">
        <v>0.68198874296435275</v>
      </c>
      <c r="D728" s="3">
        <v>7206.1457142857143</v>
      </c>
      <c r="E728" s="3">
        <f t="shared" si="0"/>
        <v>4914.510257303672</v>
      </c>
      <c r="F728" s="3">
        <f t="shared" si="1"/>
        <v>43051109.853980169</v>
      </c>
      <c r="G728" s="3">
        <f t="shared" si="2"/>
        <v>13334925648536.721</v>
      </c>
      <c r="H728" s="3">
        <f t="shared" si="3"/>
        <v>57649165.714285716</v>
      </c>
      <c r="I728" s="3">
        <f t="shared" si="4"/>
        <v>1729474.9714285715</v>
      </c>
      <c r="J728" s="3">
        <f t="shared" si="5"/>
        <v>13334932566436.605</v>
      </c>
    </row>
    <row r="729" spans="1:10" x14ac:dyDescent="0.25">
      <c r="A729" s="3">
        <v>728</v>
      </c>
      <c r="B729" s="3">
        <v>24.487499999999997</v>
      </c>
      <c r="C729" s="3">
        <v>0.68292682926829273</v>
      </c>
      <c r="D729" s="3">
        <v>7206.6712499999994</v>
      </c>
      <c r="E729" s="3">
        <f t="shared" si="0"/>
        <v>4921.6291463414636</v>
      </c>
      <c r="F729" s="3">
        <f t="shared" si="1"/>
        <v>43113471.321951218</v>
      </c>
      <c r="G729" s="3">
        <f t="shared" si="2"/>
        <v>13354241897321.91</v>
      </c>
      <c r="H729" s="3">
        <f t="shared" si="3"/>
        <v>57653369.999999993</v>
      </c>
      <c r="I729" s="3">
        <f t="shared" si="4"/>
        <v>1729601.0999999996</v>
      </c>
      <c r="J729" s="3">
        <f t="shared" si="5"/>
        <v>13354248815726.311</v>
      </c>
    </row>
    <row r="730" spans="1:10" x14ac:dyDescent="0.25">
      <c r="A730" s="3">
        <v>729</v>
      </c>
      <c r="B730" s="3">
        <v>24.500357142857144</v>
      </c>
      <c r="C730" s="3">
        <v>0.68386491557223261</v>
      </c>
      <c r="D730" s="3">
        <v>7210.4551071428587</v>
      </c>
      <c r="E730" s="3">
        <f t="shared" si="0"/>
        <v>4930.9772730836248</v>
      </c>
      <c r="F730" s="3">
        <f t="shared" si="1"/>
        <v>43195360.912212551</v>
      </c>
      <c r="G730" s="3">
        <f t="shared" si="2"/>
        <v>13379606911402.813</v>
      </c>
      <c r="H730" s="3">
        <f t="shared" si="3"/>
        <v>57683640.857142866</v>
      </c>
      <c r="I730" s="3">
        <f t="shared" si="4"/>
        <v>1730509.2257142859</v>
      </c>
      <c r="J730" s="3">
        <f t="shared" si="5"/>
        <v>13379613833439.717</v>
      </c>
    </row>
    <row r="731" spans="1:10" x14ac:dyDescent="0.25">
      <c r="A731" s="3">
        <v>730</v>
      </c>
      <c r="B731" s="3">
        <v>24.651428571428571</v>
      </c>
      <c r="C731" s="3">
        <v>0.6848030018761726</v>
      </c>
      <c r="D731" s="3">
        <v>7254.9154285714294</v>
      </c>
      <c r="E731" s="3">
        <f t="shared" si="0"/>
        <v>4968.1878638434737</v>
      </c>
      <c r="F731" s="3">
        <f t="shared" si="1"/>
        <v>43521325.687268831</v>
      </c>
      <c r="G731" s="3">
        <f t="shared" si="2"/>
        <v>13480573331819.121</v>
      </c>
      <c r="H731" s="3">
        <f t="shared" si="3"/>
        <v>58039323.428571433</v>
      </c>
      <c r="I731" s="3">
        <f t="shared" si="4"/>
        <v>1741179.702857143</v>
      </c>
      <c r="J731" s="3">
        <f t="shared" si="5"/>
        <v>13480580296537.934</v>
      </c>
    </row>
    <row r="732" spans="1:10" x14ac:dyDescent="0.25">
      <c r="A732" s="3">
        <v>731</v>
      </c>
      <c r="B732" s="3">
        <v>24.697142857142854</v>
      </c>
      <c r="C732" s="3">
        <v>0.68574108818011259</v>
      </c>
      <c r="D732" s="3">
        <v>7268.3691428571428</v>
      </c>
      <c r="E732" s="3">
        <f t="shared" si="0"/>
        <v>4984.2193653176091</v>
      </c>
      <c r="F732" s="3">
        <f t="shared" si="1"/>
        <v>43661761.640182257</v>
      </c>
      <c r="G732" s="3">
        <f t="shared" si="2"/>
        <v>13524072870212.584</v>
      </c>
      <c r="H732" s="3">
        <f t="shared" si="3"/>
        <v>58146953.142857142</v>
      </c>
      <c r="I732" s="3">
        <f t="shared" si="4"/>
        <v>1744408.5942857142</v>
      </c>
      <c r="J732" s="3">
        <f t="shared" si="5"/>
        <v>13524079847846.961</v>
      </c>
    </row>
    <row r="733" spans="1:10" x14ac:dyDescent="0.25">
      <c r="A733" s="3">
        <v>732</v>
      </c>
      <c r="B733" s="3">
        <v>24.815535714285712</v>
      </c>
      <c r="C733" s="3">
        <v>0.68667917448405258</v>
      </c>
      <c r="D733" s="3">
        <v>7303.2121607142853</v>
      </c>
      <c r="E733" s="3">
        <f t="shared" si="0"/>
        <v>5014.9636976011798</v>
      </c>
      <c r="F733" s="3">
        <f t="shared" si="1"/>
        <v>43931081.99098634</v>
      </c>
      <c r="G733" s="3">
        <f t="shared" si="2"/>
        <v>13607493885115.412</v>
      </c>
      <c r="H733" s="3">
        <f t="shared" si="3"/>
        <v>58425697.285714284</v>
      </c>
      <c r="I733" s="3">
        <f t="shared" si="4"/>
        <v>1752770.9185714284</v>
      </c>
      <c r="J733" s="3">
        <f t="shared" si="5"/>
        <v>13607500896199.086</v>
      </c>
    </row>
    <row r="734" spans="1:10" x14ac:dyDescent="0.25">
      <c r="A734" s="3">
        <v>733</v>
      </c>
      <c r="B734" s="3">
        <v>24.84732142857143</v>
      </c>
      <c r="C734" s="3">
        <v>0.68761726078799246</v>
      </c>
      <c r="D734" s="3">
        <v>7312.5666964285729</v>
      </c>
      <c r="E734" s="3">
        <f t="shared" si="0"/>
        <v>5028.2470811277144</v>
      </c>
      <c r="F734" s="3">
        <f t="shared" si="1"/>
        <v>44047444.430678777</v>
      </c>
      <c r="G734" s="3">
        <f t="shared" si="2"/>
        <v>13643536739880.676</v>
      </c>
      <c r="H734" s="3">
        <f t="shared" si="3"/>
        <v>58500533.571428582</v>
      </c>
      <c r="I734" s="3">
        <f t="shared" si="4"/>
        <v>1755016.0071428574</v>
      </c>
      <c r="J734" s="3">
        <f t="shared" si="5"/>
        <v>13643543759944.705</v>
      </c>
    </row>
    <row r="735" spans="1:10" x14ac:dyDescent="0.25">
      <c r="A735" s="3">
        <v>734</v>
      </c>
      <c r="B735" s="3">
        <v>24.907499999999999</v>
      </c>
      <c r="C735" s="3">
        <v>0.68855534709193245</v>
      </c>
      <c r="D735" s="3">
        <v>7330.2772500000001</v>
      </c>
      <c r="E735" s="3">
        <f t="shared" si="0"/>
        <v>5047.3015961538458</v>
      </c>
      <c r="F735" s="3">
        <f t="shared" si="1"/>
        <v>44214361.982307687</v>
      </c>
      <c r="G735" s="3">
        <f t="shared" si="2"/>
        <v>13695238857914.688</v>
      </c>
      <c r="H735" s="3">
        <f t="shared" si="3"/>
        <v>58642218</v>
      </c>
      <c r="I735" s="3">
        <f t="shared" si="4"/>
        <v>1759266.54</v>
      </c>
      <c r="J735" s="3">
        <f t="shared" si="5"/>
        <v>13695245894980.846</v>
      </c>
    </row>
    <row r="736" spans="1:10" x14ac:dyDescent="0.25">
      <c r="A736" s="3">
        <v>735</v>
      </c>
      <c r="B736" s="3">
        <v>24.990535714285716</v>
      </c>
      <c r="C736" s="3">
        <v>0.68949343339587243</v>
      </c>
      <c r="D736" s="3">
        <v>7354.7146607142868</v>
      </c>
      <c r="E736" s="3">
        <f t="shared" si="0"/>
        <v>5071.0274630628528</v>
      </c>
      <c r="F736" s="3">
        <f t="shared" si="1"/>
        <v>44422200.576430596</v>
      </c>
      <c r="G736" s="3">
        <f t="shared" si="2"/>
        <v>13759616121050.455</v>
      </c>
      <c r="H736" s="3">
        <f t="shared" si="3"/>
        <v>58837717.285714291</v>
      </c>
      <c r="I736" s="3">
        <f t="shared" si="4"/>
        <v>1765131.5185714287</v>
      </c>
      <c r="J736" s="3">
        <f t="shared" si="5"/>
        <v>13759623181576.531</v>
      </c>
    </row>
    <row r="737" spans="1:10" x14ac:dyDescent="0.25">
      <c r="A737" s="3">
        <v>736</v>
      </c>
      <c r="B737" s="3">
        <v>25.167321428571427</v>
      </c>
      <c r="C737" s="3">
        <v>0.69043151969981242</v>
      </c>
      <c r="D737" s="3">
        <v>7406.7426964285714</v>
      </c>
      <c r="E737" s="3">
        <f t="shared" si="0"/>
        <v>5113.848615920665</v>
      </c>
      <c r="F737" s="3">
        <f t="shared" si="1"/>
        <v>44797313.875465021</v>
      </c>
      <c r="G737" s="3">
        <f t="shared" si="2"/>
        <v>13875806119730.943</v>
      </c>
      <c r="H737" s="3">
        <f t="shared" si="3"/>
        <v>59253941.571428575</v>
      </c>
      <c r="I737" s="3">
        <f t="shared" si="4"/>
        <v>1777618.2471428572</v>
      </c>
      <c r="J737" s="3">
        <f t="shared" si="5"/>
        <v>13875813230203.934</v>
      </c>
    </row>
    <row r="738" spans="1:10" x14ac:dyDescent="0.25">
      <c r="A738" s="3">
        <v>737</v>
      </c>
      <c r="B738" s="3">
        <v>25.174285714285716</v>
      </c>
      <c r="C738" s="3">
        <v>0.6913696060037523</v>
      </c>
      <c r="D738" s="3">
        <v>7408.7922857142867</v>
      </c>
      <c r="E738" s="3">
        <f t="shared" si="0"/>
        <v>5122.2138035379257</v>
      </c>
      <c r="F738" s="3">
        <f t="shared" si="1"/>
        <v>44870592.918992229</v>
      </c>
      <c r="G738" s="3">
        <f t="shared" si="2"/>
        <v>13898504048369.139</v>
      </c>
      <c r="H738" s="3">
        <f t="shared" si="3"/>
        <v>59270338.285714291</v>
      </c>
      <c r="I738" s="3">
        <f t="shared" si="4"/>
        <v>1778110.1485714286</v>
      </c>
      <c r="J738" s="3">
        <f t="shared" si="5"/>
        <v>13898511160809.732</v>
      </c>
    </row>
    <row r="739" spans="1:10" x14ac:dyDescent="0.25">
      <c r="A739" s="3">
        <v>738</v>
      </c>
      <c r="B739" s="3">
        <v>25.333035714285714</v>
      </c>
      <c r="C739" s="3">
        <v>0.69230769230769229</v>
      </c>
      <c r="D739" s="3">
        <v>7455.5124107142856</v>
      </c>
      <c r="E739" s="3">
        <f t="shared" si="0"/>
        <v>5161.5085920329666</v>
      </c>
      <c r="F739" s="3">
        <f t="shared" si="1"/>
        <v>45214815.26620879</v>
      </c>
      <c r="G739" s="3">
        <f t="shared" si="2"/>
        <v>14005125686525.813</v>
      </c>
      <c r="H739" s="3">
        <f t="shared" si="3"/>
        <v>59644099.285714284</v>
      </c>
      <c r="I739" s="3">
        <f t="shared" si="4"/>
        <v>1789322.9785714285</v>
      </c>
      <c r="J739" s="3">
        <f t="shared" si="5"/>
        <v>14005132843817.727</v>
      </c>
    </row>
    <row r="740" spans="1:10" x14ac:dyDescent="0.25">
      <c r="A740" s="3">
        <v>739</v>
      </c>
      <c r="B740" s="3">
        <v>25.499642857142856</v>
      </c>
      <c r="C740" s="3">
        <v>0.69324577861163228</v>
      </c>
      <c r="D740" s="3">
        <v>7504.5448928571432</v>
      </c>
      <c r="E740" s="3">
        <f t="shared" si="0"/>
        <v>5202.4940673746987</v>
      </c>
      <c r="F740" s="3">
        <f t="shared" si="1"/>
        <v>45573848.030202359</v>
      </c>
      <c r="G740" s="3">
        <f t="shared" si="2"/>
        <v>14116334797899.891</v>
      </c>
      <c r="H740" s="3">
        <f t="shared" si="3"/>
        <v>60036359.142857142</v>
      </c>
      <c r="I740" s="3">
        <f t="shared" si="4"/>
        <v>1801090.7742857141</v>
      </c>
      <c r="J740" s="3">
        <f t="shared" si="5"/>
        <v>14116342002262.986</v>
      </c>
    </row>
    <row r="741" spans="1:10" x14ac:dyDescent="0.25">
      <c r="A741" s="3">
        <v>740</v>
      </c>
      <c r="B741" s="3">
        <v>25.519821428571429</v>
      </c>
      <c r="C741" s="3">
        <v>0.69418386491557227</v>
      </c>
      <c r="D741" s="3">
        <v>7510.4834464285723</v>
      </c>
      <c r="E741" s="3">
        <f t="shared" si="0"/>
        <v>5213.6564262262136</v>
      </c>
      <c r="F741" s="3">
        <f t="shared" si="1"/>
        <v>45671630.293741629</v>
      </c>
      <c r="G741" s="3">
        <f t="shared" si="2"/>
        <v>14146622510562.289</v>
      </c>
      <c r="H741" s="3">
        <f t="shared" si="3"/>
        <v>60083867.571428575</v>
      </c>
      <c r="I741" s="3">
        <f t="shared" si="4"/>
        <v>1802516.0271428572</v>
      </c>
      <c r="J741" s="3">
        <f t="shared" si="5"/>
        <v>14146629720626.398</v>
      </c>
    </row>
    <row r="742" spans="1:10" x14ac:dyDescent="0.25">
      <c r="A742" s="3">
        <v>741</v>
      </c>
      <c r="B742" s="3">
        <v>25.520892857142858</v>
      </c>
      <c r="C742" s="3">
        <v>0.69512195121951215</v>
      </c>
      <c r="D742" s="3">
        <v>7510.7987678571435</v>
      </c>
      <c r="E742" s="3">
        <f t="shared" si="0"/>
        <v>5220.9210947299653</v>
      </c>
      <c r="F742" s="3">
        <f t="shared" si="1"/>
        <v>45735268.789834499</v>
      </c>
      <c r="G742" s="3">
        <f t="shared" si="2"/>
        <v>14166334314598.799</v>
      </c>
      <c r="H742" s="3">
        <f t="shared" si="3"/>
        <v>60086390.142857149</v>
      </c>
      <c r="I742" s="3">
        <f t="shared" si="4"/>
        <v>1802591.7042857143</v>
      </c>
      <c r="J742" s="3">
        <f t="shared" si="5"/>
        <v>14166341524965.617</v>
      </c>
    </row>
    <row r="743" spans="1:10" x14ac:dyDescent="0.25">
      <c r="A743" s="3">
        <v>742</v>
      </c>
      <c r="B743" s="3">
        <v>25.58</v>
      </c>
      <c r="C743" s="3">
        <v>0.69606003752345214</v>
      </c>
      <c r="D743" s="3">
        <v>7528.1940000000004</v>
      </c>
      <c r="E743" s="3">
        <f t="shared" si="0"/>
        <v>5240.0749981238278</v>
      </c>
      <c r="F743" s="3">
        <f t="shared" si="1"/>
        <v>45903056.983564734</v>
      </c>
      <c r="G743" s="3">
        <f t="shared" si="2"/>
        <v>14218306111318.957</v>
      </c>
      <c r="H743" s="3">
        <f t="shared" si="3"/>
        <v>60225552</v>
      </c>
      <c r="I743" s="3">
        <f t="shared" si="4"/>
        <v>1806766.5599999998</v>
      </c>
      <c r="J743" s="3">
        <f t="shared" si="5"/>
        <v>14218313338385.197</v>
      </c>
    </row>
    <row r="744" spans="1:10" x14ac:dyDescent="0.25">
      <c r="A744" s="3">
        <v>743</v>
      </c>
      <c r="B744" s="3">
        <v>25.660714285714285</v>
      </c>
      <c r="C744" s="3">
        <v>0.69699812382739212</v>
      </c>
      <c r="D744" s="3">
        <v>7551.948214285715</v>
      </c>
      <c r="E744" s="3">
        <f t="shared" si="0"/>
        <v>5263.6937365987678</v>
      </c>
      <c r="F744" s="3">
        <f t="shared" si="1"/>
        <v>46109957.132605202</v>
      </c>
      <c r="G744" s="3">
        <f t="shared" si="2"/>
        <v>14282392694987.967</v>
      </c>
      <c r="H744" s="3">
        <f t="shared" si="3"/>
        <v>60415585.714285724</v>
      </c>
      <c r="I744" s="3">
        <f t="shared" si="4"/>
        <v>1812467.5714285716</v>
      </c>
      <c r="J744" s="3">
        <f t="shared" si="5"/>
        <v>14282399944858.254</v>
      </c>
    </row>
    <row r="745" spans="1:10" x14ac:dyDescent="0.25">
      <c r="A745" s="3">
        <v>744</v>
      </c>
      <c r="B745" s="3">
        <v>25.731607142857143</v>
      </c>
      <c r="C745" s="3">
        <v>0.69793621013133211</v>
      </c>
      <c r="D745" s="3">
        <v>7572.8119821428581</v>
      </c>
      <c r="E745" s="3">
        <f t="shared" si="0"/>
        <v>5285.3396948539275</v>
      </c>
      <c r="F745" s="3">
        <f t="shared" si="1"/>
        <v>46299575.726920411</v>
      </c>
      <c r="G745" s="3">
        <f t="shared" si="2"/>
        <v>14341126379551.086</v>
      </c>
      <c r="H745" s="3">
        <f t="shared" si="3"/>
        <v>60582495.857142866</v>
      </c>
      <c r="I745" s="3">
        <f t="shared" si="4"/>
        <v>1817474.875714286</v>
      </c>
      <c r="J745" s="3">
        <f t="shared" si="5"/>
        <v>14341133649450.588</v>
      </c>
    </row>
    <row r="746" spans="1:10" x14ac:dyDescent="0.25">
      <c r="A746" s="3">
        <v>745</v>
      </c>
      <c r="B746" s="3">
        <v>25.801428571428573</v>
      </c>
      <c r="C746" s="3">
        <v>0.69887429643527199</v>
      </c>
      <c r="D746" s="3">
        <v>7593.3604285714291</v>
      </c>
      <c r="E746" s="3">
        <f t="shared" si="0"/>
        <v>5306.8044270972932</v>
      </c>
      <c r="F746" s="3">
        <f t="shared" si="1"/>
        <v>46487606.781372286</v>
      </c>
      <c r="G746" s="3">
        <f t="shared" si="2"/>
        <v>14399368329428.061</v>
      </c>
      <c r="H746" s="3">
        <f t="shared" si="3"/>
        <v>60746883.428571433</v>
      </c>
      <c r="I746" s="3">
        <f t="shared" si="4"/>
        <v>1822406.5028571428</v>
      </c>
      <c r="J746" s="3">
        <f t="shared" si="5"/>
        <v>14399375619054.07</v>
      </c>
    </row>
    <row r="747" spans="1:10" x14ac:dyDescent="0.25">
      <c r="A747" s="3">
        <v>746</v>
      </c>
      <c r="B747" s="3">
        <v>25.824285714285715</v>
      </c>
      <c r="C747" s="3">
        <v>0.69981238273921198</v>
      </c>
      <c r="D747" s="3">
        <v>7600.0872857142858</v>
      </c>
      <c r="E747" s="3">
        <f t="shared" si="0"/>
        <v>5318.6351924417049</v>
      </c>
      <c r="F747" s="3">
        <f t="shared" si="1"/>
        <v>46591244.285789333</v>
      </c>
      <c r="G747" s="3">
        <f t="shared" si="2"/>
        <v>14431469681969.906</v>
      </c>
      <c r="H747" s="3">
        <f t="shared" si="3"/>
        <v>60800698.285714284</v>
      </c>
      <c r="I747" s="3">
        <f t="shared" si="4"/>
        <v>1824020.9485714284</v>
      </c>
      <c r="J747" s="3">
        <f t="shared" si="5"/>
        <v>14431476978053.701</v>
      </c>
    </row>
    <row r="748" spans="1:10" x14ac:dyDescent="0.25">
      <c r="A748" s="3">
        <v>747</v>
      </c>
      <c r="B748" s="3">
        <v>25.875714285714285</v>
      </c>
      <c r="C748" s="3">
        <v>0.70075046904315197</v>
      </c>
      <c r="D748" s="3">
        <v>7615.2227142857155</v>
      </c>
      <c r="E748" s="3">
        <f t="shared" si="0"/>
        <v>5336.3708889037798</v>
      </c>
      <c r="F748" s="3">
        <f t="shared" si="1"/>
        <v>46746608.986797109</v>
      </c>
      <c r="G748" s="3">
        <f t="shared" si="2"/>
        <v>14479593346902.986</v>
      </c>
      <c r="H748" s="3">
        <f t="shared" si="3"/>
        <v>60921781.714285724</v>
      </c>
      <c r="I748" s="3">
        <f t="shared" si="4"/>
        <v>1827653.4514285717</v>
      </c>
      <c r="J748" s="3">
        <f t="shared" si="5"/>
        <v>14479600657516.791</v>
      </c>
    </row>
    <row r="749" spans="1:10" x14ac:dyDescent="0.25">
      <c r="A749" s="3">
        <v>748</v>
      </c>
      <c r="B749" s="3">
        <v>25.895714285714284</v>
      </c>
      <c r="C749" s="3">
        <v>0.70168855534709196</v>
      </c>
      <c r="D749" s="3">
        <v>7621.108714285715</v>
      </c>
      <c r="E749" s="3">
        <f t="shared" si="0"/>
        <v>5347.6447638702766</v>
      </c>
      <c r="F749" s="3">
        <f t="shared" si="1"/>
        <v>46845368.131503619</v>
      </c>
      <c r="G749" s="3">
        <f t="shared" si="2"/>
        <v>14510183645182.965</v>
      </c>
      <c r="H749" s="3">
        <f t="shared" si="3"/>
        <v>60968869.714285716</v>
      </c>
      <c r="I749" s="3">
        <f t="shared" si="4"/>
        <v>1829066.0914285714</v>
      </c>
      <c r="J749" s="3">
        <f t="shared" si="5"/>
        <v>14510190961447.33</v>
      </c>
    </row>
    <row r="750" spans="1:10" x14ac:dyDescent="0.25">
      <c r="A750" s="3">
        <v>749</v>
      </c>
      <c r="B750" s="3">
        <v>25.897142857142857</v>
      </c>
      <c r="C750" s="3">
        <v>0.70262664165103195</v>
      </c>
      <c r="D750" s="3">
        <v>7621.5291428571427</v>
      </c>
      <c r="E750" s="3">
        <f t="shared" si="0"/>
        <v>5355.0894258911821</v>
      </c>
      <c r="F750" s="3">
        <f t="shared" si="1"/>
        <v>46910583.370806754</v>
      </c>
      <c r="G750" s="3">
        <f t="shared" si="2"/>
        <v>14530383839881.43</v>
      </c>
      <c r="H750" s="3">
        <f t="shared" si="3"/>
        <v>60972233.142857142</v>
      </c>
      <c r="I750" s="3">
        <f t="shared" si="4"/>
        <v>1829166.9942857141</v>
      </c>
      <c r="J750" s="3">
        <f t="shared" si="5"/>
        <v>14530391156549.406</v>
      </c>
    </row>
    <row r="751" spans="1:10" x14ac:dyDescent="0.25">
      <c r="A751" s="3">
        <v>750</v>
      </c>
      <c r="B751" s="3">
        <v>25.898035714285715</v>
      </c>
      <c r="C751" s="3">
        <v>0.70356472795497182</v>
      </c>
      <c r="D751" s="3">
        <v>7621.7919107142852</v>
      </c>
      <c r="E751" s="3">
        <f t="shared" si="0"/>
        <v>5362.4239521911013</v>
      </c>
      <c r="F751" s="3">
        <f t="shared" si="1"/>
        <v>46974833.821194053</v>
      </c>
      <c r="G751" s="3">
        <f t="shared" si="2"/>
        <v>14550285194697.225</v>
      </c>
      <c r="H751" s="3">
        <f t="shared" si="3"/>
        <v>60974335.285714284</v>
      </c>
      <c r="I751" s="3">
        <f t="shared" si="4"/>
        <v>1829230.0585714285</v>
      </c>
      <c r="J751" s="3">
        <f t="shared" si="5"/>
        <v>14550292511617.459</v>
      </c>
    </row>
    <row r="752" spans="1:10" x14ac:dyDescent="0.25">
      <c r="A752" s="3">
        <v>751</v>
      </c>
      <c r="B752" s="3">
        <v>25.923750000000002</v>
      </c>
      <c r="C752" s="3">
        <v>0.70450281425891181</v>
      </c>
      <c r="D752" s="3">
        <v>7629.3596250000019</v>
      </c>
      <c r="E752" s="3">
        <f t="shared" si="0"/>
        <v>5374.9053268058178</v>
      </c>
      <c r="F752" s="3">
        <f t="shared" si="1"/>
        <v>47084170.662818961</v>
      </c>
      <c r="G752" s="3">
        <f t="shared" si="2"/>
        <v>14584151896444.846</v>
      </c>
      <c r="H752" s="3">
        <f t="shared" si="3"/>
        <v>61034877.000000015</v>
      </c>
      <c r="I752" s="3">
        <f t="shared" si="4"/>
        <v>1831046.3100000003</v>
      </c>
      <c r="J752" s="3">
        <f t="shared" si="5"/>
        <v>14584159220630.086</v>
      </c>
    </row>
    <row r="753" spans="1:10" x14ac:dyDescent="0.25">
      <c r="A753" s="3">
        <v>752</v>
      </c>
      <c r="B753" s="3">
        <v>25.952857142857141</v>
      </c>
      <c r="C753" s="3">
        <v>0.7054409005628518</v>
      </c>
      <c r="D753" s="3">
        <v>7637.9258571428563</v>
      </c>
      <c r="E753" s="3">
        <f t="shared" si="0"/>
        <v>5388.105295095148</v>
      </c>
      <c r="F753" s="3">
        <f t="shared" si="1"/>
        <v>47199802.385033496</v>
      </c>
      <c r="G753" s="3">
        <f t="shared" si="2"/>
        <v>14619968414752.209</v>
      </c>
      <c r="H753" s="3">
        <f t="shared" si="3"/>
        <v>61103406.857142851</v>
      </c>
      <c r="I753" s="3">
        <f t="shared" si="4"/>
        <v>1833102.2057142854</v>
      </c>
      <c r="J753" s="3">
        <f t="shared" si="5"/>
        <v>14619975747161.031</v>
      </c>
    </row>
    <row r="754" spans="1:10" x14ac:dyDescent="0.25">
      <c r="A754" s="3">
        <v>753</v>
      </c>
      <c r="B754" s="3">
        <v>26.152857142857144</v>
      </c>
      <c r="C754" s="3">
        <v>0.70637898686679179</v>
      </c>
      <c r="D754" s="3">
        <v>7696.7858571428578</v>
      </c>
      <c r="E754" s="3">
        <f t="shared" si="0"/>
        <v>5436.8477958992235</v>
      </c>
      <c r="F754" s="3">
        <f t="shared" si="1"/>
        <v>47626786.692077197</v>
      </c>
      <c r="G754" s="3">
        <f t="shared" si="2"/>
        <v>14752225272427.604</v>
      </c>
      <c r="H754" s="3">
        <f t="shared" si="3"/>
        <v>61574286.857142866</v>
      </c>
      <c r="I754" s="3">
        <f t="shared" si="4"/>
        <v>1847228.605714286</v>
      </c>
      <c r="J754" s="3">
        <f t="shared" si="5"/>
        <v>14752232661342.025</v>
      </c>
    </row>
    <row r="755" spans="1:10" x14ac:dyDescent="0.25">
      <c r="A755" s="3">
        <v>754</v>
      </c>
      <c r="B755" s="3">
        <v>26.166785714285712</v>
      </c>
      <c r="C755" s="3">
        <v>0.70731707317073167</v>
      </c>
      <c r="D755" s="3">
        <v>7700.8850357142856</v>
      </c>
      <c r="E755" s="3">
        <f t="shared" si="0"/>
        <v>5446.9674642857135</v>
      </c>
      <c r="F755" s="3">
        <f t="shared" si="1"/>
        <v>47715434.987142853</v>
      </c>
      <c r="G755" s="3">
        <f t="shared" si="2"/>
        <v>14779683771672.439</v>
      </c>
      <c r="H755" s="3">
        <f t="shared" si="3"/>
        <v>61607080.285714284</v>
      </c>
      <c r="I755" s="3">
        <f t="shared" si="4"/>
        <v>1848212.4085714284</v>
      </c>
      <c r="J755" s="3">
        <f t="shared" si="5"/>
        <v>14779691164522.074</v>
      </c>
    </row>
    <row r="756" spans="1:10" x14ac:dyDescent="0.25">
      <c r="A756" s="3">
        <v>755</v>
      </c>
      <c r="B756" s="3">
        <v>26.171428571428571</v>
      </c>
      <c r="C756" s="3">
        <v>0.70825515947467166</v>
      </c>
      <c r="D756" s="3">
        <v>7702.2514285714287</v>
      </c>
      <c r="E756" s="3">
        <f t="shared" si="0"/>
        <v>5455.1593138568751</v>
      </c>
      <c r="F756" s="3">
        <f t="shared" si="1"/>
        <v>47787195.589386225</v>
      </c>
      <c r="G756" s="3">
        <f t="shared" si="2"/>
        <v>14801911369023.961</v>
      </c>
      <c r="H756" s="3">
        <f t="shared" si="3"/>
        <v>61618011.428571433</v>
      </c>
      <c r="I756" s="3">
        <f t="shared" si="4"/>
        <v>1848540.3428571429</v>
      </c>
      <c r="J756" s="3">
        <f t="shared" si="5"/>
        <v>14801918763185.334</v>
      </c>
    </row>
    <row r="757" spans="1:10" x14ac:dyDescent="0.25">
      <c r="A757" s="3">
        <v>756</v>
      </c>
      <c r="B757" s="3">
        <v>26.195535714285715</v>
      </c>
      <c r="C757" s="3">
        <v>0.70919324577861165</v>
      </c>
      <c r="D757" s="3">
        <v>7709.3461607142854</v>
      </c>
      <c r="E757" s="3">
        <f t="shared" si="0"/>
        <v>5467.4162265478426</v>
      </c>
      <c r="F757" s="3">
        <f t="shared" si="1"/>
        <v>47894566.144559093</v>
      </c>
      <c r="G757" s="3">
        <f t="shared" si="2"/>
        <v>14835169020789.24</v>
      </c>
      <c r="H757" s="3">
        <f t="shared" si="3"/>
        <v>61674769.285714284</v>
      </c>
      <c r="I757" s="3">
        <f t="shared" si="4"/>
        <v>1850243.0785714285</v>
      </c>
      <c r="J757" s="3">
        <f t="shared" si="5"/>
        <v>14835176421761.555</v>
      </c>
    </row>
    <row r="758" spans="1:10" x14ac:dyDescent="0.25">
      <c r="A758" s="3">
        <v>757</v>
      </c>
      <c r="B758" s="3">
        <v>26.212321428571428</v>
      </c>
      <c r="C758" s="3">
        <v>0.71013133208255164</v>
      </c>
      <c r="D758" s="3">
        <v>7714.2861964285721</v>
      </c>
      <c r="E758" s="3">
        <f t="shared" si="0"/>
        <v>5478.1563327358626</v>
      </c>
      <c r="F758" s="3">
        <f t="shared" si="1"/>
        <v>47988649.474766158</v>
      </c>
      <c r="G758" s="3">
        <f t="shared" si="2"/>
        <v>14864311002587.742</v>
      </c>
      <c r="H758" s="3">
        <f t="shared" si="3"/>
        <v>61714289.571428575</v>
      </c>
      <c r="I758" s="3">
        <f t="shared" si="4"/>
        <v>1851428.6871428571</v>
      </c>
      <c r="J758" s="3">
        <f t="shared" si="5"/>
        <v>14864318408302.49</v>
      </c>
    </row>
    <row r="759" spans="1:10" x14ac:dyDescent="0.25">
      <c r="A759" s="3">
        <v>758</v>
      </c>
      <c r="B759" s="3">
        <v>26.252142857142857</v>
      </c>
      <c r="C759" s="3">
        <v>0.71106941838649151</v>
      </c>
      <c r="D759" s="3">
        <v>7726.0056428571434</v>
      </c>
      <c r="E759" s="3">
        <f t="shared" si="0"/>
        <v>5493.7263389171803</v>
      </c>
      <c r="F759" s="3">
        <f t="shared" si="1"/>
        <v>48125042.728914507</v>
      </c>
      <c r="G759" s="3">
        <f t="shared" si="2"/>
        <v>14906558330668.256</v>
      </c>
      <c r="H759" s="3">
        <f t="shared" si="3"/>
        <v>61808045.142857149</v>
      </c>
      <c r="I759" s="3">
        <f t="shared" si="4"/>
        <v>1854241.3542857144</v>
      </c>
      <c r="J759" s="3">
        <f t="shared" si="5"/>
        <v>14906565747633.672</v>
      </c>
    </row>
    <row r="760" spans="1:10" x14ac:dyDescent="0.25">
      <c r="A760" s="3">
        <v>759</v>
      </c>
      <c r="B760" s="3">
        <v>26.265714285714285</v>
      </c>
      <c r="C760" s="3">
        <v>0.7120075046904315</v>
      </c>
      <c r="D760" s="3">
        <v>7729.9997142857155</v>
      </c>
      <c r="E760" s="3">
        <f t="shared" si="0"/>
        <v>5503.8178078263209</v>
      </c>
      <c r="F760" s="3">
        <f t="shared" si="1"/>
        <v>48213443.996558562</v>
      </c>
      <c r="G760" s="3">
        <f t="shared" si="2"/>
        <v>14933940314123.455</v>
      </c>
      <c r="H760" s="3">
        <f t="shared" si="3"/>
        <v>61839997.714285724</v>
      </c>
      <c r="I760" s="3">
        <f t="shared" si="4"/>
        <v>1855199.9314285717</v>
      </c>
      <c r="J760" s="3">
        <f t="shared" si="5"/>
        <v>14933947734923.182</v>
      </c>
    </row>
    <row r="761" spans="1:10" x14ac:dyDescent="0.25">
      <c r="A761" s="3">
        <v>760</v>
      </c>
      <c r="B761" s="3">
        <v>26.402678571428574</v>
      </c>
      <c r="C761" s="3">
        <v>0.71294559099437149</v>
      </c>
      <c r="D761" s="3">
        <v>7770.308303571429</v>
      </c>
      <c r="E761" s="3">
        <f t="shared" si="0"/>
        <v>5539.807045698205</v>
      </c>
      <c r="F761" s="3">
        <f t="shared" si="1"/>
        <v>48528709.720316276</v>
      </c>
      <c r="G761" s="3">
        <f t="shared" si="2"/>
        <v>15031592744343.277</v>
      </c>
      <c r="H761" s="3">
        <f t="shared" si="3"/>
        <v>62162466.428571433</v>
      </c>
      <c r="I761" s="3">
        <f t="shared" si="4"/>
        <v>1864873.9928571428</v>
      </c>
      <c r="J761" s="3">
        <f t="shared" si="5"/>
        <v>15031600203839.248</v>
      </c>
    </row>
    <row r="762" spans="1:10" x14ac:dyDescent="0.25">
      <c r="A762" s="3">
        <v>761</v>
      </c>
      <c r="B762" s="3">
        <v>26.475892857142856</v>
      </c>
      <c r="C762" s="3">
        <v>0.71388367729831148</v>
      </c>
      <c r="D762" s="3">
        <v>7791.8552678571423</v>
      </c>
      <c r="E762" s="3">
        <f t="shared" si="0"/>
        <v>5562.4782915940768</v>
      </c>
      <c r="F762" s="3">
        <f t="shared" si="1"/>
        <v>48727309.834364109</v>
      </c>
      <c r="G762" s="3">
        <f t="shared" si="2"/>
        <v>15093108422962.971</v>
      </c>
      <c r="H762" s="3">
        <f t="shared" si="3"/>
        <v>62334842.142857142</v>
      </c>
      <c r="I762" s="3">
        <f t="shared" si="4"/>
        <v>1870045.2642857141</v>
      </c>
      <c r="J762" s="3">
        <f t="shared" si="5"/>
        <v>15093115903144.027</v>
      </c>
    </row>
    <row r="763" spans="1:10" x14ac:dyDescent="0.25">
      <c r="A763" s="3">
        <v>762</v>
      </c>
      <c r="B763" s="3">
        <v>26.5275</v>
      </c>
      <c r="C763" s="3">
        <v>0.71482176360225136</v>
      </c>
      <c r="D763" s="3">
        <v>7807.0432499999997</v>
      </c>
      <c r="E763" s="3">
        <f t="shared" si="0"/>
        <v>5580.6444244840523</v>
      </c>
      <c r="F763" s="3">
        <f t="shared" si="1"/>
        <v>48886445.158480294</v>
      </c>
      <c r="G763" s="3">
        <f t="shared" si="2"/>
        <v>15142400025328.617</v>
      </c>
      <c r="H763" s="3">
        <f t="shared" si="3"/>
        <v>62456346</v>
      </c>
      <c r="I763" s="3">
        <f t="shared" si="4"/>
        <v>1873690.38</v>
      </c>
      <c r="J763" s="3">
        <f t="shared" si="5"/>
        <v>15142407520090.139</v>
      </c>
    </row>
    <row r="764" spans="1:10" x14ac:dyDescent="0.25">
      <c r="A764" s="3">
        <v>763</v>
      </c>
      <c r="B764" s="3">
        <v>26.581785714285715</v>
      </c>
      <c r="C764" s="3">
        <v>0.71575984990619135</v>
      </c>
      <c r="D764" s="3">
        <v>7823.0195357142857</v>
      </c>
      <c r="E764" s="3">
        <f t="shared" si="0"/>
        <v>5599.4032886960595</v>
      </c>
      <c r="F764" s="3">
        <f t="shared" si="1"/>
        <v>49050772.808977477</v>
      </c>
      <c r="G764" s="3">
        <f t="shared" si="2"/>
        <v>15193299932098.23</v>
      </c>
      <c r="H764" s="3">
        <f t="shared" si="3"/>
        <v>62584156.285714284</v>
      </c>
      <c r="I764" s="3">
        <f t="shared" si="4"/>
        <v>1877524.6885714284</v>
      </c>
      <c r="J764" s="3">
        <f t="shared" si="5"/>
        <v>15193307442196.986</v>
      </c>
    </row>
    <row r="765" spans="1:10" x14ac:dyDescent="0.25">
      <c r="A765" s="3">
        <v>764</v>
      </c>
      <c r="B765" s="3">
        <v>26.635178571428572</v>
      </c>
      <c r="C765" s="3">
        <v>0.71669793621013134</v>
      </c>
      <c r="D765" s="3">
        <v>7838.7330535714291</v>
      </c>
      <c r="E765" s="3">
        <f t="shared" si="0"/>
        <v>5618.0038019967842</v>
      </c>
      <c r="F765" s="3">
        <f t="shared" si="1"/>
        <v>49213713.305491835</v>
      </c>
      <c r="G765" s="3">
        <f t="shared" si="2"/>
        <v>15243770172965.547</v>
      </c>
      <c r="H765" s="3">
        <f t="shared" si="3"/>
        <v>62709864.428571433</v>
      </c>
      <c r="I765" s="3">
        <f t="shared" si="4"/>
        <v>1881295.932857143</v>
      </c>
      <c r="J765" s="3">
        <f t="shared" si="5"/>
        <v>15243777698149.279</v>
      </c>
    </row>
    <row r="766" spans="1:10" x14ac:dyDescent="0.25">
      <c r="A766" s="3">
        <v>765</v>
      </c>
      <c r="B766" s="3">
        <v>26.63767857142857</v>
      </c>
      <c r="C766" s="3">
        <v>0.71763602251407133</v>
      </c>
      <c r="D766" s="3">
        <v>7839.468803571428</v>
      </c>
      <c r="E766" s="3">
        <f t="shared" si="0"/>
        <v>5625.8852108181454</v>
      </c>
      <c r="F766" s="3">
        <f t="shared" si="1"/>
        <v>49282754.446766958</v>
      </c>
      <c r="G766" s="3">
        <f t="shared" si="2"/>
        <v>15265155427281.367</v>
      </c>
      <c r="H766" s="3">
        <f t="shared" si="3"/>
        <v>62715750.428571425</v>
      </c>
      <c r="I766" s="3">
        <f t="shared" si="4"/>
        <v>1881472.5128571426</v>
      </c>
      <c r="J766" s="3">
        <f t="shared" si="5"/>
        <v>15265162953171.42</v>
      </c>
    </row>
    <row r="767" spans="1:10" x14ac:dyDescent="0.25">
      <c r="A767" s="3">
        <v>766</v>
      </c>
      <c r="B767" s="3">
        <v>26.6875</v>
      </c>
      <c r="C767" s="3">
        <v>0.7185741088180112</v>
      </c>
      <c r="D767" s="3">
        <v>7854.1312500000004</v>
      </c>
      <c r="E767" s="3">
        <f t="shared" si="0"/>
        <v>5643.7753635084428</v>
      </c>
      <c r="F767" s="3">
        <f t="shared" si="1"/>
        <v>49439472.18433395</v>
      </c>
      <c r="G767" s="3">
        <f t="shared" si="2"/>
        <v>15313698191068.955</v>
      </c>
      <c r="H767" s="3">
        <f t="shared" si="3"/>
        <v>62833050</v>
      </c>
      <c r="I767" s="3">
        <f t="shared" si="4"/>
        <v>1884991.5</v>
      </c>
      <c r="J767" s="3">
        <f t="shared" si="5"/>
        <v>15313705731034.955</v>
      </c>
    </row>
    <row r="768" spans="1:10" x14ac:dyDescent="0.25">
      <c r="A768" s="3">
        <v>767</v>
      </c>
      <c r="B768" s="3">
        <v>26.762321428571429</v>
      </c>
      <c r="C768" s="3">
        <v>0.71951219512195119</v>
      </c>
      <c r="D768" s="3">
        <v>7876.1511964285719</v>
      </c>
      <c r="E768" s="3">
        <f t="shared" si="0"/>
        <v>5666.9868364547037</v>
      </c>
      <c r="F768" s="3">
        <f t="shared" si="1"/>
        <v>49642804.687343203</v>
      </c>
      <c r="G768" s="3">
        <f t="shared" si="2"/>
        <v>15376679710368.361</v>
      </c>
      <c r="H768" s="3">
        <f t="shared" si="3"/>
        <v>63009209.571428575</v>
      </c>
      <c r="I768" s="3">
        <f t="shared" si="4"/>
        <v>1890276.2871428572</v>
      </c>
      <c r="J768" s="3">
        <f t="shared" si="5"/>
        <v>15376687271473.51</v>
      </c>
    </row>
    <row r="769" spans="1:10" x14ac:dyDescent="0.25">
      <c r="A769" s="3">
        <v>768</v>
      </c>
      <c r="B769" s="3">
        <v>26.785357142857141</v>
      </c>
      <c r="C769" s="3">
        <v>0.72045028142589118</v>
      </c>
      <c r="D769" s="3">
        <v>7882.9306071428564</v>
      </c>
      <c r="E769" s="3">
        <f t="shared" si="0"/>
        <v>5679.2595743768425</v>
      </c>
      <c r="F769" s="3">
        <f t="shared" si="1"/>
        <v>49750313.871541135</v>
      </c>
      <c r="G769" s="3">
        <f t="shared" si="2"/>
        <v>15409980302297.998</v>
      </c>
      <c r="H769" s="3">
        <f t="shared" si="3"/>
        <v>63063444.857142851</v>
      </c>
      <c r="I769" s="3">
        <f t="shared" si="4"/>
        <v>1891903.3457142855</v>
      </c>
      <c r="J769" s="3">
        <f t="shared" si="5"/>
        <v>15409987869911.381</v>
      </c>
    </row>
    <row r="770" spans="1:10" x14ac:dyDescent="0.25">
      <c r="A770" s="3">
        <v>769</v>
      </c>
      <c r="B770" s="3">
        <v>26.80125</v>
      </c>
      <c r="C770" s="3">
        <v>0.72138836772983117</v>
      </c>
      <c r="D770" s="3">
        <v>7887.6078749999997</v>
      </c>
      <c r="E770" s="3">
        <f t="shared" si="0"/>
        <v>5690.0285702392121</v>
      </c>
      <c r="F770" s="3">
        <f t="shared" si="1"/>
        <v>49844650.275295496</v>
      </c>
      <c r="G770" s="3">
        <f t="shared" si="2"/>
        <v>15439200673005.842</v>
      </c>
      <c r="H770" s="3">
        <f t="shared" si="3"/>
        <v>63100863</v>
      </c>
      <c r="I770" s="3">
        <f t="shared" si="4"/>
        <v>1893025.89</v>
      </c>
      <c r="J770" s="3">
        <f t="shared" si="5"/>
        <v>15439208245109.402</v>
      </c>
    </row>
    <row r="771" spans="1:10" x14ac:dyDescent="0.25">
      <c r="A771" s="3">
        <v>770</v>
      </c>
      <c r="B771" s="3">
        <v>26.810357142857143</v>
      </c>
      <c r="C771" s="3">
        <v>0.72232645403377116</v>
      </c>
      <c r="D771" s="3">
        <v>7890.2881071428565</v>
      </c>
      <c r="E771" s="3">
        <f t="shared" si="0"/>
        <v>5699.3638297373354</v>
      </c>
      <c r="F771" s="3">
        <f t="shared" si="1"/>
        <v>49926427.148499057</v>
      </c>
      <c r="G771" s="3">
        <f t="shared" si="2"/>
        <v>15464530774426.936</v>
      </c>
      <c r="H771" s="3">
        <f t="shared" si="3"/>
        <v>63122304.857142851</v>
      </c>
      <c r="I771" s="3">
        <f t="shared" si="4"/>
        <v>1893669.1457142856</v>
      </c>
      <c r="J771" s="3">
        <f t="shared" si="5"/>
        <v>15464538349103.52</v>
      </c>
    </row>
    <row r="772" spans="1:10" x14ac:dyDescent="0.25">
      <c r="A772" s="3">
        <v>771</v>
      </c>
      <c r="B772" s="3">
        <v>26.90285714285714</v>
      </c>
      <c r="C772" s="3">
        <v>0.72326454033771104</v>
      </c>
      <c r="D772" s="3">
        <v>7917.5108571428564</v>
      </c>
      <c r="E772" s="3">
        <f t="shared" si="0"/>
        <v>5726.4548507102645</v>
      </c>
      <c r="F772" s="3">
        <f t="shared" si="1"/>
        <v>50163744.492221914</v>
      </c>
      <c r="G772" s="3">
        <f t="shared" si="2"/>
        <v>15538038975749.344</v>
      </c>
      <c r="H772" s="3">
        <f t="shared" si="3"/>
        <v>63340086.857142851</v>
      </c>
      <c r="I772" s="3">
        <f t="shared" si="4"/>
        <v>1900202.6057142855</v>
      </c>
      <c r="J772" s="3">
        <f t="shared" si="5"/>
        <v>15538046576559.766</v>
      </c>
    </row>
    <row r="773" spans="1:10" x14ac:dyDescent="0.25">
      <c r="A773" s="3">
        <v>772</v>
      </c>
      <c r="B773" s="3">
        <v>26.943928571428572</v>
      </c>
      <c r="C773" s="3">
        <v>0.72420262664165103</v>
      </c>
      <c r="D773" s="3">
        <v>7929.5981785714293</v>
      </c>
      <c r="E773" s="3">
        <f t="shared" si="0"/>
        <v>5742.6358291342813</v>
      </c>
      <c r="F773" s="3">
        <f t="shared" si="1"/>
        <v>50305489.863216303</v>
      </c>
      <c r="G773" s="3">
        <f t="shared" si="2"/>
        <v>15581944103182.016</v>
      </c>
      <c r="H773" s="3">
        <f t="shared" si="3"/>
        <v>63436785.428571433</v>
      </c>
      <c r="I773" s="3">
        <f t="shared" si="4"/>
        <v>1903103.5628571429</v>
      </c>
      <c r="J773" s="3">
        <f t="shared" si="5"/>
        <v>15581951715596.268</v>
      </c>
    </row>
    <row r="774" spans="1:10" x14ac:dyDescent="0.25">
      <c r="A774" s="3">
        <v>773</v>
      </c>
      <c r="B774" s="3">
        <v>26.993928571428572</v>
      </c>
      <c r="C774" s="3">
        <v>0.72514071294559101</v>
      </c>
      <c r="D774" s="3">
        <v>7944.3131785714295</v>
      </c>
      <c r="E774" s="3">
        <f t="shared" si="0"/>
        <v>5760.7449221723409</v>
      </c>
      <c r="F774" s="3">
        <f t="shared" si="1"/>
        <v>50464125.518229708</v>
      </c>
      <c r="G774" s="3">
        <f t="shared" si="2"/>
        <v>15631080935223.143</v>
      </c>
      <c r="H774" s="3">
        <f t="shared" si="3"/>
        <v>63554505.428571433</v>
      </c>
      <c r="I774" s="3">
        <f t="shared" si="4"/>
        <v>1906635.162857143</v>
      </c>
      <c r="J774" s="3">
        <f t="shared" si="5"/>
        <v>15631088561763.793</v>
      </c>
    </row>
    <row r="775" spans="1:10" x14ac:dyDescent="0.25">
      <c r="A775" s="3">
        <v>774</v>
      </c>
      <c r="B775" s="3">
        <v>26.998214285714287</v>
      </c>
      <c r="C775" s="3">
        <v>0.726078799249531</v>
      </c>
      <c r="D775" s="3">
        <v>7945.5744642857153</v>
      </c>
      <c r="E775" s="3">
        <f t="shared" si="0"/>
        <v>5769.1131663763081</v>
      </c>
      <c r="F775" s="3">
        <f t="shared" si="1"/>
        <v>50537431.337456457</v>
      </c>
      <c r="G775" s="3">
        <f t="shared" si="2"/>
        <v>15653787158298.547</v>
      </c>
      <c r="H775" s="3">
        <f t="shared" si="3"/>
        <v>63564595.714285724</v>
      </c>
      <c r="I775" s="3">
        <f t="shared" si="4"/>
        <v>1906937.8714285716</v>
      </c>
      <c r="J775" s="3">
        <f t="shared" si="5"/>
        <v>15653794786050.033</v>
      </c>
    </row>
    <row r="776" spans="1:10" x14ac:dyDescent="0.25">
      <c r="A776" s="3">
        <v>775</v>
      </c>
      <c r="B776" s="3">
        <v>27.201428571428572</v>
      </c>
      <c r="C776" s="3">
        <v>0.72701688555347088</v>
      </c>
      <c r="D776" s="3">
        <v>8005.3804285714295</v>
      </c>
      <c r="E776" s="3">
        <f t="shared" si="0"/>
        <v>5820.0467468507104</v>
      </c>
      <c r="F776" s="3">
        <f t="shared" si="1"/>
        <v>50983609.502412215</v>
      </c>
      <c r="G776" s="3">
        <f t="shared" si="2"/>
        <v>15791989246253.008</v>
      </c>
      <c r="H776" s="3">
        <f t="shared" si="3"/>
        <v>64043043.428571433</v>
      </c>
      <c r="I776" s="3">
        <f t="shared" si="4"/>
        <v>1921291.3028571429</v>
      </c>
      <c r="J776" s="3">
        <f t="shared" si="5"/>
        <v>15791996931418.219</v>
      </c>
    </row>
    <row r="777" spans="1:10" x14ac:dyDescent="0.25">
      <c r="A777" s="3">
        <v>776</v>
      </c>
      <c r="B777" s="3">
        <v>27.411607142857143</v>
      </c>
      <c r="C777" s="3">
        <v>0.72795497185741087</v>
      </c>
      <c r="D777" s="3">
        <v>8067.2359821428563</v>
      </c>
      <c r="E777" s="3">
        <f t="shared" si="0"/>
        <v>5872.584542347895</v>
      </c>
      <c r="F777" s="3">
        <f t="shared" si="1"/>
        <v>51443840.590967551</v>
      </c>
      <c r="G777" s="3">
        <f t="shared" si="2"/>
        <v>15934544176782.018</v>
      </c>
      <c r="H777" s="3">
        <f t="shared" si="3"/>
        <v>64537887.857142851</v>
      </c>
      <c r="I777" s="3">
        <f t="shared" si="4"/>
        <v>1936136.6357142855</v>
      </c>
      <c r="J777" s="3">
        <f t="shared" si="5"/>
        <v>15934551921328.559</v>
      </c>
    </row>
    <row r="778" spans="1:10" x14ac:dyDescent="0.25">
      <c r="A778" s="3">
        <v>777</v>
      </c>
      <c r="B778" s="3">
        <v>27.442500000000003</v>
      </c>
      <c r="C778" s="3">
        <v>0.72889305816135086</v>
      </c>
      <c r="D778" s="3">
        <v>8076.3277500000022</v>
      </c>
      <c r="E778" s="3">
        <f t="shared" si="0"/>
        <v>5886.7792324108832</v>
      </c>
      <c r="F778" s="3">
        <f t="shared" si="1"/>
        <v>51568186.075919345</v>
      </c>
      <c r="G778" s="3">
        <f t="shared" si="2"/>
        <v>15973059752492.904</v>
      </c>
      <c r="H778" s="3">
        <f t="shared" si="3"/>
        <v>64610622.000000015</v>
      </c>
      <c r="I778" s="3">
        <f t="shared" si="4"/>
        <v>1938318.6600000004</v>
      </c>
      <c r="J778" s="3">
        <f t="shared" si="5"/>
        <v>15973067505767.545</v>
      </c>
    </row>
    <row r="779" spans="1:10" x14ac:dyDescent="0.25">
      <c r="A779" s="3">
        <v>778</v>
      </c>
      <c r="B779" s="3">
        <v>27.463214285714287</v>
      </c>
      <c r="C779" s="3">
        <v>0.72983114446529085</v>
      </c>
      <c r="D779" s="3">
        <v>8082.4239642857156</v>
      </c>
      <c r="E779" s="3">
        <f t="shared" si="0"/>
        <v>5898.8047319083371</v>
      </c>
      <c r="F779" s="3">
        <f t="shared" si="1"/>
        <v>51673529.451517031</v>
      </c>
      <c r="G779" s="3">
        <f t="shared" si="2"/>
        <v>16005689493345.805</v>
      </c>
      <c r="H779" s="3">
        <f t="shared" si="3"/>
        <v>64659391.714285724</v>
      </c>
      <c r="I779" s="3">
        <f t="shared" si="4"/>
        <v>1939781.7514285715</v>
      </c>
      <c r="J779" s="3">
        <f t="shared" si="5"/>
        <v>16005697252472.811</v>
      </c>
    </row>
    <row r="780" spans="1:10" x14ac:dyDescent="0.25">
      <c r="A780" s="3">
        <v>779</v>
      </c>
      <c r="B780" s="3">
        <v>27.468035714285712</v>
      </c>
      <c r="C780" s="3">
        <v>0.73076923076923073</v>
      </c>
      <c r="D780" s="3">
        <v>8083.8429107142856</v>
      </c>
      <c r="E780" s="3">
        <f t="shared" si="0"/>
        <v>5907.4236655219775</v>
      </c>
      <c r="F780" s="3">
        <f t="shared" si="1"/>
        <v>51749031.309972517</v>
      </c>
      <c r="G780" s="3">
        <f t="shared" si="2"/>
        <v>16029075931835.211</v>
      </c>
      <c r="H780" s="3">
        <f t="shared" si="3"/>
        <v>64670743.285714284</v>
      </c>
      <c r="I780" s="3">
        <f t="shared" si="4"/>
        <v>1940122.2985714285</v>
      </c>
      <c r="J780" s="3">
        <f t="shared" si="5"/>
        <v>16029083692324.406</v>
      </c>
    </row>
    <row r="781" spans="1:10" x14ac:dyDescent="0.25">
      <c r="A781" s="3">
        <v>780</v>
      </c>
      <c r="B781" s="3">
        <v>27.505178571428573</v>
      </c>
      <c r="C781" s="3">
        <v>0.73170731707317072</v>
      </c>
      <c r="D781" s="3">
        <v>8094.7740535714292</v>
      </c>
      <c r="E781" s="3">
        <f t="shared" si="0"/>
        <v>5923.0054050522649</v>
      </c>
      <c r="F781" s="3">
        <f t="shared" si="1"/>
        <v>51885527.348257832</v>
      </c>
      <c r="G781" s="3">
        <f t="shared" si="2"/>
        <v>16071355097703.877</v>
      </c>
      <c r="H781" s="3">
        <f t="shared" si="3"/>
        <v>64758192.428571433</v>
      </c>
      <c r="I781" s="3">
        <f t="shared" si="4"/>
        <v>1942745.7728571428</v>
      </c>
      <c r="J781" s="3">
        <f t="shared" si="5"/>
        <v>16071362868686.969</v>
      </c>
    </row>
    <row r="782" spans="1:10" x14ac:dyDescent="0.25">
      <c r="A782" s="3">
        <v>781</v>
      </c>
      <c r="B782" s="3">
        <v>27.632857142857144</v>
      </c>
      <c r="C782" s="3">
        <v>0.7326454033771107</v>
      </c>
      <c r="D782" s="3">
        <v>8132.3498571428581</v>
      </c>
      <c r="E782" s="3">
        <f t="shared" si="0"/>
        <v>5958.1287414902181</v>
      </c>
      <c r="F782" s="3">
        <f t="shared" si="1"/>
        <v>52193207.775454313</v>
      </c>
      <c r="G782" s="3">
        <f t="shared" si="2"/>
        <v>16166658011139.111</v>
      </c>
      <c r="H782" s="3">
        <f t="shared" si="3"/>
        <v>65058798.857142866</v>
      </c>
      <c r="I782" s="3">
        <f t="shared" si="4"/>
        <v>1951763.9657142858</v>
      </c>
      <c r="J782" s="3">
        <f t="shared" si="5"/>
        <v>16166665818194.973</v>
      </c>
    </row>
    <row r="783" spans="1:10" x14ac:dyDescent="0.25">
      <c r="A783" s="3">
        <v>782</v>
      </c>
      <c r="B783" s="3">
        <v>27.748750000000001</v>
      </c>
      <c r="C783" s="3">
        <v>0.73358348968105069</v>
      </c>
      <c r="D783" s="3">
        <v>8166.4571249999999</v>
      </c>
      <c r="E783" s="3">
        <f t="shared" si="0"/>
        <v>5990.7781160881805</v>
      </c>
      <c r="F783" s="3">
        <f t="shared" si="1"/>
        <v>52479216.296932466</v>
      </c>
      <c r="G783" s="3">
        <f t="shared" si="2"/>
        <v>16255248129968.84</v>
      </c>
      <c r="H783" s="3">
        <f t="shared" si="3"/>
        <v>65331657</v>
      </c>
      <c r="I783" s="3">
        <f t="shared" si="4"/>
        <v>1959949.71</v>
      </c>
      <c r="J783" s="3">
        <f t="shared" si="5"/>
        <v>16255255969767.682</v>
      </c>
    </row>
    <row r="784" spans="1:10" x14ac:dyDescent="0.25">
      <c r="A784" s="3">
        <v>783</v>
      </c>
      <c r="B784" s="3">
        <v>27.772321428571427</v>
      </c>
      <c r="C784" s="3">
        <v>0.73452157598499057</v>
      </c>
      <c r="D784" s="3">
        <v>8173.3941964285714</v>
      </c>
      <c r="E784" s="3">
        <f t="shared" si="0"/>
        <v>6003.5343863072894</v>
      </c>
      <c r="F784" s="3">
        <f t="shared" si="1"/>
        <v>52590961.224051856</v>
      </c>
      <c r="G784" s="3">
        <f t="shared" si="2"/>
        <v>16289860728485.578</v>
      </c>
      <c r="H784" s="3">
        <f t="shared" si="3"/>
        <v>65387153.571428575</v>
      </c>
      <c r="I784" s="3">
        <f t="shared" si="4"/>
        <v>1961614.6071428573</v>
      </c>
      <c r="J784" s="3">
        <f t="shared" si="5"/>
        <v>16289868574944.008</v>
      </c>
    </row>
    <row r="785" spans="1:10" x14ac:dyDescent="0.25">
      <c r="A785" s="3">
        <v>784</v>
      </c>
      <c r="B785" s="3">
        <v>27.815178571428572</v>
      </c>
      <c r="C785" s="3">
        <v>0.73545966228893056</v>
      </c>
      <c r="D785" s="3">
        <v>8186.0070535714294</v>
      </c>
      <c r="E785" s="3">
        <f t="shared" si="0"/>
        <v>6020.4779831144469</v>
      </c>
      <c r="F785" s="3">
        <f t="shared" si="1"/>
        <v>52739387.132082552</v>
      </c>
      <c r="G785" s="3">
        <f t="shared" si="2"/>
        <v>16335835128684.25</v>
      </c>
      <c r="H785" s="3">
        <f t="shared" si="3"/>
        <v>65488056.428571433</v>
      </c>
      <c r="I785" s="3">
        <f t="shared" si="4"/>
        <v>1964641.692857143</v>
      </c>
      <c r="J785" s="3">
        <f t="shared" si="5"/>
        <v>16335842987251.021</v>
      </c>
    </row>
    <row r="786" spans="1:10" x14ac:dyDescent="0.25">
      <c r="A786" s="3">
        <v>785</v>
      </c>
      <c r="B786" s="3">
        <v>27.839464285714282</v>
      </c>
      <c r="C786" s="3">
        <v>0.73639774859287055</v>
      </c>
      <c r="D786" s="3">
        <v>8193.1543392857147</v>
      </c>
      <c r="E786" s="3">
        <f t="shared" si="0"/>
        <v>6033.4204093239077</v>
      </c>
      <c r="F786" s="3">
        <f t="shared" si="1"/>
        <v>52852762.785677426</v>
      </c>
      <c r="G786" s="3">
        <f t="shared" si="2"/>
        <v>16370952838891.967</v>
      </c>
      <c r="H786" s="3">
        <f t="shared" si="3"/>
        <v>65545234.714285716</v>
      </c>
      <c r="I786" s="3">
        <f t="shared" si="4"/>
        <v>1966357.0414285713</v>
      </c>
      <c r="J786" s="3">
        <f t="shared" si="5"/>
        <v>16370960704320.133</v>
      </c>
    </row>
    <row r="787" spans="1:10" x14ac:dyDescent="0.25">
      <c r="A787" s="3">
        <v>786</v>
      </c>
      <c r="B787" s="3">
        <v>27.853750000000002</v>
      </c>
      <c r="C787" s="3">
        <v>0.73733583489681054</v>
      </c>
      <c r="D787" s="3">
        <v>8197.3586250000008</v>
      </c>
      <c r="E787" s="3">
        <f t="shared" si="0"/>
        <v>6044.2062657129463</v>
      </c>
      <c r="F787" s="3">
        <f t="shared" si="1"/>
        <v>52947246.887645409</v>
      </c>
      <c r="G787" s="3">
        <f t="shared" si="2"/>
        <v>16400218959065.352</v>
      </c>
      <c r="H787" s="3">
        <f t="shared" si="3"/>
        <v>65578869.000000007</v>
      </c>
      <c r="I787" s="3">
        <f t="shared" si="4"/>
        <v>1967366.07</v>
      </c>
      <c r="J787" s="3">
        <f t="shared" si="5"/>
        <v>16400226828529.633</v>
      </c>
    </row>
    <row r="788" spans="1:10" x14ac:dyDescent="0.25">
      <c r="A788" s="3">
        <v>787</v>
      </c>
      <c r="B788" s="3">
        <v>27.910535714285714</v>
      </c>
      <c r="C788" s="3">
        <v>0.73827392120075042</v>
      </c>
      <c r="D788" s="3">
        <v>8214.0706607142856</v>
      </c>
      <c r="E788" s="3">
        <f t="shared" si="0"/>
        <v>6064.2341557055743</v>
      </c>
      <c r="F788" s="3">
        <f t="shared" si="1"/>
        <v>53122691.203980833</v>
      </c>
      <c r="G788" s="3">
        <f t="shared" si="2"/>
        <v>16454562213971.9</v>
      </c>
      <c r="H788" s="3">
        <f t="shared" si="3"/>
        <v>65712565.285714284</v>
      </c>
      <c r="I788" s="3">
        <f t="shared" si="4"/>
        <v>1971376.9585714284</v>
      </c>
      <c r="J788" s="3">
        <f t="shared" si="5"/>
        <v>16454570099479.734</v>
      </c>
    </row>
    <row r="789" spans="1:10" x14ac:dyDescent="0.25">
      <c r="A789" s="3">
        <v>788</v>
      </c>
      <c r="B789" s="3">
        <v>27.91357142857143</v>
      </c>
      <c r="C789" s="3">
        <v>0.7392120075046904</v>
      </c>
      <c r="D789" s="3">
        <v>8214.9640714285724</v>
      </c>
      <c r="E789" s="3">
        <f t="shared" si="0"/>
        <v>6072.6000828196202</v>
      </c>
      <c r="F789" s="3">
        <f t="shared" si="1"/>
        <v>53195976.725499876</v>
      </c>
      <c r="G789" s="3">
        <f t="shared" si="2"/>
        <v>16477262150255.621</v>
      </c>
      <c r="H789" s="3">
        <f t="shared" si="3"/>
        <v>65719712.571428582</v>
      </c>
      <c r="I789" s="3">
        <f t="shared" si="4"/>
        <v>1971591.3771428573</v>
      </c>
      <c r="J789" s="3">
        <f t="shared" si="5"/>
        <v>16477270036621.129</v>
      </c>
    </row>
    <row r="790" spans="1:10" x14ac:dyDescent="0.25">
      <c r="A790" s="3">
        <v>789</v>
      </c>
      <c r="B790" s="3">
        <v>27.920714285714286</v>
      </c>
      <c r="C790" s="3">
        <v>0.74015009380863039</v>
      </c>
      <c r="D790" s="3">
        <v>8217.0662142857163</v>
      </c>
      <c r="E790" s="3">
        <f t="shared" si="0"/>
        <v>6081.8623293353003</v>
      </c>
      <c r="F790" s="3">
        <f t="shared" si="1"/>
        <v>53277114.004977226</v>
      </c>
      <c r="G790" s="3">
        <f t="shared" si="2"/>
        <v>16502394140284.328</v>
      </c>
      <c r="H790" s="3">
        <f t="shared" si="3"/>
        <v>65736529.714285731</v>
      </c>
      <c r="I790" s="3">
        <f t="shared" si="4"/>
        <v>1972095.8914285719</v>
      </c>
      <c r="J790" s="3">
        <f t="shared" si="5"/>
        <v>16502402028667.893</v>
      </c>
    </row>
    <row r="791" spans="1:10" x14ac:dyDescent="0.25">
      <c r="A791" s="3">
        <v>790</v>
      </c>
      <c r="B791" s="3">
        <v>27.966428571428569</v>
      </c>
      <c r="C791" s="3">
        <v>0.74108818011257038</v>
      </c>
      <c r="D791" s="3">
        <v>8230.519928571428</v>
      </c>
      <c r="E791" s="3">
        <f t="shared" si="0"/>
        <v>6099.5410352452427</v>
      </c>
      <c r="F791" s="3">
        <f t="shared" si="1"/>
        <v>53431979.468748331</v>
      </c>
      <c r="G791" s="3">
        <f t="shared" si="2"/>
        <v>16550363169822.301</v>
      </c>
      <c r="H791" s="3">
        <f t="shared" si="3"/>
        <v>65844159.428571425</v>
      </c>
      <c r="I791" s="3">
        <f t="shared" si="4"/>
        <v>1975324.7828571426</v>
      </c>
      <c r="J791" s="3">
        <f t="shared" si="5"/>
        <v>16550371071121.432</v>
      </c>
    </row>
    <row r="792" spans="1:10" x14ac:dyDescent="0.25">
      <c r="A792" s="3">
        <v>791</v>
      </c>
      <c r="B792" s="3">
        <v>28.054642857142859</v>
      </c>
      <c r="C792" s="3">
        <v>0.74202626641651037</v>
      </c>
      <c r="D792" s="3">
        <v>8256.4813928571439</v>
      </c>
      <c r="E792" s="3">
        <f t="shared" si="0"/>
        <v>6126.5260616791757</v>
      </c>
      <c r="F792" s="3">
        <f t="shared" si="1"/>
        <v>53668368.300309584</v>
      </c>
      <c r="G792" s="3">
        <f t="shared" si="2"/>
        <v>16623583768920.828</v>
      </c>
      <c r="H792" s="3">
        <f t="shared" si="3"/>
        <v>66051851.142857149</v>
      </c>
      <c r="I792" s="3">
        <f t="shared" si="4"/>
        <v>1981555.5342857144</v>
      </c>
      <c r="J792" s="3">
        <f t="shared" si="5"/>
        <v>16623591695142.967</v>
      </c>
    </row>
    <row r="793" spans="1:10" x14ac:dyDescent="0.25">
      <c r="A793" s="3">
        <v>792</v>
      </c>
      <c r="B793" s="3">
        <v>28.087142857142855</v>
      </c>
      <c r="C793" s="3">
        <v>0.74296435272045025</v>
      </c>
      <c r="D793" s="3">
        <v>8266.0461428571434</v>
      </c>
      <c r="E793" s="3">
        <f t="shared" si="0"/>
        <v>6141.3776220852324</v>
      </c>
      <c r="F793" s="3">
        <f t="shared" si="1"/>
        <v>53798467.969466642</v>
      </c>
      <c r="G793" s="3">
        <f t="shared" si="2"/>
        <v>16663881682858.641</v>
      </c>
      <c r="H793" s="3">
        <f t="shared" si="3"/>
        <v>66128369.142857149</v>
      </c>
      <c r="I793" s="3">
        <f t="shared" si="4"/>
        <v>1983851.0742857144</v>
      </c>
      <c r="J793" s="3">
        <f t="shared" si="5"/>
        <v>16663889618262.938</v>
      </c>
    </row>
    <row r="794" spans="1:10" x14ac:dyDescent="0.25">
      <c r="A794" s="3">
        <v>793</v>
      </c>
      <c r="B794" s="3">
        <v>28.205000000000002</v>
      </c>
      <c r="C794" s="3">
        <v>0.74390243902439024</v>
      </c>
      <c r="D794" s="3">
        <v>8300.7315000000017</v>
      </c>
      <c r="E794" s="3">
        <f t="shared" si="0"/>
        <v>6174.9344085365865</v>
      </c>
      <c r="F794" s="3">
        <f t="shared" si="1"/>
        <v>54092425.418780491</v>
      </c>
      <c r="G794" s="3">
        <f t="shared" si="2"/>
        <v>16754933954072.643</v>
      </c>
      <c r="H794" s="3">
        <f t="shared" si="3"/>
        <v>66405852.000000015</v>
      </c>
      <c r="I794" s="3">
        <f t="shared" si="4"/>
        <v>1992175.5600000003</v>
      </c>
      <c r="J794" s="3">
        <f t="shared" si="5"/>
        <v>16754941922774.883</v>
      </c>
    </row>
    <row r="795" spans="1:10" x14ac:dyDescent="0.25">
      <c r="A795" s="3">
        <v>794</v>
      </c>
      <c r="B795" s="3">
        <v>28.275714285714287</v>
      </c>
      <c r="C795" s="3">
        <v>0.74484052532833023</v>
      </c>
      <c r="D795" s="3">
        <v>8321.5427142857152</v>
      </c>
      <c r="E795" s="3">
        <f t="shared" si="0"/>
        <v>6198.2222468507107</v>
      </c>
      <c r="F795" s="3">
        <f t="shared" si="1"/>
        <v>54296426.882412225</v>
      </c>
      <c r="G795" s="3">
        <f t="shared" si="2"/>
        <v>16818122682774.467</v>
      </c>
      <c r="H795" s="3">
        <f t="shared" si="3"/>
        <v>66572341.714285724</v>
      </c>
      <c r="I795" s="3">
        <f t="shared" si="4"/>
        <v>1997170.2514285715</v>
      </c>
      <c r="J795" s="3">
        <f t="shared" si="5"/>
        <v>16818130671455.473</v>
      </c>
    </row>
    <row r="796" spans="1:10" x14ac:dyDescent="0.25">
      <c r="A796" s="3">
        <v>795</v>
      </c>
      <c r="B796" s="3">
        <v>28.301964285714284</v>
      </c>
      <c r="C796" s="3">
        <v>0.74577861163227022</v>
      </c>
      <c r="D796" s="3">
        <v>8329.2680892857152</v>
      </c>
      <c r="E796" s="3">
        <f t="shared" si="0"/>
        <v>6211.7899915404732</v>
      </c>
      <c r="F796" s="3">
        <f t="shared" si="1"/>
        <v>54415280.325894542</v>
      </c>
      <c r="G796" s="3">
        <f t="shared" si="2"/>
        <v>16854937118923.002</v>
      </c>
      <c r="H796" s="3">
        <f t="shared" si="3"/>
        <v>66634144.714285724</v>
      </c>
      <c r="I796" s="3">
        <f t="shared" si="4"/>
        <v>1999024.3414285716</v>
      </c>
      <c r="J796" s="3">
        <f t="shared" si="5"/>
        <v>16854945115020.367</v>
      </c>
    </row>
    <row r="797" spans="1:10" x14ac:dyDescent="0.25">
      <c r="A797" s="3">
        <v>796</v>
      </c>
      <c r="B797" s="3">
        <v>28.306607142857139</v>
      </c>
      <c r="C797" s="3">
        <v>0.74671669793621009</v>
      </c>
      <c r="D797" s="3">
        <v>8330.6344821428556</v>
      </c>
      <c r="E797" s="3">
        <f t="shared" si="0"/>
        <v>6220.6238722192429</v>
      </c>
      <c r="F797" s="3">
        <f t="shared" si="1"/>
        <v>54492665.120640568</v>
      </c>
      <c r="G797" s="3">
        <f t="shared" si="2"/>
        <v>16878906790474.656</v>
      </c>
      <c r="H797" s="3">
        <f t="shared" si="3"/>
        <v>66645075.857142843</v>
      </c>
      <c r="I797" s="3">
        <f t="shared" si="4"/>
        <v>1999352.2757142852</v>
      </c>
      <c r="J797" s="3">
        <f t="shared" si="5"/>
        <v>16878914787883.758</v>
      </c>
    </row>
    <row r="798" spans="1:10" x14ac:dyDescent="0.25">
      <c r="A798" s="3">
        <v>797</v>
      </c>
      <c r="B798" s="3">
        <v>28.326607142857142</v>
      </c>
      <c r="C798" s="3">
        <v>0.74765478424015008</v>
      </c>
      <c r="D798" s="3">
        <v>8336.5204821428561</v>
      </c>
      <c r="E798" s="3">
        <f t="shared" si="0"/>
        <v>6232.8394223901087</v>
      </c>
      <c r="F798" s="3">
        <f t="shared" si="1"/>
        <v>54599673.340137355</v>
      </c>
      <c r="G798" s="3">
        <f t="shared" si="2"/>
        <v>16912052211176.26</v>
      </c>
      <c r="H798" s="3">
        <f t="shared" si="3"/>
        <v>66692163.857142851</v>
      </c>
      <c r="I798" s="3">
        <f t="shared" si="4"/>
        <v>2000764.9157142853</v>
      </c>
      <c r="J798" s="3">
        <f t="shared" si="5"/>
        <v>16912060214235.924</v>
      </c>
    </row>
    <row r="799" spans="1:10" x14ac:dyDescent="0.25">
      <c r="A799" s="3">
        <v>798</v>
      </c>
      <c r="B799" s="3">
        <v>28.461071428571429</v>
      </c>
      <c r="C799" s="3">
        <v>0.74859287054409007</v>
      </c>
      <c r="D799" s="3">
        <v>8376.0933214285724</v>
      </c>
      <c r="E799" s="3">
        <f t="shared" si="0"/>
        <v>6270.2837434333969</v>
      </c>
      <c r="F799" s="3">
        <f t="shared" si="1"/>
        <v>54927685.592476562</v>
      </c>
      <c r="G799" s="3">
        <f t="shared" si="2"/>
        <v>17013652835300.367</v>
      </c>
      <c r="H799" s="3">
        <f t="shared" si="3"/>
        <v>67008746.571428582</v>
      </c>
      <c r="I799" s="3">
        <f t="shared" si="4"/>
        <v>2010262.3971428573</v>
      </c>
      <c r="J799" s="3">
        <f t="shared" si="5"/>
        <v>17013660876349.955</v>
      </c>
    </row>
    <row r="800" spans="1:10" x14ac:dyDescent="0.25">
      <c r="A800" s="3">
        <v>799</v>
      </c>
      <c r="B800" s="3">
        <v>28.53517857142857</v>
      </c>
      <c r="C800" s="3">
        <v>0.74953095684803006</v>
      </c>
      <c r="D800" s="3">
        <v>8397.9030535714264</v>
      </c>
      <c r="E800" s="3">
        <f t="shared" si="0"/>
        <v>6294.4883112603848</v>
      </c>
      <c r="F800" s="3">
        <f t="shared" si="1"/>
        <v>55139717.606640965</v>
      </c>
      <c r="G800" s="3">
        <f t="shared" si="2"/>
        <v>17079328998331.291</v>
      </c>
      <c r="H800" s="3">
        <f t="shared" si="3"/>
        <v>67183224.428571418</v>
      </c>
      <c r="I800" s="3">
        <f t="shared" si="4"/>
        <v>2015496.7328571426</v>
      </c>
      <c r="J800" s="3">
        <f t="shared" si="5"/>
        <v>17079337060318.223</v>
      </c>
    </row>
    <row r="801" spans="1:10" x14ac:dyDescent="0.25">
      <c r="A801" s="3">
        <v>800</v>
      </c>
      <c r="B801" s="3">
        <v>28.537857142857142</v>
      </c>
      <c r="C801" s="3">
        <v>0.75046904315196994</v>
      </c>
      <c r="D801" s="3">
        <v>8398.6913571428558</v>
      </c>
      <c r="E801" s="3">
        <f t="shared" si="0"/>
        <v>6302.9578665237186</v>
      </c>
      <c r="F801" s="3">
        <f t="shared" si="1"/>
        <v>55213910.910747766</v>
      </c>
      <c r="G801" s="3">
        <f t="shared" si="2"/>
        <v>17102310117236.73</v>
      </c>
      <c r="H801" s="3">
        <f t="shared" si="3"/>
        <v>67189530.857142851</v>
      </c>
      <c r="I801" s="3">
        <f t="shared" si="4"/>
        <v>2015685.9257142853</v>
      </c>
      <c r="J801" s="3">
        <f t="shared" si="5"/>
        <v>17102318179980.434</v>
      </c>
    </row>
    <row r="802" spans="1:10" x14ac:dyDescent="0.25">
      <c r="A802" s="3">
        <v>801</v>
      </c>
      <c r="B802" s="3">
        <v>28.581250000000004</v>
      </c>
      <c r="C802" s="3">
        <v>0.75140712945590993</v>
      </c>
      <c r="D802" s="3">
        <v>8411.4618750000027</v>
      </c>
      <c r="E802" s="3">
        <f t="shared" si="0"/>
        <v>6320.4324220215776</v>
      </c>
      <c r="F802" s="3">
        <f t="shared" si="1"/>
        <v>55366988.016909018</v>
      </c>
      <c r="G802" s="3">
        <f t="shared" si="2"/>
        <v>17149725209838.42</v>
      </c>
      <c r="H802" s="3">
        <f t="shared" si="3"/>
        <v>67291695.000000015</v>
      </c>
      <c r="I802" s="3">
        <f t="shared" si="4"/>
        <v>2018750.8500000003</v>
      </c>
      <c r="J802" s="3">
        <f t="shared" si="5"/>
        <v>17149733284841.82</v>
      </c>
    </row>
    <row r="803" spans="1:10" x14ac:dyDescent="0.25">
      <c r="A803" s="3">
        <v>802</v>
      </c>
      <c r="B803" s="3">
        <v>28.623214285714287</v>
      </c>
      <c r="C803" s="3">
        <v>0.75234521575984992</v>
      </c>
      <c r="D803" s="3">
        <v>8423.8119642857146</v>
      </c>
      <c r="E803" s="3">
        <f t="shared" si="0"/>
        <v>6337.6146297909409</v>
      </c>
      <c r="F803" s="3">
        <f t="shared" si="1"/>
        <v>55517504.156968646</v>
      </c>
      <c r="G803" s="3">
        <f t="shared" si="2"/>
        <v>17196347052440.051</v>
      </c>
      <c r="H803" s="3">
        <f t="shared" si="3"/>
        <v>67390495.714285716</v>
      </c>
      <c r="I803" s="3">
        <f t="shared" si="4"/>
        <v>2021714.8714285714</v>
      </c>
      <c r="J803" s="3">
        <f t="shared" si="5"/>
        <v>17196355139299.537</v>
      </c>
    </row>
    <row r="804" spans="1:10" x14ac:dyDescent="0.25">
      <c r="A804" s="3">
        <v>803</v>
      </c>
      <c r="B804" s="3">
        <v>28.647678571428571</v>
      </c>
      <c r="C804" s="3">
        <v>0.75328330206378991</v>
      </c>
      <c r="D804" s="3">
        <v>8431.0118035714295</v>
      </c>
      <c r="E804" s="3">
        <f t="shared" si="0"/>
        <v>6350.940411133075</v>
      </c>
      <c r="F804" s="3">
        <f t="shared" si="1"/>
        <v>55634238.001525745</v>
      </c>
      <c r="G804" s="3">
        <f t="shared" si="2"/>
        <v>17232504950647.717</v>
      </c>
      <c r="H804" s="3">
        <f t="shared" si="3"/>
        <v>67448094.428571433</v>
      </c>
      <c r="I804" s="3">
        <f t="shared" si="4"/>
        <v>2023442.8328571429</v>
      </c>
      <c r="J804" s="3">
        <f t="shared" si="5"/>
        <v>17232513044419.047</v>
      </c>
    </row>
    <row r="805" spans="1:10" x14ac:dyDescent="0.25">
      <c r="A805" s="3">
        <v>804</v>
      </c>
      <c r="B805" s="3">
        <v>28.687857142857144</v>
      </c>
      <c r="C805" s="3">
        <v>0.75422138836772978</v>
      </c>
      <c r="D805" s="3">
        <v>8442.8363571428581</v>
      </c>
      <c r="E805" s="3">
        <f t="shared" si="0"/>
        <v>6367.7677590458325</v>
      </c>
      <c r="F805" s="3">
        <f t="shared" si="1"/>
        <v>55781645.569241486</v>
      </c>
      <c r="G805" s="3">
        <f t="shared" si="2"/>
        <v>17278163924208.238</v>
      </c>
      <c r="H805" s="3">
        <f t="shared" si="3"/>
        <v>67542690.857142866</v>
      </c>
      <c r="I805" s="3">
        <f t="shared" si="4"/>
        <v>2026280.7257142859</v>
      </c>
      <c r="J805" s="3">
        <f t="shared" si="5"/>
        <v>17278172029331.143</v>
      </c>
    </row>
    <row r="806" spans="1:10" x14ac:dyDescent="0.25">
      <c r="A806" s="3">
        <v>805</v>
      </c>
      <c r="B806" s="3">
        <v>28.788928571428574</v>
      </c>
      <c r="C806" s="3">
        <v>0.75515947467166977</v>
      </c>
      <c r="D806" s="3">
        <v>8472.5816785714287</v>
      </c>
      <c r="E806" s="3">
        <f t="shared" si="0"/>
        <v>6398.1503295028142</v>
      </c>
      <c r="F806" s="3">
        <f t="shared" si="1"/>
        <v>56047796.886444651</v>
      </c>
      <c r="G806" s="3">
        <f t="shared" si="2"/>
        <v>17360603346793.719</v>
      </c>
      <c r="H806" s="3">
        <f t="shared" si="3"/>
        <v>67780653.428571433</v>
      </c>
      <c r="I806" s="3">
        <f t="shared" si="4"/>
        <v>2033419.6028571429</v>
      </c>
      <c r="J806" s="3">
        <f t="shared" si="5"/>
        <v>17360611480472.131</v>
      </c>
    </row>
    <row r="807" spans="1:10" x14ac:dyDescent="0.25">
      <c r="A807" s="3">
        <v>806</v>
      </c>
      <c r="B807" s="3">
        <v>29.097142857142856</v>
      </c>
      <c r="C807" s="3">
        <v>0.75609756097560976</v>
      </c>
      <c r="D807" s="3">
        <v>8563.2891428571438</v>
      </c>
      <c r="E807" s="3">
        <f t="shared" si="0"/>
        <v>6474.6820348432066</v>
      </c>
      <c r="F807" s="3">
        <f t="shared" si="1"/>
        <v>56718214.625226483</v>
      </c>
      <c r="G807" s="3">
        <f t="shared" si="2"/>
        <v>17568262838487.807</v>
      </c>
      <c r="H807" s="3">
        <f t="shared" si="3"/>
        <v>68506313.142857149</v>
      </c>
      <c r="I807" s="3">
        <f t="shared" si="4"/>
        <v>2055189.3942857145</v>
      </c>
      <c r="J807" s="3">
        <f t="shared" si="5"/>
        <v>17568271059245.385</v>
      </c>
    </row>
    <row r="808" spans="1:10" x14ac:dyDescent="0.25">
      <c r="A808" s="3">
        <v>807</v>
      </c>
      <c r="B808" s="3">
        <v>29.106071428571425</v>
      </c>
      <c r="C808" s="3">
        <v>0.75703564727954975</v>
      </c>
      <c r="D808" s="3">
        <v>8565.916821428571</v>
      </c>
      <c r="E808" s="3">
        <f t="shared" si="0"/>
        <v>6484.704385452962</v>
      </c>
      <c r="F808" s="3">
        <f t="shared" si="1"/>
        <v>56806010.416567944</v>
      </c>
      <c r="G808" s="3">
        <f t="shared" si="2"/>
        <v>17595457279061.504</v>
      </c>
      <c r="H808" s="3">
        <f t="shared" si="3"/>
        <v>68527334.571428567</v>
      </c>
      <c r="I808" s="3">
        <f t="shared" si="4"/>
        <v>2055820.037142857</v>
      </c>
      <c r="J808" s="3">
        <f t="shared" si="5"/>
        <v>17595465502341.656</v>
      </c>
    </row>
    <row r="809" spans="1:10" x14ac:dyDescent="0.25">
      <c r="A809" s="3">
        <v>808</v>
      </c>
      <c r="B809" s="3">
        <v>29.210535714285715</v>
      </c>
      <c r="C809" s="3">
        <v>0.75797373358348963</v>
      </c>
      <c r="D809" s="3">
        <v>8596.6606607142858</v>
      </c>
      <c r="E809" s="3">
        <f t="shared" si="0"/>
        <v>6516.0429773519163</v>
      </c>
      <c r="F809" s="3">
        <f t="shared" si="1"/>
        <v>57080536.481602781</v>
      </c>
      <c r="G809" s="3">
        <f t="shared" si="2"/>
        <v>17680490749900.496</v>
      </c>
      <c r="H809" s="3">
        <f t="shared" si="3"/>
        <v>68773285.285714284</v>
      </c>
      <c r="I809" s="3">
        <f t="shared" si="4"/>
        <v>2063198.5585714285</v>
      </c>
      <c r="J809" s="3">
        <f t="shared" si="5"/>
        <v>17680499002694.73</v>
      </c>
    </row>
    <row r="810" spans="1:10" x14ac:dyDescent="0.25">
      <c r="A810" s="3">
        <v>809</v>
      </c>
      <c r="B810" s="3">
        <v>29.233035714285716</v>
      </c>
      <c r="C810" s="3">
        <v>0.75891181988742962</v>
      </c>
      <c r="D810" s="3">
        <v>8603.2824107142878</v>
      </c>
      <c r="E810" s="3">
        <f t="shared" si="0"/>
        <v>6529.1327113206926</v>
      </c>
      <c r="F810" s="3">
        <f t="shared" si="1"/>
        <v>57195202.551169261</v>
      </c>
      <c r="G810" s="3">
        <f t="shared" si="2"/>
        <v>17716008162502.469</v>
      </c>
      <c r="H810" s="3">
        <f t="shared" si="3"/>
        <v>68826259.285714298</v>
      </c>
      <c r="I810" s="3">
        <f t="shared" si="4"/>
        <v>2064787.778571429</v>
      </c>
      <c r="J810" s="3">
        <f t="shared" si="5"/>
        <v>17716016421653.582</v>
      </c>
    </row>
    <row r="811" spans="1:10" x14ac:dyDescent="0.25">
      <c r="A811" s="3">
        <v>810</v>
      </c>
      <c r="B811" s="3">
        <v>29.378214285714282</v>
      </c>
      <c r="C811" s="3">
        <v>0.75984990619136961</v>
      </c>
      <c r="D811" s="3">
        <v>8646.0084642857146</v>
      </c>
      <c r="E811" s="3">
        <f t="shared" si="0"/>
        <v>6569.6687205172875</v>
      </c>
      <c r="F811" s="3">
        <f t="shared" si="1"/>
        <v>57550297.991731443</v>
      </c>
      <c r="G811" s="3">
        <f t="shared" si="2"/>
        <v>17825997707598.484</v>
      </c>
      <c r="H811" s="3">
        <f t="shared" si="3"/>
        <v>69168067.714285716</v>
      </c>
      <c r="I811" s="3">
        <f t="shared" si="4"/>
        <v>2075042.0314285713</v>
      </c>
      <c r="J811" s="3">
        <f t="shared" si="5"/>
        <v>17826006007766.609</v>
      </c>
    </row>
    <row r="812" spans="1:10" x14ac:dyDescent="0.25">
      <c r="A812" s="3">
        <v>811</v>
      </c>
      <c r="B812" s="3">
        <v>29.38625</v>
      </c>
      <c r="C812" s="3">
        <v>0.7607879924953096</v>
      </c>
      <c r="D812" s="3">
        <v>8648.3733749999992</v>
      </c>
      <c r="E812" s="3">
        <f t="shared" si="0"/>
        <v>6579.5786183161345</v>
      </c>
      <c r="F812" s="3">
        <f t="shared" si="1"/>
        <v>57637108.696449339</v>
      </c>
      <c r="G812" s="3">
        <f t="shared" si="2"/>
        <v>17852887021245.566</v>
      </c>
      <c r="H812" s="3">
        <f t="shared" si="3"/>
        <v>69186987</v>
      </c>
      <c r="I812" s="3">
        <f t="shared" si="4"/>
        <v>2075609.6099999999</v>
      </c>
      <c r="J812" s="3">
        <f t="shared" si="5"/>
        <v>17852895323684.004</v>
      </c>
    </row>
    <row r="813" spans="1:10" x14ac:dyDescent="0.25">
      <c r="A813" s="3">
        <v>812</v>
      </c>
      <c r="B813" s="3">
        <v>29.451964285714283</v>
      </c>
      <c r="C813" s="3">
        <v>0.76172607879924958</v>
      </c>
      <c r="D813" s="3">
        <v>8667.7130892857149</v>
      </c>
      <c r="E813" s="3">
        <f t="shared" si="0"/>
        <v>6602.4231036585379</v>
      </c>
      <c r="F813" s="3">
        <f t="shared" si="1"/>
        <v>57837226.388048798</v>
      </c>
      <c r="G813" s="3">
        <f t="shared" si="2"/>
        <v>17914872766388.684</v>
      </c>
      <c r="H813" s="3">
        <f t="shared" si="3"/>
        <v>69341704.714285716</v>
      </c>
      <c r="I813" s="3">
        <f t="shared" si="4"/>
        <v>2080251.1414285714</v>
      </c>
      <c r="J813" s="3">
        <f t="shared" si="5"/>
        <v>17914881087393.25</v>
      </c>
    </row>
    <row r="814" spans="1:10" x14ac:dyDescent="0.25">
      <c r="A814" s="3">
        <v>813</v>
      </c>
      <c r="B814" s="3">
        <v>29.497678571428569</v>
      </c>
      <c r="C814" s="3">
        <v>0.76266416510318946</v>
      </c>
      <c r="D814" s="3">
        <v>8681.1668035714265</v>
      </c>
      <c r="E814" s="3">
        <f t="shared" si="0"/>
        <v>6620.8148323673258</v>
      </c>
      <c r="F814" s="3">
        <f t="shared" si="1"/>
        <v>57998337.93153777</v>
      </c>
      <c r="G814" s="3">
        <f t="shared" si="2"/>
        <v>17964776497543.527</v>
      </c>
      <c r="H814" s="3">
        <f t="shared" si="3"/>
        <v>69449334.428571418</v>
      </c>
      <c r="I814" s="3">
        <f t="shared" si="4"/>
        <v>2083480.0328571424</v>
      </c>
      <c r="J814" s="3">
        <f t="shared" si="5"/>
        <v>17964784831463.656</v>
      </c>
    </row>
    <row r="815" spans="1:10" x14ac:dyDescent="0.25">
      <c r="A815" s="3">
        <v>814</v>
      </c>
      <c r="B815" s="3">
        <v>29.521249999999998</v>
      </c>
      <c r="C815" s="3">
        <v>0.76360225140712945</v>
      </c>
      <c r="D815" s="3">
        <v>8688.1038750000007</v>
      </c>
      <c r="E815" s="3">
        <f t="shared" si="0"/>
        <v>6634.255679409006</v>
      </c>
      <c r="F815" s="3">
        <f t="shared" si="1"/>
        <v>58116079.751622893</v>
      </c>
      <c r="G815" s="3">
        <f t="shared" si="2"/>
        <v>18001246612941.418</v>
      </c>
      <c r="H815" s="3">
        <f t="shared" si="3"/>
        <v>69504831</v>
      </c>
      <c r="I815" s="3">
        <f t="shared" si="4"/>
        <v>2085144.93</v>
      </c>
      <c r="J815" s="3">
        <f t="shared" si="5"/>
        <v>18001254953521.137</v>
      </c>
    </row>
    <row r="816" spans="1:10" x14ac:dyDescent="0.25">
      <c r="A816" s="3">
        <v>815</v>
      </c>
      <c r="B816" s="3">
        <v>29.522857142857145</v>
      </c>
      <c r="C816" s="3">
        <v>0.76454033771106944</v>
      </c>
      <c r="D816" s="3">
        <v>8688.576857142858</v>
      </c>
      <c r="E816" s="3">
        <f t="shared" si="0"/>
        <v>6642.7674845885831</v>
      </c>
      <c r="F816" s="3">
        <f t="shared" si="1"/>
        <v>58190643.164995983</v>
      </c>
      <c r="G816" s="3">
        <f t="shared" si="2"/>
        <v>18024342372216.336</v>
      </c>
      <c r="H816" s="3">
        <f t="shared" si="3"/>
        <v>69508614.857142866</v>
      </c>
      <c r="I816" s="3">
        <f t="shared" si="4"/>
        <v>2085258.4457142858</v>
      </c>
      <c r="J816" s="3">
        <f t="shared" si="5"/>
        <v>18024350713250.117</v>
      </c>
    </row>
    <row r="817" spans="1:10" x14ac:dyDescent="0.25">
      <c r="A817" s="3">
        <v>816</v>
      </c>
      <c r="B817" s="3">
        <v>29.55857142857143</v>
      </c>
      <c r="C817" s="3">
        <v>0.76547842401500943</v>
      </c>
      <c r="D817" s="3">
        <v>8699.0875714285721</v>
      </c>
      <c r="E817" s="3">
        <f t="shared" si="0"/>
        <v>6658.9638445456994</v>
      </c>
      <c r="F817" s="3">
        <f t="shared" si="1"/>
        <v>58332523.278220333</v>
      </c>
      <c r="G817" s="3">
        <f t="shared" si="2"/>
        <v>18068289237102.844</v>
      </c>
      <c r="H817" s="3">
        <f t="shared" si="3"/>
        <v>69592700.571428582</v>
      </c>
      <c r="I817" s="3">
        <f t="shared" si="4"/>
        <v>2087781.0171428574</v>
      </c>
      <c r="J817" s="3">
        <f t="shared" si="5"/>
        <v>18068297588226.91</v>
      </c>
    </row>
    <row r="818" spans="1:10" x14ac:dyDescent="0.25">
      <c r="A818" s="3">
        <v>817</v>
      </c>
      <c r="B818" s="3">
        <v>29.580000000000002</v>
      </c>
      <c r="C818" s="3">
        <v>0.76641651031894931</v>
      </c>
      <c r="D818" s="3">
        <v>8705.3940000000021</v>
      </c>
      <c r="E818" s="3">
        <f t="shared" si="0"/>
        <v>6671.9576904315209</v>
      </c>
      <c r="F818" s="3">
        <f t="shared" si="1"/>
        <v>58446349.368180119</v>
      </c>
      <c r="G818" s="3">
        <f t="shared" si="2"/>
        <v>18103546469225.879</v>
      </c>
      <c r="H818" s="3">
        <f t="shared" si="3"/>
        <v>69643152.000000015</v>
      </c>
      <c r="I818" s="3">
        <f t="shared" si="4"/>
        <v>2089294.5600000003</v>
      </c>
      <c r="J818" s="3">
        <f t="shared" si="5"/>
        <v>18103554826404.117</v>
      </c>
    </row>
    <row r="819" spans="1:10" x14ac:dyDescent="0.25">
      <c r="A819" s="3">
        <v>818</v>
      </c>
      <c r="B819" s="3">
        <v>29.611964285714283</v>
      </c>
      <c r="C819" s="3">
        <v>0.7673545966228893</v>
      </c>
      <c r="D819" s="3">
        <v>8714.8010892857146</v>
      </c>
      <c r="E819" s="3">
        <f t="shared" si="0"/>
        <v>6687.3426745175557</v>
      </c>
      <c r="F819" s="3">
        <f t="shared" si="1"/>
        <v>58581121.828773782</v>
      </c>
      <c r="G819" s="3">
        <f t="shared" si="2"/>
        <v>18145291764321.375</v>
      </c>
      <c r="H819" s="3">
        <f t="shared" si="3"/>
        <v>69718408.714285716</v>
      </c>
      <c r="I819" s="3">
        <f t="shared" si="4"/>
        <v>2091552.2614285713</v>
      </c>
      <c r="J819" s="3">
        <f t="shared" si="5"/>
        <v>18145300130530.422</v>
      </c>
    </row>
    <row r="820" spans="1:10" x14ac:dyDescent="0.25">
      <c r="A820" s="3">
        <v>819</v>
      </c>
      <c r="B820" s="3">
        <v>29.665892857142858</v>
      </c>
      <c r="C820" s="3">
        <v>0.76829268292682928</v>
      </c>
      <c r="D820" s="3">
        <v>8730.6722678571441</v>
      </c>
      <c r="E820" s="3">
        <f t="shared" si="0"/>
        <v>6707.7116204268305</v>
      </c>
      <c r="F820" s="3">
        <f t="shared" si="1"/>
        <v>58759553.794939034</v>
      </c>
      <c r="G820" s="3">
        <f t="shared" si="2"/>
        <v>18200560434249.742</v>
      </c>
      <c r="H820" s="3">
        <f t="shared" si="3"/>
        <v>69845378.142857149</v>
      </c>
      <c r="I820" s="3">
        <f t="shared" si="4"/>
        <v>2095361.3442857144</v>
      </c>
      <c r="J820" s="3">
        <f t="shared" si="5"/>
        <v>18200568815695.117</v>
      </c>
    </row>
    <row r="821" spans="1:10" x14ac:dyDescent="0.25">
      <c r="A821" s="3">
        <v>820</v>
      </c>
      <c r="B821" s="3">
        <v>29.685178571428569</v>
      </c>
      <c r="C821" s="3">
        <v>0.76923076923076927</v>
      </c>
      <c r="D821" s="3">
        <v>8736.348053571428</v>
      </c>
      <c r="E821" s="3">
        <f t="shared" si="0"/>
        <v>6720.2677335164835</v>
      </c>
      <c r="F821" s="3">
        <f t="shared" si="1"/>
        <v>58869545.34560439</v>
      </c>
      <c r="G821" s="3">
        <f t="shared" si="2"/>
        <v>18234629931677.34</v>
      </c>
      <c r="H821" s="3">
        <f t="shared" si="3"/>
        <v>69890784.428571418</v>
      </c>
      <c r="I821" s="3">
        <f t="shared" si="4"/>
        <v>2096723.5328571424</v>
      </c>
      <c r="J821" s="3">
        <f t="shared" si="5"/>
        <v>18234638318571.469</v>
      </c>
    </row>
    <row r="822" spans="1:10" x14ac:dyDescent="0.25">
      <c r="A822" s="3">
        <v>821</v>
      </c>
      <c r="B822" s="3">
        <v>29.857499999999998</v>
      </c>
      <c r="C822" s="3">
        <v>0.77016885553470915</v>
      </c>
      <c r="D822" s="3">
        <v>8787.0622500000009</v>
      </c>
      <c r="E822" s="3">
        <f t="shared" si="0"/>
        <v>6767.5216765947471</v>
      </c>
      <c r="F822" s="3">
        <f t="shared" si="1"/>
        <v>59283489.886969984</v>
      </c>
      <c r="G822" s="3">
        <f t="shared" si="2"/>
        <v>18362847774796.984</v>
      </c>
      <c r="H822" s="3">
        <f t="shared" si="3"/>
        <v>70296498</v>
      </c>
      <c r="I822" s="3">
        <f t="shared" si="4"/>
        <v>2108894.94</v>
      </c>
      <c r="J822" s="3">
        <f t="shared" si="5"/>
        <v>18362856210376.746</v>
      </c>
    </row>
    <row r="823" spans="1:10" x14ac:dyDescent="0.25">
      <c r="A823" s="3">
        <v>822</v>
      </c>
      <c r="B823" s="3">
        <v>29.938928571428569</v>
      </c>
      <c r="C823" s="3">
        <v>0.77110694183864914</v>
      </c>
      <c r="D823" s="3">
        <v>8811.0266785714266</v>
      </c>
      <c r="E823" s="3">
        <f t="shared" si="0"/>
        <v>6794.2438365719627</v>
      </c>
      <c r="F823" s="3">
        <f t="shared" si="1"/>
        <v>59517576.008370385</v>
      </c>
      <c r="G823" s="3">
        <f t="shared" si="2"/>
        <v>18435355119294.566</v>
      </c>
      <c r="H823" s="3">
        <f t="shared" si="3"/>
        <v>70488213.428571418</v>
      </c>
      <c r="I823" s="3">
        <f t="shared" si="4"/>
        <v>2114646.4028571425</v>
      </c>
      <c r="J823" s="3">
        <f t="shared" si="5"/>
        <v>18435363577880.176</v>
      </c>
    </row>
    <row r="824" spans="1:10" x14ac:dyDescent="0.25">
      <c r="A824" s="3">
        <v>823</v>
      </c>
      <c r="B824" s="3">
        <v>29.993750000000002</v>
      </c>
      <c r="C824" s="3">
        <v>0.77204502814258913</v>
      </c>
      <c r="D824" s="3">
        <v>8827.1606250000023</v>
      </c>
      <c r="E824" s="3">
        <f t="shared" si="0"/>
        <v>6814.965473147281</v>
      </c>
      <c r="F824" s="3">
        <f t="shared" si="1"/>
        <v>59699097.544770181</v>
      </c>
      <c r="G824" s="3">
        <f t="shared" si="2"/>
        <v>18491580772678.563</v>
      </c>
      <c r="H824" s="3">
        <f t="shared" si="3"/>
        <v>70617285.000000015</v>
      </c>
      <c r="I824" s="3">
        <f t="shared" si="4"/>
        <v>2118518.5500000003</v>
      </c>
      <c r="J824" s="3">
        <f t="shared" si="5"/>
        <v>18491589246752.762</v>
      </c>
    </row>
    <row r="825" spans="1:10" x14ac:dyDescent="0.25">
      <c r="A825" s="3">
        <v>824</v>
      </c>
      <c r="B825" s="3">
        <v>30.034285714285712</v>
      </c>
      <c r="C825" s="3">
        <v>0.77298311444652912</v>
      </c>
      <c r="D825" s="3">
        <v>8839.0902857142846</v>
      </c>
      <c r="E825" s="3">
        <f t="shared" si="0"/>
        <v>6832.4675379254886</v>
      </c>
      <c r="F825" s="3">
        <f t="shared" si="1"/>
        <v>59852415.632227279</v>
      </c>
      <c r="G825" s="3">
        <f t="shared" si="2"/>
        <v>18539070509211.445</v>
      </c>
      <c r="H825" s="3">
        <f t="shared" si="3"/>
        <v>70712722.285714284</v>
      </c>
      <c r="I825" s="3">
        <f t="shared" si="4"/>
        <v>2121381.6685714284</v>
      </c>
      <c r="J825" s="3">
        <f t="shared" si="5"/>
        <v>18539078994738.117</v>
      </c>
    </row>
    <row r="826" spans="1:10" x14ac:dyDescent="0.25">
      <c r="A826" s="3">
        <v>825</v>
      </c>
      <c r="B826" s="3">
        <v>30.122499999999999</v>
      </c>
      <c r="C826" s="3">
        <v>0.773921200750469</v>
      </c>
      <c r="D826" s="3">
        <v>8865.0517500000005</v>
      </c>
      <c r="E826" s="3">
        <f t="shared" si="0"/>
        <v>6860.8514950750468</v>
      </c>
      <c r="F826" s="3">
        <f t="shared" si="1"/>
        <v>60101059.096857414</v>
      </c>
      <c r="G826" s="3">
        <f t="shared" si="2"/>
        <v>18616086938572.051</v>
      </c>
      <c r="H826" s="3">
        <f t="shared" si="3"/>
        <v>70920414</v>
      </c>
      <c r="I826" s="3">
        <f t="shared" si="4"/>
        <v>2127612.42</v>
      </c>
      <c r="J826" s="3">
        <f t="shared" si="5"/>
        <v>18616095449021.734</v>
      </c>
    </row>
    <row r="827" spans="1:10" x14ac:dyDescent="0.25">
      <c r="A827" s="3">
        <v>826</v>
      </c>
      <c r="B827" s="3">
        <v>30.211607142857144</v>
      </c>
      <c r="C827" s="3">
        <v>0.77485928705440899</v>
      </c>
      <c r="D827" s="3">
        <v>8891.275982142859</v>
      </c>
      <c r="E827" s="3">
        <f t="shared" si="0"/>
        <v>6889.4877685272058</v>
      </c>
      <c r="F827" s="3">
        <f t="shared" si="1"/>
        <v>60351912.852298319</v>
      </c>
      <c r="G827" s="3">
        <f t="shared" si="2"/>
        <v>18693787997624.07</v>
      </c>
      <c r="H827" s="3">
        <f t="shared" si="3"/>
        <v>71130207.857142866</v>
      </c>
      <c r="I827" s="3">
        <f t="shared" si="4"/>
        <v>2133906.2357142861</v>
      </c>
      <c r="J827" s="3">
        <f t="shared" si="5"/>
        <v>18693796533249.012</v>
      </c>
    </row>
    <row r="828" spans="1:10" x14ac:dyDescent="0.25">
      <c r="A828" s="3">
        <v>827</v>
      </c>
      <c r="B828" s="3">
        <v>30.215000000000003</v>
      </c>
      <c r="C828" s="3">
        <v>0.77579737335834897</v>
      </c>
      <c r="D828" s="3">
        <v>8892.2745000000014</v>
      </c>
      <c r="E828" s="3">
        <f t="shared" si="0"/>
        <v>6898.6032002814272</v>
      </c>
      <c r="F828" s="3">
        <f t="shared" si="1"/>
        <v>60431764.034465298</v>
      </c>
      <c r="G828" s="3">
        <f t="shared" si="2"/>
        <v>18718521624512.914</v>
      </c>
      <c r="H828" s="3">
        <f t="shared" si="3"/>
        <v>71138196.000000015</v>
      </c>
      <c r="I828" s="3">
        <f t="shared" si="4"/>
        <v>2134145.8800000004</v>
      </c>
      <c r="J828" s="3">
        <f t="shared" si="5"/>
        <v>18718530161096.434</v>
      </c>
    </row>
    <row r="829" spans="1:10" x14ac:dyDescent="0.25">
      <c r="A829" s="3">
        <v>828</v>
      </c>
      <c r="B829" s="3">
        <v>30.24642857142857</v>
      </c>
      <c r="C829" s="3">
        <v>0.77673545966228896</v>
      </c>
      <c r="D829" s="3">
        <v>8901.5239285714269</v>
      </c>
      <c r="E829" s="3">
        <f t="shared" si="0"/>
        <v>6914.1292803537917</v>
      </c>
      <c r="F829" s="3">
        <f t="shared" si="1"/>
        <v>60567772.495899215</v>
      </c>
      <c r="G829" s="3">
        <f t="shared" si="2"/>
        <v>18760649766750.531</v>
      </c>
      <c r="H829" s="3">
        <f t="shared" si="3"/>
        <v>71212191.428571418</v>
      </c>
      <c r="I829" s="3">
        <f t="shared" si="4"/>
        <v>2136365.7428571424</v>
      </c>
      <c r="J829" s="3">
        <f t="shared" si="5"/>
        <v>18760658312213.504</v>
      </c>
    </row>
    <row r="830" spans="1:10" x14ac:dyDescent="0.25">
      <c r="A830" s="3">
        <v>829</v>
      </c>
      <c r="B830" s="3">
        <v>30.367321428571429</v>
      </c>
      <c r="C830" s="3">
        <v>0.77767354596622884</v>
      </c>
      <c r="D830" s="3">
        <v>8937.102696428572</v>
      </c>
      <c r="E830" s="3">
        <f t="shared" si="0"/>
        <v>6950.1483445959529</v>
      </c>
      <c r="F830" s="3">
        <f t="shared" si="1"/>
        <v>60883299.49866055</v>
      </c>
      <c r="G830" s="3">
        <f t="shared" si="2"/>
        <v>18858383131779.82</v>
      </c>
      <c r="H830" s="3">
        <f t="shared" si="3"/>
        <v>71496821.571428582</v>
      </c>
      <c r="I830" s="3">
        <f t="shared" si="4"/>
        <v>2144904.6471428573</v>
      </c>
      <c r="J830" s="3">
        <f t="shared" si="5"/>
        <v>18858391711398.41</v>
      </c>
    </row>
    <row r="831" spans="1:10" x14ac:dyDescent="0.25">
      <c r="A831" s="3">
        <v>830</v>
      </c>
      <c r="B831" s="3">
        <v>30.480178571428571</v>
      </c>
      <c r="C831" s="3">
        <v>0.77861163227016883</v>
      </c>
      <c r="D831" s="3">
        <v>8970.3165535714288</v>
      </c>
      <c r="E831" s="3">
        <f t="shared" si="0"/>
        <v>6984.3928137563653</v>
      </c>
      <c r="F831" s="3">
        <f t="shared" si="1"/>
        <v>61183281.048505768</v>
      </c>
      <c r="G831" s="3">
        <f t="shared" si="2"/>
        <v>18951301348737.094</v>
      </c>
      <c r="H831" s="3">
        <f t="shared" si="3"/>
        <v>71762532.428571433</v>
      </c>
      <c r="I831" s="3">
        <f t="shared" si="4"/>
        <v>2152875.9728571428</v>
      </c>
      <c r="J831" s="3">
        <f t="shared" si="5"/>
        <v>18951309960240.984</v>
      </c>
    </row>
    <row r="832" spans="1:10" x14ac:dyDescent="0.25">
      <c r="A832" s="3">
        <v>831</v>
      </c>
      <c r="B832" s="3">
        <v>30.508392857142859</v>
      </c>
      <c r="C832" s="3">
        <v>0.77954971857410882</v>
      </c>
      <c r="D832" s="3">
        <v>8978.6200178571435</v>
      </c>
      <c r="E832" s="3">
        <f t="shared" si="0"/>
        <v>6999.2807081043957</v>
      </c>
      <c r="F832" s="3">
        <f t="shared" si="1"/>
        <v>61313699.002994515</v>
      </c>
      <c r="G832" s="3">
        <f t="shared" si="2"/>
        <v>18991697851667.777</v>
      </c>
      <c r="H832" s="3">
        <f t="shared" si="3"/>
        <v>71828960.142857149</v>
      </c>
      <c r="I832" s="3">
        <f t="shared" si="4"/>
        <v>2154868.8042857144</v>
      </c>
      <c r="J832" s="3">
        <f t="shared" si="5"/>
        <v>18991706471142.996</v>
      </c>
    </row>
    <row r="833" spans="1:10" x14ac:dyDescent="0.25">
      <c r="A833" s="3">
        <v>832</v>
      </c>
      <c r="B833" s="3">
        <v>30.564821428571427</v>
      </c>
      <c r="C833" s="3">
        <v>0.78048780487804881</v>
      </c>
      <c r="D833" s="3">
        <v>8995.226946428571</v>
      </c>
      <c r="E833" s="3">
        <f t="shared" si="0"/>
        <v>7020.6649337979097</v>
      </c>
      <c r="F833" s="3">
        <f t="shared" si="1"/>
        <v>61501024.820069686</v>
      </c>
      <c r="G833" s="3">
        <f t="shared" si="2"/>
        <v>19049721360487.266</v>
      </c>
      <c r="H833" s="3">
        <f t="shared" si="3"/>
        <v>71961815.571428567</v>
      </c>
      <c r="I833" s="3">
        <f t="shared" si="4"/>
        <v>2158854.4671428571</v>
      </c>
      <c r="J833" s="3">
        <f t="shared" si="5"/>
        <v>19049729995905.137</v>
      </c>
    </row>
    <row r="834" spans="1:10" x14ac:dyDescent="0.25">
      <c r="A834" s="3">
        <v>833</v>
      </c>
      <c r="B834" s="3">
        <v>30.616607142857141</v>
      </c>
      <c r="C834" s="3">
        <v>0.7814258911819888</v>
      </c>
      <c r="D834" s="3">
        <v>9010.4674821428562</v>
      </c>
      <c r="E834" s="3">
        <f t="shared" si="0"/>
        <v>7041.0125821998117</v>
      </c>
      <c r="F834" s="3">
        <f t="shared" si="1"/>
        <v>61679270.220070347</v>
      </c>
      <c r="G834" s="3">
        <f t="shared" si="2"/>
        <v>19104932242796.023</v>
      </c>
      <c r="H834" s="3">
        <f t="shared" si="3"/>
        <v>72083739.857142851</v>
      </c>
      <c r="I834" s="3">
        <f t="shared" si="4"/>
        <v>2162512.1957142856</v>
      </c>
      <c r="J834" s="3">
        <f t="shared" si="5"/>
        <v>19104940892844.805</v>
      </c>
    </row>
    <row r="835" spans="1:10" x14ac:dyDescent="0.25">
      <c r="A835" s="3">
        <v>834</v>
      </c>
      <c r="B835" s="3">
        <v>30.768035714285713</v>
      </c>
      <c r="C835" s="3">
        <v>0.78236397748592867</v>
      </c>
      <c r="D835" s="3">
        <v>9055.0329107142861</v>
      </c>
      <c r="E835" s="3">
        <f t="shared" si="0"/>
        <v>7084.3315642924154</v>
      </c>
      <c r="F835" s="3">
        <f t="shared" si="1"/>
        <v>62058744.503201567</v>
      </c>
      <c r="G835" s="3">
        <f t="shared" si="2"/>
        <v>19222473048400.508</v>
      </c>
      <c r="H835" s="3">
        <f t="shared" si="3"/>
        <v>72440263.285714284</v>
      </c>
      <c r="I835" s="3">
        <f t="shared" si="4"/>
        <v>2173207.8985714284</v>
      </c>
      <c r="J835" s="3">
        <f t="shared" si="5"/>
        <v>19222481741232.102</v>
      </c>
    </row>
    <row r="836" spans="1:10" x14ac:dyDescent="0.25">
      <c r="A836" s="3">
        <v>835</v>
      </c>
      <c r="B836" s="3">
        <v>30.84767857142857</v>
      </c>
      <c r="C836" s="3">
        <v>0.78330206378986866</v>
      </c>
      <c r="D836" s="3">
        <v>9078.4718035714268</v>
      </c>
      <c r="E836" s="3">
        <f t="shared" si="0"/>
        <v>7111.1856997956302</v>
      </c>
      <c r="F836" s="3">
        <f t="shared" si="1"/>
        <v>62293986.730209716</v>
      </c>
      <c r="G836" s="3">
        <f t="shared" si="2"/>
        <v>19295338493121.078</v>
      </c>
      <c r="H836" s="3">
        <f t="shared" si="3"/>
        <v>72627774.428571418</v>
      </c>
      <c r="I836" s="3">
        <f t="shared" si="4"/>
        <v>2178833.2328571426</v>
      </c>
      <c r="J836" s="3">
        <f t="shared" si="5"/>
        <v>19295347208454.012</v>
      </c>
    </row>
    <row r="837" spans="1:10" x14ac:dyDescent="0.25">
      <c r="A837" s="3">
        <v>836</v>
      </c>
      <c r="B837" s="3">
        <v>30.857499999999998</v>
      </c>
      <c r="C837" s="3">
        <v>0.78424015009380865</v>
      </c>
      <c r="D837" s="3">
        <v>9081.3622500000001</v>
      </c>
      <c r="E837" s="3">
        <f t="shared" si="0"/>
        <v>7121.968893996248</v>
      </c>
      <c r="F837" s="3">
        <f t="shared" si="1"/>
        <v>62388447.511407137</v>
      </c>
      <c r="G837" s="3">
        <f t="shared" si="2"/>
        <v>19324597391027.625</v>
      </c>
      <c r="H837" s="3">
        <f t="shared" si="3"/>
        <v>72650898</v>
      </c>
      <c r="I837" s="3">
        <f t="shared" si="4"/>
        <v>2179526.94</v>
      </c>
      <c r="J837" s="3">
        <f t="shared" si="5"/>
        <v>19324606109135.387</v>
      </c>
    </row>
    <row r="838" spans="1:10" x14ac:dyDescent="0.25">
      <c r="A838" s="3">
        <v>837</v>
      </c>
      <c r="B838" s="3">
        <v>30.888392857142858</v>
      </c>
      <c r="C838" s="3">
        <v>0.78517823639774864</v>
      </c>
      <c r="D838" s="3">
        <v>9090.4540178571442</v>
      </c>
      <c r="E838" s="3">
        <f t="shared" si="0"/>
        <v>7137.6266537959009</v>
      </c>
      <c r="F838" s="3">
        <f t="shared" si="1"/>
        <v>62525609.487252086</v>
      </c>
      <c r="G838" s="3">
        <f t="shared" si="2"/>
        <v>19367082830520.848</v>
      </c>
      <c r="H838" s="3">
        <f t="shared" si="3"/>
        <v>72723632.142857149</v>
      </c>
      <c r="I838" s="3">
        <f t="shared" si="4"/>
        <v>2181708.9642857146</v>
      </c>
      <c r="J838" s="3">
        <f t="shared" si="5"/>
        <v>19367091557356.707</v>
      </c>
    </row>
    <row r="839" spans="1:10" x14ac:dyDescent="0.25">
      <c r="A839" s="3">
        <v>838</v>
      </c>
      <c r="B839" s="3">
        <v>30.90267857142857</v>
      </c>
      <c r="C839" s="3">
        <v>0.78611632270168852</v>
      </c>
      <c r="D839" s="3">
        <v>9094.6583035714266</v>
      </c>
      <c r="E839" s="3">
        <f t="shared" si="0"/>
        <v>7149.4593418319464</v>
      </c>
      <c r="F839" s="3">
        <f t="shared" si="1"/>
        <v>62629263.834447853</v>
      </c>
      <c r="G839" s="3">
        <f t="shared" si="2"/>
        <v>19399189402476.891</v>
      </c>
      <c r="H839" s="3">
        <f t="shared" si="3"/>
        <v>72757266.428571418</v>
      </c>
      <c r="I839" s="3">
        <f t="shared" si="4"/>
        <v>2182717.9928571424</v>
      </c>
      <c r="J839" s="3">
        <f t="shared" si="5"/>
        <v>19399198133348.863</v>
      </c>
    </row>
    <row r="840" spans="1:10" x14ac:dyDescent="0.25">
      <c r="A840" s="3">
        <v>839</v>
      </c>
      <c r="B840" s="3">
        <v>30.921607142857141</v>
      </c>
      <c r="C840" s="3">
        <v>0.78705440900562851</v>
      </c>
      <c r="D840" s="3">
        <v>9100.2289821428567</v>
      </c>
      <c r="E840" s="3">
        <f t="shared" si="0"/>
        <v>7162.3753433563379</v>
      </c>
      <c r="F840" s="3">
        <f t="shared" si="1"/>
        <v>62742408.007801518</v>
      </c>
      <c r="G840" s="3">
        <f t="shared" si="2"/>
        <v>19434235413993.035</v>
      </c>
      <c r="H840" s="3">
        <f t="shared" si="3"/>
        <v>72801831.857142851</v>
      </c>
      <c r="I840" s="3">
        <f t="shared" si="4"/>
        <v>2184054.9557142854</v>
      </c>
      <c r="J840" s="3">
        <f t="shared" si="5"/>
        <v>19434244150212.859</v>
      </c>
    </row>
    <row r="841" spans="1:10" x14ac:dyDescent="0.25">
      <c r="A841" s="3">
        <v>840</v>
      </c>
      <c r="B841" s="3">
        <v>31.042678571428571</v>
      </c>
      <c r="C841" s="3">
        <v>0.7879924953095685</v>
      </c>
      <c r="D841" s="3">
        <v>9135.8603035714295</v>
      </c>
      <c r="E841" s="3">
        <f t="shared" si="0"/>
        <v>7198.9893574108828</v>
      </c>
      <c r="F841" s="3">
        <f t="shared" si="1"/>
        <v>63063146.77091933</v>
      </c>
      <c r="G841" s="3">
        <f t="shared" si="2"/>
        <v>19533583103739.387</v>
      </c>
      <c r="H841" s="3">
        <f t="shared" si="3"/>
        <v>73086882.428571433</v>
      </c>
      <c r="I841" s="3">
        <f t="shared" si="4"/>
        <v>2192606.4728571428</v>
      </c>
      <c r="J841" s="3">
        <f t="shared" si="5"/>
        <v>19533591874165.277</v>
      </c>
    </row>
    <row r="842" spans="1:10" x14ac:dyDescent="0.25">
      <c r="A842" s="3">
        <v>841</v>
      </c>
      <c r="B842" s="3">
        <v>31.058214285714289</v>
      </c>
      <c r="C842" s="3">
        <v>0.78893058161350849</v>
      </c>
      <c r="D842" s="3">
        <v>9140.4324642857136</v>
      </c>
      <c r="E842" s="3">
        <f t="shared" si="0"/>
        <v>7211.1667002479226</v>
      </c>
      <c r="F842" s="3">
        <f t="shared" si="1"/>
        <v>63169820.294171803</v>
      </c>
      <c r="G842" s="3">
        <f t="shared" si="2"/>
        <v>19566624854696.734</v>
      </c>
      <c r="H842" s="3">
        <f t="shared" si="3"/>
        <v>73123459.714285716</v>
      </c>
      <c r="I842" s="3">
        <f t="shared" si="4"/>
        <v>2193703.7914285716</v>
      </c>
      <c r="J842" s="3">
        <f t="shared" si="5"/>
        <v>19566633629511.902</v>
      </c>
    </row>
    <row r="843" spans="1:10" x14ac:dyDescent="0.25">
      <c r="A843" s="3">
        <v>842</v>
      </c>
      <c r="B843" s="3">
        <v>31.104285714285712</v>
      </c>
      <c r="C843" s="3">
        <v>0.78986866791744836</v>
      </c>
      <c r="D843" s="3">
        <v>9153.9912857142863</v>
      </c>
      <c r="E843" s="3">
        <f t="shared" si="0"/>
        <v>7230.4509029750734</v>
      </c>
      <c r="F843" s="3">
        <f t="shared" si="1"/>
        <v>63338749.910061643</v>
      </c>
      <c r="G843" s="3">
        <f t="shared" si="2"/>
        <v>19618950206670.984</v>
      </c>
      <c r="H843" s="3">
        <f t="shared" si="3"/>
        <v>73231930.285714284</v>
      </c>
      <c r="I843" s="3">
        <f t="shared" si="4"/>
        <v>2196957.9085714286</v>
      </c>
      <c r="J843" s="3">
        <f t="shared" si="5"/>
        <v>19618958994502.621</v>
      </c>
    </row>
    <row r="844" spans="1:10" x14ac:dyDescent="0.25">
      <c r="A844" s="3">
        <v>843</v>
      </c>
      <c r="B844" s="3">
        <v>31.174464285714283</v>
      </c>
      <c r="C844" s="3">
        <v>0.79080675422138835</v>
      </c>
      <c r="D844" s="3">
        <v>9174.6448392857146</v>
      </c>
      <c r="E844" s="3">
        <f t="shared" si="0"/>
        <v>7255.3711064895469</v>
      </c>
      <c r="F844" s="3">
        <f t="shared" si="1"/>
        <v>63557050.892848432</v>
      </c>
      <c r="G844" s="3">
        <f t="shared" si="2"/>
        <v>19686568162187.816</v>
      </c>
      <c r="H844" s="3">
        <f t="shared" si="3"/>
        <v>73397158.714285716</v>
      </c>
      <c r="I844" s="3">
        <f t="shared" si="4"/>
        <v>2201914.7614285713</v>
      </c>
      <c r="J844" s="3">
        <f t="shared" si="5"/>
        <v>19686576969846.863</v>
      </c>
    </row>
    <row r="845" spans="1:10" x14ac:dyDescent="0.25">
      <c r="A845" s="3">
        <v>844</v>
      </c>
      <c r="B845" s="3">
        <v>31.293750000000003</v>
      </c>
      <c r="C845" s="3">
        <v>0.79174484052532834</v>
      </c>
      <c r="D845" s="3">
        <v>9209.7506250000024</v>
      </c>
      <c r="E845" s="3">
        <f t="shared" si="0"/>
        <v>7291.7725398686698</v>
      </c>
      <c r="F845" s="3">
        <f t="shared" si="1"/>
        <v>63875927.449249543</v>
      </c>
      <c r="G845" s="3">
        <f t="shared" si="2"/>
        <v>19785339040340.777</v>
      </c>
      <c r="H845" s="3">
        <f t="shared" si="3"/>
        <v>73678005.000000015</v>
      </c>
      <c r="I845" s="3">
        <f t="shared" si="4"/>
        <v>2210340.1500000004</v>
      </c>
      <c r="J845" s="3">
        <f t="shared" si="5"/>
        <v>19785347881701.375</v>
      </c>
    </row>
    <row r="846" spans="1:10" x14ac:dyDescent="0.25">
      <c r="A846" s="3">
        <v>845</v>
      </c>
      <c r="B846" s="3">
        <v>31.510357142857146</v>
      </c>
      <c r="C846" s="3">
        <v>0.79268292682926833</v>
      </c>
      <c r="D846" s="3">
        <v>9273.4981071428574</v>
      </c>
      <c r="E846" s="3">
        <f t="shared" si="0"/>
        <v>7350.9436215156802</v>
      </c>
      <c r="F846" s="3">
        <f t="shared" si="1"/>
        <v>64394266.124477357</v>
      </c>
      <c r="G846" s="3">
        <f t="shared" si="2"/>
        <v>19945892593305.125</v>
      </c>
      <c r="H846" s="3">
        <f t="shared" si="3"/>
        <v>74187984.857142866</v>
      </c>
      <c r="I846" s="3">
        <f t="shared" si="4"/>
        <v>2225639.5457142857</v>
      </c>
      <c r="J846" s="3">
        <f t="shared" si="5"/>
        <v>19945901495863.309</v>
      </c>
    </row>
    <row r="847" spans="1:10" x14ac:dyDescent="0.25">
      <c r="A847" s="3">
        <v>846</v>
      </c>
      <c r="B847" s="3">
        <v>31.528392857142851</v>
      </c>
      <c r="C847" s="3">
        <v>0.79362101313320821</v>
      </c>
      <c r="D847" s="3">
        <v>9278.8060178571413</v>
      </c>
      <c r="E847" s="3">
        <f t="shared" si="0"/>
        <v>7363.8554325582936</v>
      </c>
      <c r="F847" s="3">
        <f t="shared" si="1"/>
        <v>64507373.589210644</v>
      </c>
      <c r="G847" s="3">
        <f t="shared" si="2"/>
        <v>19980927234705.168</v>
      </c>
      <c r="H847" s="3">
        <f t="shared" si="3"/>
        <v>74230448.142857134</v>
      </c>
      <c r="I847" s="3">
        <f t="shared" si="4"/>
        <v>2226913.4442857141</v>
      </c>
      <c r="J847" s="3">
        <f t="shared" si="5"/>
        <v>19980936142358.945</v>
      </c>
    </row>
    <row r="848" spans="1:10" x14ac:dyDescent="0.25">
      <c r="A848" s="3">
        <v>847</v>
      </c>
      <c r="B848" s="3">
        <v>31.549821428571427</v>
      </c>
      <c r="C848" s="3">
        <v>0.7945590994371482</v>
      </c>
      <c r="D848" s="3">
        <v>9285.1124464285713</v>
      </c>
      <c r="E848" s="3">
        <f t="shared" si="0"/>
        <v>7377.5705836069419</v>
      </c>
      <c r="F848" s="3">
        <f t="shared" si="1"/>
        <v>64627518.312396809</v>
      </c>
      <c r="G848" s="3">
        <f t="shared" si="2"/>
        <v>20018141641643.707</v>
      </c>
      <c r="H848" s="3">
        <f t="shared" si="3"/>
        <v>74280899.571428567</v>
      </c>
      <c r="I848" s="3">
        <f t="shared" si="4"/>
        <v>2228426.9871428572</v>
      </c>
      <c r="J848" s="3">
        <f t="shared" si="5"/>
        <v>20018150555351.656</v>
      </c>
    </row>
    <row r="849" spans="1:10" x14ac:dyDescent="0.25">
      <c r="A849" s="3">
        <v>848</v>
      </c>
      <c r="B849" s="3">
        <v>31.619107142857143</v>
      </c>
      <c r="C849" s="3">
        <v>0.79549718574108819</v>
      </c>
      <c r="D849" s="3">
        <v>9305.5032321428571</v>
      </c>
      <c r="E849" s="3">
        <f t="shared" si="0"/>
        <v>7402.5016330742428</v>
      </c>
      <c r="F849" s="3">
        <f t="shared" si="1"/>
        <v>64845914.305730365</v>
      </c>
      <c r="G849" s="3">
        <f t="shared" si="2"/>
        <v>20085789026601.461</v>
      </c>
      <c r="H849" s="3">
        <f t="shared" si="3"/>
        <v>74444025.857142851</v>
      </c>
      <c r="I849" s="3">
        <f t="shared" si="4"/>
        <v>2233320.7757142857</v>
      </c>
      <c r="J849" s="3">
        <f t="shared" si="5"/>
        <v>20085797959884.566</v>
      </c>
    </row>
    <row r="850" spans="1:10" x14ac:dyDescent="0.25">
      <c r="A850" s="3">
        <v>849</v>
      </c>
      <c r="B850" s="3">
        <v>31.749642857142859</v>
      </c>
      <c r="C850" s="3">
        <v>0.79643527204502818</v>
      </c>
      <c r="D850" s="3">
        <v>9343.9198928571441</v>
      </c>
      <c r="E850" s="3">
        <f t="shared" si="0"/>
        <v>7441.8273818346297</v>
      </c>
      <c r="F850" s="3">
        <f t="shared" si="1"/>
        <v>65190407.86487136</v>
      </c>
      <c r="G850" s="3">
        <f t="shared" si="2"/>
        <v>20192494679686.211</v>
      </c>
      <c r="H850" s="3">
        <f t="shared" si="3"/>
        <v>74751359.142857149</v>
      </c>
      <c r="I850" s="3">
        <f t="shared" si="4"/>
        <v>2242540.7742857146</v>
      </c>
      <c r="J850" s="3">
        <f t="shared" si="5"/>
        <v>20192503649849.309</v>
      </c>
    </row>
    <row r="851" spans="1:10" x14ac:dyDescent="0.25">
      <c r="A851" s="3">
        <v>850</v>
      </c>
      <c r="B851" s="3">
        <v>31.759107142857143</v>
      </c>
      <c r="C851" s="3">
        <v>0.79737335834896805</v>
      </c>
      <c r="D851" s="3">
        <v>9346.7052321428582</v>
      </c>
      <c r="E851" s="3">
        <f t="shared" si="0"/>
        <v>7452.8137404516219</v>
      </c>
      <c r="F851" s="3">
        <f t="shared" si="1"/>
        <v>65286648.366356201</v>
      </c>
      <c r="G851" s="3">
        <f t="shared" si="2"/>
        <v>20222304839905.031</v>
      </c>
      <c r="H851" s="3">
        <f t="shared" si="3"/>
        <v>74773641.857142866</v>
      </c>
      <c r="I851" s="3">
        <f t="shared" si="4"/>
        <v>2243209.2557142861</v>
      </c>
      <c r="J851" s="3">
        <f t="shared" si="5"/>
        <v>20222313812742.051</v>
      </c>
    </row>
    <row r="852" spans="1:10" x14ac:dyDescent="0.25">
      <c r="A852" s="3">
        <v>851</v>
      </c>
      <c r="B852" s="3">
        <v>31.780178571428571</v>
      </c>
      <c r="C852" s="3">
        <v>0.79831144465290804</v>
      </c>
      <c r="D852" s="3">
        <v>9352.906553571429</v>
      </c>
      <c r="E852" s="3">
        <f t="shared" si="0"/>
        <v>7466.5323424852586</v>
      </c>
      <c r="F852" s="3">
        <f t="shared" si="1"/>
        <v>65406823.320170864</v>
      </c>
      <c r="G852" s="3">
        <f t="shared" si="2"/>
        <v>20259528610777.223</v>
      </c>
      <c r="H852" s="3">
        <f t="shared" si="3"/>
        <v>74823252.428571433</v>
      </c>
      <c r="I852" s="3">
        <f t="shared" si="4"/>
        <v>2244697.5728571429</v>
      </c>
      <c r="J852" s="3">
        <f t="shared" si="5"/>
        <v>20259537589567.516</v>
      </c>
    </row>
    <row r="853" spans="1:10" x14ac:dyDescent="0.25">
      <c r="A853" s="3">
        <v>852</v>
      </c>
      <c r="B853" s="3">
        <v>32.013928571428572</v>
      </c>
      <c r="C853" s="3">
        <v>0.79924953095684803</v>
      </c>
      <c r="D853" s="3">
        <v>9421.699178571429</v>
      </c>
      <c r="E853" s="3">
        <f t="shared" si="0"/>
        <v>7530.2886492897351</v>
      </c>
      <c r="F853" s="3">
        <f t="shared" si="1"/>
        <v>65965328.567778081</v>
      </c>
      <c r="G853" s="3">
        <f t="shared" si="2"/>
        <v>20432523615945.938</v>
      </c>
      <c r="H853" s="3">
        <f t="shared" si="3"/>
        <v>75373593.428571433</v>
      </c>
      <c r="I853" s="3">
        <f t="shared" si="4"/>
        <v>2261207.8028571429</v>
      </c>
      <c r="J853" s="3">
        <f t="shared" si="5"/>
        <v>20432532660777.152</v>
      </c>
    </row>
    <row r="854" spans="1:10" x14ac:dyDescent="0.25">
      <c r="A854" s="3">
        <v>853</v>
      </c>
      <c r="B854" s="3">
        <v>32.190178571428568</v>
      </c>
      <c r="C854" s="3">
        <v>0.80018761726078802</v>
      </c>
      <c r="D854" s="3">
        <v>9473.5695535714276</v>
      </c>
      <c r="E854" s="3">
        <f t="shared" si="0"/>
        <v>7580.6330480266679</v>
      </c>
      <c r="F854" s="3">
        <f t="shared" si="1"/>
        <v>66406345.500713602</v>
      </c>
      <c r="G854" s="3">
        <f t="shared" si="2"/>
        <v>20569127037728.668</v>
      </c>
      <c r="H854" s="3">
        <f t="shared" si="3"/>
        <v>75788556.428571418</v>
      </c>
      <c r="I854" s="3">
        <f t="shared" si="4"/>
        <v>2273656.6928571425</v>
      </c>
      <c r="J854" s="3">
        <f t="shared" si="5"/>
        <v>20569136132355.438</v>
      </c>
    </row>
    <row r="855" spans="1:10" x14ac:dyDescent="0.25">
      <c r="A855" s="3">
        <v>854</v>
      </c>
      <c r="B855" s="3">
        <v>32.202500000000001</v>
      </c>
      <c r="C855" s="3">
        <v>0.80112570356472801</v>
      </c>
      <c r="D855" s="3">
        <v>9477.1957500000008</v>
      </c>
      <c r="E855" s="3">
        <f t="shared" si="0"/>
        <v>7592.4251130394005</v>
      </c>
      <c r="F855" s="3">
        <f t="shared" si="1"/>
        <v>66509643.990225151</v>
      </c>
      <c r="G855" s="3">
        <f t="shared" si="2"/>
        <v>20601123384551.223</v>
      </c>
      <c r="H855" s="3">
        <f t="shared" si="3"/>
        <v>75817566</v>
      </c>
      <c r="I855" s="3">
        <f t="shared" si="4"/>
        <v>2274526.98</v>
      </c>
      <c r="J855" s="3">
        <f t="shared" si="5"/>
        <v>20601132482659.145</v>
      </c>
    </row>
    <row r="856" spans="1:10" x14ac:dyDescent="0.25">
      <c r="A856" s="3">
        <v>855</v>
      </c>
      <c r="B856" s="3">
        <v>32.204821428571428</v>
      </c>
      <c r="C856" s="3">
        <v>0.80206378986866789</v>
      </c>
      <c r="D856" s="3">
        <v>9477.878946428571</v>
      </c>
      <c r="E856" s="3">
        <f t="shared" si="0"/>
        <v>7601.8635076889568</v>
      </c>
      <c r="F856" s="3">
        <f t="shared" si="1"/>
        <v>66592324.327355266</v>
      </c>
      <c r="G856" s="3">
        <f t="shared" si="2"/>
        <v>20626733332719.906</v>
      </c>
      <c r="H856" s="3">
        <f t="shared" si="3"/>
        <v>75823031.571428567</v>
      </c>
      <c r="I856" s="3">
        <f t="shared" si="4"/>
        <v>2274690.9471428571</v>
      </c>
      <c r="J856" s="3">
        <f t="shared" si="5"/>
        <v>20626742431483.691</v>
      </c>
    </row>
    <row r="857" spans="1:10" x14ac:dyDescent="0.25">
      <c r="A857" s="3">
        <v>856</v>
      </c>
      <c r="B857" s="3">
        <v>32.268749999999997</v>
      </c>
      <c r="C857" s="3">
        <v>0.80300187617260788</v>
      </c>
      <c r="D857" s="3">
        <v>9496.6931249999998</v>
      </c>
      <c r="E857" s="3">
        <f t="shared" si="0"/>
        <v>7625.8623968105067</v>
      </c>
      <c r="F857" s="3">
        <f t="shared" si="1"/>
        <v>66802554.596060038</v>
      </c>
      <c r="G857" s="3">
        <f t="shared" si="2"/>
        <v>20691851414194.176</v>
      </c>
      <c r="H857" s="3">
        <f t="shared" si="3"/>
        <v>75973545</v>
      </c>
      <c r="I857" s="3">
        <f t="shared" si="4"/>
        <v>2279206.35</v>
      </c>
      <c r="J857" s="3">
        <f t="shared" si="5"/>
        <v>20691860531019.578</v>
      </c>
    </row>
    <row r="858" spans="1:10" x14ac:dyDescent="0.25">
      <c r="A858" s="3">
        <v>857</v>
      </c>
      <c r="B858" s="3">
        <v>32.339464285714286</v>
      </c>
      <c r="C858" s="3">
        <v>0.80393996247654786</v>
      </c>
      <c r="D858" s="3">
        <v>9517.5043392857151</v>
      </c>
      <c r="E858" s="3">
        <f t="shared" si="0"/>
        <v>7651.502081395739</v>
      </c>
      <c r="F858" s="3">
        <f t="shared" si="1"/>
        <v>67027158.233026676</v>
      </c>
      <c r="G858" s="3">
        <f t="shared" si="2"/>
        <v>20761421594920.695</v>
      </c>
      <c r="H858" s="3">
        <f t="shared" si="3"/>
        <v>76140034.714285716</v>
      </c>
      <c r="I858" s="3">
        <f t="shared" si="4"/>
        <v>2284201.0414285716</v>
      </c>
      <c r="J858" s="3">
        <f t="shared" si="5"/>
        <v>20761430731724.863</v>
      </c>
    </row>
    <row r="859" spans="1:10" x14ac:dyDescent="0.25">
      <c r="A859" s="3">
        <v>858</v>
      </c>
      <c r="B859" s="3">
        <v>32.359821428571429</v>
      </c>
      <c r="C859" s="3">
        <v>0.80487804878048785</v>
      </c>
      <c r="D859" s="3">
        <v>9523.4954464285711</v>
      </c>
      <c r="E859" s="3">
        <f t="shared" si="0"/>
        <v>7665.2524324912893</v>
      </c>
      <c r="F859" s="3">
        <f t="shared" si="1"/>
        <v>67147611.308623701</v>
      </c>
      <c r="G859" s="3">
        <f t="shared" si="2"/>
        <v>20798731513256.074</v>
      </c>
      <c r="H859" s="3">
        <f t="shared" si="3"/>
        <v>76187963.571428567</v>
      </c>
      <c r="I859" s="3">
        <f t="shared" si="4"/>
        <v>2285638.9071428571</v>
      </c>
      <c r="J859" s="3">
        <f t="shared" si="5"/>
        <v>20798740655811.703</v>
      </c>
    </row>
    <row r="860" spans="1:10" x14ac:dyDescent="0.25">
      <c r="A860" s="3">
        <v>859</v>
      </c>
      <c r="B860" s="3">
        <v>32.534107142857145</v>
      </c>
      <c r="C860" s="3">
        <v>0.80581613508442773</v>
      </c>
      <c r="D860" s="3">
        <v>9574.7877321428587</v>
      </c>
      <c r="E860" s="3">
        <f t="shared" si="0"/>
        <v>7715.5184445691511</v>
      </c>
      <c r="F860" s="3">
        <f t="shared" si="1"/>
        <v>67587941.574425757</v>
      </c>
      <c r="G860" s="3">
        <f t="shared" si="2"/>
        <v>20935122242821.121</v>
      </c>
      <c r="H860" s="3">
        <f t="shared" si="3"/>
        <v>76598301.857142866</v>
      </c>
      <c r="I860" s="3">
        <f t="shared" si="4"/>
        <v>2297949.0557142859</v>
      </c>
      <c r="J860" s="3">
        <f t="shared" si="5"/>
        <v>20935131434617.344</v>
      </c>
    </row>
    <row r="861" spans="1:10" x14ac:dyDescent="0.25">
      <c r="A861" s="3">
        <v>860</v>
      </c>
      <c r="B861" s="3">
        <v>32.691964285714292</v>
      </c>
      <c r="C861" s="3">
        <v>0.80675422138836772</v>
      </c>
      <c r="D861" s="3">
        <v>9621.2450892857159</v>
      </c>
      <c r="E861" s="3">
        <f t="shared" si="0"/>
        <v>7761.9800907933541</v>
      </c>
      <c r="F861" s="3">
        <f t="shared" si="1"/>
        <v>67994945.595349789</v>
      </c>
      <c r="G861" s="3">
        <f t="shared" si="2"/>
        <v>21061190287795.102</v>
      </c>
      <c r="H861" s="3">
        <f t="shared" si="3"/>
        <v>76969960.714285731</v>
      </c>
      <c r="I861" s="3">
        <f t="shared" si="4"/>
        <v>2309098.8214285718</v>
      </c>
      <c r="J861" s="3">
        <f t="shared" si="5"/>
        <v>21061199524190.387</v>
      </c>
    </row>
    <row r="862" spans="1:10" x14ac:dyDescent="0.25">
      <c r="A862" s="3">
        <v>861</v>
      </c>
      <c r="B862" s="3">
        <v>32.743392857142858</v>
      </c>
      <c r="C862" s="3">
        <v>0.80769230769230771</v>
      </c>
      <c r="D862" s="3">
        <v>9636.3805178571438</v>
      </c>
      <c r="E862" s="3">
        <f t="shared" si="0"/>
        <v>7783.2304182692314</v>
      </c>
      <c r="F862" s="3">
        <f t="shared" si="1"/>
        <v>68181098.464038461</v>
      </c>
      <c r="G862" s="3">
        <f t="shared" si="2"/>
        <v>21118850481316.211</v>
      </c>
      <c r="H862" s="3">
        <f t="shared" si="3"/>
        <v>77091044.142857149</v>
      </c>
      <c r="I862" s="3">
        <f t="shared" si="4"/>
        <v>2312731.3242857144</v>
      </c>
      <c r="J862" s="3">
        <f t="shared" si="5"/>
        <v>21118859732241.508</v>
      </c>
    </row>
    <row r="863" spans="1:10" x14ac:dyDescent="0.25">
      <c r="A863" s="3">
        <v>862</v>
      </c>
      <c r="B863" s="3">
        <v>32.771964285714283</v>
      </c>
      <c r="C863" s="3">
        <v>0.8086303939962477</v>
      </c>
      <c r="D863" s="3">
        <v>9644.789089285714</v>
      </c>
      <c r="E863" s="3">
        <f t="shared" si="0"/>
        <v>7799.069601279818</v>
      </c>
      <c r="F863" s="3">
        <f t="shared" si="1"/>
        <v>68319849.707211211</v>
      </c>
      <c r="G863" s="3">
        <f t="shared" si="2"/>
        <v>21161828191530.301</v>
      </c>
      <c r="H863" s="3">
        <f t="shared" si="3"/>
        <v>77158312.714285716</v>
      </c>
      <c r="I863" s="3">
        <f t="shared" si="4"/>
        <v>2314749.3814285714</v>
      </c>
      <c r="J863" s="3">
        <f t="shared" si="5"/>
        <v>21161837450527.828</v>
      </c>
    </row>
    <row r="864" spans="1:10" x14ac:dyDescent="0.25">
      <c r="A864" s="3">
        <v>863</v>
      </c>
      <c r="B864" s="3">
        <v>32.78821428571429</v>
      </c>
      <c r="C864" s="3">
        <v>0.80956848030018758</v>
      </c>
      <c r="D864" s="3">
        <v>9649.5714642857147</v>
      </c>
      <c r="E864" s="3">
        <f t="shared" si="0"/>
        <v>7811.9889058898416</v>
      </c>
      <c r="F864" s="3">
        <f t="shared" si="1"/>
        <v>68433022.815595016</v>
      </c>
      <c r="G864" s="3">
        <f t="shared" si="2"/>
        <v>21196883166328.855</v>
      </c>
      <c r="H864" s="3">
        <f t="shared" si="3"/>
        <v>77196571.714285716</v>
      </c>
      <c r="I864" s="3">
        <f t="shared" si="4"/>
        <v>2315897.1514285714</v>
      </c>
      <c r="J864" s="3">
        <f t="shared" si="5"/>
        <v>21196892429917.461</v>
      </c>
    </row>
    <row r="865" spans="1:10" x14ac:dyDescent="0.25">
      <c r="A865" s="3">
        <v>864</v>
      </c>
      <c r="B865" s="3">
        <v>32.824821428571433</v>
      </c>
      <c r="C865" s="3">
        <v>0.81050656660412757</v>
      </c>
      <c r="D865" s="3">
        <v>9660.344946428575</v>
      </c>
      <c r="E865" s="3">
        <f t="shared" si="0"/>
        <v>7829.7730147413586</v>
      </c>
      <c r="F865" s="3">
        <f t="shared" si="1"/>
        <v>68588811.609134302</v>
      </c>
      <c r="G865" s="3">
        <f t="shared" si="2"/>
        <v>21245138196646.098</v>
      </c>
      <c r="H865" s="3">
        <f t="shared" si="3"/>
        <v>77282759.571428597</v>
      </c>
      <c r="I865" s="3">
        <f t="shared" si="4"/>
        <v>2318482.7871428579</v>
      </c>
      <c r="J865" s="3">
        <f t="shared" si="5"/>
        <v>21245147470577.25</v>
      </c>
    </row>
    <row r="866" spans="1:10" x14ac:dyDescent="0.25">
      <c r="A866" s="3">
        <v>865</v>
      </c>
      <c r="B866" s="3">
        <v>32.902321428571426</v>
      </c>
      <c r="C866" s="3">
        <v>0.81144465290806755</v>
      </c>
      <c r="D866" s="3">
        <v>9683.1531964285714</v>
      </c>
      <c r="E866" s="3">
        <f t="shared" si="0"/>
        <v>7857.3428845316266</v>
      </c>
      <c r="F866" s="3">
        <f t="shared" si="1"/>
        <v>68830323.668497056</v>
      </c>
      <c r="G866" s="3">
        <f t="shared" si="2"/>
        <v>21319945700886.141</v>
      </c>
      <c r="H866" s="3">
        <f t="shared" si="3"/>
        <v>77465225.571428567</v>
      </c>
      <c r="I866" s="3">
        <f t="shared" si="4"/>
        <v>2323956.767142857</v>
      </c>
      <c r="J866" s="3">
        <f t="shared" si="5"/>
        <v>21319954996713.207</v>
      </c>
    </row>
    <row r="867" spans="1:10" x14ac:dyDescent="0.25">
      <c r="A867" s="3">
        <v>866</v>
      </c>
      <c r="B867" s="3">
        <v>33.03</v>
      </c>
      <c r="C867" s="3">
        <v>0.81238273921200754</v>
      </c>
      <c r="D867" s="3">
        <v>9720.7289999999994</v>
      </c>
      <c r="E867" s="3">
        <f t="shared" si="0"/>
        <v>7896.9524521575986</v>
      </c>
      <c r="F867" s="3">
        <f t="shared" si="1"/>
        <v>69177303.480900571</v>
      </c>
      <c r="G867" s="3">
        <f t="shared" si="2"/>
        <v>21427421463137.949</v>
      </c>
      <c r="H867" s="3">
        <f t="shared" si="3"/>
        <v>77765832</v>
      </c>
      <c r="I867" s="3">
        <f t="shared" si="4"/>
        <v>2332974.96</v>
      </c>
      <c r="J867" s="3">
        <f t="shared" si="5"/>
        <v>21427430795037.789</v>
      </c>
    </row>
    <row r="868" spans="1:10" x14ac:dyDescent="0.25">
      <c r="A868" s="3">
        <v>867</v>
      </c>
      <c r="B868" s="3">
        <v>33.297499999999999</v>
      </c>
      <c r="C868" s="3">
        <v>0.81332082551594742</v>
      </c>
      <c r="D868" s="3">
        <v>9799.4542500000007</v>
      </c>
      <c r="E868" s="3">
        <f t="shared" si="0"/>
        <v>7970.1002202157597</v>
      </c>
      <c r="F868" s="3">
        <f t="shared" si="1"/>
        <v>69818077.929090053</v>
      </c>
      <c r="G868" s="3">
        <f t="shared" si="2"/>
        <v>21625899059470.379</v>
      </c>
      <c r="H868" s="3">
        <f t="shared" si="3"/>
        <v>78395634</v>
      </c>
      <c r="I868" s="3">
        <f t="shared" si="4"/>
        <v>2351869.02</v>
      </c>
      <c r="J868" s="3">
        <f t="shared" si="5"/>
        <v>21625908466946.457</v>
      </c>
    </row>
    <row r="869" spans="1:10" x14ac:dyDescent="0.25">
      <c r="A869" s="3">
        <v>868</v>
      </c>
      <c r="B869" s="3">
        <v>33.410714285714285</v>
      </c>
      <c r="C869" s="3">
        <v>0.81425891181988741</v>
      </c>
      <c r="D869" s="3">
        <v>9832.7732142857149</v>
      </c>
      <c r="E869" s="3">
        <f t="shared" si="0"/>
        <v>8006.4232176360229</v>
      </c>
      <c r="F869" s="3">
        <f t="shared" si="1"/>
        <v>70136267.386491552</v>
      </c>
      <c r="G869" s="3">
        <f t="shared" si="2"/>
        <v>21724457112796.988</v>
      </c>
      <c r="H869" s="3">
        <f t="shared" si="3"/>
        <v>78662185.714285716</v>
      </c>
      <c r="I869" s="3">
        <f t="shared" si="4"/>
        <v>2359865.5714285714</v>
      </c>
      <c r="J869" s="3">
        <f t="shared" si="5"/>
        <v>21724466552259.273</v>
      </c>
    </row>
    <row r="870" spans="1:10" x14ac:dyDescent="0.25">
      <c r="A870" s="3">
        <v>869</v>
      </c>
      <c r="B870" s="3">
        <v>33.523035714285712</v>
      </c>
      <c r="C870" s="3">
        <v>0.8151969981238274</v>
      </c>
      <c r="D870" s="3">
        <v>9865.8294107142847</v>
      </c>
      <c r="E870" s="3">
        <f t="shared" si="0"/>
        <v>8042.5945196160537</v>
      </c>
      <c r="F870" s="3">
        <f t="shared" si="1"/>
        <v>70453127.991836637</v>
      </c>
      <c r="G870" s="3">
        <f t="shared" si="2"/>
        <v>21822603559041.617</v>
      </c>
      <c r="H870" s="3">
        <f t="shared" si="3"/>
        <v>78926635.285714284</v>
      </c>
      <c r="I870" s="3">
        <f t="shared" si="4"/>
        <v>2367799.0585714285</v>
      </c>
      <c r="J870" s="3">
        <f t="shared" si="5"/>
        <v>21822613030237.852</v>
      </c>
    </row>
    <row r="871" spans="1:10" x14ac:dyDescent="0.25">
      <c r="A871" s="3">
        <v>870</v>
      </c>
      <c r="B871" s="3">
        <v>33.526249999999997</v>
      </c>
      <c r="C871" s="3">
        <v>0.81613508442776739</v>
      </c>
      <c r="D871" s="3">
        <v>9866.7753749999993</v>
      </c>
      <c r="E871" s="3">
        <f t="shared" si="0"/>
        <v>8052.6215537054404</v>
      </c>
      <c r="F871" s="3">
        <f t="shared" si="1"/>
        <v>70540964.810459659</v>
      </c>
      <c r="G871" s="3">
        <f t="shared" si="2"/>
        <v>21849810709288.504</v>
      </c>
      <c r="H871" s="3">
        <f t="shared" si="3"/>
        <v>78934203</v>
      </c>
      <c r="I871" s="3">
        <f t="shared" si="4"/>
        <v>2368026.09</v>
      </c>
      <c r="J871" s="3">
        <f t="shared" si="5"/>
        <v>21849820181392.863</v>
      </c>
    </row>
    <row r="872" spans="1:10" x14ac:dyDescent="0.25">
      <c r="A872" s="3">
        <v>871</v>
      </c>
      <c r="B872" s="3">
        <v>33.534464285714286</v>
      </c>
      <c r="C872" s="3">
        <v>0.81707317073170727</v>
      </c>
      <c r="D872" s="3">
        <v>9869.1928392857153</v>
      </c>
      <c r="E872" s="3">
        <f t="shared" si="0"/>
        <v>8063.8526857578399</v>
      </c>
      <c r="F872" s="3">
        <f t="shared" si="1"/>
        <v>70639349.527238682</v>
      </c>
      <c r="G872" s="3">
        <f t="shared" si="2"/>
        <v>21880285033141.121</v>
      </c>
      <c r="H872" s="3">
        <f t="shared" si="3"/>
        <v>78953542.714285716</v>
      </c>
      <c r="I872" s="3">
        <f t="shared" si="4"/>
        <v>2368606.2814285713</v>
      </c>
      <c r="J872" s="3">
        <f t="shared" si="5"/>
        <v>21880294507566.246</v>
      </c>
    </row>
    <row r="873" spans="1:10" x14ac:dyDescent="0.25">
      <c r="A873" s="3">
        <v>872</v>
      </c>
      <c r="B873" s="3">
        <v>33.634285714285717</v>
      </c>
      <c r="C873" s="3">
        <v>0.81801125703564725</v>
      </c>
      <c r="D873" s="3">
        <v>9898.5702857142878</v>
      </c>
      <c r="E873" s="3">
        <f t="shared" si="0"/>
        <v>8097.1419222728509</v>
      </c>
      <c r="F873" s="3">
        <f t="shared" si="1"/>
        <v>70930963.239110172</v>
      </c>
      <c r="G873" s="3">
        <f t="shared" si="2"/>
        <v>21970611344873.887</v>
      </c>
      <c r="H873" s="3">
        <f t="shared" si="3"/>
        <v>79188562.285714298</v>
      </c>
      <c r="I873" s="3">
        <f t="shared" si="4"/>
        <v>2375656.868571429</v>
      </c>
      <c r="J873" s="3">
        <f t="shared" si="5"/>
        <v>21970620847501.359</v>
      </c>
    </row>
    <row r="874" spans="1:10" x14ac:dyDescent="0.25">
      <c r="A874" s="3">
        <v>873</v>
      </c>
      <c r="B874" s="3">
        <v>33.713392857142857</v>
      </c>
      <c r="C874" s="3">
        <v>0.81894934333958724</v>
      </c>
      <c r="D874" s="3">
        <v>9921.8515178571433</v>
      </c>
      <c r="E874" s="3">
        <f t="shared" si="0"/>
        <v>8125.4937852619942</v>
      </c>
      <c r="F874" s="3">
        <f t="shared" si="1"/>
        <v>71179325.558895066</v>
      </c>
      <c r="G874" s="3">
        <f t="shared" si="2"/>
        <v>22047540693162.863</v>
      </c>
      <c r="H874" s="3">
        <f t="shared" si="3"/>
        <v>79374812.142857149</v>
      </c>
      <c r="I874" s="3">
        <f t="shared" si="4"/>
        <v>2381244.3642857145</v>
      </c>
      <c r="J874" s="3">
        <f t="shared" si="5"/>
        <v>22047550218140.32</v>
      </c>
    </row>
    <row r="875" spans="1:10" x14ac:dyDescent="0.25">
      <c r="A875" s="3">
        <v>874</v>
      </c>
      <c r="B875" s="3">
        <v>33.981785714285714</v>
      </c>
      <c r="C875" s="3">
        <v>0.81988742964352723</v>
      </c>
      <c r="D875" s="3">
        <v>10000.839535714285</v>
      </c>
      <c r="E875" s="3">
        <f t="shared" si="0"/>
        <v>8199.5626212141524</v>
      </c>
      <c r="F875" s="3">
        <f t="shared" si="1"/>
        <v>71828168.561835974</v>
      </c>
      <c r="G875" s="3">
        <f t="shared" si="2"/>
        <v>22248517496206.195</v>
      </c>
      <c r="H875" s="3">
        <f t="shared" si="3"/>
        <v>80006716.285714284</v>
      </c>
      <c r="I875" s="3">
        <f t="shared" si="4"/>
        <v>2400201.4885714282</v>
      </c>
      <c r="J875" s="3">
        <f t="shared" si="5"/>
        <v>22248527097012.148</v>
      </c>
    </row>
    <row r="876" spans="1:10" x14ac:dyDescent="0.25">
      <c r="A876" s="3">
        <v>875</v>
      </c>
      <c r="B876" s="3">
        <v>33.989821428571432</v>
      </c>
      <c r="C876" s="3">
        <v>0.82082551594746722</v>
      </c>
      <c r="D876" s="3">
        <v>10003.204446428575</v>
      </c>
      <c r="E876" s="3">
        <f t="shared" si="0"/>
        <v>8210.8854508677341</v>
      </c>
      <c r="F876" s="3">
        <f t="shared" si="1"/>
        <v>71927356.549601361</v>
      </c>
      <c r="G876" s="3">
        <f t="shared" si="2"/>
        <v>22279240630522.559</v>
      </c>
      <c r="H876" s="3">
        <f t="shared" si="3"/>
        <v>80025635.571428597</v>
      </c>
      <c r="I876" s="3">
        <f t="shared" si="4"/>
        <v>2400769.0671428577</v>
      </c>
      <c r="J876" s="3">
        <f t="shared" si="5"/>
        <v>22279250233598.828</v>
      </c>
    </row>
    <row r="877" spans="1:10" x14ac:dyDescent="0.25">
      <c r="A877" s="3">
        <v>876</v>
      </c>
      <c r="B877" s="3">
        <v>34.275357142857139</v>
      </c>
      <c r="C877" s="3">
        <v>0.8217636022514071</v>
      </c>
      <c r="D877" s="3">
        <v>10087.237607142857</v>
      </c>
      <c r="E877" s="3">
        <f t="shared" si="0"/>
        <v>8289.3247128115781</v>
      </c>
      <c r="F877" s="3">
        <f t="shared" si="1"/>
        <v>72614484.484229431</v>
      </c>
      <c r="G877" s="3">
        <f t="shared" si="2"/>
        <v>22492076054065.559</v>
      </c>
      <c r="H877" s="3">
        <f t="shared" si="3"/>
        <v>80697900.857142851</v>
      </c>
      <c r="I877" s="3">
        <f t="shared" si="4"/>
        <v>2420937.0257142852</v>
      </c>
      <c r="J877" s="3">
        <f t="shared" si="5"/>
        <v>22492085737813.664</v>
      </c>
    </row>
    <row r="878" spans="1:10" x14ac:dyDescent="0.25">
      <c r="A878" s="3">
        <v>877</v>
      </c>
      <c r="B878" s="3">
        <v>34.400178571428569</v>
      </c>
      <c r="C878" s="3">
        <v>0.82270168855534709</v>
      </c>
      <c r="D878" s="3">
        <v>10123.972553571428</v>
      </c>
      <c r="E878" s="3">
        <f t="shared" si="0"/>
        <v>8329.009314711202</v>
      </c>
      <c r="F878" s="3">
        <f t="shared" si="1"/>
        <v>72962121.596870124</v>
      </c>
      <c r="G878" s="3">
        <f t="shared" si="2"/>
        <v>22599755413602.555</v>
      </c>
      <c r="H878" s="3">
        <f t="shared" si="3"/>
        <v>80991780.428571418</v>
      </c>
      <c r="I878" s="3">
        <f t="shared" si="4"/>
        <v>2429753.4128571423</v>
      </c>
      <c r="J878" s="3">
        <f t="shared" si="5"/>
        <v>22599765132616.207</v>
      </c>
    </row>
    <row r="879" spans="1:10" x14ac:dyDescent="0.25">
      <c r="A879" s="3">
        <v>878</v>
      </c>
      <c r="B879" s="3">
        <v>34.504642857142862</v>
      </c>
      <c r="C879" s="3">
        <v>0.82363977485928708</v>
      </c>
      <c r="D879" s="3">
        <v>10154.716392857146</v>
      </c>
      <c r="E879" s="3">
        <f t="shared" si="0"/>
        <v>8363.8283235727722</v>
      </c>
      <c r="F879" s="3">
        <f t="shared" si="1"/>
        <v>73267136.114497483</v>
      </c>
      <c r="G879" s="3">
        <f t="shared" si="2"/>
        <v>22694232577316.254</v>
      </c>
      <c r="H879" s="3">
        <f t="shared" si="3"/>
        <v>81237731.142857164</v>
      </c>
      <c r="I879" s="3">
        <f t="shared" si="4"/>
        <v>2437131.9342857148</v>
      </c>
      <c r="J879" s="3">
        <f t="shared" si="5"/>
        <v>22694242325843.992</v>
      </c>
    </row>
    <row r="880" spans="1:10" x14ac:dyDescent="0.25">
      <c r="A880" s="3">
        <v>879</v>
      </c>
      <c r="B880" s="3">
        <v>34.50910714285714</v>
      </c>
      <c r="C880" s="3">
        <v>0.82457786116322707</v>
      </c>
      <c r="D880" s="3">
        <v>10156.030232142857</v>
      </c>
      <c r="E880" s="3">
        <f t="shared" si="0"/>
        <v>8374.4376867294304</v>
      </c>
      <c r="F880" s="3">
        <f t="shared" si="1"/>
        <v>73360074.135749817</v>
      </c>
      <c r="G880" s="3">
        <f t="shared" si="2"/>
        <v>22723019807103.402</v>
      </c>
      <c r="H880" s="3">
        <f t="shared" si="3"/>
        <v>81248241.857142851</v>
      </c>
      <c r="I880" s="3">
        <f t="shared" si="4"/>
        <v>2437447.2557142857</v>
      </c>
      <c r="J880" s="3">
        <f t="shared" si="5"/>
        <v>22723029556892.422</v>
      </c>
    </row>
    <row r="881" spans="1:10" x14ac:dyDescent="0.25">
      <c r="A881" s="3">
        <v>880</v>
      </c>
      <c r="B881" s="3">
        <v>34.512857142857143</v>
      </c>
      <c r="C881" s="3">
        <v>0.82551594746716694</v>
      </c>
      <c r="D881" s="3">
        <v>10157.133857142859</v>
      </c>
      <c r="E881" s="3">
        <f t="shared" si="0"/>
        <v>8384.8759796301274</v>
      </c>
      <c r="F881" s="3">
        <f t="shared" si="1"/>
        <v>73451513.581559911</v>
      </c>
      <c r="G881" s="3">
        <f t="shared" si="2"/>
        <v>22751342858525.625</v>
      </c>
      <c r="H881" s="3">
        <f t="shared" si="3"/>
        <v>81257070.857142866</v>
      </c>
      <c r="I881" s="3">
        <f t="shared" si="4"/>
        <v>2437712.1257142858</v>
      </c>
      <c r="J881" s="3">
        <f t="shared" si="5"/>
        <v>22751352609374.129</v>
      </c>
    </row>
    <row r="882" spans="1:10" x14ac:dyDescent="0.25">
      <c r="A882" s="3">
        <v>881</v>
      </c>
      <c r="B882" s="3">
        <v>34.598749999999995</v>
      </c>
      <c r="C882" s="3">
        <v>0.82645403377110693</v>
      </c>
      <c r="D882" s="3">
        <v>10182.412124999999</v>
      </c>
      <c r="E882" s="3">
        <f t="shared" si="0"/>
        <v>8415.2955742260783</v>
      </c>
      <c r="F882" s="3">
        <f t="shared" si="1"/>
        <v>73717989.230220452</v>
      </c>
      <c r="G882" s="3">
        <f t="shared" si="2"/>
        <v>22833882745948.063</v>
      </c>
      <c r="H882" s="3">
        <f t="shared" si="3"/>
        <v>81459296.999999985</v>
      </c>
      <c r="I882" s="3">
        <f t="shared" si="4"/>
        <v>2443778.9099999997</v>
      </c>
      <c r="J882" s="3">
        <f t="shared" si="5"/>
        <v>22833892521063.703</v>
      </c>
    </row>
    <row r="883" spans="1:10" x14ac:dyDescent="0.25">
      <c r="A883" s="3">
        <v>882</v>
      </c>
      <c r="B883" s="3">
        <v>34.872500000000002</v>
      </c>
      <c r="C883" s="3">
        <v>0.82739212007504692</v>
      </c>
      <c r="D883" s="3">
        <v>10262.97675</v>
      </c>
      <c r="E883" s="3">
        <f t="shared" si="0"/>
        <v>8491.5060914634141</v>
      </c>
      <c r="F883" s="3">
        <f t="shared" si="1"/>
        <v>74385593.361219496</v>
      </c>
      <c r="G883" s="3">
        <f t="shared" si="2"/>
        <v>23040670742087.563</v>
      </c>
      <c r="H883" s="3">
        <f t="shared" si="3"/>
        <v>82103814</v>
      </c>
      <c r="I883" s="3">
        <f t="shared" si="4"/>
        <v>2463114.42</v>
      </c>
      <c r="J883" s="3">
        <f t="shared" si="5"/>
        <v>23040680594545.246</v>
      </c>
    </row>
    <row r="884" spans="1:10" x14ac:dyDescent="0.25">
      <c r="A884" s="3">
        <v>883</v>
      </c>
      <c r="B884" s="3">
        <v>34.917857142857137</v>
      </c>
      <c r="C884" s="3">
        <v>0.82833020637898691</v>
      </c>
      <c r="D884" s="3">
        <v>10276.325357142856</v>
      </c>
      <c r="E884" s="3">
        <f t="shared" si="0"/>
        <v>8512.1907038997579</v>
      </c>
      <c r="F884" s="3">
        <f t="shared" si="1"/>
        <v>74566790.566161871</v>
      </c>
      <c r="G884" s="3">
        <f t="shared" si="2"/>
        <v>23096795937596.887</v>
      </c>
      <c r="H884" s="3">
        <f t="shared" si="3"/>
        <v>82210602.857142851</v>
      </c>
      <c r="I884" s="3">
        <f t="shared" si="4"/>
        <v>2466318.0857142853</v>
      </c>
      <c r="J884" s="3">
        <f t="shared" si="5"/>
        <v>23096805802869.23</v>
      </c>
    </row>
    <row r="885" spans="1:10" x14ac:dyDescent="0.25">
      <c r="A885" s="3">
        <v>884</v>
      </c>
      <c r="B885" s="3">
        <v>35.052678571428572</v>
      </c>
      <c r="C885" s="3">
        <v>0.82926829268292679</v>
      </c>
      <c r="D885" s="3">
        <v>10316.003303571431</v>
      </c>
      <c r="E885" s="3">
        <f t="shared" si="0"/>
        <v>8554.7344468641131</v>
      </c>
      <c r="F885" s="3">
        <f t="shared" si="1"/>
        <v>74939473.754529625</v>
      </c>
      <c r="G885" s="3">
        <f t="shared" si="2"/>
        <v>23212233229748.754</v>
      </c>
      <c r="H885" s="3">
        <f t="shared" si="3"/>
        <v>82528026.428571448</v>
      </c>
      <c r="I885" s="3">
        <f t="shared" si="4"/>
        <v>2475840.7928571436</v>
      </c>
      <c r="J885" s="3">
        <f t="shared" si="5"/>
        <v>23212243133111.926</v>
      </c>
    </row>
    <row r="886" spans="1:10" x14ac:dyDescent="0.25">
      <c r="A886" s="3">
        <v>885</v>
      </c>
      <c r="B886" s="3">
        <v>35.073392857142856</v>
      </c>
      <c r="C886" s="3">
        <v>0.83020637898686678</v>
      </c>
      <c r="D886" s="3">
        <v>10322.099517857143</v>
      </c>
      <c r="E886" s="3">
        <f t="shared" si="0"/>
        <v>8569.4728642622613</v>
      </c>
      <c r="F886" s="3">
        <f t="shared" si="1"/>
        <v>75068582.290937409</v>
      </c>
      <c r="G886" s="3">
        <f t="shared" si="2"/>
        <v>23252224147070.93</v>
      </c>
      <c r="H886" s="3">
        <f t="shared" si="3"/>
        <v>82576796.142857149</v>
      </c>
      <c r="I886" s="3">
        <f t="shared" si="4"/>
        <v>2477303.8842857145</v>
      </c>
      <c r="J886" s="3">
        <f t="shared" si="5"/>
        <v>23252234056286.465</v>
      </c>
    </row>
    <row r="887" spans="1:10" x14ac:dyDescent="0.25">
      <c r="A887" s="3">
        <v>886</v>
      </c>
      <c r="B887" s="3">
        <v>35.092321428571431</v>
      </c>
      <c r="C887" s="3">
        <v>0.83114446529080677</v>
      </c>
      <c r="D887" s="3">
        <v>10327.670196428571</v>
      </c>
      <c r="E887" s="3">
        <f t="shared" si="0"/>
        <v>8583.7859231104267</v>
      </c>
      <c r="F887" s="3">
        <f t="shared" si="1"/>
        <v>75193964.686447337</v>
      </c>
      <c r="G887" s="3">
        <f t="shared" si="2"/>
        <v>23291060905625.656</v>
      </c>
      <c r="H887" s="3">
        <f t="shared" si="3"/>
        <v>82621361.571428567</v>
      </c>
      <c r="I887" s="3">
        <f t="shared" si="4"/>
        <v>2478640.847142857</v>
      </c>
      <c r="J887" s="3">
        <f t="shared" si="5"/>
        <v>23291070820189.047</v>
      </c>
    </row>
    <row r="888" spans="1:10" x14ac:dyDescent="0.25">
      <c r="A888" s="3">
        <v>887</v>
      </c>
      <c r="B888" s="3">
        <v>35.170178571428565</v>
      </c>
      <c r="C888" s="3">
        <v>0.83208255159474676</v>
      </c>
      <c r="D888" s="3">
        <v>10350.583553571427</v>
      </c>
      <c r="E888" s="3">
        <f t="shared" si="0"/>
        <v>8612.539973750334</v>
      </c>
      <c r="F888" s="3">
        <f t="shared" si="1"/>
        <v>75445850.170052931</v>
      </c>
      <c r="G888" s="3">
        <f t="shared" si="2"/>
        <v>23369081542091.238</v>
      </c>
      <c r="H888" s="3">
        <f t="shared" si="3"/>
        <v>82804668.428571418</v>
      </c>
      <c r="I888" s="3">
        <f t="shared" si="4"/>
        <v>2484140.0528571424</v>
      </c>
      <c r="J888" s="3">
        <f t="shared" si="5"/>
        <v>23369091478651.453</v>
      </c>
    </row>
    <row r="889" spans="1:10" x14ac:dyDescent="0.25">
      <c r="A889" s="3">
        <v>888</v>
      </c>
      <c r="B889" s="3">
        <v>35.28107142857143</v>
      </c>
      <c r="C889" s="3">
        <v>0.83302063789868663</v>
      </c>
      <c r="D889" s="3">
        <v>10383.219321428571</v>
      </c>
      <c r="E889" s="3">
        <f t="shared" si="0"/>
        <v>8649.4359825783959</v>
      </c>
      <c r="F889" s="3">
        <f t="shared" si="1"/>
        <v>75769059.207386747</v>
      </c>
      <c r="G889" s="3">
        <f t="shared" si="2"/>
        <v>23469194393618.695</v>
      </c>
      <c r="H889" s="3">
        <f t="shared" si="3"/>
        <v>83065754.571428567</v>
      </c>
      <c r="I889" s="3">
        <f t="shared" si="4"/>
        <v>2491972.6371428571</v>
      </c>
      <c r="J889" s="3">
        <f t="shared" si="5"/>
        <v>23469204361509.242</v>
      </c>
    </row>
    <row r="890" spans="1:10" x14ac:dyDescent="0.25">
      <c r="A890" s="3">
        <v>889</v>
      </c>
      <c r="B890" s="3">
        <v>35.36053571428571</v>
      </c>
      <c r="C890" s="3">
        <v>0.83395872420262662</v>
      </c>
      <c r="D890" s="3">
        <v>10406.605660714285</v>
      </c>
      <c r="E890" s="3">
        <f t="shared" si="0"/>
        <v>8678.6795800891177</v>
      </c>
      <c r="F890" s="3">
        <f t="shared" si="1"/>
        <v>76025233.12158066</v>
      </c>
      <c r="G890" s="3">
        <f t="shared" si="2"/>
        <v>23548543356191.48</v>
      </c>
      <c r="H890" s="3">
        <f t="shared" si="3"/>
        <v>83252845.285714284</v>
      </c>
      <c r="I890" s="3">
        <f t="shared" si="4"/>
        <v>2497585.3585714283</v>
      </c>
      <c r="J890" s="3">
        <f t="shared" si="5"/>
        <v>23548553346532.914</v>
      </c>
    </row>
    <row r="891" spans="1:10" x14ac:dyDescent="0.25">
      <c r="A891" s="3">
        <v>890</v>
      </c>
      <c r="B891" s="3">
        <v>35.384642857142858</v>
      </c>
      <c r="C891" s="3">
        <v>0.83489681050656661</v>
      </c>
      <c r="D891" s="3">
        <v>10413.700392857143</v>
      </c>
      <c r="E891" s="3">
        <f t="shared" si="0"/>
        <v>8694.3652435674085</v>
      </c>
      <c r="F891" s="3">
        <f t="shared" si="1"/>
        <v>76162639.533650503</v>
      </c>
      <c r="G891" s="3">
        <f t="shared" si="2"/>
        <v>23591104510878.168</v>
      </c>
      <c r="H891" s="3">
        <f t="shared" si="3"/>
        <v>83309603.142857149</v>
      </c>
      <c r="I891" s="3">
        <f t="shared" si="4"/>
        <v>2499288.0942857144</v>
      </c>
      <c r="J891" s="3">
        <f t="shared" si="5"/>
        <v>23591114508030.543</v>
      </c>
    </row>
    <row r="892" spans="1:10" x14ac:dyDescent="0.25">
      <c r="A892" s="3">
        <v>891</v>
      </c>
      <c r="B892" s="3">
        <v>35.408571428571427</v>
      </c>
      <c r="C892" s="3">
        <v>0.8358348968105066</v>
      </c>
      <c r="D892" s="3">
        <v>10420.742571428571</v>
      </c>
      <c r="E892" s="3">
        <f t="shared" si="0"/>
        <v>8710.0202918788527</v>
      </c>
      <c r="F892" s="3">
        <f t="shared" si="1"/>
        <v>76299777.756858751</v>
      </c>
      <c r="G892" s="3">
        <f t="shared" si="2"/>
        <v>23633582595041.82</v>
      </c>
      <c r="H892" s="3">
        <f t="shared" si="3"/>
        <v>83365940.571428567</v>
      </c>
      <c r="I892" s="3">
        <f t="shared" si="4"/>
        <v>2500978.2171428571</v>
      </c>
      <c r="J892" s="3">
        <f t="shared" si="5"/>
        <v>23633592598954.691</v>
      </c>
    </row>
    <row r="893" spans="1:10" x14ac:dyDescent="0.25">
      <c r="A893" s="3">
        <v>892</v>
      </c>
      <c r="B893" s="3">
        <v>35.568571428571431</v>
      </c>
      <c r="C893" s="3">
        <v>0.83677298311444648</v>
      </c>
      <c r="D893" s="3">
        <v>10467.830571428573</v>
      </c>
      <c r="E893" s="3">
        <f t="shared" si="0"/>
        <v>8759.1978139908879</v>
      </c>
      <c r="F893" s="3">
        <f t="shared" si="1"/>
        <v>76730572.850560173</v>
      </c>
      <c r="G893" s="3">
        <f t="shared" si="2"/>
        <v>23767019842022.023</v>
      </c>
      <c r="H893" s="3">
        <f t="shared" si="3"/>
        <v>83742644.571428582</v>
      </c>
      <c r="I893" s="3">
        <f t="shared" si="4"/>
        <v>2512279.3371428573</v>
      </c>
      <c r="J893" s="3">
        <f t="shared" si="5"/>
        <v>23767029891139.371</v>
      </c>
    </row>
    <row r="894" spans="1:10" x14ac:dyDescent="0.25">
      <c r="A894" s="3">
        <v>893</v>
      </c>
      <c r="B894" s="3">
        <v>35.6325</v>
      </c>
      <c r="C894" s="3">
        <v>0.83771106941838647</v>
      </c>
      <c r="D894" s="3">
        <v>10486.644749999999</v>
      </c>
      <c r="E894" s="3">
        <f t="shared" si="0"/>
        <v>8784.778388133207</v>
      </c>
      <c r="F894" s="3">
        <f t="shared" si="1"/>
        <v>76954658.680046901</v>
      </c>
      <c r="G894" s="3">
        <f t="shared" si="2"/>
        <v>23836429635587.445</v>
      </c>
      <c r="H894" s="3">
        <f t="shared" si="3"/>
        <v>83893158</v>
      </c>
      <c r="I894" s="3">
        <f t="shared" si="4"/>
        <v>2516794.7399999998</v>
      </c>
      <c r="J894" s="3">
        <f t="shared" si="5"/>
        <v>23836439702766.402</v>
      </c>
    </row>
    <row r="895" spans="1:10" x14ac:dyDescent="0.25">
      <c r="A895" s="3">
        <v>894</v>
      </c>
      <c r="B895" s="3">
        <v>35.706428571428567</v>
      </c>
      <c r="C895" s="3">
        <v>0.83864915572232646</v>
      </c>
      <c r="D895" s="3">
        <v>10508.401928571428</v>
      </c>
      <c r="E895" s="3">
        <f t="shared" si="0"/>
        <v>8812.8624053872954</v>
      </c>
      <c r="F895" s="3">
        <f t="shared" si="1"/>
        <v>77200674.671192706</v>
      </c>
      <c r="G895" s="3">
        <f t="shared" si="2"/>
        <v>23912632218148.445</v>
      </c>
      <c r="H895" s="3">
        <f t="shared" si="3"/>
        <v>84067215.428571418</v>
      </c>
      <c r="I895" s="3">
        <f t="shared" si="4"/>
        <v>2522016.4628571426</v>
      </c>
      <c r="J895" s="3">
        <f t="shared" si="5"/>
        <v>23912642306214.293</v>
      </c>
    </row>
    <row r="896" spans="1:10" x14ac:dyDescent="0.25">
      <c r="A896" s="3">
        <v>895</v>
      </c>
      <c r="B896" s="3">
        <v>35.718035714285712</v>
      </c>
      <c r="C896" s="3">
        <v>0.83958724202626644</v>
      </c>
      <c r="D896" s="3">
        <v>10511.817910714286</v>
      </c>
      <c r="E896" s="3">
        <f t="shared" si="0"/>
        <v>8825.588208338917</v>
      </c>
      <c r="F896" s="3">
        <f t="shared" si="1"/>
        <v>77312152.705048919</v>
      </c>
      <c r="G896" s="3">
        <f t="shared" si="2"/>
        <v>23947162150779.086</v>
      </c>
      <c r="H896" s="3">
        <f t="shared" si="3"/>
        <v>84094543.285714284</v>
      </c>
      <c r="I896" s="3">
        <f t="shared" si="4"/>
        <v>2522836.2985714283</v>
      </c>
      <c r="J896" s="3">
        <f t="shared" si="5"/>
        <v>23947172242124.277</v>
      </c>
    </row>
    <row r="897" spans="1:10" x14ac:dyDescent="0.25">
      <c r="A897" s="3">
        <v>896</v>
      </c>
      <c r="B897" s="3">
        <v>35.738571428571433</v>
      </c>
      <c r="C897" s="3">
        <v>0.84052532833020643</v>
      </c>
      <c r="D897" s="3">
        <v>10517.861571428573</v>
      </c>
      <c r="E897" s="3">
        <f t="shared" si="0"/>
        <v>8840.5290506566635</v>
      </c>
      <c r="F897" s="3">
        <f t="shared" si="1"/>
        <v>77443034.48375237</v>
      </c>
      <c r="G897" s="3">
        <f t="shared" si="2"/>
        <v>23987702323827.5</v>
      </c>
      <c r="H897" s="3">
        <f t="shared" si="3"/>
        <v>84142892.571428582</v>
      </c>
      <c r="I897" s="3">
        <f t="shared" si="4"/>
        <v>2524286.7771428572</v>
      </c>
      <c r="J897" s="3">
        <f t="shared" si="5"/>
        <v>23987712420974.609</v>
      </c>
    </row>
    <row r="898" spans="1:10" x14ac:dyDescent="0.25">
      <c r="A898" s="3">
        <v>897</v>
      </c>
      <c r="B898" s="3">
        <v>35.739821428571425</v>
      </c>
      <c r="C898" s="3">
        <v>0.84146341463414631</v>
      </c>
      <c r="D898" s="3">
        <v>10518.229446428571</v>
      </c>
      <c r="E898" s="3">
        <f t="shared" si="0"/>
        <v>8850.7052658972116</v>
      </c>
      <c r="F898" s="3">
        <f t="shared" si="1"/>
        <v>77532178.129259571</v>
      </c>
      <c r="G898" s="3">
        <f t="shared" si="2"/>
        <v>24015314259742.574</v>
      </c>
      <c r="H898" s="3">
        <f t="shared" si="3"/>
        <v>84145835.571428567</v>
      </c>
      <c r="I898" s="3">
        <f t="shared" si="4"/>
        <v>2524375.0671428568</v>
      </c>
      <c r="J898" s="3">
        <f t="shared" si="5"/>
        <v>24015324357242.844</v>
      </c>
    </row>
    <row r="899" spans="1:10" x14ac:dyDescent="0.25">
      <c r="A899" s="3">
        <v>898</v>
      </c>
      <c r="B899" s="3">
        <v>35.801071428571433</v>
      </c>
      <c r="C899" s="3">
        <v>0.8424015009380863</v>
      </c>
      <c r="D899" s="3">
        <v>10536.255321428573</v>
      </c>
      <c r="E899" s="3">
        <f t="shared" si="0"/>
        <v>8875.757297038328</v>
      </c>
      <c r="F899" s="3">
        <f t="shared" si="1"/>
        <v>77751633.922055766</v>
      </c>
      <c r="G899" s="3">
        <f t="shared" si="2"/>
        <v>24083289916193.348</v>
      </c>
      <c r="H899" s="3">
        <f t="shared" si="3"/>
        <v>84290042.571428582</v>
      </c>
      <c r="I899" s="3">
        <f t="shared" si="4"/>
        <v>2528701.2771428572</v>
      </c>
      <c r="J899" s="3">
        <f t="shared" si="5"/>
        <v>24083300030998.457</v>
      </c>
    </row>
    <row r="900" spans="1:10" x14ac:dyDescent="0.25">
      <c r="A900" s="3">
        <v>899</v>
      </c>
      <c r="B900" s="3">
        <v>36.009642857142858</v>
      </c>
      <c r="C900" s="3">
        <v>0.84333958724202629</v>
      </c>
      <c r="D900" s="3">
        <v>10597.637892857143</v>
      </c>
      <c r="E900" s="3">
        <f t="shared" si="0"/>
        <v>8937.4075663025997</v>
      </c>
      <c r="F900" s="3">
        <f t="shared" si="1"/>
        <v>78291690.280810773</v>
      </c>
      <c r="G900" s="3">
        <f t="shared" si="2"/>
        <v>24250570448881.48</v>
      </c>
      <c r="H900" s="3">
        <f t="shared" si="3"/>
        <v>84781103.142857149</v>
      </c>
      <c r="I900" s="3">
        <f t="shared" si="4"/>
        <v>2543433.0942857144</v>
      </c>
      <c r="J900" s="3">
        <f t="shared" si="5"/>
        <v>24250580622613.855</v>
      </c>
    </row>
    <row r="901" spans="1:10" x14ac:dyDescent="0.25">
      <c r="A901" s="3">
        <v>900</v>
      </c>
      <c r="B901" s="3">
        <v>36.053571428571431</v>
      </c>
      <c r="C901" s="3">
        <v>0.84427767354596628</v>
      </c>
      <c r="D901" s="3">
        <v>10610.566071428571</v>
      </c>
      <c r="E901" s="3">
        <f t="shared" si="0"/>
        <v>8958.2640377914777</v>
      </c>
      <c r="F901" s="3">
        <f t="shared" si="1"/>
        <v>78474392.971053332</v>
      </c>
      <c r="G901" s="3">
        <f t="shared" si="2"/>
        <v>24307161963665.77</v>
      </c>
      <c r="H901" s="3">
        <f t="shared" si="3"/>
        <v>84884528.571428567</v>
      </c>
      <c r="I901" s="3">
        <f t="shared" si="4"/>
        <v>2546535.8571428568</v>
      </c>
      <c r="J901" s="3">
        <f t="shared" si="5"/>
        <v>24307172149809.195</v>
      </c>
    </row>
    <row r="902" spans="1:10" x14ac:dyDescent="0.25">
      <c r="A902" s="3">
        <v>901</v>
      </c>
      <c r="B902" s="3">
        <v>36.067500000000003</v>
      </c>
      <c r="C902" s="3">
        <v>0.84521575984990616</v>
      </c>
      <c r="D902" s="3">
        <v>10614.66525</v>
      </c>
      <c r="E902" s="3">
        <f t="shared" si="0"/>
        <v>8971.682354831144</v>
      </c>
      <c r="F902" s="3">
        <f t="shared" si="1"/>
        <v>78591937.428320825</v>
      </c>
      <c r="G902" s="3">
        <f t="shared" si="2"/>
        <v>24343570949337.02</v>
      </c>
      <c r="H902" s="3">
        <f t="shared" si="3"/>
        <v>84917322</v>
      </c>
      <c r="I902" s="3">
        <f t="shared" si="4"/>
        <v>2547519.6599999997</v>
      </c>
      <c r="J902" s="3">
        <f t="shared" si="5"/>
        <v>24343581139415.66</v>
      </c>
    </row>
    <row r="903" spans="1:10" x14ac:dyDescent="0.25">
      <c r="A903" s="3">
        <v>902</v>
      </c>
      <c r="B903" s="3">
        <v>36.144107142857145</v>
      </c>
      <c r="C903" s="3">
        <v>0.84615384615384615</v>
      </c>
      <c r="D903" s="3">
        <v>10637.210732142858</v>
      </c>
      <c r="E903" s="3">
        <f t="shared" si="0"/>
        <v>9000.716773351649</v>
      </c>
      <c r="F903" s="3">
        <f t="shared" si="1"/>
        <v>78846278.934560448</v>
      </c>
      <c r="G903" s="3">
        <f t="shared" si="2"/>
        <v>24422352330682.852</v>
      </c>
      <c r="H903" s="3">
        <f t="shared" si="3"/>
        <v>85097685.857142866</v>
      </c>
      <c r="I903" s="3">
        <f t="shared" si="4"/>
        <v>2552930.575714286</v>
      </c>
      <c r="J903" s="3">
        <f t="shared" si="5"/>
        <v>24422362542405.152</v>
      </c>
    </row>
    <row r="904" spans="1:10" x14ac:dyDescent="0.25">
      <c r="A904" s="3">
        <v>903</v>
      </c>
      <c r="B904" s="3">
        <v>36.235892857142865</v>
      </c>
      <c r="C904" s="3">
        <v>0.84709193245778613</v>
      </c>
      <c r="D904" s="3">
        <v>10664.223267857145</v>
      </c>
      <c r="E904" s="3">
        <f t="shared" si="0"/>
        <v>9033.577496130396</v>
      </c>
      <c r="F904" s="3">
        <f t="shared" si="1"/>
        <v>79134138.866102263</v>
      </c>
      <c r="G904" s="3">
        <f t="shared" si="2"/>
        <v>24511515924195.441</v>
      </c>
      <c r="H904" s="3">
        <f t="shared" si="3"/>
        <v>85313786.142857164</v>
      </c>
      <c r="I904" s="3">
        <f t="shared" si="4"/>
        <v>2559413.5842857147</v>
      </c>
      <c r="J904" s="3">
        <f t="shared" si="5"/>
        <v>24511526161849.781</v>
      </c>
    </row>
    <row r="905" spans="1:10" x14ac:dyDescent="0.25">
      <c r="A905" s="3">
        <v>904</v>
      </c>
      <c r="B905" s="3">
        <v>36.315178571428575</v>
      </c>
      <c r="C905" s="3">
        <v>0.84803001876172612</v>
      </c>
      <c r="D905" s="3">
        <v>10687.557053571431</v>
      </c>
      <c r="E905" s="3">
        <f t="shared" si="0"/>
        <v>9063.3692086571991</v>
      </c>
      <c r="F905" s="3">
        <f t="shared" si="1"/>
        <v>79395114.267837062</v>
      </c>
      <c r="G905" s="3">
        <f t="shared" si="2"/>
        <v>24592352130998.766</v>
      </c>
      <c r="H905" s="3">
        <f t="shared" si="3"/>
        <v>85500456.428571448</v>
      </c>
      <c r="I905" s="3">
        <f t="shared" si="4"/>
        <v>2565013.6928571435</v>
      </c>
      <c r="J905" s="3">
        <f t="shared" si="5"/>
        <v>24592362391053.535</v>
      </c>
    </row>
    <row r="906" spans="1:10" x14ac:dyDescent="0.25">
      <c r="A906" s="3">
        <v>905</v>
      </c>
      <c r="B906" s="3">
        <v>36.393571428571434</v>
      </c>
      <c r="C906" s="3">
        <v>0.848968105065666</v>
      </c>
      <c r="D906" s="3">
        <v>10710.628071428573</v>
      </c>
      <c r="E906" s="3">
        <f t="shared" si="0"/>
        <v>9092.9816178638448</v>
      </c>
      <c r="F906" s="3">
        <f t="shared" si="1"/>
        <v>79654518.972487286</v>
      </c>
      <c r="G906" s="3">
        <f t="shared" si="2"/>
        <v>24672701820058.023</v>
      </c>
      <c r="H906" s="3">
        <f t="shared" si="3"/>
        <v>85685024.571428582</v>
      </c>
      <c r="I906" s="3">
        <f t="shared" si="4"/>
        <v>2570550.7371428572</v>
      </c>
      <c r="J906" s="3">
        <f t="shared" si="5"/>
        <v>24672712102260.973</v>
      </c>
    </row>
    <row r="907" spans="1:10" x14ac:dyDescent="0.25">
      <c r="A907" s="3">
        <v>906</v>
      </c>
      <c r="B907" s="3">
        <v>36.460714285714282</v>
      </c>
      <c r="C907" s="3">
        <v>0.84990619136960599</v>
      </c>
      <c r="D907" s="3">
        <v>10730.388214285713</v>
      </c>
      <c r="E907" s="3">
        <f t="shared" si="0"/>
        <v>9119.8233791208786</v>
      </c>
      <c r="F907" s="3">
        <f t="shared" si="1"/>
        <v>79889652.801098898</v>
      </c>
      <c r="G907" s="3">
        <f t="shared" si="2"/>
        <v>24745533692281.309</v>
      </c>
      <c r="H907" s="3">
        <f t="shared" si="3"/>
        <v>85843105.714285702</v>
      </c>
      <c r="I907" s="3">
        <f t="shared" si="4"/>
        <v>2575293.171428571</v>
      </c>
      <c r="J907" s="3">
        <f t="shared" si="5"/>
        <v>24745543993453.996</v>
      </c>
    </row>
    <row r="908" spans="1:10" x14ac:dyDescent="0.25">
      <c r="A908" s="3">
        <v>907</v>
      </c>
      <c r="B908" s="3">
        <v>36.596428571428568</v>
      </c>
      <c r="C908" s="3">
        <v>0.85084427767354598</v>
      </c>
      <c r="D908" s="3">
        <v>10770.328928571427</v>
      </c>
      <c r="E908" s="3">
        <f t="shared" si="0"/>
        <v>9163.8727375368526</v>
      </c>
      <c r="F908" s="3">
        <f t="shared" si="1"/>
        <v>80275525.180822819</v>
      </c>
      <c r="G908" s="3">
        <f t="shared" si="2"/>
        <v>24865056290644.262</v>
      </c>
      <c r="H908" s="3">
        <f t="shared" si="3"/>
        <v>86162631.428571418</v>
      </c>
      <c r="I908" s="3">
        <f t="shared" si="4"/>
        <v>2584878.9428571425</v>
      </c>
      <c r="J908" s="3">
        <f t="shared" si="5"/>
        <v>24865066630160.031</v>
      </c>
    </row>
    <row r="909" spans="1:10" x14ac:dyDescent="0.25">
      <c r="A909" s="3">
        <v>908</v>
      </c>
      <c r="B909" s="3">
        <v>36.601785714285711</v>
      </c>
      <c r="C909" s="3">
        <v>0.85178236397748597</v>
      </c>
      <c r="D909" s="3">
        <v>10771.905535714286</v>
      </c>
      <c r="E909" s="3">
        <f t="shared" si="0"/>
        <v>9175.3191617528828</v>
      </c>
      <c r="F909" s="3">
        <f t="shared" si="1"/>
        <v>80375795.85695526</v>
      </c>
      <c r="G909" s="3">
        <f t="shared" si="2"/>
        <v>24896114784699.18</v>
      </c>
      <c r="H909" s="3">
        <f t="shared" si="3"/>
        <v>86175244.285714284</v>
      </c>
      <c r="I909" s="3">
        <f t="shared" si="4"/>
        <v>2585257.3285714285</v>
      </c>
      <c r="J909" s="3">
        <f t="shared" si="5"/>
        <v>24896125125728.492</v>
      </c>
    </row>
    <row r="910" spans="1:10" x14ac:dyDescent="0.25">
      <c r="A910" s="3">
        <v>909</v>
      </c>
      <c r="B910" s="3">
        <v>36.658571428571427</v>
      </c>
      <c r="C910" s="3">
        <v>0.85272045028142585</v>
      </c>
      <c r="D910" s="3">
        <v>10788.617571428571</v>
      </c>
      <c r="E910" s="3">
        <f t="shared" si="0"/>
        <v>9199.6748334226741</v>
      </c>
      <c r="F910" s="3">
        <f t="shared" si="1"/>
        <v>80589151.54078263</v>
      </c>
      <c r="G910" s="3">
        <f t="shared" si="2"/>
        <v>24962200954729.656</v>
      </c>
      <c r="H910" s="3">
        <f t="shared" si="3"/>
        <v>86308940.571428567</v>
      </c>
      <c r="I910" s="3">
        <f t="shared" si="4"/>
        <v>2589268.2171428571</v>
      </c>
      <c r="J910" s="3">
        <f t="shared" si="5"/>
        <v>24962211311802.527</v>
      </c>
    </row>
    <row r="911" spans="1:10" x14ac:dyDescent="0.25">
      <c r="A911" s="3">
        <v>910</v>
      </c>
      <c r="B911" s="3">
        <v>36.703571428571429</v>
      </c>
      <c r="C911" s="3">
        <v>0.85365853658536583</v>
      </c>
      <c r="D911" s="3">
        <v>10801.861071428571</v>
      </c>
      <c r="E911" s="3">
        <f t="shared" si="0"/>
        <v>9221.1009146341457</v>
      </c>
      <c r="F911" s="3">
        <f t="shared" si="1"/>
        <v>80776844.01219511</v>
      </c>
      <c r="G911" s="3">
        <f t="shared" si="2"/>
        <v>25020338036692.492</v>
      </c>
      <c r="H911" s="3">
        <f t="shared" si="3"/>
        <v>86414888.571428567</v>
      </c>
      <c r="I911" s="3">
        <f t="shared" si="4"/>
        <v>2592446.6571428571</v>
      </c>
      <c r="J911" s="3">
        <f t="shared" si="5"/>
        <v>25020348406479.121</v>
      </c>
    </row>
    <row r="912" spans="1:10" x14ac:dyDescent="0.25">
      <c r="A912" s="3">
        <v>911</v>
      </c>
      <c r="B912" s="3">
        <v>36.770714285714291</v>
      </c>
      <c r="C912" s="3">
        <v>0.85459662288930582</v>
      </c>
      <c r="D912" s="3">
        <v>10821.621214285717</v>
      </c>
      <c r="E912" s="3">
        <f t="shared" si="0"/>
        <v>9248.1209439158429</v>
      </c>
      <c r="F912" s="3">
        <f t="shared" si="1"/>
        <v>81013539.468702793</v>
      </c>
      <c r="G912" s="3">
        <f t="shared" si="2"/>
        <v>25093653617762.277</v>
      </c>
      <c r="H912" s="3">
        <f t="shared" si="3"/>
        <v>86572969.714285731</v>
      </c>
      <c r="I912" s="3">
        <f t="shared" si="4"/>
        <v>2597189.0914285718</v>
      </c>
      <c r="J912" s="3">
        <f t="shared" si="5"/>
        <v>25093664006518.641</v>
      </c>
    </row>
    <row r="913" spans="1:10" x14ac:dyDescent="0.25">
      <c r="A913" s="3">
        <v>912</v>
      </c>
      <c r="B913" s="3">
        <v>36.868749999999999</v>
      </c>
      <c r="C913" s="3">
        <v>0.85553470919324581</v>
      </c>
      <c r="D913" s="3">
        <v>10850.473125</v>
      </c>
      <c r="E913" s="3">
        <f t="shared" si="0"/>
        <v>9282.956369606005</v>
      </c>
      <c r="F913" s="3">
        <f t="shared" si="1"/>
        <v>81318697.797748595</v>
      </c>
      <c r="G913" s="3">
        <f t="shared" si="2"/>
        <v>25188175328382.324</v>
      </c>
      <c r="H913" s="3">
        <f t="shared" si="3"/>
        <v>86803785</v>
      </c>
      <c r="I913" s="3">
        <f t="shared" si="4"/>
        <v>2604113.5499999998</v>
      </c>
      <c r="J913" s="3">
        <f t="shared" si="5"/>
        <v>25188185744836.523</v>
      </c>
    </row>
    <row r="914" spans="1:10" x14ac:dyDescent="0.25">
      <c r="A914" s="3">
        <v>913</v>
      </c>
      <c r="B914" s="3">
        <v>36.960357142857141</v>
      </c>
      <c r="C914" s="3">
        <v>0.85647279549718569</v>
      </c>
      <c r="D914" s="3">
        <v>10877.433107142859</v>
      </c>
      <c r="E914" s="3">
        <f t="shared" si="0"/>
        <v>9316.2255411082824</v>
      </c>
      <c r="F914" s="3">
        <f t="shared" si="1"/>
        <v>81610135.740108564</v>
      </c>
      <c r="G914" s="3">
        <f t="shared" si="2"/>
        <v>25278447198436.82</v>
      </c>
      <c r="H914" s="3">
        <f t="shared" si="3"/>
        <v>87019464.857142866</v>
      </c>
      <c r="I914" s="3">
        <f t="shared" si="4"/>
        <v>2610583.9457142861</v>
      </c>
      <c r="J914" s="3">
        <f t="shared" si="5"/>
        <v>25278457640772.602</v>
      </c>
    </row>
    <row r="915" spans="1:10" x14ac:dyDescent="0.25">
      <c r="A915" s="3">
        <v>914</v>
      </c>
      <c r="B915" s="3">
        <v>37.146964285714283</v>
      </c>
      <c r="C915" s="3">
        <v>0.85741088180112568</v>
      </c>
      <c r="D915" s="3">
        <v>10932.351589285712</v>
      </c>
      <c r="E915" s="3">
        <f t="shared" si="0"/>
        <v>9373.517216329401</v>
      </c>
      <c r="F915" s="3">
        <f t="shared" si="1"/>
        <v>82112010.81504555</v>
      </c>
      <c r="G915" s="3">
        <f t="shared" si="2"/>
        <v>25433901216556.906</v>
      </c>
      <c r="H915" s="3">
        <f t="shared" si="3"/>
        <v>87458812.714285702</v>
      </c>
      <c r="I915" s="3">
        <f t="shared" si="4"/>
        <v>2623764.381428571</v>
      </c>
      <c r="J915" s="3">
        <f t="shared" si="5"/>
        <v>25433911711614.434</v>
      </c>
    </row>
    <row r="916" spans="1:10" x14ac:dyDescent="0.25">
      <c r="A916" s="3">
        <v>915</v>
      </c>
      <c r="B916" s="3">
        <v>37.216250000000002</v>
      </c>
      <c r="C916" s="3">
        <v>0.85834896810506567</v>
      </c>
      <c r="D916" s="3">
        <v>10952.742375</v>
      </c>
      <c r="E916" s="3">
        <f t="shared" si="0"/>
        <v>9401.2751155018759</v>
      </c>
      <c r="F916" s="3">
        <f t="shared" si="1"/>
        <v>82355170.01179643</v>
      </c>
      <c r="G916" s="3">
        <f t="shared" si="2"/>
        <v>25509218918233.992</v>
      </c>
      <c r="H916" s="3">
        <f t="shared" si="3"/>
        <v>87621939</v>
      </c>
      <c r="I916" s="3">
        <f t="shared" si="4"/>
        <v>2628658.17</v>
      </c>
      <c r="J916" s="3">
        <f t="shared" si="5"/>
        <v>25509229432866.676</v>
      </c>
    </row>
    <row r="917" spans="1:10" x14ac:dyDescent="0.25">
      <c r="A917" s="3">
        <v>916</v>
      </c>
      <c r="B917" s="3">
        <v>37.377499999999998</v>
      </c>
      <c r="C917" s="3">
        <v>0.85928705440900566</v>
      </c>
      <c r="D917" s="3">
        <v>11000.198249999999</v>
      </c>
      <c r="E917" s="3">
        <f t="shared" si="0"/>
        <v>9452.3279521575987</v>
      </c>
      <c r="F917" s="3">
        <f t="shared" si="1"/>
        <v>82802392.860900566</v>
      </c>
      <c r="G917" s="3">
        <f t="shared" si="2"/>
        <v>25647744605350.867</v>
      </c>
      <c r="H917" s="3">
        <f t="shared" si="3"/>
        <v>88001586</v>
      </c>
      <c r="I917" s="3">
        <f t="shared" si="4"/>
        <v>2640047.58</v>
      </c>
      <c r="J917" s="3">
        <f t="shared" si="5"/>
        <v>25647755165541.184</v>
      </c>
    </row>
    <row r="918" spans="1:10" x14ac:dyDescent="0.25">
      <c r="A918" s="3">
        <v>917</v>
      </c>
      <c r="B918" s="3">
        <v>37.543035714285715</v>
      </c>
      <c r="C918" s="3">
        <v>0.86022514071294565</v>
      </c>
      <c r="D918" s="3">
        <v>11048.915410714288</v>
      </c>
      <c r="E918" s="3">
        <f t="shared" si="0"/>
        <v>9504.5548139071325</v>
      </c>
      <c r="F918" s="3">
        <f t="shared" si="1"/>
        <v>83259900.169826478</v>
      </c>
      <c r="G918" s="3">
        <f t="shared" si="2"/>
        <v>25789455867161.227</v>
      </c>
      <c r="H918" s="3">
        <f t="shared" si="3"/>
        <v>88391323.285714298</v>
      </c>
      <c r="I918" s="3">
        <f t="shared" si="4"/>
        <v>2651739.6985714287</v>
      </c>
      <c r="J918" s="3">
        <f t="shared" si="5"/>
        <v>25789466474120.023</v>
      </c>
    </row>
    <row r="919" spans="1:10" x14ac:dyDescent="0.25">
      <c r="A919" s="3">
        <v>918</v>
      </c>
      <c r="B919" s="3">
        <v>37.748392857142854</v>
      </c>
      <c r="C919" s="3">
        <v>0.86116322701688552</v>
      </c>
      <c r="D919" s="3">
        <v>11109.352017857143</v>
      </c>
      <c r="E919" s="3">
        <f t="shared" si="0"/>
        <v>9566.965433764406</v>
      </c>
      <c r="F919" s="3">
        <f t="shared" si="1"/>
        <v>83806617.199776202</v>
      </c>
      <c r="G919" s="3">
        <f t="shared" si="2"/>
        <v>25958799520652.188</v>
      </c>
      <c r="H919" s="3">
        <f t="shared" si="3"/>
        <v>88874816.142857149</v>
      </c>
      <c r="I919" s="3">
        <f t="shared" si="4"/>
        <v>2666244.4842857146</v>
      </c>
      <c r="J919" s="3">
        <f t="shared" si="5"/>
        <v>25958810185630.125</v>
      </c>
    </row>
    <row r="920" spans="1:10" x14ac:dyDescent="0.25">
      <c r="A920" s="3">
        <v>919</v>
      </c>
      <c r="B920" s="3">
        <v>37.825535714285714</v>
      </c>
      <c r="C920" s="3">
        <v>0.86210131332082551</v>
      </c>
      <c r="D920" s="3">
        <v>11132.055160714286</v>
      </c>
      <c r="E920" s="3">
        <f t="shared" si="0"/>
        <v>9596.9593740116597</v>
      </c>
      <c r="F920" s="3">
        <f t="shared" si="1"/>
        <v>84069364.116342127</v>
      </c>
      <c r="G920" s="3">
        <f t="shared" si="2"/>
        <v>26040184448660.547</v>
      </c>
      <c r="H920" s="3">
        <f t="shared" si="3"/>
        <v>89056441.285714284</v>
      </c>
      <c r="I920" s="3">
        <f t="shared" si="4"/>
        <v>2671693.2385714282</v>
      </c>
      <c r="J920" s="3">
        <f t="shared" si="5"/>
        <v>26040195135433.5</v>
      </c>
    </row>
    <row r="921" spans="1:10" x14ac:dyDescent="0.25">
      <c r="A921" s="3">
        <v>920</v>
      </c>
      <c r="B921" s="3">
        <v>37.931607142857146</v>
      </c>
      <c r="C921" s="3">
        <v>0.8630393996247655</v>
      </c>
      <c r="D921" s="3">
        <v>11163.271982142858</v>
      </c>
      <c r="E921" s="3">
        <f t="shared" si="0"/>
        <v>9634.343549316538</v>
      </c>
      <c r="F921" s="3">
        <f t="shared" si="1"/>
        <v>84396849.492012873</v>
      </c>
      <c r="G921" s="3">
        <f t="shared" si="2"/>
        <v>26141621882578.355</v>
      </c>
      <c r="H921" s="3">
        <f t="shared" si="3"/>
        <v>89306175.857142866</v>
      </c>
      <c r="I921" s="3">
        <f t="shared" si="4"/>
        <v>2679185.2757142857</v>
      </c>
      <c r="J921" s="3">
        <f t="shared" si="5"/>
        <v>26141632599319.461</v>
      </c>
    </row>
    <row r="922" spans="1:10" x14ac:dyDescent="0.25">
      <c r="A922" s="3">
        <v>921</v>
      </c>
      <c r="B922" s="3">
        <v>38.155535714285719</v>
      </c>
      <c r="C922" s="3">
        <v>0.86397748592870549</v>
      </c>
      <c r="D922" s="3">
        <v>11229.174160714287</v>
      </c>
      <c r="E922" s="3">
        <f t="shared" si="0"/>
        <v>9701.753660429511</v>
      </c>
      <c r="F922" s="3">
        <f t="shared" si="1"/>
        <v>84987362.065362528</v>
      </c>
      <c r="G922" s="3">
        <f t="shared" si="2"/>
        <v>26324531049108.176</v>
      </c>
      <c r="H922" s="3">
        <f t="shared" si="3"/>
        <v>89833393.285714298</v>
      </c>
      <c r="I922" s="3">
        <f t="shared" si="4"/>
        <v>2695001.7985714287</v>
      </c>
      <c r="J922" s="3">
        <f t="shared" si="5"/>
        <v>26324541829115.367</v>
      </c>
    </row>
    <row r="923" spans="1:10" x14ac:dyDescent="0.25">
      <c r="A923" s="3">
        <v>922</v>
      </c>
      <c r="B923" s="3">
        <v>38.169464285714284</v>
      </c>
      <c r="C923" s="3">
        <v>0.86491557223264537</v>
      </c>
      <c r="D923" s="3">
        <v>11233.273339285714</v>
      </c>
      <c r="E923" s="3">
        <f t="shared" si="0"/>
        <v>9715.8330382940221</v>
      </c>
      <c r="F923" s="3">
        <f t="shared" si="1"/>
        <v>85110697.415455639</v>
      </c>
      <c r="G923" s="3">
        <f t="shared" si="2"/>
        <v>26362733743828.766</v>
      </c>
      <c r="H923" s="3">
        <f t="shared" si="3"/>
        <v>89866186.714285702</v>
      </c>
      <c r="I923" s="3">
        <f t="shared" si="4"/>
        <v>2695985.6014285712</v>
      </c>
      <c r="J923" s="3">
        <f t="shared" si="5"/>
        <v>26362744527771.172</v>
      </c>
    </row>
    <row r="924" spans="1:10" x14ac:dyDescent="0.25">
      <c r="A924" s="3">
        <v>923</v>
      </c>
      <c r="B924" s="3">
        <v>38.278928571428565</v>
      </c>
      <c r="C924" s="3">
        <v>0.86585365853658536</v>
      </c>
      <c r="D924" s="3">
        <v>11265.488678571428</v>
      </c>
      <c r="E924" s="3">
        <f t="shared" si="0"/>
        <v>9754.2645875435537</v>
      </c>
      <c r="F924" s="3">
        <f t="shared" si="1"/>
        <v>85447357.786881521</v>
      </c>
      <c r="G924" s="3">
        <f t="shared" si="2"/>
        <v>26467013100030.098</v>
      </c>
      <c r="H924" s="3">
        <f t="shared" si="3"/>
        <v>90123909.428571418</v>
      </c>
      <c r="I924" s="3">
        <f t="shared" si="4"/>
        <v>2703717.2828571424</v>
      </c>
      <c r="J924" s="3">
        <f t="shared" si="5"/>
        <v>26467023914899.227</v>
      </c>
    </row>
    <row r="925" spans="1:10" x14ac:dyDescent="0.25">
      <c r="A925" s="3">
        <v>924</v>
      </c>
      <c r="B925" s="3">
        <v>38.284107142857138</v>
      </c>
      <c r="C925" s="3">
        <v>0.86679174484052535</v>
      </c>
      <c r="D925" s="3">
        <v>11267.012732142857</v>
      </c>
      <c r="E925" s="3">
        <f t="shared" si="0"/>
        <v>9766.1536252345213</v>
      </c>
      <c r="F925" s="3">
        <f t="shared" si="1"/>
        <v>85551505.757054403</v>
      </c>
      <c r="G925" s="3">
        <f t="shared" si="2"/>
        <v>26499272572571.211</v>
      </c>
      <c r="H925" s="3">
        <f t="shared" si="3"/>
        <v>90136101.857142851</v>
      </c>
      <c r="I925" s="3">
        <f t="shared" si="4"/>
        <v>2704083.0557142855</v>
      </c>
      <c r="J925" s="3">
        <f t="shared" si="5"/>
        <v>26499283388903.434</v>
      </c>
    </row>
    <row r="926" spans="1:10" x14ac:dyDescent="0.25">
      <c r="A926" s="3">
        <v>925</v>
      </c>
      <c r="B926" s="3">
        <v>38.291071428571428</v>
      </c>
      <c r="C926" s="3">
        <v>0.86772983114446534</v>
      </c>
      <c r="D926" s="3">
        <v>11269.062321428572</v>
      </c>
      <c r="E926" s="3">
        <f t="shared" si="0"/>
        <v>9778.501545329671</v>
      </c>
      <c r="F926" s="3">
        <f t="shared" si="1"/>
        <v>85659673.537087917</v>
      </c>
      <c r="G926" s="3">
        <f t="shared" si="2"/>
        <v>26532777166826.566</v>
      </c>
      <c r="H926" s="3">
        <f t="shared" si="3"/>
        <v>90152498.571428567</v>
      </c>
      <c r="I926" s="3">
        <f t="shared" si="4"/>
        <v>2704574.9571428569</v>
      </c>
      <c r="J926" s="3">
        <f t="shared" si="5"/>
        <v>26532787985126.395</v>
      </c>
    </row>
    <row r="927" spans="1:10" x14ac:dyDescent="0.25">
      <c r="A927" s="3">
        <v>926</v>
      </c>
      <c r="B927" s="3">
        <v>38.379285714285714</v>
      </c>
      <c r="C927" s="3">
        <v>0.86866791744840521</v>
      </c>
      <c r="D927" s="3">
        <v>11295.023785714287</v>
      </c>
      <c r="E927" s="3">
        <f t="shared" si="0"/>
        <v>9811.6247894666321</v>
      </c>
      <c r="F927" s="3">
        <f t="shared" si="1"/>
        <v>85949833.155727699</v>
      </c>
      <c r="G927" s="3">
        <f t="shared" si="2"/>
        <v>26622653081483.012</v>
      </c>
      <c r="H927" s="3">
        <f t="shared" si="3"/>
        <v>90360190.285714298</v>
      </c>
      <c r="I927" s="3">
        <f t="shared" si="4"/>
        <v>2710805.7085714289</v>
      </c>
      <c r="J927" s="3">
        <f t="shared" si="5"/>
        <v>26622663924705.844</v>
      </c>
    </row>
    <row r="928" spans="1:10" x14ac:dyDescent="0.25">
      <c r="A928" s="3">
        <v>927</v>
      </c>
      <c r="B928" s="3">
        <v>38.603392857142858</v>
      </c>
      <c r="C928" s="3">
        <v>0.8696060037523452</v>
      </c>
      <c r="D928" s="3">
        <v>11360.978517857144</v>
      </c>
      <c r="E928" s="3">
        <f t="shared" si="0"/>
        <v>9879.5751276299925</v>
      </c>
      <c r="F928" s="3">
        <f t="shared" si="1"/>
        <v>86545078.118038729</v>
      </c>
      <c r="G928" s="3">
        <f t="shared" si="2"/>
        <v>26807028089096.141</v>
      </c>
      <c r="H928" s="3">
        <f t="shared" si="3"/>
        <v>90887828.142857149</v>
      </c>
      <c r="I928" s="3">
        <f t="shared" si="4"/>
        <v>2726634.8442857144</v>
      </c>
      <c r="J928" s="3">
        <f t="shared" si="5"/>
        <v>26807038995635.516</v>
      </c>
    </row>
    <row r="929" spans="1:10" x14ac:dyDescent="0.25">
      <c r="A929" s="3">
        <v>928</v>
      </c>
      <c r="B929" s="3">
        <v>38.76642857142857</v>
      </c>
      <c r="C929" s="3">
        <v>0.87054409005628519</v>
      </c>
      <c r="D929" s="3">
        <v>11408.95992857143</v>
      </c>
      <c r="E929" s="3">
        <f t="shared" si="0"/>
        <v>9932.0026395068362</v>
      </c>
      <c r="F929" s="3">
        <f t="shared" si="1"/>
        <v>87004343.122079894</v>
      </c>
      <c r="G929" s="3">
        <f t="shared" si="2"/>
        <v>26949283791603.191</v>
      </c>
      <c r="H929" s="3">
        <f t="shared" si="3"/>
        <v>91271679.428571448</v>
      </c>
      <c r="I929" s="3">
        <f t="shared" si="4"/>
        <v>2738150.3828571434</v>
      </c>
      <c r="J929" s="3">
        <f t="shared" si="5"/>
        <v>26949294744204.723</v>
      </c>
    </row>
    <row r="930" spans="1:10" x14ac:dyDescent="0.25">
      <c r="A930" s="3">
        <v>929</v>
      </c>
      <c r="B930" s="3">
        <v>38.863214285714285</v>
      </c>
      <c r="C930" s="3">
        <v>0.87148217636022518</v>
      </c>
      <c r="D930" s="3">
        <v>11437.443964285712</v>
      </c>
      <c r="E930" s="3">
        <f t="shared" si="0"/>
        <v>9967.5285579938336</v>
      </c>
      <c r="F930" s="3">
        <f t="shared" si="1"/>
        <v>87315550.16802597</v>
      </c>
      <c r="G930" s="3">
        <f t="shared" si="2"/>
        <v>27045679071742.266</v>
      </c>
      <c r="H930" s="3">
        <f t="shared" si="3"/>
        <v>91499551.714285702</v>
      </c>
      <c r="I930" s="3">
        <f t="shared" si="4"/>
        <v>2744986.5514285709</v>
      </c>
      <c r="J930" s="3">
        <f t="shared" si="5"/>
        <v>27045690051688.469</v>
      </c>
    </row>
    <row r="931" spans="1:10" x14ac:dyDescent="0.25">
      <c r="A931" s="3">
        <v>930</v>
      </c>
      <c r="B931" s="3">
        <v>38.868392857142858</v>
      </c>
      <c r="C931" s="3">
        <v>0.87242026266416506</v>
      </c>
      <c r="D931" s="3">
        <v>11438.968017857143</v>
      </c>
      <c r="E931" s="3">
        <f t="shared" si="0"/>
        <v>9979.587482745912</v>
      </c>
      <c r="F931" s="3">
        <f t="shared" si="1"/>
        <v>87421186.348854184</v>
      </c>
      <c r="G931" s="3">
        <f t="shared" si="2"/>
        <v>27078399512393.16</v>
      </c>
      <c r="H931" s="3">
        <f t="shared" si="3"/>
        <v>91511744.142857149</v>
      </c>
      <c r="I931" s="3">
        <f t="shared" si="4"/>
        <v>2745352.3242857144</v>
      </c>
      <c r="J931" s="3">
        <f t="shared" si="5"/>
        <v>27078410493802.457</v>
      </c>
    </row>
    <row r="932" spans="1:10" x14ac:dyDescent="0.25">
      <c r="A932" s="3">
        <v>931</v>
      </c>
      <c r="B932" s="3">
        <v>39.05517857142857</v>
      </c>
      <c r="C932" s="3">
        <v>0.87335834896810505</v>
      </c>
      <c r="D932" s="3">
        <v>11493.93905357143</v>
      </c>
      <c r="E932" s="3">
        <f t="shared" si="0"/>
        <v>10038.327634967169</v>
      </c>
      <c r="F932" s="3">
        <f t="shared" si="1"/>
        <v>87935750.082312405</v>
      </c>
      <c r="G932" s="3">
        <f t="shared" si="2"/>
        <v>27237783798609.496</v>
      </c>
      <c r="H932" s="3">
        <f t="shared" si="3"/>
        <v>91951512.428571448</v>
      </c>
      <c r="I932" s="3">
        <f t="shared" si="4"/>
        <v>2758545.3728571432</v>
      </c>
      <c r="J932" s="3">
        <f t="shared" si="5"/>
        <v>27237794832790.984</v>
      </c>
    </row>
    <row r="933" spans="1:10" x14ac:dyDescent="0.25">
      <c r="A933" s="3">
        <v>932</v>
      </c>
      <c r="B933" s="3">
        <v>39.152142857142856</v>
      </c>
      <c r="C933" s="3">
        <v>0.87429643527204504</v>
      </c>
      <c r="D933" s="3">
        <v>11522.475642857144</v>
      </c>
      <c r="E933" s="3">
        <f t="shared" si="0"/>
        <v>10074.059380058967</v>
      </c>
      <c r="F933" s="3">
        <f t="shared" si="1"/>
        <v>88248760.169316545</v>
      </c>
      <c r="G933" s="3">
        <f t="shared" si="2"/>
        <v>27334737564437.633</v>
      </c>
      <c r="H933" s="3">
        <f t="shared" si="3"/>
        <v>92179805.142857149</v>
      </c>
      <c r="I933" s="3">
        <f t="shared" si="4"/>
        <v>2765394.1542857145</v>
      </c>
      <c r="J933" s="3">
        <f t="shared" si="5"/>
        <v>27334748626014.246</v>
      </c>
    </row>
    <row r="934" spans="1:10" x14ac:dyDescent="0.25">
      <c r="A934" s="3">
        <v>933</v>
      </c>
      <c r="B934" s="3">
        <v>39.223392857142862</v>
      </c>
      <c r="C934" s="3">
        <v>0.87523452157598502</v>
      </c>
      <c r="D934" s="3">
        <v>11543.444517857146</v>
      </c>
      <c r="E934" s="3">
        <f t="shared" si="0"/>
        <v>10103.221139925627</v>
      </c>
      <c r="F934" s="3">
        <f t="shared" si="1"/>
        <v>88504217.185748488</v>
      </c>
      <c r="G934" s="3">
        <f t="shared" si="2"/>
        <v>27413864472725.781</v>
      </c>
      <c r="H934" s="3">
        <f t="shared" si="3"/>
        <v>92347556.142857164</v>
      </c>
      <c r="I934" s="3">
        <f t="shared" si="4"/>
        <v>2770426.6842857148</v>
      </c>
      <c r="J934" s="3">
        <f t="shared" si="5"/>
        <v>27413875554432.52</v>
      </c>
    </row>
    <row r="935" spans="1:10" x14ac:dyDescent="0.25">
      <c r="A935" s="3">
        <v>934</v>
      </c>
      <c r="B935" s="3">
        <v>39.345357142857139</v>
      </c>
      <c r="C935" s="3">
        <v>0.8761726078799249</v>
      </c>
      <c r="D935" s="3">
        <v>11579.338607142856</v>
      </c>
      <c r="E935" s="3">
        <f t="shared" si="0"/>
        <v>10145.499304945053</v>
      </c>
      <c r="F935" s="3">
        <f t="shared" si="1"/>
        <v>88874573.91131866</v>
      </c>
      <c r="G935" s="3">
        <f t="shared" si="2"/>
        <v>27528581154694.871</v>
      </c>
      <c r="H935" s="3">
        <f t="shared" si="3"/>
        <v>92634708.857142851</v>
      </c>
      <c r="I935" s="3">
        <f t="shared" si="4"/>
        <v>2779041.2657142854</v>
      </c>
      <c r="J935" s="3">
        <f t="shared" si="5"/>
        <v>27528592270859.934</v>
      </c>
    </row>
    <row r="936" spans="1:10" x14ac:dyDescent="0.25">
      <c r="A936" s="3">
        <v>935</v>
      </c>
      <c r="B936" s="3">
        <v>39.354107142857146</v>
      </c>
      <c r="C936" s="3">
        <v>0.87711069418386489</v>
      </c>
      <c r="D936" s="3">
        <v>11581.913732142859</v>
      </c>
      <c r="E936" s="3">
        <f t="shared" si="0"/>
        <v>10158.620393577461</v>
      </c>
      <c r="F936" s="3">
        <f t="shared" si="1"/>
        <v>88989514.647738561</v>
      </c>
      <c r="G936" s="3">
        <f t="shared" si="2"/>
        <v>27564183648290.668</v>
      </c>
      <c r="H936" s="3">
        <f t="shared" si="3"/>
        <v>92655309.857142866</v>
      </c>
      <c r="I936" s="3">
        <f t="shared" si="4"/>
        <v>2779659.2957142857</v>
      </c>
      <c r="J936" s="3">
        <f t="shared" si="5"/>
        <v>27564194766927.852</v>
      </c>
    </row>
    <row r="937" spans="1:10" x14ac:dyDescent="0.25">
      <c r="A937" s="3">
        <v>936</v>
      </c>
      <c r="B937" s="3">
        <v>39.497321428571432</v>
      </c>
      <c r="C937" s="3">
        <v>0.87804878048780488</v>
      </c>
      <c r="D937" s="3">
        <v>11624.061696428573</v>
      </c>
      <c r="E937" s="3">
        <f t="shared" si="0"/>
        <v>10206.493196864112</v>
      </c>
      <c r="F937" s="3">
        <f t="shared" si="1"/>
        <v>89408880.404529631</v>
      </c>
      <c r="G937" s="3">
        <f t="shared" si="2"/>
        <v>27694080702385.516</v>
      </c>
      <c r="H937" s="3">
        <f t="shared" si="3"/>
        <v>92992493.571428582</v>
      </c>
      <c r="I937" s="3">
        <f t="shared" si="4"/>
        <v>2789774.8071428575</v>
      </c>
      <c r="J937" s="3">
        <f t="shared" si="5"/>
        <v>27694091861484.746</v>
      </c>
    </row>
    <row r="938" spans="1:10" x14ac:dyDescent="0.25">
      <c r="A938" s="3">
        <v>937</v>
      </c>
      <c r="B938" s="3">
        <v>39.739642857142854</v>
      </c>
      <c r="C938" s="3">
        <v>0.87898686679174487</v>
      </c>
      <c r="D938" s="3">
        <v>11695.376892857144</v>
      </c>
      <c r="E938" s="3">
        <f t="shared" si="0"/>
        <v>10280.082691001075</v>
      </c>
      <c r="F938" s="3">
        <f t="shared" si="1"/>
        <v>90053524.373169422</v>
      </c>
      <c r="G938" s="3">
        <f t="shared" si="2"/>
        <v>27893756876424.652</v>
      </c>
      <c r="H938" s="3">
        <f t="shared" si="3"/>
        <v>93563015.142857149</v>
      </c>
      <c r="I938" s="3">
        <f t="shared" si="4"/>
        <v>2806890.4542857143</v>
      </c>
      <c r="J938" s="3">
        <f t="shared" si="5"/>
        <v>27893768103986.469</v>
      </c>
    </row>
    <row r="939" spans="1:10" x14ac:dyDescent="0.25">
      <c r="A939" s="3">
        <v>938</v>
      </c>
      <c r="B939" s="3">
        <v>39.763928571428572</v>
      </c>
      <c r="C939" s="3">
        <v>0.87992495309568475</v>
      </c>
      <c r="D939" s="3">
        <v>11702.524178571432</v>
      </c>
      <c r="E939" s="3">
        <f t="shared" si="0"/>
        <v>10297.343038930583</v>
      </c>
      <c r="F939" s="3">
        <f t="shared" si="1"/>
        <v>90204725.021031901</v>
      </c>
      <c r="G939" s="3">
        <f t="shared" si="2"/>
        <v>27940590747948.418</v>
      </c>
      <c r="H939" s="3">
        <f t="shared" si="3"/>
        <v>93620193.428571448</v>
      </c>
      <c r="I939" s="3">
        <f t="shared" si="4"/>
        <v>2808605.8028571433</v>
      </c>
      <c r="J939" s="3">
        <f t="shared" si="5"/>
        <v>27940601982371.633</v>
      </c>
    </row>
    <row r="940" spans="1:10" x14ac:dyDescent="0.25">
      <c r="A940" s="3">
        <v>939</v>
      </c>
      <c r="B940" s="3">
        <v>39.928928571428564</v>
      </c>
      <c r="C940" s="3">
        <v>0.88086303939962474</v>
      </c>
      <c r="D940" s="3">
        <v>11751.083678571429</v>
      </c>
      <c r="E940" s="3">
        <f t="shared" si="0"/>
        <v>10351.095285345751</v>
      </c>
      <c r="F940" s="3">
        <f t="shared" si="1"/>
        <v>90675594.699628785</v>
      </c>
      <c r="G940" s="3">
        <f t="shared" si="2"/>
        <v>28086440957758.281</v>
      </c>
      <c r="H940" s="3">
        <f t="shared" si="3"/>
        <v>94008669.428571433</v>
      </c>
      <c r="I940" s="3">
        <f t="shared" si="4"/>
        <v>2820260.0828571427</v>
      </c>
      <c r="J940" s="3">
        <f t="shared" si="5"/>
        <v>28086452238798.613</v>
      </c>
    </row>
    <row r="941" spans="1:10" x14ac:dyDescent="0.25">
      <c r="A941" s="3">
        <v>940</v>
      </c>
      <c r="B941" s="3">
        <v>39.948571428571434</v>
      </c>
      <c r="C941" s="3">
        <v>0.88180112570356473</v>
      </c>
      <c r="D941" s="3">
        <v>11756.864571428572</v>
      </c>
      <c r="E941" s="3">
        <f t="shared" si="0"/>
        <v>10367.216413830072</v>
      </c>
      <c r="F941" s="3">
        <f t="shared" si="1"/>
        <v>90816815.785151437</v>
      </c>
      <c r="G941" s="3">
        <f t="shared" si="2"/>
        <v>28130183695631.289</v>
      </c>
      <c r="H941" s="3">
        <f t="shared" si="3"/>
        <v>94054916.571428582</v>
      </c>
      <c r="I941" s="3">
        <f t="shared" si="4"/>
        <v>2821647.4971428574</v>
      </c>
      <c r="J941" s="3">
        <f t="shared" si="5"/>
        <v>28130194982221.277</v>
      </c>
    </row>
    <row r="942" spans="1:10" x14ac:dyDescent="0.25">
      <c r="A942" s="3">
        <v>941</v>
      </c>
      <c r="B942" s="3">
        <v>40.050178571428567</v>
      </c>
      <c r="C942" s="3">
        <v>0.88273921200750471</v>
      </c>
      <c r="D942" s="3">
        <v>11786.76755357143</v>
      </c>
      <c r="E942" s="3">
        <f t="shared" si="0"/>
        <v>10404.641902355268</v>
      </c>
      <c r="F942" s="3">
        <f t="shared" si="1"/>
        <v>91144663.064632148</v>
      </c>
      <c r="G942" s="3">
        <f t="shared" si="2"/>
        <v>28231733229265.406</v>
      </c>
      <c r="H942" s="3">
        <f t="shared" si="3"/>
        <v>94294140.428571433</v>
      </c>
      <c r="I942" s="3">
        <f t="shared" si="4"/>
        <v>2828824.212857143</v>
      </c>
      <c r="J942" s="3">
        <f t="shared" si="5"/>
        <v>28231744544562.254</v>
      </c>
    </row>
    <row r="943" spans="1:10" x14ac:dyDescent="0.25">
      <c r="A943" s="3">
        <v>942</v>
      </c>
      <c r="B943" s="3">
        <v>40.39892857142857</v>
      </c>
      <c r="C943" s="3">
        <v>0.8836772983114447</v>
      </c>
      <c r="D943" s="3">
        <v>11889.404678571431</v>
      </c>
      <c r="E943" s="3">
        <f t="shared" si="0"/>
        <v>10506.397004891453</v>
      </c>
      <c r="F943" s="3">
        <f t="shared" si="1"/>
        <v>92036037.762849122</v>
      </c>
      <c r="G943" s="3">
        <f t="shared" si="2"/>
        <v>28507833364443.586</v>
      </c>
      <c r="H943" s="3">
        <f t="shared" si="3"/>
        <v>95115237.428571448</v>
      </c>
      <c r="I943" s="3">
        <f t="shared" si="4"/>
        <v>2853457.1228571432</v>
      </c>
      <c r="J943" s="3">
        <f t="shared" si="5"/>
        <v>28507844778272.074</v>
      </c>
    </row>
    <row r="944" spans="1:10" x14ac:dyDescent="0.25">
      <c r="A944" s="3">
        <v>943</v>
      </c>
      <c r="B944" s="3">
        <v>40.44482142857143</v>
      </c>
      <c r="C944" s="3">
        <v>0.88461538461538458</v>
      </c>
      <c r="D944" s="3">
        <v>11902.91094642857</v>
      </c>
      <c r="E944" s="3">
        <f t="shared" si="0"/>
        <v>10529.498144917581</v>
      </c>
      <c r="F944" s="3">
        <f t="shared" si="1"/>
        <v>92238403.749478012</v>
      </c>
      <c r="G944" s="3">
        <f t="shared" si="2"/>
        <v>28570515516805.926</v>
      </c>
      <c r="H944" s="3">
        <f t="shared" si="3"/>
        <v>95223287.571428567</v>
      </c>
      <c r="I944" s="3">
        <f t="shared" si="4"/>
        <v>2856698.6271428568</v>
      </c>
      <c r="J944" s="3">
        <f t="shared" si="5"/>
        <v>28570526943600.438</v>
      </c>
    </row>
    <row r="945" spans="1:10" x14ac:dyDescent="0.25">
      <c r="A945" s="3">
        <v>944</v>
      </c>
      <c r="B945" s="3">
        <v>40.593750000000007</v>
      </c>
      <c r="C945" s="3">
        <v>0.88555347091932457</v>
      </c>
      <c r="D945" s="3">
        <v>11946.740625000004</v>
      </c>
      <c r="E945" s="3">
        <f t="shared" si="0"/>
        <v>10579.477626641654</v>
      </c>
      <c r="F945" s="3">
        <f t="shared" si="1"/>
        <v>92676224.009380892</v>
      </c>
      <c r="G945" s="3">
        <f t="shared" si="2"/>
        <v>28706128787878.086</v>
      </c>
      <c r="H945" s="3">
        <f t="shared" si="3"/>
        <v>95573925.00000003</v>
      </c>
      <c r="I945" s="3">
        <f t="shared" si="4"/>
        <v>2867217.7500000009</v>
      </c>
      <c r="J945" s="3">
        <f t="shared" si="5"/>
        <v>28706140256749.086</v>
      </c>
    </row>
    <row r="946" spans="1:10" x14ac:dyDescent="0.25">
      <c r="A946" s="3">
        <v>945</v>
      </c>
      <c r="B946" s="3">
        <v>40.834107142857142</v>
      </c>
      <c r="C946" s="3">
        <v>0.88649155722326456</v>
      </c>
      <c r="D946" s="3">
        <v>12017.477732142857</v>
      </c>
      <c r="E946" s="3">
        <f t="shared" si="0"/>
        <v>10653.392548663227</v>
      </c>
      <c r="F946" s="3">
        <f t="shared" si="1"/>
        <v>93323718.726289868</v>
      </c>
      <c r="G946" s="3">
        <f t="shared" si="2"/>
        <v>28906687971901.266</v>
      </c>
      <c r="H946" s="3">
        <f t="shared" si="3"/>
        <v>96139821.857142866</v>
      </c>
      <c r="I946" s="3">
        <f t="shared" si="4"/>
        <v>2884194.655714286</v>
      </c>
      <c r="J946" s="3">
        <f t="shared" si="5"/>
        <v>28906699508679.891</v>
      </c>
    </row>
    <row r="947" spans="1:10" x14ac:dyDescent="0.25">
      <c r="A947" s="3">
        <v>946</v>
      </c>
      <c r="B947" s="3">
        <v>40.84142857142858</v>
      </c>
      <c r="C947" s="3">
        <v>0.88742964352720455</v>
      </c>
      <c r="D947" s="3">
        <v>12019.632428571431</v>
      </c>
      <c r="E947" s="3">
        <f t="shared" si="0"/>
        <v>10666.578121415172</v>
      </c>
      <c r="F947" s="3">
        <f t="shared" si="1"/>
        <v>93439224.343596905</v>
      </c>
      <c r="G947" s="3">
        <f t="shared" si="2"/>
        <v>28942465435804.211</v>
      </c>
      <c r="H947" s="3">
        <f t="shared" si="3"/>
        <v>96157059.428571448</v>
      </c>
      <c r="I947" s="3">
        <f t="shared" si="4"/>
        <v>2884711.7828571433</v>
      </c>
      <c r="J947" s="3">
        <f t="shared" si="5"/>
        <v>28942476974651.34</v>
      </c>
    </row>
    <row r="948" spans="1:10" x14ac:dyDescent="0.25">
      <c r="A948" s="3">
        <v>947</v>
      </c>
      <c r="B948" s="3">
        <v>40.921428571428571</v>
      </c>
      <c r="C948" s="3">
        <v>0.88836772983114443</v>
      </c>
      <c r="D948" s="3">
        <v>12043.176428571431</v>
      </c>
      <c r="E948" s="3">
        <f t="shared" si="0"/>
        <v>10698.769303805951</v>
      </c>
      <c r="F948" s="3">
        <f t="shared" si="1"/>
        <v>93721219.10134013</v>
      </c>
      <c r="G948" s="3">
        <f t="shared" si="2"/>
        <v>29029812315322.469</v>
      </c>
      <c r="H948" s="3">
        <f t="shared" si="3"/>
        <v>96345411.428571448</v>
      </c>
      <c r="I948" s="3">
        <f t="shared" si="4"/>
        <v>2890362.3428571434</v>
      </c>
      <c r="J948" s="3">
        <f t="shared" si="5"/>
        <v>29029823876771.84</v>
      </c>
    </row>
    <row r="949" spans="1:10" x14ac:dyDescent="0.25">
      <c r="A949" s="3">
        <v>948</v>
      </c>
      <c r="B949" s="3">
        <v>41.167857142857137</v>
      </c>
      <c r="C949" s="3">
        <v>0.88930581613508441</v>
      </c>
      <c r="D949" s="3">
        <v>12115.700357142856</v>
      </c>
      <c r="E949" s="3">
        <f t="shared" si="0"/>
        <v>10774.562794157062</v>
      </c>
      <c r="F949" s="3">
        <f t="shared" si="1"/>
        <v>94385170.076815858</v>
      </c>
      <c r="G949" s="3">
        <f t="shared" si="2"/>
        <v>29235468766876.734</v>
      </c>
      <c r="H949" s="3">
        <f t="shared" si="3"/>
        <v>96925602.857142851</v>
      </c>
      <c r="I949" s="3">
        <f t="shared" si="4"/>
        <v>2907768.0857142853</v>
      </c>
      <c r="J949" s="3">
        <f t="shared" si="5"/>
        <v>29235480397949.078</v>
      </c>
    </row>
    <row r="950" spans="1:10" x14ac:dyDescent="0.25">
      <c r="A950" s="3">
        <v>949</v>
      </c>
      <c r="B950" s="3">
        <v>41.24303571428571</v>
      </c>
      <c r="C950" s="3">
        <v>0.8902439024390244</v>
      </c>
      <c r="D950" s="3">
        <v>12137.825410714286</v>
      </c>
      <c r="E950" s="3">
        <f t="shared" si="0"/>
        <v>10805.62506075784</v>
      </c>
      <c r="F950" s="3">
        <f t="shared" si="1"/>
        <v>94657275.532238677</v>
      </c>
      <c r="G950" s="3">
        <f t="shared" si="2"/>
        <v>29319752470523.914</v>
      </c>
      <c r="H950" s="3">
        <f t="shared" si="3"/>
        <v>97102603.285714284</v>
      </c>
      <c r="I950" s="3">
        <f t="shared" si="4"/>
        <v>2913078.0985714286</v>
      </c>
      <c r="J950" s="3">
        <f t="shared" si="5"/>
        <v>29319764122836.309</v>
      </c>
    </row>
    <row r="951" spans="1:10" x14ac:dyDescent="0.25">
      <c r="A951" s="3">
        <v>950</v>
      </c>
      <c r="B951" s="3">
        <v>41.249464285714282</v>
      </c>
      <c r="C951" s="3">
        <v>0.89118198874296439</v>
      </c>
      <c r="D951" s="3">
        <v>12139.717339285713</v>
      </c>
      <c r="E951" s="3">
        <f t="shared" si="0"/>
        <v>10818.69744120209</v>
      </c>
      <c r="F951" s="3">
        <f t="shared" si="1"/>
        <v>94771789.584930316</v>
      </c>
      <c r="G951" s="3">
        <f t="shared" si="2"/>
        <v>29355222800964.645</v>
      </c>
      <c r="H951" s="3">
        <f t="shared" si="3"/>
        <v>97117738.714285702</v>
      </c>
      <c r="I951" s="3">
        <f t="shared" si="4"/>
        <v>2913532.1614285707</v>
      </c>
      <c r="J951" s="3">
        <f t="shared" si="5"/>
        <v>29355234455093.289</v>
      </c>
    </row>
    <row r="952" spans="1:10" x14ac:dyDescent="0.25">
      <c r="A952" s="3">
        <v>951</v>
      </c>
      <c r="B952" s="3">
        <v>41.257499999999993</v>
      </c>
      <c r="C952" s="3">
        <v>0.89212007504690427</v>
      </c>
      <c r="D952" s="3">
        <v>12142.082249999998</v>
      </c>
      <c r="E952" s="3">
        <f t="shared" si="0"/>
        <v>10832.195328095682</v>
      </c>
      <c r="F952" s="3">
        <f t="shared" si="1"/>
        <v>94890031.074118182</v>
      </c>
      <c r="G952" s="3">
        <f t="shared" si="2"/>
        <v>29391847691530.387</v>
      </c>
      <c r="H952" s="3">
        <f t="shared" si="3"/>
        <v>97136657.999999985</v>
      </c>
      <c r="I952" s="3">
        <f t="shared" si="4"/>
        <v>2914099.7399999993</v>
      </c>
      <c r="J952" s="3">
        <f t="shared" si="5"/>
        <v>29391859347929.344</v>
      </c>
    </row>
    <row r="953" spans="1:10" x14ac:dyDescent="0.25">
      <c r="A953" s="3">
        <v>952</v>
      </c>
      <c r="B953" s="3">
        <v>41.375714285714288</v>
      </c>
      <c r="C953" s="3">
        <v>0.89305816135084426</v>
      </c>
      <c r="D953" s="3">
        <v>12176.872714285717</v>
      </c>
      <c r="E953" s="3">
        <f t="shared" si="0"/>
        <v>10874.655557223266</v>
      </c>
      <c r="F953" s="3">
        <f t="shared" si="1"/>
        <v>95261982.681275815</v>
      </c>
      <c r="G953" s="3">
        <f t="shared" si="2"/>
        <v>29507058383621.488</v>
      </c>
      <c r="H953" s="3">
        <f t="shared" si="3"/>
        <v>97414981.714285731</v>
      </c>
      <c r="I953" s="3">
        <f t="shared" si="4"/>
        <v>2922449.4514285717</v>
      </c>
      <c r="J953" s="3">
        <f t="shared" si="5"/>
        <v>29507070073419.297</v>
      </c>
    </row>
    <row r="954" spans="1:10" x14ac:dyDescent="0.25">
      <c r="A954" s="3">
        <v>953</v>
      </c>
      <c r="B954" s="3">
        <v>41.556428571428569</v>
      </c>
      <c r="C954" s="3">
        <v>0.89399624765478425</v>
      </c>
      <c r="D954" s="3">
        <v>12230.056928571428</v>
      </c>
      <c r="E954" s="3">
        <f t="shared" si="0"/>
        <v>10933.625002747252</v>
      </c>
      <c r="F954" s="3">
        <f t="shared" si="1"/>
        <v>95778555.024065927</v>
      </c>
      <c r="G954" s="3">
        <f t="shared" si="2"/>
        <v>29667064831355.418</v>
      </c>
      <c r="H954" s="3">
        <f t="shared" si="3"/>
        <v>97840455.428571433</v>
      </c>
      <c r="I954" s="3">
        <f t="shared" si="4"/>
        <v>2935213.6628571427</v>
      </c>
      <c r="J954" s="3">
        <f t="shared" si="5"/>
        <v>29667076572210.07</v>
      </c>
    </row>
    <row r="955" spans="1:10" x14ac:dyDescent="0.25">
      <c r="A955" s="3">
        <v>954</v>
      </c>
      <c r="B955" s="3">
        <v>41.573571428571427</v>
      </c>
      <c r="C955" s="3">
        <v>0.89493433395872424</v>
      </c>
      <c r="D955" s="3">
        <v>12235.102071428571</v>
      </c>
      <c r="E955" s="3">
        <f t="shared" si="0"/>
        <v>10949.612923210936</v>
      </c>
      <c r="F955" s="3">
        <f t="shared" si="1"/>
        <v>95918609.207327798</v>
      </c>
      <c r="G955" s="3">
        <f t="shared" si="2"/>
        <v>29710446125990.281</v>
      </c>
      <c r="H955" s="3">
        <f t="shared" si="3"/>
        <v>97880816.571428567</v>
      </c>
      <c r="I955" s="3">
        <f t="shared" si="4"/>
        <v>2936424.4971428569</v>
      </c>
      <c r="J955" s="3">
        <f t="shared" si="5"/>
        <v>29710457871688.27</v>
      </c>
    </row>
    <row r="956" spans="1:10" x14ac:dyDescent="0.25">
      <c r="A956" s="3">
        <v>955</v>
      </c>
      <c r="B956" s="3">
        <v>41.669107142857143</v>
      </c>
      <c r="C956" s="3">
        <v>0.89587242026266412</v>
      </c>
      <c r="D956" s="3">
        <v>12263.218232142859</v>
      </c>
      <c r="E956" s="3">
        <f t="shared" si="0"/>
        <v>10986.278997839052</v>
      </c>
      <c r="F956" s="3">
        <f t="shared" si="1"/>
        <v>96239804.021070108</v>
      </c>
      <c r="G956" s="3">
        <f t="shared" si="2"/>
        <v>29809935083056.789</v>
      </c>
      <c r="H956" s="3">
        <f t="shared" si="3"/>
        <v>98105745.857142866</v>
      </c>
      <c r="I956" s="3">
        <f t="shared" si="4"/>
        <v>2943172.3757142858</v>
      </c>
      <c r="J956" s="3">
        <f t="shared" si="5"/>
        <v>29809946855746.293</v>
      </c>
    </row>
    <row r="957" spans="1:10" x14ac:dyDescent="0.25">
      <c r="A957" s="3">
        <v>956</v>
      </c>
      <c r="B957" s="3">
        <v>41.89160714285714</v>
      </c>
      <c r="C957" s="3">
        <v>0.8968105065666041</v>
      </c>
      <c r="D957" s="3">
        <v>12328.699982142856</v>
      </c>
      <c r="E957" s="3">
        <f t="shared" si="0"/>
        <v>11056.507676293219</v>
      </c>
      <c r="F957" s="3">
        <f t="shared" si="1"/>
        <v>96855007.244328603</v>
      </c>
      <c r="G957" s="3">
        <f t="shared" si="2"/>
        <v>30000492093510.922</v>
      </c>
      <c r="H957" s="3">
        <f t="shared" si="3"/>
        <v>98629599.857142851</v>
      </c>
      <c r="I957" s="3">
        <f t="shared" si="4"/>
        <v>2958887.9957142854</v>
      </c>
      <c r="J957" s="3">
        <f t="shared" si="5"/>
        <v>30000503929062.906</v>
      </c>
    </row>
    <row r="958" spans="1:10" x14ac:dyDescent="0.25">
      <c r="A958" s="3">
        <v>957</v>
      </c>
      <c r="B958" s="3">
        <v>42.031607142857141</v>
      </c>
      <c r="C958" s="3">
        <v>0.89774859287054409</v>
      </c>
      <c r="D958" s="3">
        <v>12369.901982142856</v>
      </c>
      <c r="E958" s="3">
        <f t="shared" si="0"/>
        <v>11105.062098415303</v>
      </c>
      <c r="F958" s="3">
        <f t="shared" si="1"/>
        <v>97280343.98211804</v>
      </c>
      <c r="G958" s="3">
        <f t="shared" si="2"/>
        <v>30132238639252.664</v>
      </c>
      <c r="H958" s="3">
        <f t="shared" si="3"/>
        <v>98959215.857142851</v>
      </c>
      <c r="I958" s="3">
        <f t="shared" si="4"/>
        <v>2968776.4757142854</v>
      </c>
      <c r="J958" s="3">
        <f t="shared" si="5"/>
        <v>30132250514358.566</v>
      </c>
    </row>
    <row r="959" spans="1:10" x14ac:dyDescent="0.25">
      <c r="A959" s="3">
        <v>958</v>
      </c>
      <c r="B959" s="3">
        <v>42.28</v>
      </c>
      <c r="C959" s="3">
        <v>0.89868667917448408</v>
      </c>
      <c r="D959" s="3">
        <v>12443.004000000001</v>
      </c>
      <c r="E959" s="3">
        <f t="shared" si="0"/>
        <v>11182.361943714823</v>
      </c>
      <c r="F959" s="3">
        <f t="shared" si="1"/>
        <v>97957490.626941845</v>
      </c>
      <c r="G959" s="3">
        <f t="shared" si="2"/>
        <v>30341982403250.922</v>
      </c>
      <c r="H959" s="3">
        <f t="shared" si="3"/>
        <v>99544032</v>
      </c>
      <c r="I959" s="3">
        <f t="shared" si="4"/>
        <v>2986320.96</v>
      </c>
      <c r="J959" s="3">
        <f t="shared" si="5"/>
        <v>30341994348534.762</v>
      </c>
    </row>
    <row r="960" spans="1:10" x14ac:dyDescent="0.25">
      <c r="A960" s="3">
        <v>959</v>
      </c>
      <c r="B960" s="3">
        <v>42.283928571428568</v>
      </c>
      <c r="C960" s="3">
        <v>0.89962476547842396</v>
      </c>
      <c r="D960" s="3">
        <v>12444.160178571428</v>
      </c>
      <c r="E960" s="3">
        <f t="shared" si="0"/>
        <v>11195.074682223263</v>
      </c>
      <c r="F960" s="3">
        <f t="shared" si="1"/>
        <v>98068854.216275796</v>
      </c>
      <c r="G960" s="3">
        <f t="shared" si="2"/>
        <v>30376476889255.527</v>
      </c>
      <c r="H960" s="3">
        <f t="shared" si="3"/>
        <v>99553281.428571433</v>
      </c>
      <c r="I960" s="3">
        <f t="shared" si="4"/>
        <v>2986598.442857143</v>
      </c>
      <c r="J960" s="3">
        <f t="shared" si="5"/>
        <v>30376488835649.297</v>
      </c>
    </row>
    <row r="961" spans="1:10" x14ac:dyDescent="0.25">
      <c r="A961" s="3">
        <v>960</v>
      </c>
      <c r="B961" s="3">
        <v>42.426071428571433</v>
      </c>
      <c r="C961" s="3">
        <v>0.90056285178236395</v>
      </c>
      <c r="D961" s="3">
        <v>12485.992821428572</v>
      </c>
      <c r="E961" s="3">
        <f t="shared" si="0"/>
        <v>11244.42130259984</v>
      </c>
      <c r="F961" s="3">
        <f t="shared" si="1"/>
        <v>98501130.610774592</v>
      </c>
      <c r="G961" s="3">
        <f t="shared" si="2"/>
        <v>30510372969086.016</v>
      </c>
      <c r="H961" s="3">
        <f t="shared" si="3"/>
        <v>99887942.571428582</v>
      </c>
      <c r="I961" s="3">
        <f t="shared" si="4"/>
        <v>2996638.2771428572</v>
      </c>
      <c r="J961" s="3">
        <f t="shared" si="5"/>
        <v>30510384955639.125</v>
      </c>
    </row>
    <row r="962" spans="1:10" x14ac:dyDescent="0.25">
      <c r="A962" s="3">
        <v>961</v>
      </c>
      <c r="B962" s="3">
        <v>42.50553571428572</v>
      </c>
      <c r="C962" s="3">
        <v>0.90150093808630394</v>
      </c>
      <c r="D962" s="3">
        <v>12509.379160714287</v>
      </c>
      <c r="E962" s="3">
        <f t="shared" si="0"/>
        <v>11277.217048261191</v>
      </c>
      <c r="F962" s="3">
        <f t="shared" si="1"/>
        <v>98788421.342768028</v>
      </c>
      <c r="G962" s="3">
        <f t="shared" si="2"/>
        <v>30599360258485.824</v>
      </c>
      <c r="H962" s="3">
        <f t="shared" si="3"/>
        <v>100075033.2857143</v>
      </c>
      <c r="I962" s="3">
        <f t="shared" si="4"/>
        <v>3002250.9985714289</v>
      </c>
      <c r="J962" s="3">
        <f t="shared" si="5"/>
        <v>30599372267489.82</v>
      </c>
    </row>
    <row r="963" spans="1:10" x14ac:dyDescent="0.25">
      <c r="A963" s="3">
        <v>962</v>
      </c>
      <c r="B963" s="3">
        <v>42.621607142857144</v>
      </c>
      <c r="C963" s="3">
        <v>0.90243902439024393</v>
      </c>
      <c r="D963" s="3">
        <v>12543.538982142858</v>
      </c>
      <c r="E963" s="3">
        <f t="shared" si="0"/>
        <v>11319.779081445995</v>
      </c>
      <c r="F963" s="3">
        <f t="shared" si="1"/>
        <v>99161264.753466919</v>
      </c>
      <c r="G963" s="3">
        <f t="shared" si="2"/>
        <v>30714847184248.711</v>
      </c>
      <c r="H963" s="3">
        <f t="shared" si="3"/>
        <v>100348311.85714287</v>
      </c>
      <c r="I963" s="3">
        <f t="shared" si="4"/>
        <v>3010449.3557142857</v>
      </c>
      <c r="J963" s="3">
        <f t="shared" si="5"/>
        <v>30714859226046.133</v>
      </c>
    </row>
    <row r="964" spans="1:10" x14ac:dyDescent="0.25">
      <c r="A964" s="3">
        <v>963</v>
      </c>
      <c r="B964" s="3">
        <v>42.792142857142856</v>
      </c>
      <c r="C964" s="3">
        <v>0.90337711069418392</v>
      </c>
      <c r="D964" s="3">
        <v>12593.727642857144</v>
      </c>
      <c r="E964" s="3">
        <f t="shared" si="0"/>
        <v>11376.885290873763</v>
      </c>
      <c r="F964" s="3">
        <f t="shared" si="1"/>
        <v>99661515.148054168</v>
      </c>
      <c r="G964" s="3">
        <f t="shared" si="2"/>
        <v>30869797967783.207</v>
      </c>
      <c r="H964" s="3">
        <f t="shared" si="3"/>
        <v>100749821.14285715</v>
      </c>
      <c r="I964" s="3">
        <f t="shared" si="4"/>
        <v>3022494.6342857145</v>
      </c>
      <c r="J964" s="3">
        <f t="shared" si="5"/>
        <v>30869810057761.742</v>
      </c>
    </row>
    <row r="965" spans="1:10" x14ac:dyDescent="0.25">
      <c r="A965" s="3">
        <v>964</v>
      </c>
      <c r="B965" s="3">
        <v>43.024464285714281</v>
      </c>
      <c r="C965" s="3">
        <v>0.90431519699812379</v>
      </c>
      <c r="D965" s="3">
        <v>12662.099839285713</v>
      </c>
      <c r="E965" s="3">
        <f t="shared" si="0"/>
        <v>11450.529310573571</v>
      </c>
      <c r="F965" s="3">
        <f t="shared" si="1"/>
        <v>100306636.76062448</v>
      </c>
      <c r="G965" s="3">
        <f t="shared" si="2"/>
        <v>31069622093205.184</v>
      </c>
      <c r="H965" s="3">
        <f t="shared" si="3"/>
        <v>101296798.7142857</v>
      </c>
      <c r="I965" s="3">
        <f t="shared" si="4"/>
        <v>3038903.961428571</v>
      </c>
      <c r="J965" s="3">
        <f t="shared" si="5"/>
        <v>31069634248821.027</v>
      </c>
    </row>
    <row r="966" spans="1:10" x14ac:dyDescent="0.25">
      <c r="A966" s="3">
        <v>965</v>
      </c>
      <c r="B966" s="3">
        <v>43.066785714285714</v>
      </c>
      <c r="C966" s="3">
        <v>0.90525328330206378</v>
      </c>
      <c r="D966" s="3">
        <v>12674.555035714287</v>
      </c>
      <c r="E966" s="3">
        <f t="shared" si="0"/>
        <v>11473.682560473066</v>
      </c>
      <c r="F966" s="3">
        <f t="shared" si="1"/>
        <v>100509459.22974405</v>
      </c>
      <c r="G966" s="3">
        <f t="shared" si="2"/>
        <v>31132445640451.223</v>
      </c>
      <c r="H966" s="3">
        <f t="shared" si="3"/>
        <v>101396440.2857143</v>
      </c>
      <c r="I966" s="3">
        <f t="shared" si="4"/>
        <v>3041893.2085714289</v>
      </c>
      <c r="J966" s="3">
        <f t="shared" si="5"/>
        <v>31132457808024.055</v>
      </c>
    </row>
    <row r="967" spans="1:10" x14ac:dyDescent="0.25">
      <c r="A967" s="3">
        <v>966</v>
      </c>
      <c r="B967" s="3">
        <v>43.125</v>
      </c>
      <c r="C967" s="3">
        <v>0.90619136960600377</v>
      </c>
      <c r="D967" s="3">
        <v>12691.6875</v>
      </c>
      <c r="E967" s="3">
        <f t="shared" si="0"/>
        <v>11501.097678236398</v>
      </c>
      <c r="F967" s="3">
        <f t="shared" si="1"/>
        <v>100749615.66135083</v>
      </c>
      <c r="G967" s="3">
        <f t="shared" si="2"/>
        <v>31206833249125.324</v>
      </c>
      <c r="H967" s="3">
        <f t="shared" si="3"/>
        <v>101533500</v>
      </c>
      <c r="I967" s="3">
        <f t="shared" si="4"/>
        <v>3046005</v>
      </c>
      <c r="J967" s="3">
        <f t="shared" si="5"/>
        <v>31206845433145.324</v>
      </c>
    </row>
    <row r="968" spans="1:10" x14ac:dyDescent="0.25">
      <c r="A968" s="3">
        <v>967</v>
      </c>
      <c r="B968" s="3">
        <v>43.272321428571431</v>
      </c>
      <c r="C968" s="3">
        <v>0.90712945590994376</v>
      </c>
      <c r="D968" s="3">
        <v>12735.044196428571</v>
      </c>
      <c r="E968" s="3">
        <f t="shared" si="0"/>
        <v>11552.333712895337</v>
      </c>
      <c r="F968" s="3">
        <f t="shared" si="1"/>
        <v>101198443.32496315</v>
      </c>
      <c r="G968" s="3">
        <f t="shared" si="2"/>
        <v>31345856025927.828</v>
      </c>
      <c r="H968" s="3">
        <f t="shared" si="3"/>
        <v>101880353.57142857</v>
      </c>
      <c r="I968" s="3">
        <f t="shared" si="4"/>
        <v>3056410.6071428568</v>
      </c>
      <c r="J968" s="3">
        <f t="shared" si="5"/>
        <v>31345868251570.254</v>
      </c>
    </row>
    <row r="969" spans="1:10" x14ac:dyDescent="0.25">
      <c r="A969" s="3">
        <v>968</v>
      </c>
      <c r="B969" s="3">
        <v>43.695714285714281</v>
      </c>
      <c r="C969" s="3">
        <v>0.90806754221388364</v>
      </c>
      <c r="D969" s="3">
        <v>12859.648714285713</v>
      </c>
      <c r="E969" s="3">
        <f t="shared" si="0"/>
        <v>11677.429601715356</v>
      </c>
      <c r="F969" s="3">
        <f t="shared" si="1"/>
        <v>102294283.31102651</v>
      </c>
      <c r="G969" s="3">
        <f t="shared" si="2"/>
        <v>31685288556646.207</v>
      </c>
      <c r="H969" s="3">
        <f t="shared" si="3"/>
        <v>102877189.7142857</v>
      </c>
      <c r="I969" s="3">
        <f t="shared" si="4"/>
        <v>3086315.691428571</v>
      </c>
      <c r="J969" s="3">
        <f t="shared" si="5"/>
        <v>31685300901908.973</v>
      </c>
    </row>
    <row r="970" spans="1:10" x14ac:dyDescent="0.25">
      <c r="A970" s="3">
        <v>969</v>
      </c>
      <c r="B970" s="3">
        <v>43.760714285714286</v>
      </c>
      <c r="C970" s="3">
        <v>0.90900562851782363</v>
      </c>
      <c r="D970" s="3">
        <v>12878.778214285712</v>
      </c>
      <c r="E970" s="3">
        <f t="shared" si="0"/>
        <v>11706.881885218438</v>
      </c>
      <c r="F970" s="3">
        <f t="shared" si="1"/>
        <v>102552285.31451352</v>
      </c>
      <c r="G970" s="3">
        <f t="shared" si="2"/>
        <v>31765203767649.355</v>
      </c>
      <c r="H970" s="3">
        <f t="shared" si="3"/>
        <v>103030225.7142857</v>
      </c>
      <c r="I970" s="3">
        <f t="shared" si="4"/>
        <v>3090906.7714285711</v>
      </c>
      <c r="J970" s="3">
        <f t="shared" si="5"/>
        <v>31765216131276.438</v>
      </c>
    </row>
    <row r="971" spans="1:10" x14ac:dyDescent="0.25">
      <c r="A971" s="3">
        <v>970</v>
      </c>
      <c r="B971" s="3">
        <v>43.914642857142852</v>
      </c>
      <c r="C971" s="3">
        <v>0.90994371482176362</v>
      </c>
      <c r="D971" s="3">
        <v>12924.079392857144</v>
      </c>
      <c r="E971" s="3">
        <f t="shared" si="0"/>
        <v>11760.184813387832</v>
      </c>
      <c r="F971" s="3">
        <f t="shared" si="1"/>
        <v>103019218.96527742</v>
      </c>
      <c r="G971" s="3">
        <f t="shared" si="2"/>
        <v>31909834809562.098</v>
      </c>
      <c r="H971" s="3">
        <f t="shared" si="3"/>
        <v>103392635.14285715</v>
      </c>
      <c r="I971" s="3">
        <f t="shared" si="4"/>
        <v>3101779.0542857144</v>
      </c>
      <c r="J971" s="3">
        <f t="shared" si="5"/>
        <v>31909847216678.316</v>
      </c>
    </row>
    <row r="972" spans="1:10" x14ac:dyDescent="0.25">
      <c r="A972" s="3">
        <v>971</v>
      </c>
      <c r="B972" s="3">
        <v>43.958035714285714</v>
      </c>
      <c r="C972" s="3">
        <v>0.91088180112570361</v>
      </c>
      <c r="D972" s="3">
        <v>12936.849910714287</v>
      </c>
      <c r="E972" s="3">
        <f t="shared" si="0"/>
        <v>11783.941147564328</v>
      </c>
      <c r="F972" s="3">
        <f t="shared" si="1"/>
        <v>103227324.45266351</v>
      </c>
      <c r="G972" s="3">
        <f t="shared" si="2"/>
        <v>31974294753164.426</v>
      </c>
      <c r="H972" s="3">
        <f t="shared" si="3"/>
        <v>103494799.2857143</v>
      </c>
      <c r="I972" s="3">
        <f t="shared" si="4"/>
        <v>3104843.9785714289</v>
      </c>
      <c r="J972" s="3">
        <f t="shared" si="5"/>
        <v>31974307172540.344</v>
      </c>
    </row>
    <row r="973" spans="1:10" x14ac:dyDescent="0.25">
      <c r="A973" s="3">
        <v>972</v>
      </c>
      <c r="B973" s="3">
        <v>43.95946428571429</v>
      </c>
      <c r="C973" s="3">
        <v>0.91181988742964348</v>
      </c>
      <c r="D973" s="3">
        <v>12937.270339285717</v>
      </c>
      <c r="E973" s="3">
        <f t="shared" si="0"/>
        <v>11796.460384414368</v>
      </c>
      <c r="F973" s="3">
        <f t="shared" si="1"/>
        <v>103336992.96746986</v>
      </c>
      <c r="G973" s="3">
        <f t="shared" si="2"/>
        <v>32008264196395.699</v>
      </c>
      <c r="H973" s="3">
        <f t="shared" si="3"/>
        <v>103498162.71428573</v>
      </c>
      <c r="I973" s="3">
        <f t="shared" si="4"/>
        <v>3104944.8814285719</v>
      </c>
      <c r="J973" s="3">
        <f t="shared" si="5"/>
        <v>32008276616175.227</v>
      </c>
    </row>
    <row r="974" spans="1:10" x14ac:dyDescent="0.25">
      <c r="A974" s="3">
        <v>973</v>
      </c>
      <c r="B974" s="3">
        <v>44.064107142857139</v>
      </c>
      <c r="C974" s="3">
        <v>0.91275797373358347</v>
      </c>
      <c r="D974" s="3">
        <v>12968.066732142855</v>
      </c>
      <c r="E974" s="3">
        <f t="shared" si="0"/>
        <v>11836.706313672606</v>
      </c>
      <c r="F974" s="3">
        <f t="shared" si="1"/>
        <v>103689547.30777203</v>
      </c>
      <c r="G974" s="3">
        <f t="shared" si="2"/>
        <v>32117466655916.34</v>
      </c>
      <c r="H974" s="3">
        <f t="shared" si="3"/>
        <v>103744533.85714285</v>
      </c>
      <c r="I974" s="3">
        <f t="shared" si="4"/>
        <v>3112336.0157142854</v>
      </c>
      <c r="J974" s="3">
        <f t="shared" si="5"/>
        <v>32117479105260.402</v>
      </c>
    </row>
    <row r="975" spans="1:10" x14ac:dyDescent="0.25">
      <c r="A975" s="3">
        <v>974</v>
      </c>
      <c r="B975" s="3">
        <v>44.363392857142856</v>
      </c>
      <c r="C975" s="3">
        <v>0.91369606003752346</v>
      </c>
      <c r="D975" s="3">
        <v>13056.146517857143</v>
      </c>
      <c r="E975" s="3">
        <f t="shared" si="0"/>
        <v>11929.349632638703</v>
      </c>
      <c r="F975" s="3">
        <f t="shared" si="1"/>
        <v>104501102.78191504</v>
      </c>
      <c r="G975" s="3">
        <f t="shared" si="2"/>
        <v>32368843076131.063</v>
      </c>
      <c r="H975" s="3">
        <f t="shared" si="3"/>
        <v>104449172.14285715</v>
      </c>
      <c r="I975" s="3">
        <f t="shared" si="4"/>
        <v>3133475.1642857143</v>
      </c>
      <c r="J975" s="3">
        <f t="shared" si="5"/>
        <v>32368855610031.719</v>
      </c>
    </row>
    <row r="976" spans="1:10" x14ac:dyDescent="0.25">
      <c r="A976" s="3">
        <v>975</v>
      </c>
      <c r="B976" s="3">
        <v>44.668928571428573</v>
      </c>
      <c r="C976" s="3">
        <v>0.91463414634146345</v>
      </c>
      <c r="D976" s="3">
        <v>13146.065678571431</v>
      </c>
      <c r="E976" s="3">
        <f t="shared" si="0"/>
        <v>12023.840559668992</v>
      </c>
      <c r="F976" s="3">
        <f t="shared" si="1"/>
        <v>105328843.30270037</v>
      </c>
      <c r="G976" s="3">
        <f t="shared" si="2"/>
        <v>32625232756869.668</v>
      </c>
      <c r="H976" s="3">
        <f t="shared" si="3"/>
        <v>105168525.42857145</v>
      </c>
      <c r="I976" s="3">
        <f t="shared" si="4"/>
        <v>3155055.7628571433</v>
      </c>
      <c r="J976" s="3">
        <f t="shared" si="5"/>
        <v>32625245377092.719</v>
      </c>
    </row>
    <row r="977" spans="1:10" x14ac:dyDescent="0.25">
      <c r="A977" s="3">
        <v>976</v>
      </c>
      <c r="B977" s="3">
        <v>44.879999999999995</v>
      </c>
      <c r="C977" s="3">
        <v>0.91557223264540333</v>
      </c>
      <c r="D977" s="3">
        <v>13208.183999999997</v>
      </c>
      <c r="E977" s="3">
        <f t="shared" si="0"/>
        <v>12093.046514071291</v>
      </c>
      <c r="F977" s="3">
        <f t="shared" si="1"/>
        <v>105935087.46326451</v>
      </c>
      <c r="G977" s="3">
        <f t="shared" si="2"/>
        <v>32813014731830.277</v>
      </c>
      <c r="H977" s="3">
        <f t="shared" si="3"/>
        <v>105665471.99999999</v>
      </c>
      <c r="I977" s="3">
        <f t="shared" si="4"/>
        <v>3169964.1599999992</v>
      </c>
      <c r="J977" s="3">
        <f t="shared" si="5"/>
        <v>32813027411686.918</v>
      </c>
    </row>
    <row r="978" spans="1:10" x14ac:dyDescent="0.25">
      <c r="A978" s="3">
        <v>977</v>
      </c>
      <c r="B978" s="3">
        <v>45.099464285714284</v>
      </c>
      <c r="C978" s="3">
        <v>0.91651031894934332</v>
      </c>
      <c r="D978" s="3">
        <v>13272.772339285713</v>
      </c>
      <c r="E978" s="3">
        <f t="shared" si="0"/>
        <v>12164.63281002077</v>
      </c>
      <c r="F978" s="3">
        <f t="shared" si="1"/>
        <v>106562183.41578194</v>
      </c>
      <c r="G978" s="3">
        <f t="shared" si="2"/>
        <v>33007255474949.156</v>
      </c>
      <c r="H978" s="3">
        <f t="shared" si="3"/>
        <v>106182178.7142857</v>
      </c>
      <c r="I978" s="3">
        <f t="shared" si="4"/>
        <v>3185465.3614285709</v>
      </c>
      <c r="J978" s="3">
        <f t="shared" si="5"/>
        <v>33007268216810.605</v>
      </c>
    </row>
    <row r="979" spans="1:10" x14ac:dyDescent="0.25">
      <c r="A979" s="3">
        <v>978</v>
      </c>
      <c r="B979" s="3">
        <v>45.407142857142858</v>
      </c>
      <c r="C979" s="3">
        <v>0.91744840525328331</v>
      </c>
      <c r="D979" s="3">
        <v>13363.322142857143</v>
      </c>
      <c r="E979" s="3">
        <f t="shared" si="0"/>
        <v>12260.158588850174</v>
      </c>
      <c r="F979" s="3">
        <f t="shared" si="1"/>
        <v>107398989.23832753</v>
      </c>
      <c r="G979" s="3">
        <f t="shared" si="2"/>
        <v>33266453100988.449</v>
      </c>
      <c r="H979" s="3">
        <f t="shared" si="3"/>
        <v>106906577.14285715</v>
      </c>
      <c r="I979" s="3">
        <f t="shared" si="4"/>
        <v>3207197.3142857142</v>
      </c>
      <c r="J979" s="3">
        <f t="shared" si="5"/>
        <v>33266465929777.703</v>
      </c>
    </row>
    <row r="980" spans="1:10" x14ac:dyDescent="0.25">
      <c r="A980" s="3">
        <v>979</v>
      </c>
      <c r="B980" s="3">
        <v>45.470535714285717</v>
      </c>
      <c r="C980" s="3">
        <v>0.91838649155722329</v>
      </c>
      <c r="D980" s="3">
        <v>13381.978660714287</v>
      </c>
      <c r="E980" s="3">
        <f t="shared" si="0"/>
        <v>12289.828432307024</v>
      </c>
      <c r="F980" s="3">
        <f t="shared" si="1"/>
        <v>107658897.06700952</v>
      </c>
      <c r="G980" s="3">
        <f t="shared" si="2"/>
        <v>33346958635216.535</v>
      </c>
      <c r="H980" s="3">
        <f t="shared" si="3"/>
        <v>107055829.2857143</v>
      </c>
      <c r="I980" s="3">
        <f t="shared" si="4"/>
        <v>3211674.8785714288</v>
      </c>
      <c r="J980" s="3">
        <f t="shared" si="5"/>
        <v>33346971481916.051</v>
      </c>
    </row>
    <row r="981" spans="1:10" x14ac:dyDescent="0.25">
      <c r="A981" s="3">
        <v>980</v>
      </c>
      <c r="B981" s="3">
        <v>45.527499999999996</v>
      </c>
      <c r="C981" s="3">
        <v>0.91932457786116317</v>
      </c>
      <c r="D981" s="3">
        <v>13398.743249999998</v>
      </c>
      <c r="E981" s="3">
        <f t="shared" si="0"/>
        <v>12317.793982176358</v>
      </c>
      <c r="F981" s="3">
        <f t="shared" si="1"/>
        <v>107903875.28386489</v>
      </c>
      <c r="G981" s="3">
        <f t="shared" si="2"/>
        <v>33422839775568.723</v>
      </c>
      <c r="H981" s="3">
        <f t="shared" si="3"/>
        <v>107189945.99999999</v>
      </c>
      <c r="I981" s="3">
        <f t="shared" si="4"/>
        <v>3215698.3799999994</v>
      </c>
      <c r="J981" s="3">
        <f t="shared" si="5"/>
        <v>33422852638362.242</v>
      </c>
    </row>
    <row r="982" spans="1:10" x14ac:dyDescent="0.25">
      <c r="A982" s="3">
        <v>981</v>
      </c>
      <c r="B982" s="3">
        <v>45.647857142857141</v>
      </c>
      <c r="C982" s="3">
        <v>0.92026266416510316</v>
      </c>
      <c r="D982" s="3">
        <v>13434.164357142858</v>
      </c>
      <c r="E982" s="3">
        <f t="shared" si="0"/>
        <v>12362.959882136156</v>
      </c>
      <c r="F982" s="3">
        <f t="shared" si="1"/>
        <v>108299528.56751272</v>
      </c>
      <c r="G982" s="3">
        <f t="shared" si="2"/>
        <v>33545391979474.895</v>
      </c>
      <c r="H982" s="3">
        <f t="shared" si="3"/>
        <v>107473314.85714287</v>
      </c>
      <c r="I982" s="3">
        <f t="shared" si="4"/>
        <v>3224199.4457142861</v>
      </c>
      <c r="J982" s="3">
        <f t="shared" si="5"/>
        <v>33545404876272.676</v>
      </c>
    </row>
    <row r="983" spans="1:10" x14ac:dyDescent="0.25">
      <c r="A983" s="3">
        <v>982</v>
      </c>
      <c r="B983" s="3">
        <v>45.792857142857144</v>
      </c>
      <c r="C983" s="3">
        <v>0.92120075046904315</v>
      </c>
      <c r="D983" s="3">
        <v>13476.837857142858</v>
      </c>
      <c r="E983" s="3">
        <f t="shared" si="0"/>
        <v>12414.873147949613</v>
      </c>
      <c r="F983" s="3">
        <f t="shared" si="1"/>
        <v>108754288.7760386</v>
      </c>
      <c r="G983" s="3">
        <f t="shared" si="2"/>
        <v>33686252342227.531</v>
      </c>
      <c r="H983" s="3">
        <f t="shared" si="3"/>
        <v>107814702.85714287</v>
      </c>
      <c r="I983" s="3">
        <f t="shared" si="4"/>
        <v>3234441.0857142857</v>
      </c>
      <c r="J983" s="3">
        <f t="shared" si="5"/>
        <v>33686265279991.875</v>
      </c>
    </row>
    <row r="984" spans="1:10" x14ac:dyDescent="0.25">
      <c r="A984" s="3">
        <v>983</v>
      </c>
      <c r="B984" s="3">
        <v>46.043392857142862</v>
      </c>
      <c r="C984" s="3">
        <v>0.92213883677298314</v>
      </c>
      <c r="D984" s="3">
        <v>13550.570517857146</v>
      </c>
      <c r="E984" s="3">
        <f t="shared" si="0"/>
        <v>12495.507334947068</v>
      </c>
      <c r="F984" s="3">
        <f t="shared" si="1"/>
        <v>109460644.25413631</v>
      </c>
      <c r="G984" s="3">
        <f t="shared" si="2"/>
        <v>33905043440831.301</v>
      </c>
      <c r="H984" s="3">
        <f t="shared" si="3"/>
        <v>108404564.14285716</v>
      </c>
      <c r="I984" s="3">
        <f t="shared" si="4"/>
        <v>3252136.924285715</v>
      </c>
      <c r="J984" s="3">
        <f t="shared" si="5"/>
        <v>33905056449379</v>
      </c>
    </row>
    <row r="985" spans="1:10" x14ac:dyDescent="0.25">
      <c r="A985" s="3">
        <v>984</v>
      </c>
      <c r="B985" s="3">
        <v>46.062857142857148</v>
      </c>
      <c r="C985" s="3">
        <v>0.92307692307692313</v>
      </c>
      <c r="D985" s="3">
        <v>13556.298857142858</v>
      </c>
      <c r="E985" s="3">
        <f t="shared" si="0"/>
        <v>12513.506637362638</v>
      </c>
      <c r="F985" s="3">
        <f t="shared" si="1"/>
        <v>109618318.1432967</v>
      </c>
      <c r="G985" s="3">
        <f t="shared" si="2"/>
        <v>33953882377848.867</v>
      </c>
      <c r="H985" s="3">
        <f t="shared" si="3"/>
        <v>108450390.85714287</v>
      </c>
      <c r="I985" s="3">
        <f t="shared" si="4"/>
        <v>3253511.7257142859</v>
      </c>
      <c r="J985" s="3">
        <f t="shared" si="5"/>
        <v>33953895391895.77</v>
      </c>
    </row>
    <row r="986" spans="1:10" x14ac:dyDescent="0.25">
      <c r="A986" s="3">
        <v>985</v>
      </c>
      <c r="B986" s="3">
        <v>46.378392857142863</v>
      </c>
      <c r="C986" s="3">
        <v>0.92401500938086301</v>
      </c>
      <c r="D986" s="3">
        <v>13649.161017857146</v>
      </c>
      <c r="E986" s="3">
        <f t="shared" si="0"/>
        <v>12612.029645956181</v>
      </c>
      <c r="F986" s="3">
        <f t="shared" si="1"/>
        <v>110481379.69857615</v>
      </c>
      <c r="G986" s="3">
        <f t="shared" si="2"/>
        <v>34221212624187.801</v>
      </c>
      <c r="H986" s="3">
        <f t="shared" si="3"/>
        <v>109193288.14285716</v>
      </c>
      <c r="I986" s="3">
        <f t="shared" si="4"/>
        <v>3275798.6442857147</v>
      </c>
      <c r="J986" s="3">
        <f t="shared" si="5"/>
        <v>34221225727382.379</v>
      </c>
    </row>
    <row r="987" spans="1:10" x14ac:dyDescent="0.25">
      <c r="A987" s="3">
        <v>986</v>
      </c>
      <c r="B987" s="3">
        <v>46.494464285714287</v>
      </c>
      <c r="C987" s="3">
        <v>0.924953095684803</v>
      </c>
      <c r="D987" s="3">
        <v>13683.320839285716</v>
      </c>
      <c r="E987" s="3">
        <f t="shared" si="0"/>
        <v>12656.429969545699</v>
      </c>
      <c r="F987" s="3">
        <f t="shared" si="1"/>
        <v>110870326.53322032</v>
      </c>
      <c r="G987" s="3">
        <f t="shared" si="2"/>
        <v>34341687529891.914</v>
      </c>
      <c r="H987" s="3">
        <f t="shared" si="3"/>
        <v>109466566.71428573</v>
      </c>
      <c r="I987" s="3">
        <f t="shared" si="4"/>
        <v>3283997.001428572</v>
      </c>
      <c r="J987" s="3">
        <f t="shared" si="5"/>
        <v>34341700665879.918</v>
      </c>
    </row>
    <row r="988" spans="1:10" x14ac:dyDescent="0.25">
      <c r="A988" s="3">
        <v>987</v>
      </c>
      <c r="B988" s="3">
        <v>47.013214285714291</v>
      </c>
      <c r="C988" s="3">
        <v>0.92589118198874298</v>
      </c>
      <c r="D988" s="3">
        <v>13835.988964285716</v>
      </c>
      <c r="E988" s="3">
        <f t="shared" si="0"/>
        <v>12810.620176125705</v>
      </c>
      <c r="F988" s="3">
        <f t="shared" si="1"/>
        <v>112221032.74286118</v>
      </c>
      <c r="G988" s="3">
        <f t="shared" si="2"/>
        <v>34760063966041.602</v>
      </c>
      <c r="H988" s="3">
        <f t="shared" si="3"/>
        <v>110687911.71428573</v>
      </c>
      <c r="I988" s="3">
        <f t="shared" si="4"/>
        <v>3320637.3514285716</v>
      </c>
      <c r="J988" s="3">
        <f t="shared" si="5"/>
        <v>34760077248591.008</v>
      </c>
    </row>
    <row r="989" spans="1:10" x14ac:dyDescent="0.25">
      <c r="A989" s="3">
        <v>988</v>
      </c>
      <c r="B989" s="3">
        <v>47.062857142857141</v>
      </c>
      <c r="C989" s="3">
        <v>0.92682926829268297</v>
      </c>
      <c r="D989" s="3">
        <v>13850.598857142857</v>
      </c>
      <c r="E989" s="3">
        <f t="shared" si="0"/>
        <v>12837.140404181186</v>
      </c>
      <c r="F989" s="3">
        <f t="shared" si="1"/>
        <v>112453349.94062719</v>
      </c>
      <c r="G989" s="3">
        <f t="shared" si="2"/>
        <v>34832023401534.148</v>
      </c>
      <c r="H989" s="3">
        <f t="shared" si="3"/>
        <v>110804790.85714285</v>
      </c>
      <c r="I989" s="3">
        <f t="shared" si="4"/>
        <v>3324143.7257142854</v>
      </c>
      <c r="J989" s="3">
        <f t="shared" si="5"/>
        <v>34832036698109.051</v>
      </c>
    </row>
    <row r="990" spans="1:10" x14ac:dyDescent="0.25">
      <c r="A990" s="3">
        <v>989</v>
      </c>
      <c r="B990" s="3">
        <v>47.366071428571423</v>
      </c>
      <c r="C990" s="3">
        <v>0.92776735459662285</v>
      </c>
      <c r="D990" s="3">
        <v>13939.834821428571</v>
      </c>
      <c r="E990" s="3">
        <f t="shared" si="0"/>
        <v>12932.923675790671</v>
      </c>
      <c r="F990" s="3">
        <f t="shared" si="1"/>
        <v>113292411.39992629</v>
      </c>
      <c r="G990" s="3">
        <f t="shared" si="2"/>
        <v>35091919704527.512</v>
      </c>
      <c r="H990" s="3">
        <f t="shared" si="3"/>
        <v>111518678.57142857</v>
      </c>
      <c r="I990" s="3">
        <f t="shared" si="4"/>
        <v>3345560.3571428568</v>
      </c>
      <c r="J990" s="3">
        <f t="shared" si="5"/>
        <v>35091933086768.938</v>
      </c>
    </row>
    <row r="991" spans="1:10" x14ac:dyDescent="0.25">
      <c r="A991" s="3">
        <v>990</v>
      </c>
      <c r="B991" s="3">
        <v>47.46125</v>
      </c>
      <c r="C991" s="3">
        <v>0.92870544090056284</v>
      </c>
      <c r="D991" s="3">
        <v>13967.845875000001</v>
      </c>
      <c r="E991" s="3">
        <f t="shared" si="0"/>
        <v>12972.014461772984</v>
      </c>
      <c r="F991" s="3">
        <f t="shared" si="1"/>
        <v>113634846.68513134</v>
      </c>
      <c r="G991" s="3">
        <f t="shared" si="2"/>
        <v>35197987824359.852</v>
      </c>
      <c r="H991" s="3">
        <f t="shared" si="3"/>
        <v>111742767</v>
      </c>
      <c r="I991" s="3">
        <f t="shared" si="4"/>
        <v>3352283.01</v>
      </c>
      <c r="J991" s="3">
        <f t="shared" si="5"/>
        <v>35198001233491.891</v>
      </c>
    </row>
    <row r="992" spans="1:10" x14ac:dyDescent="0.25">
      <c r="A992" s="3">
        <v>991</v>
      </c>
      <c r="B992" s="3">
        <v>47.554107142857141</v>
      </c>
      <c r="C992" s="3">
        <v>0.92964352720450283</v>
      </c>
      <c r="D992" s="3">
        <v>13995.173732142859</v>
      </c>
      <c r="E992" s="3">
        <f t="shared" si="0"/>
        <v>13010.522672189094</v>
      </c>
      <c r="F992" s="3">
        <f t="shared" si="1"/>
        <v>113972178.60837646</v>
      </c>
      <c r="G992" s="3">
        <f t="shared" si="2"/>
        <v>35302475196109.438</v>
      </c>
      <c r="H992" s="3">
        <f t="shared" si="3"/>
        <v>111961389.85714287</v>
      </c>
      <c r="I992" s="3">
        <f t="shared" si="4"/>
        <v>3358841.6957142861</v>
      </c>
      <c r="J992" s="3">
        <f t="shared" si="5"/>
        <v>35302488631476.219</v>
      </c>
    </row>
    <row r="993" spans="1:10" x14ac:dyDescent="0.25">
      <c r="A993" s="3">
        <v>992</v>
      </c>
      <c r="B993" s="3">
        <v>47.570892857142859</v>
      </c>
      <c r="C993" s="3">
        <v>0.93058161350844282</v>
      </c>
      <c r="D993" s="3">
        <v>14000.113767857143</v>
      </c>
      <c r="E993" s="3">
        <f t="shared" si="0"/>
        <v>13028.248459394265</v>
      </c>
      <c r="F993" s="3">
        <f t="shared" si="1"/>
        <v>114127456.50429375</v>
      </c>
      <c r="G993" s="3">
        <f t="shared" si="2"/>
        <v>35350571983253.164</v>
      </c>
      <c r="H993" s="3">
        <f t="shared" si="3"/>
        <v>112000910.14285715</v>
      </c>
      <c r="I993" s="3">
        <f t="shared" si="4"/>
        <v>3360027.3042857144</v>
      </c>
      <c r="J993" s="3">
        <f t="shared" si="5"/>
        <v>35350585423362.383</v>
      </c>
    </row>
    <row r="994" spans="1:10" x14ac:dyDescent="0.25">
      <c r="A994" s="3">
        <v>993</v>
      </c>
      <c r="B994" s="3">
        <v>47.643214285714279</v>
      </c>
      <c r="C994" s="3">
        <v>0.9315196998123827</v>
      </c>
      <c r="D994" s="3">
        <v>14021.397964285712</v>
      </c>
      <c r="E994" s="3">
        <f t="shared" si="0"/>
        <v>13061.208422641381</v>
      </c>
      <c r="F994" s="3">
        <f t="shared" si="1"/>
        <v>114416185.7823385</v>
      </c>
      <c r="G994" s="3">
        <f t="shared" si="2"/>
        <v>35440004859341.281</v>
      </c>
      <c r="H994" s="3">
        <f t="shared" si="3"/>
        <v>112171183.7142857</v>
      </c>
      <c r="I994" s="3">
        <f t="shared" si="4"/>
        <v>3365135.5114285708</v>
      </c>
      <c r="J994" s="3">
        <f t="shared" si="5"/>
        <v>35440018319883.32</v>
      </c>
    </row>
    <row r="995" spans="1:10" x14ac:dyDescent="0.25">
      <c r="A995" s="3">
        <v>994</v>
      </c>
      <c r="B995" s="3">
        <v>47.696249999999999</v>
      </c>
      <c r="C995" s="3">
        <v>0.93245778611632268</v>
      </c>
      <c r="D995" s="3">
        <v>14037.006375000001</v>
      </c>
      <c r="E995" s="3">
        <f t="shared" si="0"/>
        <v>13088.91588813321</v>
      </c>
      <c r="F995" s="3">
        <f t="shared" si="1"/>
        <v>114658903.18004692</v>
      </c>
      <c r="G995" s="3">
        <f t="shared" si="2"/>
        <v>35515185719882.141</v>
      </c>
      <c r="H995" s="3">
        <f t="shared" si="3"/>
        <v>112296051</v>
      </c>
      <c r="I995" s="3">
        <f t="shared" si="4"/>
        <v>3368881.53</v>
      </c>
      <c r="J995" s="3">
        <f t="shared" si="5"/>
        <v>35515199195408.266</v>
      </c>
    </row>
    <row r="996" spans="1:10" x14ac:dyDescent="0.25">
      <c r="A996" s="3">
        <v>995</v>
      </c>
      <c r="B996" s="3">
        <v>48.120892857142863</v>
      </c>
      <c r="C996" s="3">
        <v>0.93339587242026267</v>
      </c>
      <c r="D996" s="3">
        <v>14161.978767857145</v>
      </c>
      <c r="E996" s="3">
        <f t="shared" si="0"/>
        <v>13218.732527221257</v>
      </c>
      <c r="F996" s="3">
        <f t="shared" si="1"/>
        <v>115796096.93845822</v>
      </c>
      <c r="G996" s="3">
        <f t="shared" si="2"/>
        <v>35867427438384.398</v>
      </c>
      <c r="H996" s="3">
        <f t="shared" si="3"/>
        <v>113295830.14285716</v>
      </c>
      <c r="I996" s="3">
        <f t="shared" si="4"/>
        <v>3398874.904285715</v>
      </c>
      <c r="J996" s="3">
        <f t="shared" si="5"/>
        <v>35867441033884.016</v>
      </c>
    </row>
    <row r="997" spans="1:10" x14ac:dyDescent="0.25">
      <c r="A997" s="3">
        <v>996</v>
      </c>
      <c r="B997" s="3">
        <v>48.14196428571428</v>
      </c>
      <c r="C997" s="3">
        <v>0.93433395872420266</v>
      </c>
      <c r="D997" s="3">
        <v>14168.180089285712</v>
      </c>
      <c r="E997" s="3">
        <f t="shared" si="0"/>
        <v>13237.811790739746</v>
      </c>
      <c r="F997" s="3">
        <f t="shared" si="1"/>
        <v>115963231.28688018</v>
      </c>
      <c r="G997" s="3">
        <f t="shared" si="2"/>
        <v>35919196719525.039</v>
      </c>
      <c r="H997" s="3">
        <f t="shared" si="3"/>
        <v>113345440.7142857</v>
      </c>
      <c r="I997" s="3">
        <f t="shared" si="4"/>
        <v>3400363.2214285708</v>
      </c>
      <c r="J997" s="3">
        <f t="shared" si="5"/>
        <v>35919210320977.922</v>
      </c>
    </row>
    <row r="998" spans="1:10" x14ac:dyDescent="0.25">
      <c r="A998" s="3">
        <v>997</v>
      </c>
      <c r="B998" s="3">
        <v>48.26660714285714</v>
      </c>
      <c r="C998" s="3">
        <v>0.93527204502814254</v>
      </c>
      <c r="D998" s="3">
        <v>14204.862482142857</v>
      </c>
      <c r="E998" s="3">
        <f t="shared" si="0"/>
        <v>13285.410783017287</v>
      </c>
      <c r="F998" s="3">
        <f t="shared" si="1"/>
        <v>116380198.45923144</v>
      </c>
      <c r="G998" s="3">
        <f t="shared" si="2"/>
        <v>36048350825622</v>
      </c>
      <c r="H998" s="3">
        <f t="shared" si="3"/>
        <v>113638899.85714285</v>
      </c>
      <c r="I998" s="3">
        <f t="shared" si="4"/>
        <v>3409166.9957142854</v>
      </c>
      <c r="J998" s="3">
        <f t="shared" si="5"/>
        <v>36048364462289.977</v>
      </c>
    </row>
    <row r="999" spans="1:10" x14ac:dyDescent="0.25">
      <c r="A999" s="3">
        <v>998</v>
      </c>
      <c r="B999" s="3">
        <v>48.342678571428571</v>
      </c>
      <c r="C999" s="3">
        <v>0.93621013133208253</v>
      </c>
      <c r="D999" s="3">
        <v>14227.250303571431</v>
      </c>
      <c r="E999" s="3">
        <f t="shared" si="0"/>
        <v>13319.69587520102</v>
      </c>
      <c r="F999" s="3">
        <f t="shared" si="1"/>
        <v>116680535.86676094</v>
      </c>
      <c r="G999" s="3">
        <f t="shared" si="2"/>
        <v>36141379278660.734</v>
      </c>
      <c r="H999" s="3">
        <f t="shared" si="3"/>
        <v>113818002.42857145</v>
      </c>
      <c r="I999" s="3">
        <f t="shared" si="4"/>
        <v>3414540.0728571434</v>
      </c>
      <c r="J999" s="3">
        <f t="shared" si="5"/>
        <v>36141392936821.023</v>
      </c>
    </row>
    <row r="1000" spans="1:10" x14ac:dyDescent="0.25">
      <c r="A1000" s="3">
        <v>999</v>
      </c>
      <c r="B1000" s="3">
        <v>48.34392857142857</v>
      </c>
      <c r="C1000" s="3">
        <v>0.93714821763602252</v>
      </c>
      <c r="D1000" s="3">
        <v>14227.618178571431</v>
      </c>
      <c r="E1000" s="3">
        <f t="shared" si="0"/>
        <v>13333.38701725409</v>
      </c>
      <c r="F1000" s="3">
        <f t="shared" si="1"/>
        <v>116800470.27114582</v>
      </c>
      <c r="G1000" s="3">
        <f t="shared" si="2"/>
        <v>36178528545778.094</v>
      </c>
      <c r="H1000" s="3">
        <f t="shared" si="3"/>
        <v>113820945.42857145</v>
      </c>
      <c r="I1000" s="3">
        <f t="shared" si="4"/>
        <v>3414628.3628571434</v>
      </c>
      <c r="J1000" s="3">
        <f t="shared" si="5"/>
        <v>36178542204291.539</v>
      </c>
    </row>
    <row r="1001" spans="1:10" x14ac:dyDescent="0.25">
      <c r="A1001" s="3">
        <v>1000</v>
      </c>
      <c r="B1001" s="3">
        <v>48.375892857142851</v>
      </c>
      <c r="C1001" s="3">
        <v>0.93808630393996251</v>
      </c>
      <c r="D1001" s="3">
        <v>14237.025267857141</v>
      </c>
      <c r="E1001" s="3">
        <f t="shared" si="0"/>
        <v>13355.558412623961</v>
      </c>
      <c r="F1001" s="3">
        <f t="shared" si="1"/>
        <v>116994691.69458589</v>
      </c>
      <c r="G1001" s="3">
        <f t="shared" si="2"/>
        <v>36238687951761.555</v>
      </c>
      <c r="H1001" s="3">
        <f t="shared" si="3"/>
        <v>113896202.14285713</v>
      </c>
      <c r="I1001" s="3">
        <f t="shared" si="4"/>
        <v>3416886.0642857137</v>
      </c>
      <c r="J1001" s="3">
        <f t="shared" si="5"/>
        <v>36238701619305.813</v>
      </c>
    </row>
    <row r="1002" spans="1:10" x14ac:dyDescent="0.25">
      <c r="A1002" s="3">
        <v>1001</v>
      </c>
      <c r="B1002" s="3">
        <v>48.579285714285717</v>
      </c>
      <c r="C1002" s="3">
        <v>0.93902439024390238</v>
      </c>
      <c r="D1002" s="3">
        <v>14296.883785714288</v>
      </c>
      <c r="E1002" s="3">
        <f t="shared" si="0"/>
        <v>13425.122579268294</v>
      </c>
      <c r="F1002" s="3">
        <f t="shared" si="1"/>
        <v>117604073.79439026</v>
      </c>
      <c r="G1002" s="3">
        <f t="shared" si="2"/>
        <v>36427441894731.898</v>
      </c>
      <c r="H1002" s="3">
        <f t="shared" si="3"/>
        <v>114375070.2857143</v>
      </c>
      <c r="I1002" s="3">
        <f t="shared" si="4"/>
        <v>3431252.1085714288</v>
      </c>
      <c r="J1002" s="3">
        <f t="shared" si="5"/>
        <v>36427455619740.336</v>
      </c>
    </row>
    <row r="1003" spans="1:10" x14ac:dyDescent="0.25">
      <c r="A1003" s="3">
        <v>1002</v>
      </c>
      <c r="B1003" s="3">
        <v>48.657499999999999</v>
      </c>
      <c r="C1003" s="3">
        <v>0.93996247654784237</v>
      </c>
      <c r="D1003" s="3">
        <v>14319.902249999999</v>
      </c>
      <c r="E1003" s="3">
        <f t="shared" si="0"/>
        <v>13460.17078283302</v>
      </c>
      <c r="F1003" s="3">
        <f t="shared" si="1"/>
        <v>117911096.05761726</v>
      </c>
      <c r="G1003" s="3">
        <f t="shared" si="2"/>
        <v>36522540958126.125</v>
      </c>
      <c r="H1003" s="3">
        <f t="shared" si="3"/>
        <v>114559218</v>
      </c>
      <c r="I1003" s="3">
        <f t="shared" si="4"/>
        <v>3436776.54</v>
      </c>
      <c r="J1003" s="3">
        <f t="shared" si="5"/>
        <v>36522554705232.281</v>
      </c>
    </row>
    <row r="1004" spans="1:10" x14ac:dyDescent="0.25">
      <c r="A1004" s="3">
        <v>1003</v>
      </c>
      <c r="B1004" s="3">
        <v>48.831785714285715</v>
      </c>
      <c r="C1004" s="3">
        <v>0.94090056285178236</v>
      </c>
      <c r="D1004" s="3">
        <v>14371.194535714287</v>
      </c>
      <c r="E1004" s="3">
        <f t="shared" si="0"/>
        <v>13521.865027506032</v>
      </c>
      <c r="F1004" s="3">
        <f t="shared" si="1"/>
        <v>118451537.64095283</v>
      </c>
      <c r="G1004" s="3">
        <f t="shared" si="2"/>
        <v>36689940822484.086</v>
      </c>
      <c r="H1004" s="3">
        <f t="shared" si="3"/>
        <v>114969556.2857143</v>
      </c>
      <c r="I1004" s="3">
        <f t="shared" si="4"/>
        <v>3449086.6885714289</v>
      </c>
      <c r="J1004" s="3">
        <f t="shared" si="5"/>
        <v>36689954618830.836</v>
      </c>
    </row>
    <row r="1005" spans="1:10" x14ac:dyDescent="0.25">
      <c r="A1005" s="3">
        <v>1004</v>
      </c>
      <c r="B1005" s="3">
        <v>49.032499999999999</v>
      </c>
      <c r="C1005" s="3">
        <v>0.94183864915572235</v>
      </c>
      <c r="D1005" s="3">
        <v>14430.26475</v>
      </c>
      <c r="E1005" s="3">
        <f t="shared" si="0"/>
        <v>13590.981059099438</v>
      </c>
      <c r="F1005" s="3">
        <f t="shared" si="1"/>
        <v>119056994.07771108</v>
      </c>
      <c r="G1005" s="3">
        <f t="shared" si="2"/>
        <v>36877478805643.023</v>
      </c>
      <c r="H1005" s="3">
        <f t="shared" si="3"/>
        <v>115442118</v>
      </c>
      <c r="I1005" s="3">
        <f t="shared" si="4"/>
        <v>3463263.54</v>
      </c>
      <c r="J1005" s="3">
        <f t="shared" si="5"/>
        <v>36877492658697.18</v>
      </c>
    </row>
    <row r="1006" spans="1:10" x14ac:dyDescent="0.25">
      <c r="A1006" s="3">
        <v>1005</v>
      </c>
      <c r="B1006" s="3">
        <v>49.210535714285712</v>
      </c>
      <c r="C1006" s="3">
        <v>0.94277673545966234</v>
      </c>
      <c r="D1006" s="3">
        <v>14482.660660714286</v>
      </c>
      <c r="E1006" s="3">
        <f t="shared" si="0"/>
        <v>13653.915538478292</v>
      </c>
      <c r="F1006" s="3">
        <f t="shared" si="1"/>
        <v>119608300.11706983</v>
      </c>
      <c r="G1006" s="3">
        <f t="shared" si="2"/>
        <v>37048243896665.75</v>
      </c>
      <c r="H1006" s="3">
        <f t="shared" si="3"/>
        <v>115861285.28571428</v>
      </c>
      <c r="I1006" s="3">
        <f t="shared" si="4"/>
        <v>3475838.5585714285</v>
      </c>
      <c r="J1006" s="3">
        <f t="shared" si="5"/>
        <v>37048257800019.977</v>
      </c>
    </row>
    <row r="1007" spans="1:10" x14ac:dyDescent="0.25">
      <c r="A1007" s="3">
        <v>1006</v>
      </c>
      <c r="B1007" s="3">
        <v>49.474285714285713</v>
      </c>
      <c r="C1007" s="3">
        <v>0.94371482176360222</v>
      </c>
      <c r="D1007" s="3">
        <v>14560.282285714286</v>
      </c>
      <c r="E1007" s="3">
        <f t="shared" si="0"/>
        <v>13740.754202090591</v>
      </c>
      <c r="F1007" s="3">
        <f t="shared" si="1"/>
        <v>120369006.81031358</v>
      </c>
      <c r="G1007" s="3">
        <f t="shared" si="2"/>
        <v>37283870092682.977</v>
      </c>
      <c r="H1007" s="3">
        <f t="shared" si="3"/>
        <v>116482258.28571428</v>
      </c>
      <c r="I1007" s="3">
        <f t="shared" si="4"/>
        <v>3494467.7485714285</v>
      </c>
      <c r="J1007" s="3">
        <f t="shared" si="5"/>
        <v>37283884070553.969</v>
      </c>
    </row>
    <row r="1008" spans="1:10" x14ac:dyDescent="0.25">
      <c r="A1008" s="3">
        <v>1007</v>
      </c>
      <c r="B1008" s="3">
        <v>49.529285714285713</v>
      </c>
      <c r="C1008" s="3">
        <v>0.94465290806754221</v>
      </c>
      <c r="D1008" s="3">
        <v>14576.468785714285</v>
      </c>
      <c r="E1008" s="3">
        <f t="shared" si="0"/>
        <v>13769.703627780755</v>
      </c>
      <c r="F1008" s="3">
        <f t="shared" si="1"/>
        <v>120622603.7793594</v>
      </c>
      <c r="G1008" s="3">
        <f t="shared" si="2"/>
        <v>37362420862309.492</v>
      </c>
      <c r="H1008" s="3">
        <f t="shared" si="3"/>
        <v>116611750.28571428</v>
      </c>
      <c r="I1008" s="3">
        <f t="shared" si="4"/>
        <v>3498352.5085714282</v>
      </c>
      <c r="J1008" s="3">
        <f t="shared" si="5"/>
        <v>37362434855719.523</v>
      </c>
    </row>
    <row r="1009" spans="1:10" x14ac:dyDescent="0.25">
      <c r="A1009" s="3">
        <v>1008</v>
      </c>
      <c r="B1009" s="3">
        <v>49.714285714285708</v>
      </c>
      <c r="C1009" s="3">
        <v>0.9455909943714822</v>
      </c>
      <c r="D1009" s="3">
        <v>14630.914285714285</v>
      </c>
      <c r="E1009" s="3">
        <f t="shared" si="0"/>
        <v>13834.860787992495</v>
      </c>
      <c r="F1009" s="3">
        <f t="shared" si="1"/>
        <v>121193380.50281425</v>
      </c>
      <c r="G1009" s="3">
        <f t="shared" si="2"/>
        <v>37539216928506.063</v>
      </c>
      <c r="H1009" s="3">
        <f t="shared" si="3"/>
        <v>117047314.28571428</v>
      </c>
      <c r="I1009" s="3">
        <f t="shared" si="4"/>
        <v>3511419.4285714282</v>
      </c>
      <c r="J1009" s="3">
        <f t="shared" si="5"/>
        <v>37539230974183.781</v>
      </c>
    </row>
    <row r="1010" spans="1:10" x14ac:dyDescent="0.25">
      <c r="A1010" s="3">
        <v>1009</v>
      </c>
      <c r="B1010" s="3">
        <v>49.739821428571425</v>
      </c>
      <c r="C1010" s="3">
        <v>0.94652908067542219</v>
      </c>
      <c r="D1010" s="3">
        <v>14638.42944642857</v>
      </c>
      <c r="E1010" s="3">
        <f t="shared" si="0"/>
        <v>13855.699166460065</v>
      </c>
      <c r="F1010" s="3">
        <f t="shared" si="1"/>
        <v>121375924.69819017</v>
      </c>
      <c r="G1010" s="3">
        <f t="shared" si="2"/>
        <v>37595759355249.391</v>
      </c>
      <c r="H1010" s="3">
        <f t="shared" si="3"/>
        <v>117107435.57142857</v>
      </c>
      <c r="I1010" s="3">
        <f t="shared" si="4"/>
        <v>3513223.0671428568</v>
      </c>
      <c r="J1010" s="3">
        <f t="shared" si="5"/>
        <v>37595773408141.664</v>
      </c>
    </row>
    <row r="1011" spans="1:10" x14ac:dyDescent="0.25">
      <c r="A1011" s="3">
        <v>1010</v>
      </c>
      <c r="B1011" s="3">
        <v>50.15839285714285</v>
      </c>
      <c r="C1011" s="3">
        <v>0.94746716697936206</v>
      </c>
      <c r="D1011" s="3">
        <v>14761.615017857142</v>
      </c>
      <c r="E1011" s="3">
        <f t="shared" si="0"/>
        <v>13986.145561009112</v>
      </c>
      <c r="F1011" s="3">
        <f t="shared" si="1"/>
        <v>122518635.11443982</v>
      </c>
      <c r="G1011" s="3">
        <f t="shared" si="2"/>
        <v>37949709841176.313</v>
      </c>
      <c r="H1011" s="3">
        <f t="shared" si="3"/>
        <v>118092920.14285713</v>
      </c>
      <c r="I1011" s="3">
        <f t="shared" si="4"/>
        <v>3542787.6042857138</v>
      </c>
      <c r="J1011" s="3">
        <f t="shared" si="5"/>
        <v>37949724012326.727</v>
      </c>
    </row>
    <row r="1012" spans="1:10" x14ac:dyDescent="0.25">
      <c r="A1012" s="3">
        <v>1011</v>
      </c>
      <c r="B1012" s="3">
        <v>50.186428571428571</v>
      </c>
      <c r="C1012" s="3">
        <v>0.94840525328330205</v>
      </c>
      <c r="D1012" s="3">
        <v>14769.865928571431</v>
      </c>
      <c r="E1012" s="3">
        <f t="shared" si="0"/>
        <v>14007.818436947202</v>
      </c>
      <c r="F1012" s="3">
        <f t="shared" si="1"/>
        <v>122708489.5076575</v>
      </c>
      <c r="G1012" s="3">
        <f t="shared" si="2"/>
        <v>38008516575743.297</v>
      </c>
      <c r="H1012" s="3">
        <f t="shared" si="3"/>
        <v>118158927.42857145</v>
      </c>
      <c r="I1012" s="3">
        <f t="shared" si="4"/>
        <v>3544767.8228571434</v>
      </c>
      <c r="J1012" s="3">
        <f t="shared" si="5"/>
        <v>38008530754814.586</v>
      </c>
    </row>
    <row r="1013" spans="1:10" x14ac:dyDescent="0.25">
      <c r="A1013" s="3">
        <v>1012</v>
      </c>
      <c r="B1013" s="3">
        <v>50.439285714285717</v>
      </c>
      <c r="C1013" s="3">
        <v>0.94934333958724204</v>
      </c>
      <c r="D1013" s="3">
        <v>14844.281785714287</v>
      </c>
      <c r="E1013" s="3">
        <f t="shared" si="0"/>
        <v>14092.32004422407</v>
      </c>
      <c r="F1013" s="3">
        <f t="shared" si="1"/>
        <v>123448723.58740285</v>
      </c>
      <c r="G1013" s="3">
        <f t="shared" si="2"/>
        <v>38237801453525.195</v>
      </c>
      <c r="H1013" s="3">
        <f t="shared" si="3"/>
        <v>118754254.2857143</v>
      </c>
      <c r="I1013" s="3">
        <f t="shared" si="4"/>
        <v>3562627.6285714288</v>
      </c>
      <c r="J1013" s="3">
        <f t="shared" si="5"/>
        <v>38237815704035.703</v>
      </c>
    </row>
    <row r="1014" spans="1:10" x14ac:dyDescent="0.25">
      <c r="A1014" s="3">
        <v>1013</v>
      </c>
      <c r="B1014" s="3">
        <v>50.470178571428576</v>
      </c>
      <c r="C1014" s="3">
        <v>0.95028142589118203</v>
      </c>
      <c r="D1014" s="3">
        <v>14853.373553571431</v>
      </c>
      <c r="E1014" s="3">
        <f t="shared" si="0"/>
        <v>14114.884999782233</v>
      </c>
      <c r="F1014" s="3">
        <f t="shared" si="1"/>
        <v>123646392.59809236</v>
      </c>
      <c r="G1014" s="3">
        <f t="shared" si="2"/>
        <v>38299028738052.922</v>
      </c>
      <c r="H1014" s="3">
        <f t="shared" si="3"/>
        <v>118826988.42857145</v>
      </c>
      <c r="I1014" s="3">
        <f t="shared" si="4"/>
        <v>3564809.6528571434</v>
      </c>
      <c r="J1014" s="3">
        <f t="shared" si="5"/>
        <v>38299042997291.539</v>
      </c>
    </row>
    <row r="1015" spans="1:10" x14ac:dyDescent="0.25">
      <c r="A1015" s="3">
        <v>1014</v>
      </c>
      <c r="B1015" s="3">
        <v>50.475178571428572</v>
      </c>
      <c r="C1015" s="3">
        <v>0.95121951219512191</v>
      </c>
      <c r="D1015" s="3">
        <v>14854.845053571431</v>
      </c>
      <c r="E1015" s="3">
        <f t="shared" si="0"/>
        <v>14130.218465592336</v>
      </c>
      <c r="F1015" s="3">
        <f t="shared" si="1"/>
        <v>123780713.75858887</v>
      </c>
      <c r="G1015" s="3">
        <f t="shared" si="2"/>
        <v>38340634252120.414</v>
      </c>
      <c r="H1015" s="3">
        <f t="shared" si="3"/>
        <v>118838760.42857145</v>
      </c>
      <c r="I1015" s="3">
        <f t="shared" si="4"/>
        <v>3565162.8128571431</v>
      </c>
      <c r="J1015" s="3">
        <f t="shared" si="5"/>
        <v>38340648512771.664</v>
      </c>
    </row>
    <row r="1016" spans="1:10" x14ac:dyDescent="0.25">
      <c r="A1016" s="3">
        <v>1015</v>
      </c>
      <c r="B1016" s="3">
        <v>50.560892857142861</v>
      </c>
      <c r="C1016" s="3">
        <v>0.9521575984990619</v>
      </c>
      <c r="D1016" s="3">
        <v>14880.070767857145</v>
      </c>
      <c r="E1016" s="3">
        <f t="shared" si="0"/>
        <v>14168.172447818952</v>
      </c>
      <c r="F1016" s="3">
        <f t="shared" si="1"/>
        <v>124113190.64289403</v>
      </c>
      <c r="G1016" s="3">
        <f t="shared" si="2"/>
        <v>38443617794347.102</v>
      </c>
      <c r="H1016" s="3">
        <f t="shared" si="3"/>
        <v>119040566.14285716</v>
      </c>
      <c r="I1016" s="3">
        <f t="shared" si="4"/>
        <v>3571216.9842857146</v>
      </c>
      <c r="J1016" s="3">
        <f t="shared" si="5"/>
        <v>38443632079215.039</v>
      </c>
    </row>
    <row r="1017" spans="1:10" x14ac:dyDescent="0.25">
      <c r="A1017" s="3">
        <v>1016</v>
      </c>
      <c r="B1017" s="3">
        <v>50.829642857142858</v>
      </c>
      <c r="C1017" s="3">
        <v>0.95309568480300189</v>
      </c>
      <c r="D1017" s="3">
        <v>14959.163892857143</v>
      </c>
      <c r="E1017" s="3">
        <f t="shared" si="0"/>
        <v>14257.514554543019</v>
      </c>
      <c r="F1017" s="3">
        <f t="shared" si="1"/>
        <v>124895827.49779683</v>
      </c>
      <c r="G1017" s="3">
        <f t="shared" si="2"/>
        <v>38686036780772.539</v>
      </c>
      <c r="H1017" s="3">
        <f t="shared" si="3"/>
        <v>119673311.14285715</v>
      </c>
      <c r="I1017" s="3">
        <f t="shared" si="4"/>
        <v>3590199.3342857142</v>
      </c>
      <c r="J1017" s="3">
        <f t="shared" si="5"/>
        <v>38686051141569.875</v>
      </c>
    </row>
    <row r="1018" spans="1:10" x14ac:dyDescent="0.25">
      <c r="A1018" s="3">
        <v>1017</v>
      </c>
      <c r="B1018" s="3">
        <v>51.112678571428575</v>
      </c>
      <c r="C1018" s="3">
        <v>0.95403377110694187</v>
      </c>
      <c r="D1018" s="3">
        <v>15042.46130357143</v>
      </c>
      <c r="E1018" s="3">
        <f t="shared" si="0"/>
        <v>14351.016084176495</v>
      </c>
      <c r="F1018" s="3">
        <f t="shared" si="1"/>
        <v>125714900.8973861</v>
      </c>
      <c r="G1018" s="3">
        <f t="shared" si="2"/>
        <v>38939741857016.258</v>
      </c>
      <c r="H1018" s="3">
        <f t="shared" si="3"/>
        <v>120339690.42857145</v>
      </c>
      <c r="I1018" s="3">
        <f t="shared" si="4"/>
        <v>3610190.7128571435</v>
      </c>
      <c r="J1018" s="3">
        <f t="shared" si="5"/>
        <v>38939756297779.109</v>
      </c>
    </row>
    <row r="1019" spans="1:10" x14ac:dyDescent="0.25">
      <c r="A1019" s="3">
        <v>1018</v>
      </c>
      <c r="B1019" s="3">
        <v>51.134821428571435</v>
      </c>
      <c r="C1019" s="3">
        <v>0.95497185741088175</v>
      </c>
      <c r="D1019" s="3">
        <v>15048.977946428573</v>
      </c>
      <c r="E1019" s="3">
        <f t="shared" si="0"/>
        <v>14371.350421636291</v>
      </c>
      <c r="F1019" s="3">
        <f t="shared" si="1"/>
        <v>125893029.6935339</v>
      </c>
      <c r="G1019" s="3">
        <f t="shared" si="2"/>
        <v>38994916630059.297</v>
      </c>
      <c r="H1019" s="3">
        <f t="shared" si="3"/>
        <v>120391823.57142858</v>
      </c>
      <c r="I1019" s="3">
        <f t="shared" si="4"/>
        <v>3611754.7071428574</v>
      </c>
      <c r="J1019" s="3">
        <f t="shared" si="5"/>
        <v>38994931077078.133</v>
      </c>
    </row>
    <row r="1020" spans="1:10" x14ac:dyDescent="0.25">
      <c r="A1020" s="3">
        <v>1019</v>
      </c>
      <c r="B1020" s="3">
        <v>51.266071428571422</v>
      </c>
      <c r="C1020" s="3">
        <v>0.95590994371482174</v>
      </c>
      <c r="D1020" s="3">
        <v>15087.604821428571</v>
      </c>
      <c r="E1020" s="3">
        <f t="shared" si="0"/>
        <v>14422.391475643259</v>
      </c>
      <c r="F1020" s="3">
        <f t="shared" si="1"/>
        <v>126340149.32663496</v>
      </c>
      <c r="G1020" s="3">
        <f t="shared" si="2"/>
        <v>39133410354851.602</v>
      </c>
      <c r="H1020" s="3">
        <f t="shared" si="3"/>
        <v>120700838.57142857</v>
      </c>
      <c r="I1020" s="3">
        <f t="shared" si="4"/>
        <v>3621025.1571428571</v>
      </c>
      <c r="J1020" s="3">
        <f t="shared" si="5"/>
        <v>39133424838952.227</v>
      </c>
    </row>
    <row r="1021" spans="1:10" x14ac:dyDescent="0.25">
      <c r="A1021" s="3">
        <v>1020</v>
      </c>
      <c r="B1021" s="3">
        <v>51.340714285714292</v>
      </c>
      <c r="C1021" s="3">
        <v>0.95684803001876173</v>
      </c>
      <c r="D1021" s="3">
        <v>15109.572214285716</v>
      </c>
      <c r="E1021" s="3">
        <f t="shared" si="0"/>
        <v>14457.564407665506</v>
      </c>
      <c r="F1021" s="3">
        <f t="shared" si="1"/>
        <v>126648264.21114983</v>
      </c>
      <c r="G1021" s="3">
        <f t="shared" si="2"/>
        <v>39228847854924.539</v>
      </c>
      <c r="H1021" s="3">
        <f t="shared" si="3"/>
        <v>120876577.71428573</v>
      </c>
      <c r="I1021" s="3">
        <f t="shared" si="4"/>
        <v>3626297.3314285716</v>
      </c>
      <c r="J1021" s="3">
        <f t="shared" si="5"/>
        <v>39228862360113.859</v>
      </c>
    </row>
    <row r="1022" spans="1:10" x14ac:dyDescent="0.25">
      <c r="A1022" s="3">
        <v>1021</v>
      </c>
      <c r="B1022" s="3">
        <v>51.359464285714289</v>
      </c>
      <c r="C1022" s="3">
        <v>0.95778611632270172</v>
      </c>
      <c r="D1022" s="3">
        <v>15115.090339285716</v>
      </c>
      <c r="E1022" s="3">
        <f t="shared" si="0"/>
        <v>14477.023673931253</v>
      </c>
      <c r="F1022" s="3">
        <f t="shared" si="1"/>
        <v>126818727.38363777</v>
      </c>
      <c r="G1022" s="3">
        <f t="shared" si="2"/>
        <v>39281648228476.773</v>
      </c>
      <c r="H1022" s="3">
        <f t="shared" si="3"/>
        <v>120920722.71428573</v>
      </c>
      <c r="I1022" s="3">
        <f t="shared" si="4"/>
        <v>3627621.6814285717</v>
      </c>
      <c r="J1022" s="3">
        <f t="shared" si="5"/>
        <v>39281662738963.5</v>
      </c>
    </row>
    <row r="1023" spans="1:10" x14ac:dyDescent="0.25">
      <c r="A1023" s="3">
        <v>1022</v>
      </c>
      <c r="B1023" s="3">
        <v>52.107500000000002</v>
      </c>
      <c r="C1023" s="3">
        <v>0.9587242026266416</v>
      </c>
      <c r="D1023" s="3">
        <v>15335.23725</v>
      </c>
      <c r="E1023" s="3">
        <f t="shared" si="0"/>
        <v>14702.263104596623</v>
      </c>
      <c r="F1023" s="3">
        <f t="shared" si="1"/>
        <v>128791824.79626641</v>
      </c>
      <c r="G1023" s="3">
        <f t="shared" si="2"/>
        <v>39892808125055.258</v>
      </c>
      <c r="H1023" s="3">
        <f t="shared" si="3"/>
        <v>122681898</v>
      </c>
      <c r="I1023" s="3">
        <f t="shared" si="4"/>
        <v>3680456.94</v>
      </c>
      <c r="J1023" s="3">
        <f t="shared" si="5"/>
        <v>39892822846883.016</v>
      </c>
    </row>
    <row r="1024" spans="1:10" x14ac:dyDescent="0.25">
      <c r="A1024" s="3">
        <v>1023</v>
      </c>
      <c r="B1024" s="3">
        <v>52.225357142857142</v>
      </c>
      <c r="C1024" s="3">
        <v>0.95966228893058159</v>
      </c>
      <c r="D1024" s="3">
        <v>15369.922607142858</v>
      </c>
      <c r="E1024" s="3">
        <f t="shared" si="0"/>
        <v>14749.935109856608</v>
      </c>
      <c r="F1024" s="3">
        <f t="shared" si="1"/>
        <v>129209431.56234387</v>
      </c>
      <c r="G1024" s="3">
        <f t="shared" si="2"/>
        <v>40022160345016.727</v>
      </c>
      <c r="H1024" s="3">
        <f t="shared" si="3"/>
        <v>122959380.85714287</v>
      </c>
      <c r="I1024" s="3">
        <f t="shared" si="4"/>
        <v>3688781.425714286</v>
      </c>
      <c r="J1024" s="3">
        <f t="shared" si="5"/>
        <v>40022175100142.422</v>
      </c>
    </row>
    <row r="1025" spans="1:10" x14ac:dyDescent="0.25">
      <c r="A1025" s="3">
        <v>1024</v>
      </c>
      <c r="B1025" s="3">
        <v>52.905535714285712</v>
      </c>
      <c r="C1025" s="3">
        <v>0.96060037523452158</v>
      </c>
      <c r="D1025" s="3">
        <v>15570.099160714286</v>
      </c>
      <c r="E1025" s="3">
        <f t="shared" si="0"/>
        <v>14956.643096220852</v>
      </c>
      <c r="F1025" s="3">
        <f t="shared" si="1"/>
        <v>131020193.52289467</v>
      </c>
      <c r="G1025" s="3">
        <f t="shared" si="2"/>
        <v>40583037415238.664</v>
      </c>
      <c r="H1025" s="3">
        <f t="shared" si="3"/>
        <v>124560793.28571428</v>
      </c>
      <c r="I1025" s="3">
        <f t="shared" si="4"/>
        <v>3736823.7985714283</v>
      </c>
      <c r="J1025" s="3">
        <f t="shared" si="5"/>
        <v>40583052362533.859</v>
      </c>
    </row>
    <row r="1026" spans="1:10" x14ac:dyDescent="0.25">
      <c r="A1026" s="3">
        <v>1025</v>
      </c>
      <c r="B1026" s="3">
        <v>52.997678571428573</v>
      </c>
      <c r="C1026" s="3">
        <v>0.96153846153846156</v>
      </c>
      <c r="D1026" s="3">
        <v>15597.216803571431</v>
      </c>
      <c r="E1026" s="3">
        <f t="shared" si="0"/>
        <v>14997.323849587916</v>
      </c>
      <c r="F1026" s="3">
        <f t="shared" si="1"/>
        <v>131376556.92239013</v>
      </c>
      <c r="G1026" s="3">
        <f t="shared" si="2"/>
        <v>40693419721218.445</v>
      </c>
      <c r="H1026" s="3">
        <f t="shared" si="3"/>
        <v>124777734.42857145</v>
      </c>
      <c r="I1026" s="3">
        <f t="shared" si="4"/>
        <v>3743332.0328571433</v>
      </c>
      <c r="J1026" s="3">
        <f t="shared" si="5"/>
        <v>40693434694546.578</v>
      </c>
    </row>
    <row r="1027" spans="1:10" x14ac:dyDescent="0.25">
      <c r="A1027" s="3">
        <v>1026</v>
      </c>
      <c r="B1027" s="3">
        <v>53.297857142857147</v>
      </c>
      <c r="C1027" s="3">
        <v>0.96247654784240155</v>
      </c>
      <c r="D1027" s="3">
        <v>15685.559357142858</v>
      </c>
      <c r="E1027" s="3">
        <f t="shared" si="0"/>
        <v>15096.983021039938</v>
      </c>
      <c r="F1027" s="3">
        <f t="shared" si="1"/>
        <v>132249571.26430985</v>
      </c>
      <c r="G1027" s="3">
        <f t="shared" si="2"/>
        <v>40963832813178.266</v>
      </c>
      <c r="H1027" s="3">
        <f t="shared" si="3"/>
        <v>125484474.85714287</v>
      </c>
      <c r="I1027" s="3">
        <f t="shared" si="4"/>
        <v>3764534.2457142859</v>
      </c>
      <c r="J1027" s="3">
        <f t="shared" si="5"/>
        <v>40963847871315.242</v>
      </c>
    </row>
    <row r="1028" spans="1:10" x14ac:dyDescent="0.25">
      <c r="A1028" s="3">
        <v>1027</v>
      </c>
      <c r="B1028" s="3">
        <v>53.298035714285717</v>
      </c>
      <c r="C1028" s="3">
        <v>0.96341463414634143</v>
      </c>
      <c r="D1028" s="3">
        <v>15685.611910714288</v>
      </c>
      <c r="E1028" s="3">
        <f t="shared" si="0"/>
        <v>15111.748060322301</v>
      </c>
      <c r="F1028" s="3">
        <f t="shared" si="1"/>
        <v>132378913.00842336</v>
      </c>
      <c r="G1028" s="3">
        <f t="shared" si="2"/>
        <v>41003895971583.625</v>
      </c>
      <c r="H1028" s="3">
        <f t="shared" si="3"/>
        <v>125484895.2857143</v>
      </c>
      <c r="I1028" s="3">
        <f t="shared" si="4"/>
        <v>3764546.8585714288</v>
      </c>
      <c r="J1028" s="3">
        <f t="shared" si="5"/>
        <v>41003911029771.063</v>
      </c>
    </row>
    <row r="1029" spans="1:10" x14ac:dyDescent="0.25">
      <c r="A1029" s="3">
        <v>1028</v>
      </c>
      <c r="B1029" s="3">
        <v>53.307857142857145</v>
      </c>
      <c r="C1029" s="3">
        <v>0.96435272045028142</v>
      </c>
      <c r="D1029" s="3">
        <v>15688.502357142857</v>
      </c>
      <c r="E1029" s="3">
        <f t="shared" si="0"/>
        <v>15129.249927901366</v>
      </c>
      <c r="F1029" s="3">
        <f t="shared" si="1"/>
        <v>132532229.36841598</v>
      </c>
      <c r="G1029" s="3">
        <f t="shared" si="2"/>
        <v>41051385181718.008</v>
      </c>
      <c r="H1029" s="3">
        <f t="shared" si="3"/>
        <v>125508018.85714287</v>
      </c>
      <c r="I1029" s="3">
        <f t="shared" si="4"/>
        <v>3765240.5657142857</v>
      </c>
      <c r="J1029" s="3">
        <f t="shared" si="5"/>
        <v>41051400242680.266</v>
      </c>
    </row>
    <row r="1030" spans="1:10" x14ac:dyDescent="0.25">
      <c r="A1030" s="3">
        <v>1029</v>
      </c>
      <c r="B1030" s="3">
        <v>54.070357142857141</v>
      </c>
      <c r="C1030" s="3">
        <v>0.96529080675422141</v>
      </c>
      <c r="D1030" s="3">
        <v>15912.906107142857</v>
      </c>
      <c r="E1030" s="3">
        <f t="shared" si="0"/>
        <v>15360.581973968105</v>
      </c>
      <c r="F1030" s="3">
        <f t="shared" si="1"/>
        <v>134558698.09196061</v>
      </c>
      <c r="G1030" s="3">
        <f t="shared" si="2"/>
        <v>41679076653406.383</v>
      </c>
      <c r="H1030" s="3">
        <f t="shared" si="3"/>
        <v>127303248.85714285</v>
      </c>
      <c r="I1030" s="3">
        <f t="shared" si="4"/>
        <v>3819097.4657142852</v>
      </c>
      <c r="J1030" s="3">
        <f t="shared" si="5"/>
        <v>41679091929796.25</v>
      </c>
    </row>
    <row r="1031" spans="1:10" x14ac:dyDescent="0.25">
      <c r="A1031" s="3">
        <v>1030</v>
      </c>
      <c r="B1031" s="3">
        <v>54.536428571428573</v>
      </c>
      <c r="C1031" s="3">
        <v>0.9662288930581614</v>
      </c>
      <c r="D1031" s="3">
        <v>16050.070928571431</v>
      </c>
      <c r="E1031" s="3">
        <f t="shared" si="0"/>
        <v>15508.042266818551</v>
      </c>
      <c r="F1031" s="3">
        <f t="shared" si="1"/>
        <v>135850450.25733051</v>
      </c>
      <c r="G1031" s="3">
        <f t="shared" si="2"/>
        <v>42079192292870.43</v>
      </c>
      <c r="H1031" s="3">
        <f t="shared" si="3"/>
        <v>128400567.42857145</v>
      </c>
      <c r="I1031" s="3">
        <f t="shared" si="4"/>
        <v>3852017.0228571431</v>
      </c>
      <c r="J1031" s="3">
        <f t="shared" si="5"/>
        <v>42079207700938.523</v>
      </c>
    </row>
    <row r="1032" spans="1:10" x14ac:dyDescent="0.25">
      <c r="A1032" s="3">
        <v>1031</v>
      </c>
      <c r="B1032" s="3">
        <v>54.566607142857144</v>
      </c>
      <c r="C1032" s="3">
        <v>0.96716697936210128</v>
      </c>
      <c r="D1032" s="3">
        <v>16058.952482142859</v>
      </c>
      <c r="E1032" s="3">
        <f t="shared" si="0"/>
        <v>15531.688563873628</v>
      </c>
      <c r="F1032" s="3">
        <f t="shared" si="1"/>
        <v>136057591.81953299</v>
      </c>
      <c r="G1032" s="3">
        <f t="shared" si="2"/>
        <v>42143353667710.227</v>
      </c>
      <c r="H1032" s="3">
        <f t="shared" si="3"/>
        <v>128471619.85714287</v>
      </c>
      <c r="I1032" s="3">
        <f t="shared" si="4"/>
        <v>3854148.595714286</v>
      </c>
      <c r="J1032" s="3">
        <f t="shared" si="5"/>
        <v>42143369084304.609</v>
      </c>
    </row>
    <row r="1033" spans="1:10" x14ac:dyDescent="0.25">
      <c r="A1033" s="3">
        <v>1032</v>
      </c>
      <c r="B1033" s="3">
        <v>55.130178571428573</v>
      </c>
      <c r="C1033" s="3">
        <v>0.96810506566604126</v>
      </c>
      <c r="D1033" s="3">
        <v>16224.811553571431</v>
      </c>
      <c r="E1033" s="3">
        <f t="shared" si="0"/>
        <v>15707.322254489416</v>
      </c>
      <c r="F1033" s="3">
        <f t="shared" si="1"/>
        <v>137596142.94932729</v>
      </c>
      <c r="G1033" s="3">
        <f t="shared" si="2"/>
        <v>42619914406344.109</v>
      </c>
      <c r="H1033" s="3">
        <f t="shared" si="3"/>
        <v>129798492.42857145</v>
      </c>
      <c r="I1033" s="3">
        <f t="shared" si="4"/>
        <v>3893954.7728571431</v>
      </c>
      <c r="J1033" s="3">
        <f t="shared" si="5"/>
        <v>42619929982163.203</v>
      </c>
    </row>
    <row r="1034" spans="1:10" x14ac:dyDescent="0.25">
      <c r="A1034" s="3">
        <v>1033</v>
      </c>
      <c r="B1034" s="3">
        <v>55.175892857142856</v>
      </c>
      <c r="C1034" s="3">
        <v>0.96904315196998125</v>
      </c>
      <c r="D1034" s="3">
        <v>16238.265267857143</v>
      </c>
      <c r="E1034" s="3">
        <f t="shared" si="0"/>
        <v>15735.579757688958</v>
      </c>
      <c r="F1034" s="3">
        <f t="shared" si="1"/>
        <v>137843678.67735526</v>
      </c>
      <c r="G1034" s="3">
        <f t="shared" si="2"/>
        <v>42696587730126.078</v>
      </c>
      <c r="H1034" s="3">
        <f t="shared" si="3"/>
        <v>129906122.14285715</v>
      </c>
      <c r="I1034" s="3">
        <f t="shared" si="4"/>
        <v>3897183.6642857143</v>
      </c>
      <c r="J1034" s="3">
        <f t="shared" si="5"/>
        <v>42696603318860.734</v>
      </c>
    </row>
    <row r="1035" spans="1:10" x14ac:dyDescent="0.25">
      <c r="A1035" s="3">
        <v>1034</v>
      </c>
      <c r="B1035" s="3">
        <v>55.728214285714287</v>
      </c>
      <c r="C1035" s="3">
        <v>0.96998123827392124</v>
      </c>
      <c r="D1035" s="3">
        <v>16400.813464285715</v>
      </c>
      <c r="E1035" s="3">
        <f t="shared" si="0"/>
        <v>15908.481352787458</v>
      </c>
      <c r="F1035" s="3">
        <f t="shared" si="1"/>
        <v>139358296.65041813</v>
      </c>
      <c r="G1035" s="3">
        <f t="shared" si="2"/>
        <v>43165735259312.805</v>
      </c>
      <c r="H1035" s="3">
        <f t="shared" si="3"/>
        <v>131206507.71428572</v>
      </c>
      <c r="I1035" s="3">
        <f t="shared" si="4"/>
        <v>3936195.2314285715</v>
      </c>
      <c r="J1035" s="3">
        <f t="shared" si="5"/>
        <v>43165751004093.734</v>
      </c>
    </row>
    <row r="1036" spans="1:10" x14ac:dyDescent="0.25">
      <c r="A1036" s="3">
        <v>1035</v>
      </c>
      <c r="B1036" s="3">
        <v>55.915714285714287</v>
      </c>
      <c r="C1036" s="3">
        <v>0.97091932457786112</v>
      </c>
      <c r="D1036" s="3">
        <v>16455.994714285716</v>
      </c>
      <c r="E1036" s="3">
        <f t="shared" si="0"/>
        <v>15977.44327325114</v>
      </c>
      <c r="F1036" s="3">
        <f t="shared" si="1"/>
        <v>139962403.07367998</v>
      </c>
      <c r="G1036" s="3">
        <f t="shared" si="2"/>
        <v>43352855084187.977</v>
      </c>
      <c r="H1036" s="3">
        <f t="shared" si="3"/>
        <v>131647957.71428573</v>
      </c>
      <c r="I1036" s="3">
        <f t="shared" si="4"/>
        <v>3949438.731428572</v>
      </c>
      <c r="J1036" s="3">
        <f t="shared" si="5"/>
        <v>43352870881942.906</v>
      </c>
    </row>
    <row r="1037" spans="1:10" x14ac:dyDescent="0.25">
      <c r="A1037" s="3">
        <v>1036</v>
      </c>
      <c r="B1037" s="3">
        <v>55.989107142857137</v>
      </c>
      <c r="C1037" s="3">
        <v>0.97185741088180111</v>
      </c>
      <c r="D1037" s="3">
        <v>16477.594232142856</v>
      </c>
      <c r="E1037" s="3">
        <f t="shared" si="0"/>
        <v>16013.872068011255</v>
      </c>
      <c r="F1037" s="3">
        <f t="shared" si="1"/>
        <v>140281519.31577858</v>
      </c>
      <c r="G1037" s="3">
        <f t="shared" si="2"/>
        <v>43451700217123.813</v>
      </c>
      <c r="H1037" s="3">
        <f t="shared" si="3"/>
        <v>131820753.85714285</v>
      </c>
      <c r="I1037" s="3">
        <f t="shared" si="4"/>
        <v>3954622.6157142855</v>
      </c>
      <c r="J1037" s="3">
        <f t="shared" si="5"/>
        <v>43451716035614.273</v>
      </c>
    </row>
    <row r="1038" spans="1:10" x14ac:dyDescent="0.25">
      <c r="A1038" s="3">
        <v>1037</v>
      </c>
      <c r="B1038" s="3">
        <v>56.878035714285716</v>
      </c>
      <c r="C1038" s="3">
        <v>0.9727954971857411</v>
      </c>
      <c r="D1038" s="3">
        <v>16739.205910714289</v>
      </c>
      <c r="E1038" s="3">
        <f t="shared" si="0"/>
        <v>16283.824136407802</v>
      </c>
      <c r="F1038" s="3">
        <f t="shared" si="1"/>
        <v>142646299.43493235</v>
      </c>
      <c r="G1038" s="3">
        <f t="shared" si="2"/>
        <v>44184182439258.289</v>
      </c>
      <c r="H1038" s="3">
        <f t="shared" si="3"/>
        <v>133913647.28571431</v>
      </c>
      <c r="I1038" s="3">
        <f t="shared" si="4"/>
        <v>4017409.4185714293</v>
      </c>
      <c r="J1038" s="3">
        <f t="shared" si="5"/>
        <v>44184198508895.969</v>
      </c>
    </row>
    <row r="1039" spans="1:10" x14ac:dyDescent="0.25">
      <c r="A1039" s="3">
        <v>1038</v>
      </c>
      <c r="B1039" s="3">
        <v>56.978750000000005</v>
      </c>
      <c r="C1039" s="3">
        <v>0.97373358348968109</v>
      </c>
      <c r="D1039" s="3">
        <v>16768.846125000004</v>
      </c>
      <c r="E1039" s="3">
        <f t="shared" si="0"/>
        <v>16328.388628283306</v>
      </c>
      <c r="F1039" s="3">
        <f t="shared" si="1"/>
        <v>143036684.38376176</v>
      </c>
      <c r="G1039" s="3">
        <f t="shared" si="2"/>
        <v>44305102800202.445</v>
      </c>
      <c r="H1039" s="3">
        <f t="shared" si="3"/>
        <v>134150769.00000003</v>
      </c>
      <c r="I1039" s="3">
        <f t="shared" si="4"/>
        <v>4024523.0700000008</v>
      </c>
      <c r="J1039" s="3">
        <f t="shared" si="5"/>
        <v>44305118898294.727</v>
      </c>
    </row>
    <row r="1040" spans="1:10" x14ac:dyDescent="0.25">
      <c r="A1040" s="3">
        <v>1039</v>
      </c>
      <c r="B1040" s="3">
        <v>57.294107142857136</v>
      </c>
      <c r="C1040" s="3">
        <v>0.97467166979362097</v>
      </c>
      <c r="D1040" s="3">
        <v>16861.655732142855</v>
      </c>
      <c r="E1040" s="3">
        <f t="shared" si="0"/>
        <v>16434.578147932858</v>
      </c>
      <c r="F1040" s="3">
        <f t="shared" si="1"/>
        <v>143966904.57589182</v>
      </c>
      <c r="G1040" s="3">
        <f t="shared" si="2"/>
        <v>44593235202371.188</v>
      </c>
      <c r="H1040" s="3">
        <f t="shared" si="3"/>
        <v>134893245.85714284</v>
      </c>
      <c r="I1040" s="3">
        <f t="shared" si="4"/>
        <v>4046797.3757142848</v>
      </c>
      <c r="J1040" s="3">
        <f t="shared" si="5"/>
        <v>44593251389560.688</v>
      </c>
    </row>
    <row r="1041" spans="1:10" x14ac:dyDescent="0.25">
      <c r="A1041" s="3">
        <v>1040</v>
      </c>
      <c r="B1041" s="3">
        <v>57.345892857142857</v>
      </c>
      <c r="C1041" s="3">
        <v>0.97560975609756095</v>
      </c>
      <c r="D1041" s="3">
        <v>16876.896267857141</v>
      </c>
      <c r="E1041" s="3">
        <f t="shared" si="0"/>
        <v>16465.264651567941</v>
      </c>
      <c r="F1041" s="3">
        <f t="shared" si="1"/>
        <v>144235718.34773517</v>
      </c>
      <c r="G1041" s="3">
        <f t="shared" si="2"/>
        <v>44676499325009.18</v>
      </c>
      <c r="H1041" s="3">
        <f t="shared" si="3"/>
        <v>135015170.14285713</v>
      </c>
      <c r="I1041" s="3">
        <f t="shared" si="4"/>
        <v>4050455.1042857138</v>
      </c>
      <c r="J1041" s="3">
        <f t="shared" si="5"/>
        <v>44676515526829.594</v>
      </c>
    </row>
    <row r="1042" spans="1:10" x14ac:dyDescent="0.25">
      <c r="A1042" s="3">
        <v>1041</v>
      </c>
      <c r="B1042" s="3">
        <v>57.386964285714285</v>
      </c>
      <c r="C1042" s="3">
        <v>0.97654784240150094</v>
      </c>
      <c r="D1042" s="3">
        <v>16888.983589285712</v>
      </c>
      <c r="E1042" s="3">
        <f t="shared" si="0"/>
        <v>16492.90048447132</v>
      </c>
      <c r="F1042" s="3">
        <f t="shared" si="1"/>
        <v>144477808.24396876</v>
      </c>
      <c r="G1042" s="3">
        <f t="shared" si="2"/>
        <v>44751485822516.031</v>
      </c>
      <c r="H1042" s="3">
        <f t="shared" si="3"/>
        <v>135111868.7142857</v>
      </c>
      <c r="I1042" s="3">
        <f t="shared" si="4"/>
        <v>4053356.0614285711</v>
      </c>
      <c r="J1042" s="3">
        <f t="shared" si="5"/>
        <v>44751502035940.281</v>
      </c>
    </row>
    <row r="1043" spans="1:10" x14ac:dyDescent="0.25">
      <c r="A1043" s="3">
        <v>1042</v>
      </c>
      <c r="B1043" s="3">
        <v>57.79</v>
      </c>
      <c r="C1043" s="3">
        <v>0.97748592870544093</v>
      </c>
      <c r="D1043" s="3">
        <v>17007.597000000002</v>
      </c>
      <c r="E1043" s="3">
        <f t="shared" si="0"/>
        <v>16624.686748592874</v>
      </c>
      <c r="F1043" s="3">
        <f t="shared" si="1"/>
        <v>145632255.91767359</v>
      </c>
      <c r="G1043" s="3">
        <f t="shared" si="2"/>
        <v>45109071887785.117</v>
      </c>
      <c r="H1043" s="3">
        <f t="shared" si="3"/>
        <v>136060776</v>
      </c>
      <c r="I1043" s="3">
        <f t="shared" si="4"/>
        <v>4081823.28</v>
      </c>
      <c r="J1043" s="3">
        <f t="shared" si="5"/>
        <v>45109088215078.242</v>
      </c>
    </row>
    <row r="1044" spans="1:10" x14ac:dyDescent="0.25">
      <c r="A1044" s="3">
        <v>1043</v>
      </c>
      <c r="B1044" s="3">
        <v>58.167142857142856</v>
      </c>
      <c r="C1044" s="3">
        <v>0.97842401500938081</v>
      </c>
      <c r="D1044" s="3">
        <v>17118.590142857141</v>
      </c>
      <c r="E1044" s="3">
        <f t="shared" si="0"/>
        <v>16749.239698874295</v>
      </c>
      <c r="F1044" s="3">
        <f t="shared" si="1"/>
        <v>146723339.76213881</v>
      </c>
      <c r="G1044" s="3">
        <f t="shared" si="2"/>
        <v>45447031233139.469</v>
      </c>
      <c r="H1044" s="3">
        <f t="shared" si="3"/>
        <v>136948721.14285713</v>
      </c>
      <c r="I1044" s="3">
        <f t="shared" si="4"/>
        <v>4108461.634285714</v>
      </c>
      <c r="J1044" s="3">
        <f t="shared" si="5"/>
        <v>45447047666986.008</v>
      </c>
    </row>
    <row r="1045" spans="1:10" x14ac:dyDescent="0.25">
      <c r="A1045" s="3">
        <v>1044</v>
      </c>
      <c r="B1045" s="3">
        <v>58.438214285714288</v>
      </c>
      <c r="C1045" s="3">
        <v>0.9793621013133208</v>
      </c>
      <c r="D1045" s="3">
        <v>17198.366464285715</v>
      </c>
      <c r="E1045" s="3">
        <f t="shared" si="0"/>
        <v>16843.428319619405</v>
      </c>
      <c r="F1045" s="3">
        <f t="shared" si="1"/>
        <v>147548432.07986599</v>
      </c>
      <c r="G1045" s="3">
        <f t="shared" si="2"/>
        <v>45702600651865.594</v>
      </c>
      <c r="H1045" s="3">
        <f t="shared" si="3"/>
        <v>137586931.71428573</v>
      </c>
      <c r="I1045" s="3">
        <f t="shared" si="4"/>
        <v>4127607.9514285717</v>
      </c>
      <c r="J1045" s="3">
        <f t="shared" si="5"/>
        <v>45702617162297.398</v>
      </c>
    </row>
    <row r="1046" spans="1:10" x14ac:dyDescent="0.25">
      <c r="A1046" s="3">
        <v>1045</v>
      </c>
      <c r="B1046" s="3">
        <v>58.498214285714283</v>
      </c>
      <c r="C1046" s="3">
        <v>0.98030018761726079</v>
      </c>
      <c r="D1046" s="3">
        <v>17216.024464285714</v>
      </c>
      <c r="E1046" s="3">
        <f t="shared" si="0"/>
        <v>16876.872012362637</v>
      </c>
      <c r="F1046" s="3">
        <f t="shared" si="1"/>
        <v>147841398.82829669</v>
      </c>
      <c r="G1046" s="3">
        <f t="shared" si="2"/>
        <v>45793346073249.461</v>
      </c>
      <c r="H1046" s="3">
        <f t="shared" si="3"/>
        <v>137728195.7142857</v>
      </c>
      <c r="I1046" s="3">
        <f t="shared" si="4"/>
        <v>4131845.8714285707</v>
      </c>
      <c r="J1046" s="3">
        <f t="shared" si="5"/>
        <v>45793362600632.953</v>
      </c>
    </row>
    <row r="1047" spans="1:10" x14ac:dyDescent="0.25">
      <c r="A1047" s="3">
        <v>1046</v>
      </c>
      <c r="B1047" s="3">
        <v>58.883571428571429</v>
      </c>
      <c r="C1047" s="3">
        <v>0.98123827392120078</v>
      </c>
      <c r="D1047" s="3">
        <v>17329.435071428572</v>
      </c>
      <c r="E1047" s="3">
        <f t="shared" si="0"/>
        <v>17004.304957518092</v>
      </c>
      <c r="F1047" s="3">
        <f t="shared" si="1"/>
        <v>148957711.4278585</v>
      </c>
      <c r="G1047" s="3">
        <f t="shared" si="2"/>
        <v>46139119936026.891</v>
      </c>
      <c r="H1047" s="3">
        <f t="shared" si="3"/>
        <v>138635480.57142857</v>
      </c>
      <c r="I1047" s="3">
        <f t="shared" si="4"/>
        <v>4159064.4171428569</v>
      </c>
      <c r="J1047" s="3">
        <f t="shared" si="5"/>
        <v>46139136572284.555</v>
      </c>
    </row>
    <row r="1048" spans="1:10" x14ac:dyDescent="0.25">
      <c r="A1048" s="3">
        <v>1047</v>
      </c>
      <c r="B1048" s="3">
        <v>59.248571428571431</v>
      </c>
      <c r="C1048" s="3">
        <v>0.98217636022514077</v>
      </c>
      <c r="D1048" s="3">
        <v>17436.854571428572</v>
      </c>
      <c r="E1048" s="3">
        <f t="shared" si="0"/>
        <v>17126.066356740823</v>
      </c>
      <c r="F1048" s="3">
        <f t="shared" si="1"/>
        <v>150024341.28504962</v>
      </c>
      <c r="G1048" s="3">
        <f t="shared" si="2"/>
        <v>46469504746724.844</v>
      </c>
      <c r="H1048" s="3">
        <f t="shared" si="3"/>
        <v>139494836.57142857</v>
      </c>
      <c r="I1048" s="3">
        <f t="shared" si="4"/>
        <v>4184845.097142857</v>
      </c>
      <c r="J1048" s="3">
        <f t="shared" si="5"/>
        <v>46469521486105.227</v>
      </c>
    </row>
    <row r="1049" spans="1:10" x14ac:dyDescent="0.25">
      <c r="A1049" s="3">
        <v>1048</v>
      </c>
      <c r="B1049" s="3">
        <v>59.536964285714284</v>
      </c>
      <c r="C1049" s="3">
        <v>0.98311444652908064</v>
      </c>
      <c r="D1049" s="3">
        <v>17521.728589285714</v>
      </c>
      <c r="E1049" s="3">
        <f t="shared" si="0"/>
        <v>17225.864504288395</v>
      </c>
      <c r="F1049" s="3">
        <f t="shared" si="1"/>
        <v>150898573.05756634</v>
      </c>
      <c r="G1049" s="3">
        <f t="shared" si="2"/>
        <v>46740294936936.516</v>
      </c>
      <c r="H1049" s="3">
        <f t="shared" si="3"/>
        <v>140173828.7142857</v>
      </c>
      <c r="I1049" s="3">
        <f t="shared" si="4"/>
        <v>4205214.8614285709</v>
      </c>
      <c r="J1049" s="3">
        <f t="shared" si="5"/>
        <v>46740311757795.961</v>
      </c>
    </row>
    <row r="1050" spans="1:10" x14ac:dyDescent="0.25">
      <c r="A1050" s="3">
        <v>1049</v>
      </c>
      <c r="B1050" s="3">
        <v>59.707142857142856</v>
      </c>
      <c r="C1050" s="3">
        <v>0.98405253283302063</v>
      </c>
      <c r="D1050" s="3">
        <v>17571.812142857143</v>
      </c>
      <c r="E1050" s="3">
        <f t="shared" si="0"/>
        <v>17291.586245644601</v>
      </c>
      <c r="F1050" s="3">
        <f t="shared" si="1"/>
        <v>151474295.51184669</v>
      </c>
      <c r="G1050" s="3">
        <f t="shared" si="2"/>
        <v>46918622930359.797</v>
      </c>
      <c r="H1050" s="3">
        <f t="shared" si="3"/>
        <v>140574497.14285713</v>
      </c>
      <c r="I1050" s="3">
        <f t="shared" si="4"/>
        <v>4217234.9142857138</v>
      </c>
      <c r="J1050" s="3">
        <f t="shared" si="5"/>
        <v>46918639799299.453</v>
      </c>
    </row>
    <row r="1051" spans="1:10" x14ac:dyDescent="0.25">
      <c r="A1051" s="3">
        <v>1050</v>
      </c>
      <c r="B1051" s="3">
        <v>61.126964285714287</v>
      </c>
      <c r="C1051" s="3">
        <v>0.98499061913696062</v>
      </c>
      <c r="D1051" s="3">
        <v>17989.665589285716</v>
      </c>
      <c r="E1051" s="3">
        <f t="shared" si="0"/>
        <v>17719.651846857414</v>
      </c>
      <c r="F1051" s="3">
        <f t="shared" si="1"/>
        <v>155224150.17847094</v>
      </c>
      <c r="G1051" s="3">
        <f t="shared" si="2"/>
        <v>48080127059137.938</v>
      </c>
      <c r="H1051" s="3">
        <f t="shared" si="3"/>
        <v>143917324.71428573</v>
      </c>
      <c r="I1051" s="3">
        <f t="shared" si="4"/>
        <v>4317519.7414285718</v>
      </c>
      <c r="J1051" s="3">
        <f t="shared" si="5"/>
        <v>48080144329216.906</v>
      </c>
    </row>
    <row r="1052" spans="1:10" x14ac:dyDescent="0.25">
      <c r="A1052" s="3">
        <v>1051</v>
      </c>
      <c r="B1052" s="3">
        <v>62.669642857142854</v>
      </c>
      <c r="C1052" s="3">
        <v>0.98592870544090061</v>
      </c>
      <c r="D1052" s="3">
        <v>18443.675892857143</v>
      </c>
      <c r="E1052" s="3">
        <f t="shared" si="0"/>
        <v>18184.149496616192</v>
      </c>
      <c r="F1052" s="3">
        <f t="shared" si="1"/>
        <v>159293149.59035784</v>
      </c>
      <c r="G1052" s="3">
        <f t="shared" si="2"/>
        <v>49340485135633.484</v>
      </c>
      <c r="H1052" s="3">
        <f t="shared" si="3"/>
        <v>147549407.14285713</v>
      </c>
      <c r="I1052" s="3">
        <f t="shared" si="4"/>
        <v>4426482.2142857136</v>
      </c>
      <c r="J1052" s="3">
        <f t="shared" si="5"/>
        <v>49340502841562.336</v>
      </c>
    </row>
    <row r="1053" spans="1:10" x14ac:dyDescent="0.25">
      <c r="A1053" s="3">
        <v>1052</v>
      </c>
      <c r="B1053" s="3">
        <v>62.760178571428568</v>
      </c>
      <c r="C1053" s="3">
        <v>0.98686679174484049</v>
      </c>
      <c r="D1053" s="3">
        <v>18470.32055357143</v>
      </c>
      <c r="E1053" s="3">
        <f t="shared" si="0"/>
        <v>18227.745987201823</v>
      </c>
      <c r="F1053" s="3">
        <f t="shared" si="1"/>
        <v>159675054.84788796</v>
      </c>
      <c r="G1053" s="3">
        <f t="shared" si="2"/>
        <v>49458778944364.688</v>
      </c>
      <c r="H1053" s="3">
        <f t="shared" si="3"/>
        <v>147762564.42857143</v>
      </c>
      <c r="I1053" s="3">
        <f t="shared" si="4"/>
        <v>4432876.9328571428</v>
      </c>
      <c r="J1053" s="3">
        <f t="shared" si="5"/>
        <v>49458796675872.414</v>
      </c>
    </row>
    <row r="1054" spans="1:10" x14ac:dyDescent="0.25">
      <c r="A1054" s="3">
        <v>1053</v>
      </c>
      <c r="B1054" s="3">
        <v>62.92089285714286</v>
      </c>
      <c r="C1054" s="3">
        <v>0.98780487804878048</v>
      </c>
      <c r="D1054" s="3">
        <v>18517.618767857144</v>
      </c>
      <c r="E1054" s="3">
        <f t="shared" si="0"/>
        <v>18291.794148736935</v>
      </c>
      <c r="F1054" s="3">
        <f t="shared" si="1"/>
        <v>160236116.74293554</v>
      </c>
      <c r="G1054" s="3">
        <f t="shared" si="2"/>
        <v>49632565882881.289</v>
      </c>
      <c r="H1054" s="3">
        <f t="shared" si="3"/>
        <v>148140950.14285716</v>
      </c>
      <c r="I1054" s="3">
        <f t="shared" si="4"/>
        <v>4444228.5042857146</v>
      </c>
      <c r="J1054" s="3">
        <f t="shared" si="5"/>
        <v>49632583659795.313</v>
      </c>
    </row>
    <row r="1055" spans="1:10" x14ac:dyDescent="0.25">
      <c r="A1055" s="3">
        <v>1054</v>
      </c>
      <c r="B1055" s="3">
        <v>64.240535714285713</v>
      </c>
      <c r="C1055" s="3">
        <v>0.98874296435272047</v>
      </c>
      <c r="D1055" s="3">
        <v>18905.989660714287</v>
      </c>
      <c r="E1055" s="3">
        <f t="shared" si="0"/>
        <v>18693.164261156529</v>
      </c>
      <c r="F1055" s="3">
        <f t="shared" si="1"/>
        <v>163752118.92773119</v>
      </c>
      <c r="G1055" s="3">
        <f t="shared" si="2"/>
        <v>50721635041509.57</v>
      </c>
      <c r="H1055" s="3">
        <f t="shared" si="3"/>
        <v>151247917.2857143</v>
      </c>
      <c r="I1055" s="3">
        <f t="shared" si="4"/>
        <v>4537437.518571429</v>
      </c>
      <c r="J1055" s="3">
        <f t="shared" si="5"/>
        <v>50721653191259.641</v>
      </c>
    </row>
    <row r="1056" spans="1:10" x14ac:dyDescent="0.25">
      <c r="A1056" s="3">
        <v>1055</v>
      </c>
      <c r="B1056" s="3">
        <v>67.237678571428575</v>
      </c>
      <c r="C1056" s="3">
        <v>0.98968105065666045</v>
      </c>
      <c r="D1056" s="3">
        <v>19788.04880357143</v>
      </c>
      <c r="E1056" s="3">
        <f t="shared" si="0"/>
        <v>19583.856930363847</v>
      </c>
      <c r="F1056" s="3">
        <f t="shared" si="1"/>
        <v>171554586.70998728</v>
      </c>
      <c r="G1056" s="3">
        <f t="shared" si="2"/>
        <v>53138421638333.625</v>
      </c>
      <c r="H1056" s="3">
        <f t="shared" si="3"/>
        <v>158304390.42857143</v>
      </c>
      <c r="I1056" s="3">
        <f t="shared" si="4"/>
        <v>4749131.712857143</v>
      </c>
      <c r="J1056" s="3">
        <f t="shared" si="5"/>
        <v>53138440634860.477</v>
      </c>
    </row>
    <row r="1057" spans="1:10" x14ac:dyDescent="0.25">
      <c r="A1057" s="3">
        <v>1056</v>
      </c>
      <c r="B1057" s="3">
        <v>67.79589285714286</v>
      </c>
      <c r="C1057" s="3">
        <v>0.99061913696060033</v>
      </c>
      <c r="D1057" s="3">
        <v>19952.331267857142</v>
      </c>
      <c r="E1057" s="3">
        <f t="shared" si="0"/>
        <v>19765.161180916642</v>
      </c>
      <c r="F1057" s="3">
        <f t="shared" si="1"/>
        <v>173142811.94482979</v>
      </c>
      <c r="G1057" s="3">
        <f t="shared" si="2"/>
        <v>53630368760931.18</v>
      </c>
      <c r="H1057" s="3">
        <f t="shared" si="3"/>
        <v>159618650.14285713</v>
      </c>
      <c r="I1057" s="3">
        <f t="shared" si="4"/>
        <v>4788559.5042857137</v>
      </c>
      <c r="J1057" s="3">
        <f t="shared" si="5"/>
        <v>53630387915169.203</v>
      </c>
    </row>
    <row r="1058" spans="1:10" x14ac:dyDescent="0.25">
      <c r="A1058" s="3">
        <v>1057</v>
      </c>
      <c r="B1058" s="3">
        <v>68.902321428571412</v>
      </c>
      <c r="C1058" s="3">
        <v>0.99155722326454032</v>
      </c>
      <c r="D1058" s="3">
        <v>20277.953196428567</v>
      </c>
      <c r="E1058" s="3">
        <f t="shared" si="0"/>
        <v>20106.750964939019</v>
      </c>
      <c r="F1058" s="3">
        <f t="shared" si="1"/>
        <v>176135138.45286581</v>
      </c>
      <c r="G1058" s="3">
        <f t="shared" si="2"/>
        <v>54557231247847.578</v>
      </c>
      <c r="H1058" s="3">
        <f t="shared" si="3"/>
        <v>162223625.57142854</v>
      </c>
      <c r="I1058" s="3">
        <f t="shared" si="4"/>
        <v>4866708.7671428556</v>
      </c>
      <c r="J1058" s="3">
        <f t="shared" si="5"/>
        <v>54557250714682.648</v>
      </c>
    </row>
    <row r="1059" spans="1:10" x14ac:dyDescent="0.25">
      <c r="A1059" s="3">
        <v>1058</v>
      </c>
      <c r="B1059" s="3">
        <v>70.184464285714284</v>
      </c>
      <c r="C1059" s="3">
        <v>0.99249530956848031</v>
      </c>
      <c r="D1059" s="3">
        <v>20655.287839285716</v>
      </c>
      <c r="E1059" s="3">
        <f t="shared" si="0"/>
        <v>20500.276298277942</v>
      </c>
      <c r="F1059" s="3">
        <f t="shared" si="1"/>
        <v>179582420.37291479</v>
      </c>
      <c r="G1059" s="3">
        <f t="shared" si="2"/>
        <v>55625014552444.813</v>
      </c>
      <c r="H1059" s="3">
        <f t="shared" si="3"/>
        <v>165242302.71428573</v>
      </c>
      <c r="I1059" s="3">
        <f t="shared" si="4"/>
        <v>4957269.0814285716</v>
      </c>
      <c r="J1059" s="3">
        <f t="shared" si="5"/>
        <v>55625034381521.133</v>
      </c>
    </row>
    <row r="1060" spans="1:10" x14ac:dyDescent="0.25">
      <c r="A1060" s="3">
        <v>1059</v>
      </c>
      <c r="B1060" s="3">
        <v>72.851607142857148</v>
      </c>
      <c r="C1060" s="3">
        <v>0.9934333958724203</v>
      </c>
      <c r="D1060" s="3">
        <v>21440.22798214286</v>
      </c>
      <c r="E1060" s="3">
        <f t="shared" si="0"/>
        <v>21299.438492579073</v>
      </c>
      <c r="F1060" s="3">
        <f t="shared" si="1"/>
        <v>186583081.19499269</v>
      </c>
      <c r="G1060" s="3">
        <f t="shared" si="2"/>
        <v>57793444306258.227</v>
      </c>
      <c r="H1060" s="3">
        <f t="shared" si="3"/>
        <v>171521823.8571429</v>
      </c>
      <c r="I1060" s="3">
        <f t="shared" si="4"/>
        <v>5145654.715714287</v>
      </c>
      <c r="J1060" s="3">
        <f t="shared" si="5"/>
        <v>57793464888877.094</v>
      </c>
    </row>
    <row r="1061" spans="1:10" x14ac:dyDescent="0.25">
      <c r="A1061" s="3">
        <v>1060</v>
      </c>
      <c r="B1061" s="3">
        <v>75.612857142857152</v>
      </c>
      <c r="C1061" s="3">
        <v>0.99437148217636018</v>
      </c>
      <c r="D1061" s="3">
        <v>22252.863857142864</v>
      </c>
      <c r="E1061" s="3">
        <f t="shared" si="0"/>
        <v>22127.613216295904</v>
      </c>
      <c r="F1061" s="3">
        <f t="shared" si="1"/>
        <v>193837891.77475214</v>
      </c>
      <c r="G1061" s="3">
        <f t="shared" si="2"/>
        <v>60040596043019.734</v>
      </c>
      <c r="H1061" s="3">
        <f t="shared" si="3"/>
        <v>178022910.8571429</v>
      </c>
      <c r="I1061" s="3">
        <f t="shared" si="4"/>
        <v>5340687.3257142864</v>
      </c>
      <c r="J1061" s="3">
        <f t="shared" si="5"/>
        <v>60040617405769.039</v>
      </c>
    </row>
    <row r="1062" spans="1:10" x14ac:dyDescent="0.25">
      <c r="A1062" s="3">
        <v>1061</v>
      </c>
      <c r="B1062" s="3">
        <v>83.544642857142847</v>
      </c>
      <c r="C1062" s="3">
        <v>0.99530956848030017</v>
      </c>
      <c r="D1062" s="3">
        <v>24587.188392857141</v>
      </c>
      <c r="E1062" s="3">
        <f t="shared" si="0"/>
        <v>24471.863869438486</v>
      </c>
      <c r="F1062" s="3">
        <f t="shared" si="1"/>
        <v>214373527.49628115</v>
      </c>
      <c r="G1062" s="3">
        <f t="shared" si="2"/>
        <v>66401436030858.688</v>
      </c>
      <c r="H1062" s="3">
        <f t="shared" si="3"/>
        <v>196697507.14285713</v>
      </c>
      <c r="I1062" s="3">
        <f t="shared" si="4"/>
        <v>5900925.2142857136</v>
      </c>
      <c r="J1062" s="3">
        <f t="shared" si="5"/>
        <v>66401459634559.539</v>
      </c>
    </row>
    <row r="1063" spans="1:10" x14ac:dyDescent="0.25">
      <c r="A1063" s="3">
        <v>1062</v>
      </c>
      <c r="B1063" s="3">
        <v>84.701428571428565</v>
      </c>
      <c r="C1063" s="3">
        <v>0.99624765478424016</v>
      </c>
      <c r="D1063" s="3">
        <v>24927.630428571425</v>
      </c>
      <c r="E1063" s="3">
        <f t="shared" si="0"/>
        <v>24834.093353792545</v>
      </c>
      <c r="F1063" s="3">
        <f t="shared" si="1"/>
        <v>217546657.7792227</v>
      </c>
      <c r="G1063" s="3">
        <f t="shared" si="2"/>
        <v>67384301848276.867</v>
      </c>
      <c r="H1063" s="3">
        <f t="shared" si="3"/>
        <v>199421043.4285714</v>
      </c>
      <c r="I1063" s="3">
        <f t="shared" si="4"/>
        <v>5982631.3028571419</v>
      </c>
      <c r="J1063" s="3">
        <f t="shared" si="5"/>
        <v>67384325778802.078</v>
      </c>
    </row>
    <row r="1064" spans="1:10" x14ac:dyDescent="0.25">
      <c r="A1064" s="3">
        <v>1063</v>
      </c>
      <c r="B1064" s="3">
        <v>84.981785714285706</v>
      </c>
      <c r="C1064" s="3">
        <v>0.99718574108818014</v>
      </c>
      <c r="D1064" s="3">
        <v>25010.139535714286</v>
      </c>
      <c r="E1064" s="3">
        <f t="shared" si="0"/>
        <v>24939.754527640045</v>
      </c>
      <c r="F1064" s="3">
        <f t="shared" si="1"/>
        <v>218472249.66212678</v>
      </c>
      <c r="G1064" s="3">
        <f t="shared" si="2"/>
        <v>67671000657538.844</v>
      </c>
      <c r="H1064" s="3">
        <f t="shared" si="3"/>
        <v>200081116.2857143</v>
      </c>
      <c r="I1064" s="3">
        <f t="shared" si="4"/>
        <v>6002433.4885714287</v>
      </c>
      <c r="J1064" s="3">
        <f t="shared" si="5"/>
        <v>67671024667272.805</v>
      </c>
    </row>
    <row r="1065" spans="1:10" x14ac:dyDescent="0.25">
      <c r="A1065" s="3">
        <v>1064</v>
      </c>
      <c r="B1065" s="3">
        <v>85.687142857142845</v>
      </c>
      <c r="C1065" s="3">
        <v>0.99812382739212002</v>
      </c>
      <c r="D1065" s="3">
        <v>25217.72614285714</v>
      </c>
      <c r="E1065" s="3">
        <f t="shared" si="0"/>
        <v>25170.413335834892</v>
      </c>
      <c r="F1065" s="3">
        <f t="shared" si="1"/>
        <v>220492820.82191366</v>
      </c>
      <c r="G1065" s="3">
        <f t="shared" si="2"/>
        <v>68296865395369.602</v>
      </c>
      <c r="H1065" s="3">
        <f t="shared" si="3"/>
        <v>201741809.14285713</v>
      </c>
      <c r="I1065" s="3">
        <f t="shared" si="4"/>
        <v>6052254.2742857141</v>
      </c>
      <c r="J1065" s="3">
        <f t="shared" si="5"/>
        <v>68296889604386.695</v>
      </c>
    </row>
    <row r="1066" spans="1:10" x14ac:dyDescent="0.25">
      <c r="A1066" s="3">
        <v>1065</v>
      </c>
      <c r="B1066" s="3">
        <v>87.049285714285716</v>
      </c>
      <c r="C1066" s="3">
        <v>0.99906191369606001</v>
      </c>
      <c r="D1066" s="3">
        <v>25618.604785714288</v>
      </c>
      <c r="E1066" s="3">
        <f t="shared" si="0"/>
        <v>25594.572323438759</v>
      </c>
      <c r="F1066" s="3">
        <f t="shared" si="1"/>
        <v>224208453.55332354</v>
      </c>
      <c r="G1066" s="3">
        <f t="shared" si="2"/>
        <v>69447769414223.25</v>
      </c>
      <c r="H1066" s="3">
        <f t="shared" si="3"/>
        <v>204948838.2857143</v>
      </c>
      <c r="I1066" s="3">
        <f t="shared" si="4"/>
        <v>6148465.1485714288</v>
      </c>
      <c r="J1066" s="3">
        <f t="shared" si="5"/>
        <v>69447794008083.844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Curva de Permanência</vt:lpstr>
      <vt:lpstr>Vazão Ótima</vt:lpstr>
      <vt:lpstr>Planilha1</vt:lpstr>
      <vt:lpstr>Benefício Econômico (PCH)</vt:lpstr>
      <vt:lpstr>Solar</vt:lpstr>
      <vt:lpstr>Total</vt:lpstr>
      <vt:lpstr>Cálculos Energéticos 2 (Aula)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Silva</dc:creator>
  <cp:lastModifiedBy>Rafael Silva</cp:lastModifiedBy>
  <dcterms:created xsi:type="dcterms:W3CDTF">2025-11-29T22:39:08Z</dcterms:created>
  <dcterms:modified xsi:type="dcterms:W3CDTF">2025-12-05T13:49:25Z</dcterms:modified>
</cp:coreProperties>
</file>