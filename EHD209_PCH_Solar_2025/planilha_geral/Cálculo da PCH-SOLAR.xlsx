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"/>
    </mc:Choice>
  </mc:AlternateContent>
  <xr:revisionPtr revIDLastSave="0" documentId="13_ncr:1_{EEC31D2E-C59E-4C2B-A5BA-D8A126E2A500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urva de Permanência" sheetId="1" r:id="rId1"/>
    <sheet name="Potência Ótima" sheetId="10" r:id="rId2"/>
    <sheet name="Benefício Ótimo" sheetId="12" r:id="rId3"/>
    <sheet name="Vazão Ótima" sheetId="5" r:id="rId4"/>
    <sheet name="Planilha1" sheetId="4" state="hidden" r:id="rId5"/>
    <sheet name="Solar" sheetId="7" r:id="rId6"/>
    <sheet name="PCH + Solar" sheetId="14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7" l="1"/>
  <c r="F14" i="7" s="1"/>
  <c r="G14" i="7" s="1"/>
  <c r="G15" i="7"/>
  <c r="E2" i="7"/>
  <c r="G17" i="7"/>
  <c r="F17" i="7"/>
  <c r="E17" i="7"/>
  <c r="D17" i="7"/>
  <c r="E16" i="7"/>
  <c r="F16" i="7" s="1"/>
  <c r="G16" i="7" s="1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4" i="7"/>
  <c r="E15" i="7"/>
  <c r="F15" i="7" s="1"/>
  <c r="A16" i="7"/>
  <c r="F1076" i="12"/>
  <c r="G1076" i="12" s="1"/>
  <c r="F1075" i="12"/>
  <c r="G1075" i="12" s="1"/>
  <c r="F1074" i="12"/>
  <c r="G1074" i="12" s="1"/>
  <c r="F1073" i="12"/>
  <c r="G1073" i="12" s="1"/>
  <c r="F1072" i="12"/>
  <c r="G1072" i="12" s="1"/>
  <c r="F1071" i="12"/>
  <c r="G1071" i="12" s="1"/>
  <c r="F1070" i="12"/>
  <c r="G1070" i="12" s="1"/>
  <c r="F1069" i="12"/>
  <c r="G1069" i="12" s="1"/>
  <c r="F1068" i="12"/>
  <c r="G1068" i="12" s="1"/>
  <c r="F1067" i="12"/>
  <c r="G1067" i="12" s="1"/>
  <c r="F1066" i="12"/>
  <c r="G1066" i="12" s="1"/>
  <c r="F1065" i="12"/>
  <c r="G1065" i="12" s="1"/>
  <c r="F1064" i="12"/>
  <c r="G1064" i="12" s="1"/>
  <c r="F1063" i="12"/>
  <c r="G1063" i="12" s="1"/>
  <c r="F1062" i="12"/>
  <c r="G1062" i="12" s="1"/>
  <c r="F1061" i="12"/>
  <c r="G1061" i="12" s="1"/>
  <c r="F1060" i="12"/>
  <c r="G1060" i="12" s="1"/>
  <c r="F1059" i="12"/>
  <c r="G1059" i="12" s="1"/>
  <c r="F1058" i="12"/>
  <c r="G1058" i="12" s="1"/>
  <c r="F1057" i="12"/>
  <c r="G1057" i="12" s="1"/>
  <c r="F1056" i="12"/>
  <c r="G1056" i="12" s="1"/>
  <c r="F1055" i="12"/>
  <c r="G1055" i="12" s="1"/>
  <c r="F1054" i="12"/>
  <c r="G1054" i="12" s="1"/>
  <c r="F1053" i="12"/>
  <c r="G1053" i="12" s="1"/>
  <c r="F1052" i="12"/>
  <c r="G1052" i="12" s="1"/>
  <c r="F1051" i="12"/>
  <c r="G1051" i="12" s="1"/>
  <c r="F1050" i="12"/>
  <c r="G1050" i="12" s="1"/>
  <c r="F1049" i="12"/>
  <c r="G1049" i="12" s="1"/>
  <c r="F1048" i="12"/>
  <c r="G1048" i="12" s="1"/>
  <c r="F1047" i="12"/>
  <c r="G1047" i="12" s="1"/>
  <c r="F1046" i="12"/>
  <c r="G1046" i="12" s="1"/>
  <c r="F1045" i="12"/>
  <c r="G1045" i="12" s="1"/>
  <c r="F1044" i="12"/>
  <c r="G1044" i="12" s="1"/>
  <c r="F1043" i="12"/>
  <c r="G1043" i="12" s="1"/>
  <c r="F1042" i="12"/>
  <c r="G1042" i="12" s="1"/>
  <c r="F1041" i="12"/>
  <c r="G1041" i="12" s="1"/>
  <c r="F1040" i="12"/>
  <c r="G1040" i="12" s="1"/>
  <c r="F1039" i="12"/>
  <c r="G1039" i="12" s="1"/>
  <c r="F1038" i="12"/>
  <c r="G1038" i="12" s="1"/>
  <c r="F1037" i="12"/>
  <c r="G1037" i="12" s="1"/>
  <c r="F1036" i="12"/>
  <c r="G1036" i="12" s="1"/>
  <c r="F1035" i="12"/>
  <c r="G1035" i="12" s="1"/>
  <c r="F1034" i="12"/>
  <c r="G1034" i="12" s="1"/>
  <c r="F1033" i="12"/>
  <c r="G1033" i="12" s="1"/>
  <c r="F1032" i="12"/>
  <c r="G1032" i="12" s="1"/>
  <c r="F1031" i="12"/>
  <c r="G1031" i="12" s="1"/>
  <c r="F1030" i="12"/>
  <c r="G1030" i="12" s="1"/>
  <c r="F1029" i="12"/>
  <c r="G1029" i="12" s="1"/>
  <c r="F1028" i="12"/>
  <c r="G1028" i="12" s="1"/>
  <c r="F1027" i="12"/>
  <c r="G1027" i="12" s="1"/>
  <c r="F1026" i="12"/>
  <c r="G1026" i="12" s="1"/>
  <c r="F1025" i="12"/>
  <c r="G1025" i="12" s="1"/>
  <c r="F1024" i="12"/>
  <c r="G1024" i="12" s="1"/>
  <c r="F1023" i="12"/>
  <c r="G1023" i="12" s="1"/>
  <c r="F1022" i="12"/>
  <c r="G1022" i="12" s="1"/>
  <c r="F1021" i="12"/>
  <c r="G1021" i="12" s="1"/>
  <c r="F1020" i="12"/>
  <c r="G1020" i="12" s="1"/>
  <c r="F1019" i="12"/>
  <c r="G1019" i="12" s="1"/>
  <c r="F1018" i="12"/>
  <c r="G1018" i="12" s="1"/>
  <c r="F1017" i="12"/>
  <c r="G1017" i="12" s="1"/>
  <c r="F1016" i="12"/>
  <c r="G1016" i="12" s="1"/>
  <c r="F1015" i="12"/>
  <c r="G1015" i="12" s="1"/>
  <c r="F1014" i="12"/>
  <c r="G1014" i="12" s="1"/>
  <c r="F1013" i="12"/>
  <c r="G1013" i="12" s="1"/>
  <c r="F1012" i="12"/>
  <c r="G1012" i="12" s="1"/>
  <c r="F1011" i="12"/>
  <c r="G1011" i="12" s="1"/>
  <c r="F1010" i="12"/>
  <c r="G1010" i="12" s="1"/>
  <c r="F1009" i="12"/>
  <c r="G1009" i="12" s="1"/>
  <c r="F1008" i="12"/>
  <c r="G1008" i="12" s="1"/>
  <c r="F1007" i="12"/>
  <c r="G1007" i="12" s="1"/>
  <c r="F1006" i="12"/>
  <c r="G1006" i="12" s="1"/>
  <c r="F1005" i="12"/>
  <c r="G1005" i="12" s="1"/>
  <c r="F1004" i="12"/>
  <c r="G1004" i="12" s="1"/>
  <c r="F1003" i="12"/>
  <c r="G1003" i="12" s="1"/>
  <c r="F1002" i="12"/>
  <c r="G1002" i="12" s="1"/>
  <c r="F1001" i="12"/>
  <c r="G1001" i="12" s="1"/>
  <c r="F1000" i="12"/>
  <c r="G1000" i="12" s="1"/>
  <c r="F999" i="12"/>
  <c r="G999" i="12" s="1"/>
  <c r="F998" i="12"/>
  <c r="G998" i="12" s="1"/>
  <c r="F997" i="12"/>
  <c r="G997" i="12" s="1"/>
  <c r="F996" i="12"/>
  <c r="G996" i="12" s="1"/>
  <c r="F995" i="12"/>
  <c r="G995" i="12" s="1"/>
  <c r="F994" i="12"/>
  <c r="G994" i="12" s="1"/>
  <c r="F993" i="12"/>
  <c r="G993" i="12" s="1"/>
  <c r="F992" i="12"/>
  <c r="G992" i="12" s="1"/>
  <c r="F991" i="12"/>
  <c r="G991" i="12" s="1"/>
  <c r="F990" i="12"/>
  <c r="G990" i="12" s="1"/>
  <c r="F989" i="12"/>
  <c r="G989" i="12" s="1"/>
  <c r="F988" i="12"/>
  <c r="G988" i="12" s="1"/>
  <c r="F987" i="12"/>
  <c r="G987" i="12" s="1"/>
  <c r="F986" i="12"/>
  <c r="G986" i="12" s="1"/>
  <c r="F985" i="12"/>
  <c r="G985" i="12" s="1"/>
  <c r="F984" i="12"/>
  <c r="G984" i="12" s="1"/>
  <c r="F983" i="12"/>
  <c r="G983" i="12" s="1"/>
  <c r="F982" i="12"/>
  <c r="G982" i="12" s="1"/>
  <c r="F981" i="12"/>
  <c r="G981" i="12" s="1"/>
  <c r="F980" i="12"/>
  <c r="G980" i="12" s="1"/>
  <c r="F979" i="12"/>
  <c r="G979" i="12" s="1"/>
  <c r="F978" i="12"/>
  <c r="G978" i="12" s="1"/>
  <c r="F977" i="12"/>
  <c r="G977" i="12" s="1"/>
  <c r="F976" i="12"/>
  <c r="G976" i="12" s="1"/>
  <c r="F975" i="12"/>
  <c r="G975" i="12" s="1"/>
  <c r="F974" i="12"/>
  <c r="G974" i="12" s="1"/>
  <c r="F973" i="12"/>
  <c r="G973" i="12" s="1"/>
  <c r="F972" i="12"/>
  <c r="G972" i="12" s="1"/>
  <c r="F971" i="12"/>
  <c r="G971" i="12" s="1"/>
  <c r="F970" i="12"/>
  <c r="G970" i="12" s="1"/>
  <c r="F969" i="12"/>
  <c r="G969" i="12" s="1"/>
  <c r="F968" i="12"/>
  <c r="G968" i="12" s="1"/>
  <c r="F967" i="12"/>
  <c r="G967" i="12" s="1"/>
  <c r="F966" i="12"/>
  <c r="G966" i="12" s="1"/>
  <c r="F965" i="12"/>
  <c r="G965" i="12" s="1"/>
  <c r="F964" i="12"/>
  <c r="G964" i="12" s="1"/>
  <c r="F963" i="12"/>
  <c r="G963" i="12" s="1"/>
  <c r="F962" i="12"/>
  <c r="G962" i="12" s="1"/>
  <c r="F961" i="12"/>
  <c r="G961" i="12" s="1"/>
  <c r="F960" i="12"/>
  <c r="G960" i="12" s="1"/>
  <c r="F959" i="12"/>
  <c r="G959" i="12" s="1"/>
  <c r="F958" i="12"/>
  <c r="G958" i="12" s="1"/>
  <c r="F957" i="12"/>
  <c r="G957" i="12" s="1"/>
  <c r="F956" i="12"/>
  <c r="G956" i="12" s="1"/>
  <c r="F955" i="12"/>
  <c r="G955" i="12" s="1"/>
  <c r="F954" i="12"/>
  <c r="G954" i="12" s="1"/>
  <c r="F953" i="12"/>
  <c r="G953" i="12" s="1"/>
  <c r="F952" i="12"/>
  <c r="G952" i="12" s="1"/>
  <c r="F951" i="12"/>
  <c r="G951" i="12" s="1"/>
  <c r="F950" i="12"/>
  <c r="G950" i="12" s="1"/>
  <c r="F949" i="12"/>
  <c r="G949" i="12" s="1"/>
  <c r="F948" i="12"/>
  <c r="G948" i="12" s="1"/>
  <c r="F947" i="12"/>
  <c r="G947" i="12" s="1"/>
  <c r="F946" i="12"/>
  <c r="G946" i="12" s="1"/>
  <c r="F945" i="12"/>
  <c r="G945" i="12" s="1"/>
  <c r="F944" i="12"/>
  <c r="G944" i="12" s="1"/>
  <c r="F943" i="12"/>
  <c r="G943" i="12" s="1"/>
  <c r="F942" i="12"/>
  <c r="G942" i="12" s="1"/>
  <c r="F941" i="12"/>
  <c r="G941" i="12" s="1"/>
  <c r="F940" i="12"/>
  <c r="G940" i="12" s="1"/>
  <c r="F939" i="12"/>
  <c r="G939" i="12" s="1"/>
  <c r="F938" i="12"/>
  <c r="G938" i="12" s="1"/>
  <c r="F937" i="12"/>
  <c r="G937" i="12" s="1"/>
  <c r="F936" i="12"/>
  <c r="G936" i="12" s="1"/>
  <c r="F935" i="12"/>
  <c r="G935" i="12" s="1"/>
  <c r="F934" i="12"/>
  <c r="G934" i="12" s="1"/>
  <c r="F933" i="12"/>
  <c r="G933" i="12" s="1"/>
  <c r="F932" i="12"/>
  <c r="G932" i="12" s="1"/>
  <c r="F931" i="12"/>
  <c r="G931" i="12" s="1"/>
  <c r="F930" i="12"/>
  <c r="G930" i="12" s="1"/>
  <c r="F929" i="12"/>
  <c r="G929" i="12" s="1"/>
  <c r="F928" i="12"/>
  <c r="G928" i="12" s="1"/>
  <c r="F927" i="12"/>
  <c r="G927" i="12" s="1"/>
  <c r="F926" i="12"/>
  <c r="G926" i="12" s="1"/>
  <c r="F925" i="12"/>
  <c r="G925" i="12" s="1"/>
  <c r="F924" i="12"/>
  <c r="G924" i="12" s="1"/>
  <c r="F923" i="12"/>
  <c r="G923" i="12" s="1"/>
  <c r="F922" i="12"/>
  <c r="G922" i="12" s="1"/>
  <c r="F921" i="12"/>
  <c r="G921" i="12" s="1"/>
  <c r="F920" i="12"/>
  <c r="G920" i="12" s="1"/>
  <c r="F919" i="12"/>
  <c r="G919" i="12" s="1"/>
  <c r="F918" i="12"/>
  <c r="G918" i="12" s="1"/>
  <c r="F917" i="12"/>
  <c r="G917" i="12" s="1"/>
  <c r="F916" i="12"/>
  <c r="G916" i="12" s="1"/>
  <c r="F915" i="12"/>
  <c r="G915" i="12" s="1"/>
  <c r="F914" i="12"/>
  <c r="G914" i="12" s="1"/>
  <c r="F913" i="12"/>
  <c r="G913" i="12" s="1"/>
  <c r="F912" i="12"/>
  <c r="G912" i="12" s="1"/>
  <c r="F911" i="12"/>
  <c r="G911" i="12" s="1"/>
  <c r="F910" i="12"/>
  <c r="G910" i="12" s="1"/>
  <c r="F909" i="12"/>
  <c r="G909" i="12" s="1"/>
  <c r="F908" i="12"/>
  <c r="G908" i="12" s="1"/>
  <c r="F907" i="12"/>
  <c r="G907" i="12" s="1"/>
  <c r="F906" i="12"/>
  <c r="G906" i="12" s="1"/>
  <c r="F905" i="12"/>
  <c r="G905" i="12" s="1"/>
  <c r="F904" i="12"/>
  <c r="G904" i="12" s="1"/>
  <c r="F903" i="12"/>
  <c r="G903" i="12" s="1"/>
  <c r="F902" i="12"/>
  <c r="G902" i="12" s="1"/>
  <c r="F901" i="12"/>
  <c r="G901" i="12" s="1"/>
  <c r="F900" i="12"/>
  <c r="G900" i="12" s="1"/>
  <c r="F899" i="12"/>
  <c r="G899" i="12" s="1"/>
  <c r="F898" i="12"/>
  <c r="G898" i="12" s="1"/>
  <c r="F897" i="12"/>
  <c r="G897" i="12" s="1"/>
  <c r="F896" i="12"/>
  <c r="G896" i="12" s="1"/>
  <c r="F895" i="12"/>
  <c r="G895" i="12" s="1"/>
  <c r="F894" i="12"/>
  <c r="G894" i="12" s="1"/>
  <c r="F893" i="12"/>
  <c r="G893" i="12" s="1"/>
  <c r="F892" i="12"/>
  <c r="G892" i="12" s="1"/>
  <c r="F891" i="12"/>
  <c r="G891" i="12" s="1"/>
  <c r="F890" i="12"/>
  <c r="G890" i="12" s="1"/>
  <c r="F889" i="12"/>
  <c r="G889" i="12" s="1"/>
  <c r="F888" i="12"/>
  <c r="G888" i="12" s="1"/>
  <c r="F887" i="12"/>
  <c r="G887" i="12" s="1"/>
  <c r="F886" i="12"/>
  <c r="G886" i="12" s="1"/>
  <c r="F885" i="12"/>
  <c r="G885" i="12" s="1"/>
  <c r="F884" i="12"/>
  <c r="G884" i="12" s="1"/>
  <c r="F883" i="12"/>
  <c r="G883" i="12" s="1"/>
  <c r="F882" i="12"/>
  <c r="G882" i="12" s="1"/>
  <c r="F881" i="12"/>
  <c r="G881" i="12" s="1"/>
  <c r="F880" i="12"/>
  <c r="G880" i="12" s="1"/>
  <c r="F879" i="12"/>
  <c r="G879" i="12" s="1"/>
  <c r="F878" i="12"/>
  <c r="G878" i="12" s="1"/>
  <c r="F877" i="12"/>
  <c r="G877" i="12" s="1"/>
  <c r="F876" i="12"/>
  <c r="G876" i="12" s="1"/>
  <c r="F875" i="12"/>
  <c r="G875" i="12" s="1"/>
  <c r="F874" i="12"/>
  <c r="G874" i="12" s="1"/>
  <c r="F873" i="12"/>
  <c r="G873" i="12" s="1"/>
  <c r="F872" i="12"/>
  <c r="G872" i="12" s="1"/>
  <c r="F871" i="12"/>
  <c r="G871" i="12" s="1"/>
  <c r="F870" i="12"/>
  <c r="G870" i="12" s="1"/>
  <c r="F869" i="12"/>
  <c r="G869" i="12" s="1"/>
  <c r="F868" i="12"/>
  <c r="G868" i="12" s="1"/>
  <c r="F867" i="12"/>
  <c r="G867" i="12" s="1"/>
  <c r="F866" i="12"/>
  <c r="G866" i="12" s="1"/>
  <c r="F865" i="12"/>
  <c r="G865" i="12" s="1"/>
  <c r="F864" i="12"/>
  <c r="G864" i="12" s="1"/>
  <c r="F863" i="12"/>
  <c r="G863" i="12" s="1"/>
  <c r="F862" i="12"/>
  <c r="G862" i="12" s="1"/>
  <c r="F861" i="12"/>
  <c r="G861" i="12" s="1"/>
  <c r="F860" i="12"/>
  <c r="G860" i="12" s="1"/>
  <c r="F859" i="12"/>
  <c r="G859" i="12" s="1"/>
  <c r="F858" i="12"/>
  <c r="G858" i="12" s="1"/>
  <c r="F857" i="12"/>
  <c r="G857" i="12" s="1"/>
  <c r="F856" i="12"/>
  <c r="G856" i="12" s="1"/>
  <c r="F855" i="12"/>
  <c r="G855" i="12" s="1"/>
  <c r="F854" i="12"/>
  <c r="G854" i="12" s="1"/>
  <c r="F853" i="12"/>
  <c r="G853" i="12" s="1"/>
  <c r="F852" i="12"/>
  <c r="G852" i="12" s="1"/>
  <c r="F851" i="12"/>
  <c r="G851" i="12" s="1"/>
  <c r="F850" i="12"/>
  <c r="G850" i="12" s="1"/>
  <c r="F849" i="12"/>
  <c r="G849" i="12" s="1"/>
  <c r="F848" i="12"/>
  <c r="G848" i="12" s="1"/>
  <c r="F847" i="12"/>
  <c r="G847" i="12" s="1"/>
  <c r="F846" i="12"/>
  <c r="G846" i="12" s="1"/>
  <c r="F845" i="12"/>
  <c r="G845" i="12" s="1"/>
  <c r="F844" i="12"/>
  <c r="G844" i="12" s="1"/>
  <c r="F843" i="12"/>
  <c r="G843" i="12" s="1"/>
  <c r="F842" i="12"/>
  <c r="G842" i="12" s="1"/>
  <c r="F841" i="12"/>
  <c r="G841" i="12" s="1"/>
  <c r="F840" i="12"/>
  <c r="G840" i="12" s="1"/>
  <c r="F839" i="12"/>
  <c r="G839" i="12" s="1"/>
  <c r="F838" i="12"/>
  <c r="G838" i="12" s="1"/>
  <c r="F837" i="12"/>
  <c r="G837" i="12" s="1"/>
  <c r="F836" i="12"/>
  <c r="G836" i="12" s="1"/>
  <c r="F835" i="12"/>
  <c r="G835" i="12" s="1"/>
  <c r="F834" i="12"/>
  <c r="G834" i="12" s="1"/>
  <c r="F833" i="12"/>
  <c r="G833" i="12" s="1"/>
  <c r="F832" i="12"/>
  <c r="G832" i="12" s="1"/>
  <c r="F831" i="12"/>
  <c r="G831" i="12" s="1"/>
  <c r="F830" i="12"/>
  <c r="G830" i="12" s="1"/>
  <c r="F829" i="12"/>
  <c r="G829" i="12" s="1"/>
  <c r="F828" i="12"/>
  <c r="G828" i="12" s="1"/>
  <c r="F827" i="12"/>
  <c r="G827" i="12" s="1"/>
  <c r="F826" i="12"/>
  <c r="G826" i="12" s="1"/>
  <c r="F825" i="12"/>
  <c r="G825" i="12" s="1"/>
  <c r="F824" i="12"/>
  <c r="G824" i="12" s="1"/>
  <c r="F823" i="12"/>
  <c r="G823" i="12" s="1"/>
  <c r="F822" i="12"/>
  <c r="G822" i="12" s="1"/>
  <c r="F821" i="12"/>
  <c r="G821" i="12" s="1"/>
  <c r="F820" i="12"/>
  <c r="G820" i="12" s="1"/>
  <c r="F819" i="12"/>
  <c r="G819" i="12" s="1"/>
  <c r="F818" i="12"/>
  <c r="G818" i="12" s="1"/>
  <c r="F817" i="12"/>
  <c r="G817" i="12" s="1"/>
  <c r="F816" i="12"/>
  <c r="G816" i="12" s="1"/>
  <c r="F815" i="12"/>
  <c r="G815" i="12" s="1"/>
  <c r="F814" i="12"/>
  <c r="G814" i="12" s="1"/>
  <c r="F813" i="12"/>
  <c r="G813" i="12" s="1"/>
  <c r="F812" i="12"/>
  <c r="G812" i="12" s="1"/>
  <c r="F811" i="12"/>
  <c r="G811" i="12" s="1"/>
  <c r="F810" i="12"/>
  <c r="G810" i="12" s="1"/>
  <c r="F809" i="12"/>
  <c r="G809" i="12" s="1"/>
  <c r="F808" i="12"/>
  <c r="G808" i="12" s="1"/>
  <c r="F807" i="12"/>
  <c r="G807" i="12" s="1"/>
  <c r="F806" i="12"/>
  <c r="G806" i="12" s="1"/>
  <c r="F805" i="12"/>
  <c r="G805" i="12" s="1"/>
  <c r="F804" i="12"/>
  <c r="G804" i="12" s="1"/>
  <c r="F803" i="12"/>
  <c r="G803" i="12" s="1"/>
  <c r="F802" i="12"/>
  <c r="G802" i="12" s="1"/>
  <c r="F801" i="12"/>
  <c r="G801" i="12" s="1"/>
  <c r="F800" i="12"/>
  <c r="G800" i="12" s="1"/>
  <c r="F799" i="12"/>
  <c r="G799" i="12" s="1"/>
  <c r="F798" i="12"/>
  <c r="G798" i="12" s="1"/>
  <c r="F797" i="12"/>
  <c r="G797" i="12" s="1"/>
  <c r="F796" i="12"/>
  <c r="G796" i="12" s="1"/>
  <c r="F795" i="12"/>
  <c r="G795" i="12" s="1"/>
  <c r="F794" i="12"/>
  <c r="G794" i="12" s="1"/>
  <c r="F793" i="12"/>
  <c r="G793" i="12" s="1"/>
  <c r="F792" i="12"/>
  <c r="G792" i="12" s="1"/>
  <c r="F791" i="12"/>
  <c r="G791" i="12" s="1"/>
  <c r="F790" i="12"/>
  <c r="G790" i="12" s="1"/>
  <c r="F789" i="12"/>
  <c r="G789" i="12" s="1"/>
  <c r="F788" i="12"/>
  <c r="G788" i="12" s="1"/>
  <c r="F787" i="12"/>
  <c r="G787" i="12" s="1"/>
  <c r="F786" i="12"/>
  <c r="G786" i="12" s="1"/>
  <c r="F785" i="12"/>
  <c r="G785" i="12" s="1"/>
  <c r="F784" i="12"/>
  <c r="G784" i="12" s="1"/>
  <c r="F783" i="12"/>
  <c r="G783" i="12" s="1"/>
  <c r="F782" i="12"/>
  <c r="G782" i="12" s="1"/>
  <c r="F781" i="12"/>
  <c r="G781" i="12" s="1"/>
  <c r="F780" i="12"/>
  <c r="G780" i="12" s="1"/>
  <c r="F779" i="12"/>
  <c r="G779" i="12" s="1"/>
  <c r="F778" i="12"/>
  <c r="G778" i="12" s="1"/>
  <c r="F777" i="12"/>
  <c r="G777" i="12" s="1"/>
  <c r="F776" i="12"/>
  <c r="G776" i="12" s="1"/>
  <c r="F775" i="12"/>
  <c r="G775" i="12" s="1"/>
  <c r="F774" i="12"/>
  <c r="G774" i="12" s="1"/>
  <c r="F773" i="12"/>
  <c r="G773" i="12" s="1"/>
  <c r="F772" i="12"/>
  <c r="G772" i="12" s="1"/>
  <c r="F771" i="12"/>
  <c r="G771" i="12" s="1"/>
  <c r="F770" i="12"/>
  <c r="G770" i="12" s="1"/>
  <c r="F769" i="12"/>
  <c r="G769" i="12" s="1"/>
  <c r="F768" i="12"/>
  <c r="G768" i="12" s="1"/>
  <c r="F767" i="12"/>
  <c r="G767" i="12" s="1"/>
  <c r="F766" i="12"/>
  <c r="G766" i="12" s="1"/>
  <c r="F765" i="12"/>
  <c r="G765" i="12" s="1"/>
  <c r="F764" i="12"/>
  <c r="G764" i="12" s="1"/>
  <c r="F763" i="12"/>
  <c r="G763" i="12" s="1"/>
  <c r="F762" i="12"/>
  <c r="G762" i="12" s="1"/>
  <c r="F761" i="12"/>
  <c r="G761" i="12" s="1"/>
  <c r="F760" i="12"/>
  <c r="G760" i="12" s="1"/>
  <c r="F759" i="12"/>
  <c r="G759" i="12" s="1"/>
  <c r="F758" i="12"/>
  <c r="G758" i="12" s="1"/>
  <c r="F757" i="12"/>
  <c r="G757" i="12" s="1"/>
  <c r="F756" i="12"/>
  <c r="G756" i="12" s="1"/>
  <c r="F755" i="12"/>
  <c r="G755" i="12" s="1"/>
  <c r="F754" i="12"/>
  <c r="G754" i="12" s="1"/>
  <c r="F753" i="12"/>
  <c r="G753" i="12" s="1"/>
  <c r="F752" i="12"/>
  <c r="G752" i="12" s="1"/>
  <c r="F751" i="12"/>
  <c r="G751" i="12" s="1"/>
  <c r="F750" i="12"/>
  <c r="G750" i="12" s="1"/>
  <c r="F749" i="12"/>
  <c r="G749" i="12" s="1"/>
  <c r="F748" i="12"/>
  <c r="G748" i="12" s="1"/>
  <c r="F747" i="12"/>
  <c r="G747" i="12" s="1"/>
  <c r="F746" i="12"/>
  <c r="G746" i="12" s="1"/>
  <c r="F745" i="12"/>
  <c r="G745" i="12" s="1"/>
  <c r="F744" i="12"/>
  <c r="G744" i="12" s="1"/>
  <c r="F743" i="12"/>
  <c r="G743" i="12" s="1"/>
  <c r="F742" i="12"/>
  <c r="G742" i="12" s="1"/>
  <c r="F741" i="12"/>
  <c r="G741" i="12" s="1"/>
  <c r="F740" i="12"/>
  <c r="G740" i="12" s="1"/>
  <c r="F739" i="12"/>
  <c r="G739" i="12" s="1"/>
  <c r="F738" i="12"/>
  <c r="G738" i="12" s="1"/>
  <c r="F737" i="12"/>
  <c r="G737" i="12" s="1"/>
  <c r="F736" i="12"/>
  <c r="G736" i="12" s="1"/>
  <c r="F735" i="12"/>
  <c r="G735" i="12" s="1"/>
  <c r="F734" i="12"/>
  <c r="G734" i="12" s="1"/>
  <c r="F733" i="12"/>
  <c r="G733" i="12" s="1"/>
  <c r="F732" i="12"/>
  <c r="G732" i="12" s="1"/>
  <c r="F731" i="12"/>
  <c r="G731" i="12" s="1"/>
  <c r="F730" i="12"/>
  <c r="G730" i="12" s="1"/>
  <c r="F729" i="12"/>
  <c r="G729" i="12" s="1"/>
  <c r="F728" i="12"/>
  <c r="G728" i="12" s="1"/>
  <c r="F727" i="12"/>
  <c r="G727" i="12" s="1"/>
  <c r="F726" i="12"/>
  <c r="G726" i="12" s="1"/>
  <c r="F725" i="12"/>
  <c r="G725" i="12" s="1"/>
  <c r="F724" i="12"/>
  <c r="G724" i="12" s="1"/>
  <c r="F723" i="12"/>
  <c r="G723" i="12" s="1"/>
  <c r="F722" i="12"/>
  <c r="G722" i="12" s="1"/>
  <c r="F721" i="12"/>
  <c r="G721" i="12" s="1"/>
  <c r="F720" i="12"/>
  <c r="G720" i="12" s="1"/>
  <c r="F719" i="12"/>
  <c r="G719" i="12" s="1"/>
  <c r="F718" i="12"/>
  <c r="G718" i="12" s="1"/>
  <c r="F717" i="12"/>
  <c r="G717" i="12" s="1"/>
  <c r="F716" i="12"/>
  <c r="G716" i="12" s="1"/>
  <c r="F715" i="12"/>
  <c r="G715" i="12" s="1"/>
  <c r="F714" i="12"/>
  <c r="G714" i="12" s="1"/>
  <c r="F713" i="12"/>
  <c r="G713" i="12" s="1"/>
  <c r="F712" i="12"/>
  <c r="G712" i="12" s="1"/>
  <c r="F711" i="12"/>
  <c r="G711" i="12" s="1"/>
  <c r="F710" i="12"/>
  <c r="G710" i="12" s="1"/>
  <c r="F709" i="12"/>
  <c r="G709" i="12" s="1"/>
  <c r="F708" i="12"/>
  <c r="G708" i="12" s="1"/>
  <c r="F707" i="12"/>
  <c r="G707" i="12" s="1"/>
  <c r="F706" i="12"/>
  <c r="G706" i="12" s="1"/>
  <c r="F705" i="12"/>
  <c r="G705" i="12" s="1"/>
  <c r="F704" i="12"/>
  <c r="G704" i="12" s="1"/>
  <c r="F703" i="12"/>
  <c r="G703" i="12" s="1"/>
  <c r="F702" i="12"/>
  <c r="G702" i="12" s="1"/>
  <c r="F701" i="12"/>
  <c r="G701" i="12" s="1"/>
  <c r="F700" i="12"/>
  <c r="G700" i="12" s="1"/>
  <c r="F699" i="12"/>
  <c r="G699" i="12" s="1"/>
  <c r="F698" i="12"/>
  <c r="G698" i="12" s="1"/>
  <c r="F697" i="12"/>
  <c r="G697" i="12" s="1"/>
  <c r="F696" i="12"/>
  <c r="G696" i="12" s="1"/>
  <c r="F695" i="12"/>
  <c r="G695" i="12" s="1"/>
  <c r="F694" i="12"/>
  <c r="G694" i="12" s="1"/>
  <c r="F693" i="12"/>
  <c r="G693" i="12" s="1"/>
  <c r="F692" i="12"/>
  <c r="G692" i="12" s="1"/>
  <c r="F691" i="12"/>
  <c r="G691" i="12" s="1"/>
  <c r="F690" i="12"/>
  <c r="G690" i="12" s="1"/>
  <c r="F689" i="12"/>
  <c r="G689" i="12" s="1"/>
  <c r="F688" i="12"/>
  <c r="G688" i="12" s="1"/>
  <c r="F687" i="12"/>
  <c r="G687" i="12" s="1"/>
  <c r="F686" i="12"/>
  <c r="G686" i="12" s="1"/>
  <c r="F685" i="12"/>
  <c r="G685" i="12" s="1"/>
  <c r="F684" i="12"/>
  <c r="G684" i="12" s="1"/>
  <c r="F683" i="12"/>
  <c r="G683" i="12" s="1"/>
  <c r="F682" i="12"/>
  <c r="G682" i="12" s="1"/>
  <c r="F681" i="12"/>
  <c r="G681" i="12" s="1"/>
  <c r="F680" i="12"/>
  <c r="G680" i="12" s="1"/>
  <c r="F679" i="12"/>
  <c r="G679" i="12" s="1"/>
  <c r="F678" i="12"/>
  <c r="G678" i="12" s="1"/>
  <c r="F677" i="12"/>
  <c r="G677" i="12" s="1"/>
  <c r="F676" i="12"/>
  <c r="G676" i="12" s="1"/>
  <c r="F675" i="12"/>
  <c r="G675" i="12" s="1"/>
  <c r="F674" i="12"/>
  <c r="G674" i="12" s="1"/>
  <c r="F673" i="12"/>
  <c r="G673" i="12" s="1"/>
  <c r="F672" i="12"/>
  <c r="G672" i="12" s="1"/>
  <c r="F671" i="12"/>
  <c r="G671" i="12" s="1"/>
  <c r="F670" i="12"/>
  <c r="G670" i="12" s="1"/>
  <c r="F669" i="12"/>
  <c r="G669" i="12" s="1"/>
  <c r="F668" i="12"/>
  <c r="G668" i="12" s="1"/>
  <c r="F667" i="12"/>
  <c r="G667" i="12" s="1"/>
  <c r="F666" i="12"/>
  <c r="G666" i="12" s="1"/>
  <c r="F665" i="12"/>
  <c r="G665" i="12" s="1"/>
  <c r="F664" i="12"/>
  <c r="G664" i="12" s="1"/>
  <c r="F663" i="12"/>
  <c r="G663" i="12" s="1"/>
  <c r="F662" i="12"/>
  <c r="G662" i="12" s="1"/>
  <c r="F661" i="12"/>
  <c r="G661" i="12" s="1"/>
  <c r="F660" i="12"/>
  <c r="G660" i="12" s="1"/>
  <c r="F659" i="12"/>
  <c r="G659" i="12" s="1"/>
  <c r="F658" i="12"/>
  <c r="G658" i="12" s="1"/>
  <c r="F657" i="12"/>
  <c r="G657" i="12" s="1"/>
  <c r="F656" i="12"/>
  <c r="G656" i="12" s="1"/>
  <c r="F655" i="12"/>
  <c r="G655" i="12" s="1"/>
  <c r="F654" i="12"/>
  <c r="G654" i="12" s="1"/>
  <c r="F653" i="12"/>
  <c r="G653" i="12" s="1"/>
  <c r="F652" i="12"/>
  <c r="G652" i="12" s="1"/>
  <c r="F651" i="12"/>
  <c r="G651" i="12" s="1"/>
  <c r="F650" i="12"/>
  <c r="G650" i="12" s="1"/>
  <c r="F649" i="12"/>
  <c r="G649" i="12" s="1"/>
  <c r="F648" i="12"/>
  <c r="G648" i="12" s="1"/>
  <c r="F647" i="12"/>
  <c r="G647" i="12" s="1"/>
  <c r="F646" i="12"/>
  <c r="G646" i="12" s="1"/>
  <c r="F645" i="12"/>
  <c r="G645" i="12" s="1"/>
  <c r="F644" i="12"/>
  <c r="G644" i="12" s="1"/>
  <c r="F643" i="12"/>
  <c r="G643" i="12" s="1"/>
  <c r="F642" i="12"/>
  <c r="G642" i="12" s="1"/>
  <c r="F641" i="12"/>
  <c r="G641" i="12" s="1"/>
  <c r="F640" i="12"/>
  <c r="G640" i="12" s="1"/>
  <c r="F639" i="12"/>
  <c r="G639" i="12" s="1"/>
  <c r="F638" i="12"/>
  <c r="G638" i="12" s="1"/>
  <c r="F637" i="12"/>
  <c r="G637" i="12" s="1"/>
  <c r="F636" i="12"/>
  <c r="G636" i="12" s="1"/>
  <c r="F635" i="12"/>
  <c r="G635" i="12" s="1"/>
  <c r="F634" i="12"/>
  <c r="G634" i="12" s="1"/>
  <c r="F633" i="12"/>
  <c r="G633" i="12" s="1"/>
  <c r="F632" i="12"/>
  <c r="G632" i="12" s="1"/>
  <c r="F631" i="12"/>
  <c r="G631" i="12" s="1"/>
  <c r="F630" i="12"/>
  <c r="G630" i="12" s="1"/>
  <c r="F629" i="12"/>
  <c r="G629" i="12" s="1"/>
  <c r="F628" i="12"/>
  <c r="G628" i="12" s="1"/>
  <c r="F627" i="12"/>
  <c r="G627" i="12" s="1"/>
  <c r="F626" i="12"/>
  <c r="G626" i="12" s="1"/>
  <c r="F625" i="12"/>
  <c r="G625" i="12" s="1"/>
  <c r="F624" i="12"/>
  <c r="G624" i="12" s="1"/>
  <c r="F623" i="12"/>
  <c r="G623" i="12" s="1"/>
  <c r="F622" i="12"/>
  <c r="G622" i="12" s="1"/>
  <c r="F621" i="12"/>
  <c r="G621" i="12" s="1"/>
  <c r="F620" i="12"/>
  <c r="G620" i="12" s="1"/>
  <c r="F619" i="12"/>
  <c r="G619" i="12" s="1"/>
  <c r="F618" i="12"/>
  <c r="G618" i="12" s="1"/>
  <c r="F617" i="12"/>
  <c r="G617" i="12" s="1"/>
  <c r="F616" i="12"/>
  <c r="G616" i="12" s="1"/>
  <c r="F615" i="12"/>
  <c r="G615" i="12" s="1"/>
  <c r="F614" i="12"/>
  <c r="G614" i="12" s="1"/>
  <c r="F613" i="12"/>
  <c r="G613" i="12" s="1"/>
  <c r="F612" i="12"/>
  <c r="G612" i="12" s="1"/>
  <c r="F611" i="12"/>
  <c r="G611" i="12" s="1"/>
  <c r="F610" i="12"/>
  <c r="G610" i="12" s="1"/>
  <c r="F609" i="12"/>
  <c r="G609" i="12" s="1"/>
  <c r="F608" i="12"/>
  <c r="G608" i="12" s="1"/>
  <c r="F607" i="12"/>
  <c r="G607" i="12" s="1"/>
  <c r="F606" i="12"/>
  <c r="G606" i="12" s="1"/>
  <c r="F605" i="12"/>
  <c r="G605" i="12" s="1"/>
  <c r="F604" i="12"/>
  <c r="G604" i="12" s="1"/>
  <c r="F603" i="12"/>
  <c r="G603" i="12" s="1"/>
  <c r="F602" i="12"/>
  <c r="G602" i="12" s="1"/>
  <c r="F601" i="12"/>
  <c r="G601" i="12" s="1"/>
  <c r="F600" i="12"/>
  <c r="G600" i="12" s="1"/>
  <c r="F599" i="12"/>
  <c r="G599" i="12" s="1"/>
  <c r="F598" i="12"/>
  <c r="G598" i="12" s="1"/>
  <c r="F597" i="12"/>
  <c r="G597" i="12" s="1"/>
  <c r="F596" i="12"/>
  <c r="G596" i="12" s="1"/>
  <c r="F595" i="12"/>
  <c r="G595" i="12" s="1"/>
  <c r="F594" i="12"/>
  <c r="G594" i="12" s="1"/>
  <c r="F593" i="12"/>
  <c r="G593" i="12" s="1"/>
  <c r="F592" i="12"/>
  <c r="G592" i="12" s="1"/>
  <c r="F591" i="12"/>
  <c r="G591" i="12" s="1"/>
  <c r="F590" i="12"/>
  <c r="G590" i="12" s="1"/>
  <c r="F589" i="12"/>
  <c r="G589" i="12" s="1"/>
  <c r="F588" i="12"/>
  <c r="G588" i="12" s="1"/>
  <c r="F587" i="12"/>
  <c r="G587" i="12" s="1"/>
  <c r="F586" i="12"/>
  <c r="G586" i="12" s="1"/>
  <c r="F585" i="12"/>
  <c r="G585" i="12" s="1"/>
  <c r="F584" i="12"/>
  <c r="G584" i="12" s="1"/>
  <c r="F583" i="12"/>
  <c r="G583" i="12" s="1"/>
  <c r="F582" i="12"/>
  <c r="G582" i="12" s="1"/>
  <c r="F581" i="12"/>
  <c r="G581" i="12" s="1"/>
  <c r="F580" i="12"/>
  <c r="G580" i="12" s="1"/>
  <c r="F579" i="12"/>
  <c r="G579" i="12" s="1"/>
  <c r="F578" i="12"/>
  <c r="G578" i="12" s="1"/>
  <c r="F577" i="12"/>
  <c r="G577" i="12" s="1"/>
  <c r="F576" i="12"/>
  <c r="G576" i="12" s="1"/>
  <c r="F575" i="12"/>
  <c r="G575" i="12" s="1"/>
  <c r="F574" i="12"/>
  <c r="G574" i="12" s="1"/>
  <c r="F573" i="12"/>
  <c r="G573" i="12" s="1"/>
  <c r="F572" i="12"/>
  <c r="G572" i="12" s="1"/>
  <c r="F571" i="12"/>
  <c r="G571" i="12" s="1"/>
  <c r="F570" i="12"/>
  <c r="G570" i="12" s="1"/>
  <c r="F569" i="12"/>
  <c r="G569" i="12" s="1"/>
  <c r="F568" i="12"/>
  <c r="G568" i="12" s="1"/>
  <c r="F567" i="12"/>
  <c r="G567" i="12" s="1"/>
  <c r="F566" i="12"/>
  <c r="G566" i="12" s="1"/>
  <c r="F565" i="12"/>
  <c r="G565" i="12" s="1"/>
  <c r="F564" i="12"/>
  <c r="G564" i="12" s="1"/>
  <c r="F563" i="12"/>
  <c r="G563" i="12" s="1"/>
  <c r="F562" i="12"/>
  <c r="G562" i="12" s="1"/>
  <c r="F561" i="12"/>
  <c r="G561" i="12" s="1"/>
  <c r="F560" i="12"/>
  <c r="G560" i="12" s="1"/>
  <c r="F559" i="12"/>
  <c r="G559" i="12" s="1"/>
  <c r="F558" i="12"/>
  <c r="G558" i="12" s="1"/>
  <c r="F557" i="12"/>
  <c r="G557" i="12" s="1"/>
  <c r="F556" i="12"/>
  <c r="G556" i="12" s="1"/>
  <c r="F555" i="12"/>
  <c r="G555" i="12" s="1"/>
  <c r="F554" i="12"/>
  <c r="G554" i="12" s="1"/>
  <c r="F553" i="12"/>
  <c r="G553" i="12" s="1"/>
  <c r="F552" i="12"/>
  <c r="G552" i="12" s="1"/>
  <c r="F551" i="12"/>
  <c r="G551" i="12" s="1"/>
  <c r="F550" i="12"/>
  <c r="G550" i="12" s="1"/>
  <c r="F549" i="12"/>
  <c r="G549" i="12" s="1"/>
  <c r="F548" i="12"/>
  <c r="G548" i="12" s="1"/>
  <c r="F547" i="12"/>
  <c r="G547" i="12" s="1"/>
  <c r="F546" i="12"/>
  <c r="G546" i="12" s="1"/>
  <c r="F545" i="12"/>
  <c r="G545" i="12" s="1"/>
  <c r="F544" i="12"/>
  <c r="G544" i="12" s="1"/>
  <c r="F543" i="12"/>
  <c r="G543" i="12" s="1"/>
  <c r="F542" i="12"/>
  <c r="G542" i="12" s="1"/>
  <c r="F541" i="12"/>
  <c r="G541" i="12" s="1"/>
  <c r="F540" i="12"/>
  <c r="G540" i="12" s="1"/>
  <c r="F539" i="12"/>
  <c r="G539" i="12" s="1"/>
  <c r="F538" i="12"/>
  <c r="G538" i="12" s="1"/>
  <c r="F537" i="12"/>
  <c r="G537" i="12" s="1"/>
  <c r="F536" i="12"/>
  <c r="G536" i="12" s="1"/>
  <c r="F535" i="12"/>
  <c r="G535" i="12" s="1"/>
  <c r="F534" i="12"/>
  <c r="G534" i="12" s="1"/>
  <c r="F533" i="12"/>
  <c r="G533" i="12" s="1"/>
  <c r="F532" i="12"/>
  <c r="G532" i="12" s="1"/>
  <c r="F531" i="12"/>
  <c r="G531" i="12" s="1"/>
  <c r="F530" i="12"/>
  <c r="G530" i="12" s="1"/>
  <c r="F529" i="12"/>
  <c r="G529" i="12" s="1"/>
  <c r="F528" i="12"/>
  <c r="G528" i="12" s="1"/>
  <c r="F527" i="12"/>
  <c r="G527" i="12" s="1"/>
  <c r="F526" i="12"/>
  <c r="G526" i="12" s="1"/>
  <c r="F525" i="12"/>
  <c r="G525" i="12" s="1"/>
  <c r="F524" i="12"/>
  <c r="G524" i="12" s="1"/>
  <c r="F523" i="12"/>
  <c r="G523" i="12" s="1"/>
  <c r="F522" i="12"/>
  <c r="G522" i="12" s="1"/>
  <c r="F521" i="12"/>
  <c r="G521" i="12" s="1"/>
  <c r="F520" i="12"/>
  <c r="G520" i="12" s="1"/>
  <c r="F519" i="12"/>
  <c r="G519" i="12" s="1"/>
  <c r="F518" i="12"/>
  <c r="G518" i="12" s="1"/>
  <c r="F517" i="12"/>
  <c r="G517" i="12" s="1"/>
  <c r="F516" i="12"/>
  <c r="G516" i="12" s="1"/>
  <c r="F515" i="12"/>
  <c r="G515" i="12" s="1"/>
  <c r="F514" i="12"/>
  <c r="G514" i="12" s="1"/>
  <c r="F513" i="12"/>
  <c r="G513" i="12" s="1"/>
  <c r="F512" i="12"/>
  <c r="G512" i="12" s="1"/>
  <c r="F511" i="12"/>
  <c r="G511" i="12" s="1"/>
  <c r="F510" i="12"/>
  <c r="G510" i="12" s="1"/>
  <c r="F509" i="12"/>
  <c r="G509" i="12" s="1"/>
  <c r="F508" i="12"/>
  <c r="G508" i="12" s="1"/>
  <c r="F507" i="12"/>
  <c r="G507" i="12" s="1"/>
  <c r="F506" i="12"/>
  <c r="G506" i="12" s="1"/>
  <c r="F505" i="12"/>
  <c r="G505" i="12" s="1"/>
  <c r="F504" i="12"/>
  <c r="G504" i="12" s="1"/>
  <c r="F503" i="12"/>
  <c r="G503" i="12" s="1"/>
  <c r="F502" i="12"/>
  <c r="G502" i="12" s="1"/>
  <c r="F501" i="12"/>
  <c r="G501" i="12" s="1"/>
  <c r="F500" i="12"/>
  <c r="G500" i="12" s="1"/>
  <c r="F499" i="12"/>
  <c r="G499" i="12" s="1"/>
  <c r="F498" i="12"/>
  <c r="G498" i="12" s="1"/>
  <c r="F497" i="12"/>
  <c r="G497" i="12" s="1"/>
  <c r="F496" i="12"/>
  <c r="G496" i="12" s="1"/>
  <c r="F495" i="12"/>
  <c r="G495" i="12" s="1"/>
  <c r="F494" i="12"/>
  <c r="G494" i="12" s="1"/>
  <c r="F493" i="12"/>
  <c r="G493" i="12" s="1"/>
  <c r="F492" i="12"/>
  <c r="G492" i="12" s="1"/>
  <c r="F491" i="12"/>
  <c r="G491" i="12" s="1"/>
  <c r="F490" i="12"/>
  <c r="G490" i="12" s="1"/>
  <c r="F489" i="12"/>
  <c r="G489" i="12" s="1"/>
  <c r="F488" i="12"/>
  <c r="G488" i="12" s="1"/>
  <c r="F487" i="12"/>
  <c r="G487" i="12" s="1"/>
  <c r="F486" i="12"/>
  <c r="G486" i="12" s="1"/>
  <c r="F485" i="12"/>
  <c r="G485" i="12" s="1"/>
  <c r="F484" i="12"/>
  <c r="G484" i="12" s="1"/>
  <c r="F483" i="12"/>
  <c r="G483" i="12" s="1"/>
  <c r="F482" i="12"/>
  <c r="G482" i="12" s="1"/>
  <c r="F481" i="12"/>
  <c r="G481" i="12" s="1"/>
  <c r="F480" i="12"/>
  <c r="G480" i="12" s="1"/>
  <c r="F479" i="12"/>
  <c r="G479" i="12" s="1"/>
  <c r="F478" i="12"/>
  <c r="G478" i="12" s="1"/>
  <c r="F477" i="12"/>
  <c r="G477" i="12" s="1"/>
  <c r="F476" i="12"/>
  <c r="G476" i="12" s="1"/>
  <c r="F475" i="12"/>
  <c r="G475" i="12" s="1"/>
  <c r="F474" i="12"/>
  <c r="G474" i="12" s="1"/>
  <c r="F473" i="12"/>
  <c r="G473" i="12" s="1"/>
  <c r="F472" i="12"/>
  <c r="G472" i="12" s="1"/>
  <c r="F471" i="12"/>
  <c r="G471" i="12" s="1"/>
  <c r="F470" i="12"/>
  <c r="G470" i="12" s="1"/>
  <c r="F469" i="12"/>
  <c r="G469" i="12" s="1"/>
  <c r="F468" i="12"/>
  <c r="G468" i="12" s="1"/>
  <c r="F467" i="12"/>
  <c r="G467" i="12" s="1"/>
  <c r="F466" i="12"/>
  <c r="G466" i="12" s="1"/>
  <c r="F465" i="12"/>
  <c r="G465" i="12" s="1"/>
  <c r="F464" i="12"/>
  <c r="G464" i="12" s="1"/>
  <c r="F463" i="12"/>
  <c r="G463" i="12" s="1"/>
  <c r="F462" i="12"/>
  <c r="G462" i="12" s="1"/>
  <c r="F461" i="12"/>
  <c r="G461" i="12" s="1"/>
  <c r="F460" i="12"/>
  <c r="G460" i="12" s="1"/>
  <c r="F459" i="12"/>
  <c r="G459" i="12" s="1"/>
  <c r="F458" i="12"/>
  <c r="G458" i="12" s="1"/>
  <c r="F457" i="12"/>
  <c r="G457" i="12" s="1"/>
  <c r="F456" i="12"/>
  <c r="G456" i="12" s="1"/>
  <c r="F455" i="12"/>
  <c r="G455" i="12" s="1"/>
  <c r="F454" i="12"/>
  <c r="G454" i="12" s="1"/>
  <c r="F453" i="12"/>
  <c r="G453" i="12" s="1"/>
  <c r="F452" i="12"/>
  <c r="G452" i="12" s="1"/>
  <c r="F451" i="12"/>
  <c r="G451" i="12" s="1"/>
  <c r="F450" i="12"/>
  <c r="G450" i="12" s="1"/>
  <c r="F449" i="12"/>
  <c r="G449" i="12" s="1"/>
  <c r="F448" i="12"/>
  <c r="G448" i="12" s="1"/>
  <c r="F447" i="12"/>
  <c r="G447" i="12" s="1"/>
  <c r="F446" i="12"/>
  <c r="G446" i="12" s="1"/>
  <c r="F445" i="12"/>
  <c r="G445" i="12" s="1"/>
  <c r="F444" i="12"/>
  <c r="G444" i="12" s="1"/>
  <c r="F443" i="12"/>
  <c r="G443" i="12" s="1"/>
  <c r="F442" i="12"/>
  <c r="G442" i="12" s="1"/>
  <c r="F441" i="12"/>
  <c r="G441" i="12" s="1"/>
  <c r="F440" i="12"/>
  <c r="G440" i="12" s="1"/>
  <c r="F439" i="12"/>
  <c r="G439" i="12" s="1"/>
  <c r="F438" i="12"/>
  <c r="G438" i="12" s="1"/>
  <c r="F437" i="12"/>
  <c r="G437" i="12" s="1"/>
  <c r="F436" i="12"/>
  <c r="G436" i="12" s="1"/>
  <c r="F435" i="12"/>
  <c r="G435" i="12" s="1"/>
  <c r="F434" i="12"/>
  <c r="G434" i="12" s="1"/>
  <c r="F433" i="12"/>
  <c r="G433" i="12" s="1"/>
  <c r="F432" i="12"/>
  <c r="G432" i="12" s="1"/>
  <c r="F431" i="12"/>
  <c r="G431" i="12" s="1"/>
  <c r="F430" i="12"/>
  <c r="G430" i="12" s="1"/>
  <c r="F429" i="12"/>
  <c r="G429" i="12" s="1"/>
  <c r="F428" i="12"/>
  <c r="G428" i="12" s="1"/>
  <c r="F427" i="12"/>
  <c r="G427" i="12" s="1"/>
  <c r="F426" i="12"/>
  <c r="G426" i="12" s="1"/>
  <c r="F425" i="12"/>
  <c r="G425" i="12" s="1"/>
  <c r="F424" i="12"/>
  <c r="G424" i="12" s="1"/>
  <c r="F423" i="12"/>
  <c r="G423" i="12" s="1"/>
  <c r="F422" i="12"/>
  <c r="G422" i="12" s="1"/>
  <c r="F421" i="12"/>
  <c r="G421" i="12" s="1"/>
  <c r="F420" i="12"/>
  <c r="G420" i="12" s="1"/>
  <c r="F419" i="12"/>
  <c r="G419" i="12" s="1"/>
  <c r="F418" i="12"/>
  <c r="G418" i="12" s="1"/>
  <c r="F417" i="12"/>
  <c r="G417" i="12" s="1"/>
  <c r="F416" i="12"/>
  <c r="G416" i="12" s="1"/>
  <c r="F415" i="12"/>
  <c r="G415" i="12" s="1"/>
  <c r="F414" i="12"/>
  <c r="G414" i="12" s="1"/>
  <c r="F413" i="12"/>
  <c r="G413" i="12" s="1"/>
  <c r="F412" i="12"/>
  <c r="G412" i="12" s="1"/>
  <c r="F411" i="12"/>
  <c r="G411" i="12" s="1"/>
  <c r="F410" i="12"/>
  <c r="G410" i="12" s="1"/>
  <c r="F409" i="12"/>
  <c r="G409" i="12" s="1"/>
  <c r="F408" i="12"/>
  <c r="G408" i="12" s="1"/>
  <c r="F407" i="12"/>
  <c r="G407" i="12" s="1"/>
  <c r="F406" i="12"/>
  <c r="G406" i="12" s="1"/>
  <c r="F405" i="12"/>
  <c r="G405" i="12" s="1"/>
  <c r="F404" i="12"/>
  <c r="G404" i="12" s="1"/>
  <c r="F403" i="12"/>
  <c r="G403" i="12" s="1"/>
  <c r="F402" i="12"/>
  <c r="G402" i="12" s="1"/>
  <c r="F401" i="12"/>
  <c r="G401" i="12" s="1"/>
  <c r="F400" i="12"/>
  <c r="G400" i="12" s="1"/>
  <c r="F399" i="12"/>
  <c r="G399" i="12" s="1"/>
  <c r="F398" i="12"/>
  <c r="G398" i="12" s="1"/>
  <c r="F397" i="12"/>
  <c r="G397" i="12" s="1"/>
  <c r="F396" i="12"/>
  <c r="G396" i="12" s="1"/>
  <c r="F395" i="12"/>
  <c r="G395" i="12" s="1"/>
  <c r="F394" i="12"/>
  <c r="G394" i="12" s="1"/>
  <c r="F393" i="12"/>
  <c r="G393" i="12" s="1"/>
  <c r="F392" i="12"/>
  <c r="G392" i="12" s="1"/>
  <c r="F391" i="12"/>
  <c r="G391" i="12" s="1"/>
  <c r="F390" i="12"/>
  <c r="G390" i="12" s="1"/>
  <c r="F389" i="12"/>
  <c r="G389" i="12" s="1"/>
  <c r="F388" i="12"/>
  <c r="G388" i="12" s="1"/>
  <c r="F387" i="12"/>
  <c r="G387" i="12" s="1"/>
  <c r="F386" i="12"/>
  <c r="G386" i="12" s="1"/>
  <c r="F385" i="12"/>
  <c r="G385" i="12" s="1"/>
  <c r="F384" i="12"/>
  <c r="G384" i="12" s="1"/>
  <c r="F383" i="12"/>
  <c r="G383" i="12" s="1"/>
  <c r="F382" i="12"/>
  <c r="G382" i="12" s="1"/>
  <c r="F381" i="12"/>
  <c r="G381" i="12" s="1"/>
  <c r="F380" i="12"/>
  <c r="G380" i="12" s="1"/>
  <c r="F379" i="12"/>
  <c r="G379" i="12" s="1"/>
  <c r="F378" i="12"/>
  <c r="G378" i="12" s="1"/>
  <c r="F377" i="12"/>
  <c r="G377" i="12" s="1"/>
  <c r="F376" i="12"/>
  <c r="G376" i="12" s="1"/>
  <c r="F375" i="12"/>
  <c r="G375" i="12" s="1"/>
  <c r="F374" i="12"/>
  <c r="G374" i="12" s="1"/>
  <c r="F373" i="12"/>
  <c r="G373" i="12" s="1"/>
  <c r="F372" i="12"/>
  <c r="G372" i="12" s="1"/>
  <c r="F371" i="12"/>
  <c r="G371" i="12" s="1"/>
  <c r="F370" i="12"/>
  <c r="G370" i="12" s="1"/>
  <c r="F369" i="12"/>
  <c r="G369" i="12" s="1"/>
  <c r="F368" i="12"/>
  <c r="G368" i="12" s="1"/>
  <c r="F367" i="12"/>
  <c r="G367" i="12" s="1"/>
  <c r="F366" i="12"/>
  <c r="G366" i="12" s="1"/>
  <c r="F365" i="12"/>
  <c r="G365" i="12" s="1"/>
  <c r="F364" i="12"/>
  <c r="G364" i="12" s="1"/>
  <c r="F363" i="12"/>
  <c r="G363" i="12" s="1"/>
  <c r="F362" i="12"/>
  <c r="G362" i="12" s="1"/>
  <c r="F361" i="12"/>
  <c r="G361" i="12" s="1"/>
  <c r="F360" i="12"/>
  <c r="G360" i="12" s="1"/>
  <c r="F359" i="12"/>
  <c r="G359" i="12" s="1"/>
  <c r="F358" i="12"/>
  <c r="G358" i="12" s="1"/>
  <c r="F357" i="12"/>
  <c r="G357" i="12" s="1"/>
  <c r="F356" i="12"/>
  <c r="G356" i="12" s="1"/>
  <c r="F355" i="12"/>
  <c r="G355" i="12" s="1"/>
  <c r="F354" i="12"/>
  <c r="G354" i="12" s="1"/>
  <c r="F353" i="12"/>
  <c r="G353" i="12" s="1"/>
  <c r="F352" i="12"/>
  <c r="G352" i="12" s="1"/>
  <c r="F351" i="12"/>
  <c r="G351" i="12" s="1"/>
  <c r="F350" i="12"/>
  <c r="G350" i="12" s="1"/>
  <c r="F349" i="12"/>
  <c r="G349" i="12" s="1"/>
  <c r="F348" i="12"/>
  <c r="G348" i="12" s="1"/>
  <c r="F347" i="12"/>
  <c r="G347" i="12" s="1"/>
  <c r="F346" i="12"/>
  <c r="G346" i="12" s="1"/>
  <c r="F345" i="12"/>
  <c r="G345" i="12" s="1"/>
  <c r="F344" i="12"/>
  <c r="G344" i="12" s="1"/>
  <c r="F343" i="12"/>
  <c r="G343" i="12" s="1"/>
  <c r="F342" i="12"/>
  <c r="G342" i="12" s="1"/>
  <c r="F341" i="12"/>
  <c r="G341" i="12" s="1"/>
  <c r="F340" i="12"/>
  <c r="G340" i="12" s="1"/>
  <c r="F339" i="12"/>
  <c r="G339" i="12" s="1"/>
  <c r="F338" i="12"/>
  <c r="G338" i="12" s="1"/>
  <c r="F337" i="12"/>
  <c r="G337" i="12" s="1"/>
  <c r="F336" i="12"/>
  <c r="G336" i="12" s="1"/>
  <c r="F335" i="12"/>
  <c r="G335" i="12" s="1"/>
  <c r="F334" i="12"/>
  <c r="G334" i="12" s="1"/>
  <c r="F333" i="12"/>
  <c r="G333" i="12" s="1"/>
  <c r="F332" i="12"/>
  <c r="G332" i="12" s="1"/>
  <c r="F331" i="12"/>
  <c r="G331" i="12" s="1"/>
  <c r="F330" i="12"/>
  <c r="G330" i="12" s="1"/>
  <c r="F329" i="12"/>
  <c r="G329" i="12" s="1"/>
  <c r="F328" i="12"/>
  <c r="G328" i="12" s="1"/>
  <c r="F327" i="12"/>
  <c r="G327" i="12" s="1"/>
  <c r="F326" i="12"/>
  <c r="G326" i="12" s="1"/>
  <c r="F325" i="12"/>
  <c r="G325" i="12" s="1"/>
  <c r="F324" i="12"/>
  <c r="G324" i="12" s="1"/>
  <c r="F323" i="12"/>
  <c r="G323" i="12" s="1"/>
  <c r="F322" i="12"/>
  <c r="G322" i="12" s="1"/>
  <c r="F321" i="12"/>
  <c r="G321" i="12" s="1"/>
  <c r="F320" i="12"/>
  <c r="G320" i="12" s="1"/>
  <c r="F319" i="12"/>
  <c r="G319" i="12" s="1"/>
  <c r="F318" i="12"/>
  <c r="G318" i="12" s="1"/>
  <c r="F317" i="12"/>
  <c r="G317" i="12" s="1"/>
  <c r="F316" i="12"/>
  <c r="G316" i="12" s="1"/>
  <c r="F315" i="12"/>
  <c r="G315" i="12" s="1"/>
  <c r="F314" i="12"/>
  <c r="G314" i="12" s="1"/>
  <c r="F313" i="12"/>
  <c r="G313" i="12" s="1"/>
  <c r="F312" i="12"/>
  <c r="G312" i="12" s="1"/>
  <c r="F311" i="12"/>
  <c r="G311" i="12" s="1"/>
  <c r="F310" i="12"/>
  <c r="G310" i="12" s="1"/>
  <c r="F309" i="12"/>
  <c r="G309" i="12" s="1"/>
  <c r="F308" i="12"/>
  <c r="G308" i="12" s="1"/>
  <c r="F307" i="12"/>
  <c r="G307" i="12" s="1"/>
  <c r="F306" i="12"/>
  <c r="G306" i="12" s="1"/>
  <c r="F305" i="12"/>
  <c r="G305" i="12" s="1"/>
  <c r="F304" i="12"/>
  <c r="G304" i="12" s="1"/>
  <c r="F303" i="12"/>
  <c r="G303" i="12" s="1"/>
  <c r="F302" i="12"/>
  <c r="G302" i="12" s="1"/>
  <c r="F301" i="12"/>
  <c r="G301" i="12" s="1"/>
  <c r="F300" i="12"/>
  <c r="G300" i="12" s="1"/>
  <c r="F299" i="12"/>
  <c r="G299" i="12" s="1"/>
  <c r="F298" i="12"/>
  <c r="G298" i="12" s="1"/>
  <c r="F297" i="12"/>
  <c r="G297" i="12" s="1"/>
  <c r="F296" i="12"/>
  <c r="G296" i="12" s="1"/>
  <c r="F295" i="12"/>
  <c r="G295" i="12" s="1"/>
  <c r="F294" i="12"/>
  <c r="G294" i="12" s="1"/>
  <c r="F293" i="12"/>
  <c r="G293" i="12" s="1"/>
  <c r="F292" i="12"/>
  <c r="G292" i="12" s="1"/>
  <c r="F291" i="12"/>
  <c r="G291" i="12" s="1"/>
  <c r="F290" i="12"/>
  <c r="G290" i="12" s="1"/>
  <c r="F289" i="12"/>
  <c r="G289" i="12" s="1"/>
  <c r="F288" i="12"/>
  <c r="G288" i="12" s="1"/>
  <c r="F287" i="12"/>
  <c r="G287" i="12" s="1"/>
  <c r="F286" i="12"/>
  <c r="G286" i="12" s="1"/>
  <c r="F285" i="12"/>
  <c r="G285" i="12" s="1"/>
  <c r="F284" i="12"/>
  <c r="G284" i="12" s="1"/>
  <c r="F283" i="12"/>
  <c r="G283" i="12" s="1"/>
  <c r="F282" i="12"/>
  <c r="G282" i="12" s="1"/>
  <c r="F281" i="12"/>
  <c r="G281" i="12" s="1"/>
  <c r="F280" i="12"/>
  <c r="G280" i="12" s="1"/>
  <c r="F279" i="12"/>
  <c r="G279" i="12" s="1"/>
  <c r="F278" i="12"/>
  <c r="G278" i="12" s="1"/>
  <c r="F277" i="12"/>
  <c r="G277" i="12" s="1"/>
  <c r="F276" i="12"/>
  <c r="G276" i="12" s="1"/>
  <c r="F275" i="12"/>
  <c r="G275" i="12" s="1"/>
  <c r="F274" i="12"/>
  <c r="G274" i="12" s="1"/>
  <c r="F273" i="12"/>
  <c r="G273" i="12" s="1"/>
  <c r="F272" i="12"/>
  <c r="G272" i="12" s="1"/>
  <c r="F271" i="12"/>
  <c r="G271" i="12" s="1"/>
  <c r="F270" i="12"/>
  <c r="G270" i="12" s="1"/>
  <c r="F269" i="12"/>
  <c r="G269" i="12" s="1"/>
  <c r="F268" i="12"/>
  <c r="G268" i="12" s="1"/>
  <c r="F267" i="12"/>
  <c r="G267" i="12" s="1"/>
  <c r="F266" i="12"/>
  <c r="G266" i="12" s="1"/>
  <c r="F265" i="12"/>
  <c r="G265" i="12" s="1"/>
  <c r="F264" i="12"/>
  <c r="G264" i="12" s="1"/>
  <c r="F263" i="12"/>
  <c r="G263" i="12" s="1"/>
  <c r="F262" i="12"/>
  <c r="G262" i="12" s="1"/>
  <c r="F261" i="12"/>
  <c r="G261" i="12" s="1"/>
  <c r="F260" i="12"/>
  <c r="G260" i="12" s="1"/>
  <c r="F259" i="12"/>
  <c r="G259" i="12" s="1"/>
  <c r="F258" i="12"/>
  <c r="G258" i="12" s="1"/>
  <c r="F257" i="12"/>
  <c r="G257" i="12" s="1"/>
  <c r="F256" i="12"/>
  <c r="G256" i="12" s="1"/>
  <c r="F255" i="12"/>
  <c r="G255" i="12" s="1"/>
  <c r="F254" i="12"/>
  <c r="G254" i="12" s="1"/>
  <c r="F253" i="12"/>
  <c r="G253" i="12" s="1"/>
  <c r="F252" i="12"/>
  <c r="G252" i="12" s="1"/>
  <c r="F251" i="12"/>
  <c r="G251" i="12" s="1"/>
  <c r="F250" i="12"/>
  <c r="G250" i="12" s="1"/>
  <c r="F249" i="12"/>
  <c r="G249" i="12" s="1"/>
  <c r="F248" i="12"/>
  <c r="G248" i="12" s="1"/>
  <c r="F247" i="12"/>
  <c r="G247" i="12" s="1"/>
  <c r="F246" i="12"/>
  <c r="G246" i="12" s="1"/>
  <c r="F245" i="12"/>
  <c r="G245" i="12" s="1"/>
  <c r="F244" i="12"/>
  <c r="G244" i="12" s="1"/>
  <c r="F243" i="12"/>
  <c r="G243" i="12" s="1"/>
  <c r="F242" i="12"/>
  <c r="G242" i="12" s="1"/>
  <c r="F241" i="12"/>
  <c r="G241" i="12" s="1"/>
  <c r="F240" i="12"/>
  <c r="G240" i="12" s="1"/>
  <c r="F239" i="12"/>
  <c r="G239" i="12" s="1"/>
  <c r="F238" i="12"/>
  <c r="G238" i="12" s="1"/>
  <c r="F237" i="12"/>
  <c r="G237" i="12" s="1"/>
  <c r="F236" i="12"/>
  <c r="G236" i="12" s="1"/>
  <c r="F235" i="12"/>
  <c r="G235" i="12" s="1"/>
  <c r="F234" i="12"/>
  <c r="G234" i="12" s="1"/>
  <c r="F233" i="12"/>
  <c r="G233" i="12" s="1"/>
  <c r="F232" i="12"/>
  <c r="G232" i="12" s="1"/>
  <c r="F231" i="12"/>
  <c r="G231" i="12" s="1"/>
  <c r="F230" i="12"/>
  <c r="G230" i="12" s="1"/>
  <c r="F229" i="12"/>
  <c r="G229" i="12" s="1"/>
  <c r="F228" i="12"/>
  <c r="G228" i="12" s="1"/>
  <c r="F227" i="12"/>
  <c r="G227" i="12" s="1"/>
  <c r="F226" i="12"/>
  <c r="G226" i="12" s="1"/>
  <c r="F225" i="12"/>
  <c r="G225" i="12" s="1"/>
  <c r="F224" i="12"/>
  <c r="G224" i="12" s="1"/>
  <c r="F223" i="12"/>
  <c r="G223" i="12" s="1"/>
  <c r="F222" i="12"/>
  <c r="G222" i="12" s="1"/>
  <c r="F221" i="12"/>
  <c r="G221" i="12" s="1"/>
  <c r="F220" i="12"/>
  <c r="G220" i="12" s="1"/>
  <c r="F219" i="12"/>
  <c r="G219" i="12" s="1"/>
  <c r="F218" i="12"/>
  <c r="G218" i="12" s="1"/>
  <c r="F217" i="12"/>
  <c r="G217" i="12" s="1"/>
  <c r="F216" i="12"/>
  <c r="G216" i="12" s="1"/>
  <c r="F215" i="12"/>
  <c r="G215" i="12" s="1"/>
  <c r="F214" i="12"/>
  <c r="G214" i="12" s="1"/>
  <c r="F213" i="12"/>
  <c r="G213" i="12" s="1"/>
  <c r="F212" i="12"/>
  <c r="G212" i="12" s="1"/>
  <c r="F211" i="12"/>
  <c r="G211" i="12" s="1"/>
  <c r="F210" i="12"/>
  <c r="G210" i="12" s="1"/>
  <c r="F209" i="12"/>
  <c r="G209" i="12" s="1"/>
  <c r="F208" i="12"/>
  <c r="G208" i="12" s="1"/>
  <c r="F207" i="12"/>
  <c r="G207" i="12" s="1"/>
  <c r="F206" i="12"/>
  <c r="G206" i="12" s="1"/>
  <c r="F205" i="12"/>
  <c r="G205" i="12" s="1"/>
  <c r="F204" i="12"/>
  <c r="G204" i="12" s="1"/>
  <c r="F203" i="12"/>
  <c r="G203" i="12" s="1"/>
  <c r="F202" i="12"/>
  <c r="G202" i="12" s="1"/>
  <c r="F201" i="12"/>
  <c r="G201" i="12" s="1"/>
  <c r="F200" i="12"/>
  <c r="G200" i="12" s="1"/>
  <c r="F199" i="12"/>
  <c r="G199" i="12" s="1"/>
  <c r="F198" i="12"/>
  <c r="G198" i="12" s="1"/>
  <c r="F197" i="12"/>
  <c r="G197" i="12" s="1"/>
  <c r="F196" i="12"/>
  <c r="G196" i="12" s="1"/>
  <c r="F195" i="12"/>
  <c r="G195" i="12" s="1"/>
  <c r="F194" i="12"/>
  <c r="G194" i="12" s="1"/>
  <c r="F193" i="12"/>
  <c r="G193" i="12" s="1"/>
  <c r="F192" i="12"/>
  <c r="G192" i="12" s="1"/>
  <c r="F191" i="12"/>
  <c r="G191" i="12" s="1"/>
  <c r="F190" i="12"/>
  <c r="G190" i="12" s="1"/>
  <c r="F189" i="12"/>
  <c r="G189" i="12" s="1"/>
  <c r="F188" i="12"/>
  <c r="G188" i="12" s="1"/>
  <c r="F187" i="12"/>
  <c r="G187" i="12" s="1"/>
  <c r="F186" i="12"/>
  <c r="G186" i="12" s="1"/>
  <c r="F185" i="12"/>
  <c r="G185" i="12" s="1"/>
  <c r="F184" i="12"/>
  <c r="G184" i="12" s="1"/>
  <c r="F183" i="12"/>
  <c r="G183" i="12" s="1"/>
  <c r="F182" i="12"/>
  <c r="G182" i="12" s="1"/>
  <c r="F181" i="12"/>
  <c r="G181" i="12" s="1"/>
  <c r="F180" i="12"/>
  <c r="G180" i="12" s="1"/>
  <c r="F179" i="12"/>
  <c r="G179" i="12" s="1"/>
  <c r="F178" i="12"/>
  <c r="G178" i="12" s="1"/>
  <c r="F177" i="12"/>
  <c r="G177" i="12" s="1"/>
  <c r="F176" i="12"/>
  <c r="G176" i="12" s="1"/>
  <c r="F175" i="12"/>
  <c r="G175" i="12" s="1"/>
  <c r="F174" i="12"/>
  <c r="G174" i="12" s="1"/>
  <c r="F173" i="12"/>
  <c r="G173" i="12" s="1"/>
  <c r="F172" i="12"/>
  <c r="G172" i="12" s="1"/>
  <c r="F171" i="12"/>
  <c r="G171" i="12" s="1"/>
  <c r="F170" i="12"/>
  <c r="G170" i="12" s="1"/>
  <c r="F169" i="12"/>
  <c r="G169" i="12" s="1"/>
  <c r="F168" i="12"/>
  <c r="G168" i="12" s="1"/>
  <c r="F167" i="12"/>
  <c r="G167" i="12" s="1"/>
  <c r="F166" i="12"/>
  <c r="G166" i="12" s="1"/>
  <c r="F165" i="12"/>
  <c r="G165" i="12" s="1"/>
  <c r="F164" i="12"/>
  <c r="G164" i="12" s="1"/>
  <c r="F163" i="12"/>
  <c r="G163" i="12" s="1"/>
  <c r="F162" i="12"/>
  <c r="G162" i="12" s="1"/>
  <c r="F161" i="12"/>
  <c r="G161" i="12" s="1"/>
  <c r="F160" i="12"/>
  <c r="G160" i="12" s="1"/>
  <c r="F159" i="12"/>
  <c r="G159" i="12" s="1"/>
  <c r="F158" i="12"/>
  <c r="G158" i="12" s="1"/>
  <c r="F157" i="12"/>
  <c r="G157" i="12" s="1"/>
  <c r="F156" i="12"/>
  <c r="G156" i="12" s="1"/>
  <c r="F155" i="12"/>
  <c r="G155" i="12" s="1"/>
  <c r="F154" i="12"/>
  <c r="G154" i="12" s="1"/>
  <c r="F153" i="12"/>
  <c r="G153" i="12" s="1"/>
  <c r="F152" i="12"/>
  <c r="G152" i="12" s="1"/>
  <c r="F151" i="12"/>
  <c r="G151" i="12" s="1"/>
  <c r="F150" i="12"/>
  <c r="G150" i="12" s="1"/>
  <c r="F149" i="12"/>
  <c r="G149" i="12" s="1"/>
  <c r="F148" i="12"/>
  <c r="G148" i="12" s="1"/>
  <c r="F147" i="12"/>
  <c r="G147" i="12" s="1"/>
  <c r="F146" i="12"/>
  <c r="G146" i="12" s="1"/>
  <c r="F145" i="12"/>
  <c r="G145" i="12" s="1"/>
  <c r="F144" i="12"/>
  <c r="G144" i="12" s="1"/>
  <c r="F143" i="12"/>
  <c r="G143" i="12" s="1"/>
  <c r="F142" i="12"/>
  <c r="G142" i="12" s="1"/>
  <c r="F141" i="12"/>
  <c r="G141" i="12" s="1"/>
  <c r="F140" i="12"/>
  <c r="G140" i="12" s="1"/>
  <c r="F139" i="12"/>
  <c r="G139" i="12" s="1"/>
  <c r="F138" i="12"/>
  <c r="G138" i="12" s="1"/>
  <c r="F137" i="12"/>
  <c r="G137" i="12" s="1"/>
  <c r="F136" i="12"/>
  <c r="G136" i="12" s="1"/>
  <c r="F135" i="12"/>
  <c r="G135" i="12" s="1"/>
  <c r="F134" i="12"/>
  <c r="G134" i="12" s="1"/>
  <c r="F133" i="12"/>
  <c r="G133" i="12" s="1"/>
  <c r="F132" i="12"/>
  <c r="G132" i="12" s="1"/>
  <c r="F131" i="12"/>
  <c r="G131" i="12" s="1"/>
  <c r="F130" i="12"/>
  <c r="G130" i="12" s="1"/>
  <c r="F129" i="12"/>
  <c r="G129" i="12" s="1"/>
  <c r="F128" i="12"/>
  <c r="G128" i="12" s="1"/>
  <c r="F127" i="12"/>
  <c r="G127" i="12" s="1"/>
  <c r="F126" i="12"/>
  <c r="G126" i="12" s="1"/>
  <c r="F125" i="12"/>
  <c r="G125" i="12" s="1"/>
  <c r="F124" i="12"/>
  <c r="G124" i="12" s="1"/>
  <c r="F123" i="12"/>
  <c r="G123" i="12" s="1"/>
  <c r="F122" i="12"/>
  <c r="G122" i="12" s="1"/>
  <c r="F121" i="12"/>
  <c r="G121" i="12" s="1"/>
  <c r="F120" i="12"/>
  <c r="G120" i="12" s="1"/>
  <c r="F119" i="12"/>
  <c r="G119" i="12" s="1"/>
  <c r="F118" i="12"/>
  <c r="G118" i="12" s="1"/>
  <c r="F117" i="12"/>
  <c r="G117" i="12" s="1"/>
  <c r="F116" i="12"/>
  <c r="G116" i="12" s="1"/>
  <c r="F115" i="12"/>
  <c r="G115" i="12" s="1"/>
  <c r="F114" i="12"/>
  <c r="G114" i="12" s="1"/>
  <c r="F113" i="12"/>
  <c r="G113" i="12" s="1"/>
  <c r="F112" i="12"/>
  <c r="G112" i="12" s="1"/>
  <c r="F111" i="12"/>
  <c r="G111" i="12" s="1"/>
  <c r="F110" i="12"/>
  <c r="G110" i="12" s="1"/>
  <c r="F109" i="12"/>
  <c r="G109" i="12" s="1"/>
  <c r="F108" i="12"/>
  <c r="G108" i="12" s="1"/>
  <c r="F107" i="12"/>
  <c r="G107" i="12" s="1"/>
  <c r="F106" i="12"/>
  <c r="G106" i="12" s="1"/>
  <c r="F105" i="12"/>
  <c r="G105" i="12" s="1"/>
  <c r="F104" i="12"/>
  <c r="G104" i="12" s="1"/>
  <c r="F103" i="12"/>
  <c r="G103" i="12" s="1"/>
  <c r="F102" i="12"/>
  <c r="G102" i="12" s="1"/>
  <c r="F101" i="12"/>
  <c r="G101" i="12" s="1"/>
  <c r="F100" i="12"/>
  <c r="G100" i="12" s="1"/>
  <c r="F99" i="12"/>
  <c r="G99" i="12" s="1"/>
  <c r="F98" i="12"/>
  <c r="G98" i="12" s="1"/>
  <c r="F97" i="12"/>
  <c r="G97" i="12" s="1"/>
  <c r="F96" i="12"/>
  <c r="G96" i="12" s="1"/>
  <c r="F95" i="12"/>
  <c r="G95" i="12" s="1"/>
  <c r="F94" i="12"/>
  <c r="G94" i="12" s="1"/>
  <c r="F93" i="12"/>
  <c r="G93" i="12" s="1"/>
  <c r="F92" i="12"/>
  <c r="G92" i="12" s="1"/>
  <c r="F91" i="12"/>
  <c r="G91" i="12" s="1"/>
  <c r="F90" i="12"/>
  <c r="G90" i="12" s="1"/>
  <c r="F89" i="12"/>
  <c r="G89" i="12" s="1"/>
  <c r="F88" i="12"/>
  <c r="G88" i="12" s="1"/>
  <c r="F87" i="12"/>
  <c r="G87" i="12" s="1"/>
  <c r="F86" i="12"/>
  <c r="G86" i="12" s="1"/>
  <c r="F85" i="12"/>
  <c r="G85" i="12" s="1"/>
  <c r="F84" i="12"/>
  <c r="G84" i="12" s="1"/>
  <c r="F83" i="12"/>
  <c r="G83" i="12" s="1"/>
  <c r="F82" i="12"/>
  <c r="G82" i="12" s="1"/>
  <c r="F81" i="12"/>
  <c r="G81" i="12" s="1"/>
  <c r="F80" i="12"/>
  <c r="G80" i="12" s="1"/>
  <c r="F79" i="12"/>
  <c r="G79" i="12" s="1"/>
  <c r="F78" i="12"/>
  <c r="G78" i="12" s="1"/>
  <c r="F77" i="12"/>
  <c r="G77" i="12" s="1"/>
  <c r="F76" i="12"/>
  <c r="G76" i="12" s="1"/>
  <c r="F75" i="12"/>
  <c r="G75" i="12" s="1"/>
  <c r="F74" i="12"/>
  <c r="G74" i="12" s="1"/>
  <c r="F73" i="12"/>
  <c r="G73" i="12" s="1"/>
  <c r="F72" i="12"/>
  <c r="G72" i="12" s="1"/>
  <c r="F71" i="12"/>
  <c r="G71" i="12" s="1"/>
  <c r="F70" i="12"/>
  <c r="G70" i="12" s="1"/>
  <c r="F69" i="12"/>
  <c r="G69" i="12" s="1"/>
  <c r="F68" i="12"/>
  <c r="G68" i="12" s="1"/>
  <c r="F67" i="12"/>
  <c r="G67" i="12" s="1"/>
  <c r="F66" i="12"/>
  <c r="G66" i="12" s="1"/>
  <c r="F65" i="12"/>
  <c r="G65" i="12" s="1"/>
  <c r="F64" i="12"/>
  <c r="G64" i="12" s="1"/>
  <c r="F63" i="12"/>
  <c r="G63" i="12" s="1"/>
  <c r="F62" i="12"/>
  <c r="G62" i="12" s="1"/>
  <c r="F61" i="12"/>
  <c r="G61" i="12" s="1"/>
  <c r="F60" i="12"/>
  <c r="G60" i="12" s="1"/>
  <c r="F59" i="12"/>
  <c r="G59" i="12" s="1"/>
  <c r="F58" i="12"/>
  <c r="G58" i="12" s="1"/>
  <c r="F57" i="12"/>
  <c r="G57" i="12" s="1"/>
  <c r="F56" i="12"/>
  <c r="G56" i="12" s="1"/>
  <c r="F55" i="12"/>
  <c r="G55" i="12" s="1"/>
  <c r="F54" i="12"/>
  <c r="G54" i="12" s="1"/>
  <c r="F53" i="12"/>
  <c r="G53" i="12" s="1"/>
  <c r="F52" i="12"/>
  <c r="G52" i="12" s="1"/>
  <c r="F51" i="12"/>
  <c r="G51" i="12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F43" i="12"/>
  <c r="G43" i="12" s="1"/>
  <c r="F42" i="12"/>
  <c r="G42" i="12" s="1"/>
  <c r="F41" i="12"/>
  <c r="G41" i="12" s="1"/>
  <c r="F40" i="12"/>
  <c r="G40" i="12" s="1"/>
  <c r="F39" i="12"/>
  <c r="G39" i="12" s="1"/>
  <c r="F38" i="12"/>
  <c r="G38" i="12" s="1"/>
  <c r="F37" i="12"/>
  <c r="G37" i="12" s="1"/>
  <c r="F36" i="12"/>
  <c r="G36" i="12" s="1"/>
  <c r="F35" i="12"/>
  <c r="G35" i="12" s="1"/>
  <c r="F34" i="12"/>
  <c r="G34" i="12" s="1"/>
  <c r="F33" i="12"/>
  <c r="G33" i="12" s="1"/>
  <c r="F32" i="12"/>
  <c r="G32" i="12" s="1"/>
  <c r="F31" i="12"/>
  <c r="G31" i="12" s="1"/>
  <c r="F30" i="12"/>
  <c r="G30" i="12" s="1"/>
  <c r="F29" i="12"/>
  <c r="G29" i="12" s="1"/>
  <c r="F28" i="12"/>
  <c r="G28" i="12" s="1"/>
  <c r="F27" i="12"/>
  <c r="G27" i="12" s="1"/>
  <c r="F26" i="12"/>
  <c r="G26" i="12" s="1"/>
  <c r="F25" i="12"/>
  <c r="G25" i="12" s="1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F6" i="12"/>
  <c r="G6" i="12" s="1"/>
  <c r="F5" i="12"/>
  <c r="G5" i="12" s="1"/>
  <c r="F4" i="12"/>
  <c r="G4" i="12" s="1"/>
  <c r="F3" i="12"/>
  <c r="G3" i="12" s="1"/>
  <c r="F2" i="12"/>
  <c r="G2" i="12" s="1"/>
  <c r="C2" i="12"/>
  <c r="D2" i="12" s="1"/>
  <c r="H2" i="12" s="1"/>
  <c r="E2" i="12" l="1"/>
  <c r="C3" i="12"/>
  <c r="D3" i="12" l="1"/>
  <c r="H3" i="12" s="1"/>
  <c r="E3" i="12" s="1"/>
  <c r="C4" i="12"/>
  <c r="C5" i="12" l="1"/>
  <c r="D4" i="12"/>
  <c r="H4" i="12" s="1"/>
  <c r="E4" i="12" s="1"/>
  <c r="C6" i="12" l="1"/>
  <c r="D5" i="12"/>
  <c r="H5" i="12" s="1"/>
  <c r="E5" i="12" s="1"/>
  <c r="D6" i="12" l="1"/>
  <c r="H6" i="12" s="1"/>
  <c r="E6" i="12" s="1"/>
  <c r="C7" i="12"/>
  <c r="C8" i="12" l="1"/>
  <c r="D7" i="12"/>
  <c r="H7" i="12" s="1"/>
  <c r="E7" i="12" s="1"/>
  <c r="C9" i="12" l="1"/>
  <c r="D8" i="12"/>
  <c r="H8" i="12" s="1"/>
  <c r="E8" i="12" s="1"/>
  <c r="D9" i="12" l="1"/>
  <c r="H9" i="12" s="1"/>
  <c r="E9" i="12" s="1"/>
  <c r="C10" i="12"/>
  <c r="C11" i="12" l="1"/>
  <c r="D10" i="12"/>
  <c r="H10" i="12" s="1"/>
  <c r="E10" i="12" s="1"/>
  <c r="D11" i="12" l="1"/>
  <c r="H11" i="12" s="1"/>
  <c r="E11" i="12" s="1"/>
  <c r="C12" i="12"/>
  <c r="C13" i="12" l="1"/>
  <c r="D12" i="12"/>
  <c r="H12" i="12" s="1"/>
  <c r="E12" i="12" s="1"/>
  <c r="D13" i="12" l="1"/>
  <c r="H13" i="12" s="1"/>
  <c r="E13" i="12" s="1"/>
  <c r="C14" i="12"/>
  <c r="C15" i="12" l="1"/>
  <c r="D14" i="12"/>
  <c r="H14" i="12" s="1"/>
  <c r="E14" i="12" s="1"/>
  <c r="D15" i="12" l="1"/>
  <c r="H15" i="12" s="1"/>
  <c r="E15" i="12" s="1"/>
  <c r="C16" i="12"/>
  <c r="C17" i="12" l="1"/>
  <c r="D16" i="12"/>
  <c r="H16" i="12" s="1"/>
  <c r="E16" i="12" s="1"/>
  <c r="D17" i="12" l="1"/>
  <c r="H17" i="12" s="1"/>
  <c r="E17" i="12" s="1"/>
  <c r="C18" i="12"/>
  <c r="C19" i="12" l="1"/>
  <c r="D18" i="12"/>
  <c r="H18" i="12" s="1"/>
  <c r="E18" i="12" s="1"/>
  <c r="C20" i="12" l="1"/>
  <c r="D19" i="12"/>
  <c r="H19" i="12" s="1"/>
  <c r="E19" i="12" s="1"/>
  <c r="C21" i="12" l="1"/>
  <c r="D20" i="12"/>
  <c r="H20" i="12" s="1"/>
  <c r="E20" i="12" s="1"/>
  <c r="C22" i="12" l="1"/>
  <c r="D21" i="12"/>
  <c r="H21" i="12" s="1"/>
  <c r="E21" i="12" s="1"/>
  <c r="C23" i="12" l="1"/>
  <c r="D22" i="12"/>
  <c r="H22" i="12" s="1"/>
  <c r="E22" i="12" s="1"/>
  <c r="C24" i="12" l="1"/>
  <c r="D23" i="12"/>
  <c r="H23" i="12" s="1"/>
  <c r="E23" i="12" s="1"/>
  <c r="C25" i="12" l="1"/>
  <c r="D24" i="12"/>
  <c r="H24" i="12" s="1"/>
  <c r="E24" i="12" s="1"/>
  <c r="C26" i="12" l="1"/>
  <c r="D25" i="12"/>
  <c r="H25" i="12" s="1"/>
  <c r="E25" i="12" s="1"/>
  <c r="C27" i="12" l="1"/>
  <c r="D26" i="12"/>
  <c r="H26" i="12" s="1"/>
  <c r="E26" i="12" s="1"/>
  <c r="C28" i="12" l="1"/>
  <c r="D27" i="12"/>
  <c r="H27" i="12" s="1"/>
  <c r="E27" i="12" s="1"/>
  <c r="C29" i="12" l="1"/>
  <c r="D28" i="12"/>
  <c r="H28" i="12" s="1"/>
  <c r="E28" i="12" s="1"/>
  <c r="D29" i="12" l="1"/>
  <c r="H29" i="12" s="1"/>
  <c r="E29" i="12" s="1"/>
  <c r="C30" i="12"/>
  <c r="C31" i="12" l="1"/>
  <c r="D30" i="12"/>
  <c r="H30" i="12" s="1"/>
  <c r="E30" i="12" s="1"/>
  <c r="C32" i="12" l="1"/>
  <c r="D31" i="12"/>
  <c r="H31" i="12" s="1"/>
  <c r="E31" i="12" s="1"/>
  <c r="C33" i="12" l="1"/>
  <c r="D32" i="12"/>
  <c r="H32" i="12" s="1"/>
  <c r="E32" i="12" s="1"/>
  <c r="D33" i="12" l="1"/>
  <c r="H33" i="12" s="1"/>
  <c r="E33" i="12" s="1"/>
  <c r="C34" i="12"/>
  <c r="C35" i="12" l="1"/>
  <c r="D34" i="12"/>
  <c r="H34" i="12" s="1"/>
  <c r="E34" i="12" s="1"/>
  <c r="C36" i="12" l="1"/>
  <c r="D35" i="12"/>
  <c r="H35" i="12" s="1"/>
  <c r="E35" i="12" s="1"/>
  <c r="C37" i="12" l="1"/>
  <c r="D36" i="12"/>
  <c r="H36" i="12" s="1"/>
  <c r="E36" i="12" s="1"/>
  <c r="D37" i="12" l="1"/>
  <c r="H37" i="12" s="1"/>
  <c r="E37" i="12" s="1"/>
  <c r="C38" i="12"/>
  <c r="C39" i="12" l="1"/>
  <c r="D38" i="12"/>
  <c r="H38" i="12" s="1"/>
  <c r="E38" i="12" s="1"/>
  <c r="C40" i="12" l="1"/>
  <c r="D39" i="12"/>
  <c r="H39" i="12" s="1"/>
  <c r="E39" i="12" s="1"/>
  <c r="C41" i="12" l="1"/>
  <c r="D40" i="12"/>
  <c r="H40" i="12" s="1"/>
  <c r="E40" i="12" s="1"/>
  <c r="D41" i="12" l="1"/>
  <c r="H41" i="12" s="1"/>
  <c r="E41" i="12" s="1"/>
  <c r="C42" i="12"/>
  <c r="C43" i="12" l="1"/>
  <c r="D42" i="12"/>
  <c r="H42" i="12" s="1"/>
  <c r="E42" i="12" s="1"/>
  <c r="C44" i="12" l="1"/>
  <c r="D43" i="12"/>
  <c r="H43" i="12" s="1"/>
  <c r="E43" i="12" s="1"/>
  <c r="C45" i="12" l="1"/>
  <c r="D44" i="12"/>
  <c r="H44" i="12" s="1"/>
  <c r="E44" i="12" s="1"/>
  <c r="D45" i="12" l="1"/>
  <c r="H45" i="12" s="1"/>
  <c r="E45" i="12" s="1"/>
  <c r="C46" i="12"/>
  <c r="C47" i="12" l="1"/>
  <c r="D46" i="12"/>
  <c r="H46" i="12" s="1"/>
  <c r="E46" i="12" s="1"/>
  <c r="C48" i="12" l="1"/>
  <c r="D47" i="12"/>
  <c r="H47" i="12" s="1"/>
  <c r="E47" i="12" s="1"/>
  <c r="C49" i="12" l="1"/>
  <c r="D48" i="12"/>
  <c r="H48" i="12" s="1"/>
  <c r="E48" i="12" s="1"/>
  <c r="D49" i="12" l="1"/>
  <c r="H49" i="12" s="1"/>
  <c r="E49" i="12" s="1"/>
  <c r="C50" i="12"/>
  <c r="D50" i="12" l="1"/>
  <c r="H50" i="12" s="1"/>
  <c r="E50" i="12" s="1"/>
  <c r="C51" i="12"/>
  <c r="C52" i="12" l="1"/>
  <c r="D51" i="12"/>
  <c r="H51" i="12" s="1"/>
  <c r="E51" i="12" s="1"/>
  <c r="C53" i="12" l="1"/>
  <c r="D52" i="12"/>
  <c r="H52" i="12" s="1"/>
  <c r="E52" i="12" s="1"/>
  <c r="D53" i="12" l="1"/>
  <c r="H53" i="12" s="1"/>
  <c r="E53" i="12" s="1"/>
  <c r="C54" i="12"/>
  <c r="D54" i="12" l="1"/>
  <c r="H54" i="12" s="1"/>
  <c r="E54" i="12" s="1"/>
  <c r="C55" i="12"/>
  <c r="C56" i="12" l="1"/>
  <c r="D55" i="12"/>
  <c r="H55" i="12" s="1"/>
  <c r="E55" i="12" s="1"/>
  <c r="C57" i="12" l="1"/>
  <c r="D56" i="12"/>
  <c r="H56" i="12" s="1"/>
  <c r="E56" i="12" s="1"/>
  <c r="D57" i="12" l="1"/>
  <c r="H57" i="12" s="1"/>
  <c r="E57" i="12" s="1"/>
  <c r="C58" i="12"/>
  <c r="D58" i="12" l="1"/>
  <c r="H58" i="12" s="1"/>
  <c r="E58" i="12" s="1"/>
  <c r="C59" i="12"/>
  <c r="C60" i="12" l="1"/>
  <c r="D59" i="12"/>
  <c r="H59" i="12" s="1"/>
  <c r="E59" i="12" s="1"/>
  <c r="C61" i="12" l="1"/>
  <c r="D60" i="12"/>
  <c r="H60" i="12" s="1"/>
  <c r="E60" i="12" s="1"/>
  <c r="D61" i="12" l="1"/>
  <c r="H61" i="12" s="1"/>
  <c r="E61" i="12" s="1"/>
  <c r="C62" i="12"/>
  <c r="D62" i="12" l="1"/>
  <c r="H62" i="12" s="1"/>
  <c r="E62" i="12" s="1"/>
  <c r="C63" i="12"/>
  <c r="C64" i="12" l="1"/>
  <c r="D63" i="12"/>
  <c r="H63" i="12" s="1"/>
  <c r="E63" i="12" s="1"/>
  <c r="C65" i="12" l="1"/>
  <c r="D64" i="12"/>
  <c r="H64" i="12" s="1"/>
  <c r="E64" i="12" s="1"/>
  <c r="D65" i="12" l="1"/>
  <c r="H65" i="12" s="1"/>
  <c r="E65" i="12" s="1"/>
  <c r="C66" i="12"/>
  <c r="D66" i="12" l="1"/>
  <c r="H66" i="12" s="1"/>
  <c r="E66" i="12" s="1"/>
  <c r="C67" i="12"/>
  <c r="C68" i="12" l="1"/>
  <c r="D67" i="12"/>
  <c r="H67" i="12" s="1"/>
  <c r="E67" i="12" s="1"/>
  <c r="C69" i="12" l="1"/>
  <c r="D68" i="12"/>
  <c r="H68" i="12" s="1"/>
  <c r="E68" i="12" s="1"/>
  <c r="D69" i="12" l="1"/>
  <c r="H69" i="12" s="1"/>
  <c r="E69" i="12" s="1"/>
  <c r="C70" i="12"/>
  <c r="D70" i="12" l="1"/>
  <c r="H70" i="12" s="1"/>
  <c r="E70" i="12" s="1"/>
  <c r="C71" i="12"/>
  <c r="C72" i="12" l="1"/>
  <c r="D71" i="12"/>
  <c r="H71" i="12" s="1"/>
  <c r="E71" i="12" s="1"/>
  <c r="C73" i="12" l="1"/>
  <c r="D72" i="12"/>
  <c r="H72" i="12" s="1"/>
  <c r="E72" i="12" s="1"/>
  <c r="D73" i="12" l="1"/>
  <c r="H73" i="12" s="1"/>
  <c r="E73" i="12" s="1"/>
  <c r="C74" i="12"/>
  <c r="D74" i="12" l="1"/>
  <c r="H74" i="12" s="1"/>
  <c r="E74" i="12" s="1"/>
  <c r="C75" i="12"/>
  <c r="C76" i="12" l="1"/>
  <c r="D75" i="12"/>
  <c r="H75" i="12" s="1"/>
  <c r="E75" i="12" s="1"/>
  <c r="C77" i="12" l="1"/>
  <c r="D76" i="12"/>
  <c r="H76" i="12" s="1"/>
  <c r="E76" i="12" s="1"/>
  <c r="D77" i="12" l="1"/>
  <c r="H77" i="12" s="1"/>
  <c r="E77" i="12" s="1"/>
  <c r="C78" i="12"/>
  <c r="D78" i="12" l="1"/>
  <c r="H78" i="12" s="1"/>
  <c r="E78" i="12" s="1"/>
  <c r="C79" i="12"/>
  <c r="C80" i="12" l="1"/>
  <c r="D79" i="12"/>
  <c r="H79" i="12" s="1"/>
  <c r="E79" i="12" s="1"/>
  <c r="C81" i="12" l="1"/>
  <c r="D80" i="12"/>
  <c r="H80" i="12" s="1"/>
  <c r="E80" i="12" s="1"/>
  <c r="D81" i="12" l="1"/>
  <c r="H81" i="12" s="1"/>
  <c r="E81" i="12" s="1"/>
  <c r="C82" i="12"/>
  <c r="D82" i="12" l="1"/>
  <c r="H82" i="12" s="1"/>
  <c r="E82" i="12" s="1"/>
  <c r="C83" i="12"/>
  <c r="C84" i="12" l="1"/>
  <c r="D83" i="12"/>
  <c r="H83" i="12" s="1"/>
  <c r="E83" i="12" s="1"/>
  <c r="C85" i="12" l="1"/>
  <c r="D84" i="12"/>
  <c r="H84" i="12" s="1"/>
  <c r="E84" i="12" s="1"/>
  <c r="D85" i="12" l="1"/>
  <c r="H85" i="12" s="1"/>
  <c r="E85" i="12" s="1"/>
  <c r="C86" i="12"/>
  <c r="D86" i="12" l="1"/>
  <c r="H86" i="12" s="1"/>
  <c r="E86" i="12" s="1"/>
  <c r="C87" i="12"/>
  <c r="C88" i="12" l="1"/>
  <c r="D87" i="12"/>
  <c r="H87" i="12" s="1"/>
  <c r="E87" i="12" s="1"/>
  <c r="C89" i="12" l="1"/>
  <c r="D88" i="12"/>
  <c r="H88" i="12" s="1"/>
  <c r="E88" i="12" s="1"/>
  <c r="D89" i="12" l="1"/>
  <c r="H89" i="12" s="1"/>
  <c r="E89" i="12" s="1"/>
  <c r="C90" i="12"/>
  <c r="D90" i="12" l="1"/>
  <c r="H90" i="12" s="1"/>
  <c r="E90" i="12" s="1"/>
  <c r="C91" i="12"/>
  <c r="C92" i="12" l="1"/>
  <c r="D91" i="12"/>
  <c r="H91" i="12" s="1"/>
  <c r="E91" i="12" s="1"/>
  <c r="C93" i="12" l="1"/>
  <c r="D92" i="12"/>
  <c r="H92" i="12" s="1"/>
  <c r="E92" i="12" s="1"/>
  <c r="D93" i="12" l="1"/>
  <c r="H93" i="12" s="1"/>
  <c r="E93" i="12" s="1"/>
  <c r="C94" i="12"/>
  <c r="D94" i="12" l="1"/>
  <c r="H94" i="12" s="1"/>
  <c r="E94" i="12" s="1"/>
  <c r="C95" i="12"/>
  <c r="C96" i="12" l="1"/>
  <c r="D95" i="12"/>
  <c r="H95" i="12" s="1"/>
  <c r="E95" i="12" s="1"/>
  <c r="C97" i="12" l="1"/>
  <c r="D96" i="12"/>
  <c r="H96" i="12" s="1"/>
  <c r="E96" i="12" s="1"/>
  <c r="D97" i="12" l="1"/>
  <c r="H97" i="12" s="1"/>
  <c r="E97" i="12" s="1"/>
  <c r="C98" i="12"/>
  <c r="D98" i="12" l="1"/>
  <c r="H98" i="12" s="1"/>
  <c r="E98" i="12" s="1"/>
  <c r="C99" i="12"/>
  <c r="C100" i="12" l="1"/>
  <c r="D99" i="12"/>
  <c r="H99" i="12" s="1"/>
  <c r="E99" i="12" s="1"/>
  <c r="C101" i="12" l="1"/>
  <c r="D100" i="12"/>
  <c r="H100" i="12" s="1"/>
  <c r="E100" i="12" s="1"/>
  <c r="D101" i="12" l="1"/>
  <c r="H101" i="12" s="1"/>
  <c r="E101" i="12" s="1"/>
  <c r="C102" i="12"/>
  <c r="D102" i="12" l="1"/>
  <c r="H102" i="12" s="1"/>
  <c r="E102" i="12" s="1"/>
  <c r="C103" i="12"/>
  <c r="C104" i="12" l="1"/>
  <c r="D103" i="12"/>
  <c r="H103" i="12" s="1"/>
  <c r="E103" i="12" s="1"/>
  <c r="C105" i="12" l="1"/>
  <c r="D104" i="12"/>
  <c r="H104" i="12" s="1"/>
  <c r="E104" i="12" s="1"/>
  <c r="D105" i="12" l="1"/>
  <c r="H105" i="12" s="1"/>
  <c r="E105" i="12" s="1"/>
  <c r="C106" i="12"/>
  <c r="D106" i="12" l="1"/>
  <c r="H106" i="12" s="1"/>
  <c r="E106" i="12" s="1"/>
  <c r="C107" i="12"/>
  <c r="C108" i="12" l="1"/>
  <c r="D107" i="12"/>
  <c r="H107" i="12" s="1"/>
  <c r="E107" i="12" s="1"/>
  <c r="C109" i="12" l="1"/>
  <c r="D108" i="12"/>
  <c r="H108" i="12" s="1"/>
  <c r="E108" i="12" s="1"/>
  <c r="D109" i="12" l="1"/>
  <c r="H109" i="12" s="1"/>
  <c r="E109" i="12" s="1"/>
  <c r="C110" i="12"/>
  <c r="D110" i="12" l="1"/>
  <c r="H110" i="12" s="1"/>
  <c r="E110" i="12" s="1"/>
  <c r="C111" i="12"/>
  <c r="C112" i="12" l="1"/>
  <c r="D111" i="12"/>
  <c r="H111" i="12" s="1"/>
  <c r="E111" i="12" s="1"/>
  <c r="C113" i="12" l="1"/>
  <c r="D112" i="12"/>
  <c r="H112" i="12" s="1"/>
  <c r="E112" i="12" s="1"/>
  <c r="D113" i="12" l="1"/>
  <c r="H113" i="12" s="1"/>
  <c r="E113" i="12" s="1"/>
  <c r="C114" i="12"/>
  <c r="D114" i="12" l="1"/>
  <c r="H114" i="12" s="1"/>
  <c r="E114" i="12" s="1"/>
  <c r="C115" i="12"/>
  <c r="C116" i="12" l="1"/>
  <c r="D115" i="12"/>
  <c r="H115" i="12" s="1"/>
  <c r="E115" i="12" s="1"/>
  <c r="C117" i="12" l="1"/>
  <c r="D116" i="12"/>
  <c r="H116" i="12" s="1"/>
  <c r="E116" i="12" s="1"/>
  <c r="D117" i="12" l="1"/>
  <c r="H117" i="12" s="1"/>
  <c r="E117" i="12" s="1"/>
  <c r="C118" i="12"/>
  <c r="D118" i="12" l="1"/>
  <c r="H118" i="12" s="1"/>
  <c r="E118" i="12" s="1"/>
  <c r="C119" i="12"/>
  <c r="C120" i="12" l="1"/>
  <c r="D119" i="12"/>
  <c r="H119" i="12" s="1"/>
  <c r="E119" i="12" s="1"/>
  <c r="C121" i="12" l="1"/>
  <c r="D120" i="12"/>
  <c r="H120" i="12" s="1"/>
  <c r="E120" i="12" s="1"/>
  <c r="D121" i="12" l="1"/>
  <c r="H121" i="12" s="1"/>
  <c r="E121" i="12" s="1"/>
  <c r="C122" i="12"/>
  <c r="D122" i="12" l="1"/>
  <c r="H122" i="12" s="1"/>
  <c r="E122" i="12" s="1"/>
  <c r="C123" i="12"/>
  <c r="C124" i="12" l="1"/>
  <c r="D123" i="12"/>
  <c r="H123" i="12" s="1"/>
  <c r="E123" i="12" s="1"/>
  <c r="C125" i="12" l="1"/>
  <c r="D124" i="12"/>
  <c r="H124" i="12" s="1"/>
  <c r="E124" i="12" s="1"/>
  <c r="D125" i="12" l="1"/>
  <c r="H125" i="12" s="1"/>
  <c r="E125" i="12" s="1"/>
  <c r="C126" i="12"/>
  <c r="D126" i="12" l="1"/>
  <c r="H126" i="12" s="1"/>
  <c r="E126" i="12" s="1"/>
  <c r="C127" i="12"/>
  <c r="C128" i="12" l="1"/>
  <c r="D127" i="12"/>
  <c r="H127" i="12" s="1"/>
  <c r="E127" i="12" s="1"/>
  <c r="C129" i="12" l="1"/>
  <c r="D128" i="12"/>
  <c r="H128" i="12" s="1"/>
  <c r="E128" i="12" s="1"/>
  <c r="D129" i="12" l="1"/>
  <c r="H129" i="12" s="1"/>
  <c r="E129" i="12" s="1"/>
  <c r="C130" i="12"/>
  <c r="D130" i="12" l="1"/>
  <c r="H130" i="12" s="1"/>
  <c r="E130" i="12" s="1"/>
  <c r="C131" i="12"/>
  <c r="C132" i="12" l="1"/>
  <c r="D131" i="12"/>
  <c r="H131" i="12" s="1"/>
  <c r="E131" i="12" s="1"/>
  <c r="C133" i="12" l="1"/>
  <c r="D132" i="12"/>
  <c r="H132" i="12" s="1"/>
  <c r="E132" i="12" s="1"/>
  <c r="D133" i="12" l="1"/>
  <c r="H133" i="12" s="1"/>
  <c r="E133" i="12" s="1"/>
  <c r="C134" i="12"/>
  <c r="D134" i="12" l="1"/>
  <c r="H134" i="12" s="1"/>
  <c r="E134" i="12" s="1"/>
  <c r="C135" i="12"/>
  <c r="C136" i="12" l="1"/>
  <c r="D135" i="12"/>
  <c r="H135" i="12" s="1"/>
  <c r="E135" i="12" s="1"/>
  <c r="C137" i="12" l="1"/>
  <c r="D136" i="12"/>
  <c r="H136" i="12" s="1"/>
  <c r="E136" i="12" s="1"/>
  <c r="D137" i="12" l="1"/>
  <c r="H137" i="12" s="1"/>
  <c r="E137" i="12" s="1"/>
  <c r="C138" i="12"/>
  <c r="D138" i="12" l="1"/>
  <c r="H138" i="12" s="1"/>
  <c r="E138" i="12" s="1"/>
  <c r="C139" i="12"/>
  <c r="C140" i="12" l="1"/>
  <c r="D139" i="12"/>
  <c r="H139" i="12" s="1"/>
  <c r="E139" i="12" s="1"/>
  <c r="C141" i="12" l="1"/>
  <c r="D140" i="12"/>
  <c r="H140" i="12" s="1"/>
  <c r="E140" i="12" s="1"/>
  <c r="D141" i="12" l="1"/>
  <c r="H141" i="12" s="1"/>
  <c r="E141" i="12" s="1"/>
  <c r="C142" i="12"/>
  <c r="D142" i="12" l="1"/>
  <c r="H142" i="12" s="1"/>
  <c r="E142" i="12" s="1"/>
  <c r="C143" i="12"/>
  <c r="C144" i="12" l="1"/>
  <c r="D143" i="12"/>
  <c r="H143" i="12" s="1"/>
  <c r="E143" i="12" s="1"/>
  <c r="C145" i="12" l="1"/>
  <c r="D144" i="12"/>
  <c r="H144" i="12" s="1"/>
  <c r="E144" i="12" s="1"/>
  <c r="D145" i="12" l="1"/>
  <c r="H145" i="12" s="1"/>
  <c r="E145" i="12" s="1"/>
  <c r="C146" i="12"/>
  <c r="D146" i="12" l="1"/>
  <c r="H146" i="12" s="1"/>
  <c r="E146" i="12" s="1"/>
  <c r="C147" i="12"/>
  <c r="C148" i="12" l="1"/>
  <c r="D147" i="12"/>
  <c r="H147" i="12" s="1"/>
  <c r="E147" i="12" s="1"/>
  <c r="C149" i="12" l="1"/>
  <c r="D148" i="12"/>
  <c r="H148" i="12" s="1"/>
  <c r="E148" i="12" s="1"/>
  <c r="D149" i="12" l="1"/>
  <c r="H149" i="12" s="1"/>
  <c r="E149" i="12" s="1"/>
  <c r="C150" i="12"/>
  <c r="D150" i="12" l="1"/>
  <c r="H150" i="12" s="1"/>
  <c r="E150" i="12" s="1"/>
  <c r="C151" i="12"/>
  <c r="C152" i="12" l="1"/>
  <c r="D151" i="12"/>
  <c r="H151" i="12" s="1"/>
  <c r="E151" i="12" s="1"/>
  <c r="C153" i="12" l="1"/>
  <c r="D152" i="12"/>
  <c r="H152" i="12" s="1"/>
  <c r="E152" i="12" s="1"/>
  <c r="D153" i="12" l="1"/>
  <c r="H153" i="12" s="1"/>
  <c r="E153" i="12" s="1"/>
  <c r="C154" i="12"/>
  <c r="D154" i="12" l="1"/>
  <c r="H154" i="12" s="1"/>
  <c r="E154" i="12" s="1"/>
  <c r="C155" i="12"/>
  <c r="C156" i="12" l="1"/>
  <c r="D155" i="12"/>
  <c r="H155" i="12" s="1"/>
  <c r="E155" i="12" s="1"/>
  <c r="C157" i="12" l="1"/>
  <c r="D156" i="12"/>
  <c r="H156" i="12" s="1"/>
  <c r="E156" i="12" s="1"/>
  <c r="D157" i="12" l="1"/>
  <c r="H157" i="12" s="1"/>
  <c r="E157" i="12" s="1"/>
  <c r="C158" i="12"/>
  <c r="D158" i="12" l="1"/>
  <c r="H158" i="12" s="1"/>
  <c r="E158" i="12" s="1"/>
  <c r="C159" i="12"/>
  <c r="C160" i="12" l="1"/>
  <c r="D159" i="12"/>
  <c r="H159" i="12" s="1"/>
  <c r="E159" i="12" s="1"/>
  <c r="C161" i="12" l="1"/>
  <c r="D160" i="12"/>
  <c r="H160" i="12" s="1"/>
  <c r="E160" i="12" s="1"/>
  <c r="D161" i="12" l="1"/>
  <c r="H161" i="12" s="1"/>
  <c r="E161" i="12" s="1"/>
  <c r="C162" i="12"/>
  <c r="D162" i="12" l="1"/>
  <c r="H162" i="12" s="1"/>
  <c r="E162" i="12" s="1"/>
  <c r="C163" i="12"/>
  <c r="C164" i="12" l="1"/>
  <c r="D163" i="12"/>
  <c r="H163" i="12" s="1"/>
  <c r="E163" i="12" s="1"/>
  <c r="C165" i="12" l="1"/>
  <c r="D164" i="12"/>
  <c r="H164" i="12" s="1"/>
  <c r="E164" i="12" s="1"/>
  <c r="C166" i="12" l="1"/>
  <c r="D165" i="12"/>
  <c r="H165" i="12" s="1"/>
  <c r="E165" i="12" s="1"/>
  <c r="C167" i="12" l="1"/>
  <c r="D166" i="12"/>
  <c r="H166" i="12" s="1"/>
  <c r="E166" i="12" s="1"/>
  <c r="C168" i="12" l="1"/>
  <c r="D167" i="12"/>
  <c r="H167" i="12" s="1"/>
  <c r="E167" i="12" s="1"/>
  <c r="C169" i="12" l="1"/>
  <c r="D168" i="12"/>
  <c r="H168" i="12" s="1"/>
  <c r="E168" i="12" s="1"/>
  <c r="C170" i="12" l="1"/>
  <c r="D169" i="12"/>
  <c r="H169" i="12" s="1"/>
  <c r="E169" i="12" s="1"/>
  <c r="D170" i="12" l="1"/>
  <c r="H170" i="12" s="1"/>
  <c r="E170" i="12" s="1"/>
  <c r="C171" i="12"/>
  <c r="C172" i="12" l="1"/>
  <c r="D171" i="12"/>
  <c r="H171" i="12" s="1"/>
  <c r="E171" i="12" s="1"/>
  <c r="C173" i="12" l="1"/>
  <c r="D172" i="12"/>
  <c r="H172" i="12" s="1"/>
  <c r="E172" i="12" s="1"/>
  <c r="C174" i="12" l="1"/>
  <c r="D173" i="12"/>
  <c r="H173" i="12" s="1"/>
  <c r="E173" i="12" s="1"/>
  <c r="D174" i="12" l="1"/>
  <c r="H174" i="12" s="1"/>
  <c r="E174" i="12" s="1"/>
  <c r="C175" i="12"/>
  <c r="D175" i="12" l="1"/>
  <c r="H175" i="12" s="1"/>
  <c r="E175" i="12" s="1"/>
  <c r="C176" i="12"/>
  <c r="C177" i="12" l="1"/>
  <c r="D176" i="12"/>
  <c r="H176" i="12" s="1"/>
  <c r="E176" i="12" s="1"/>
  <c r="C178" i="12" l="1"/>
  <c r="D177" i="12"/>
  <c r="H177" i="12" s="1"/>
  <c r="E177" i="12" s="1"/>
  <c r="D178" i="12" l="1"/>
  <c r="H178" i="12" s="1"/>
  <c r="E178" i="12" s="1"/>
  <c r="C179" i="12"/>
  <c r="D179" i="12" l="1"/>
  <c r="H179" i="12" s="1"/>
  <c r="E179" i="12" s="1"/>
  <c r="C180" i="12"/>
  <c r="C181" i="12" l="1"/>
  <c r="D180" i="12"/>
  <c r="H180" i="12" s="1"/>
  <c r="E180" i="12" s="1"/>
  <c r="C182" i="12" l="1"/>
  <c r="D181" i="12"/>
  <c r="H181" i="12" s="1"/>
  <c r="E181" i="12" s="1"/>
  <c r="D182" i="12" l="1"/>
  <c r="H182" i="12" s="1"/>
  <c r="E182" i="12" s="1"/>
  <c r="C183" i="12"/>
  <c r="D183" i="12" l="1"/>
  <c r="H183" i="12" s="1"/>
  <c r="E183" i="12" s="1"/>
  <c r="C184" i="12"/>
  <c r="C185" i="12" l="1"/>
  <c r="D184" i="12"/>
  <c r="H184" i="12" s="1"/>
  <c r="E184" i="12" s="1"/>
  <c r="C186" i="12" l="1"/>
  <c r="D185" i="12"/>
  <c r="H185" i="12" s="1"/>
  <c r="E185" i="12" s="1"/>
  <c r="D186" i="12" l="1"/>
  <c r="H186" i="12" s="1"/>
  <c r="E186" i="12" s="1"/>
  <c r="C187" i="12"/>
  <c r="D187" i="12" l="1"/>
  <c r="H187" i="12" s="1"/>
  <c r="E187" i="12" s="1"/>
  <c r="C188" i="12"/>
  <c r="C189" i="12" l="1"/>
  <c r="D188" i="12"/>
  <c r="H188" i="12" s="1"/>
  <c r="E188" i="12" s="1"/>
  <c r="C190" i="12" l="1"/>
  <c r="D189" i="12"/>
  <c r="H189" i="12" s="1"/>
  <c r="E189" i="12" s="1"/>
  <c r="D190" i="12" l="1"/>
  <c r="H190" i="12" s="1"/>
  <c r="E190" i="12" s="1"/>
  <c r="C191" i="12"/>
  <c r="D191" i="12" l="1"/>
  <c r="H191" i="12" s="1"/>
  <c r="E191" i="12" s="1"/>
  <c r="C192" i="12"/>
  <c r="C193" i="12" l="1"/>
  <c r="D192" i="12"/>
  <c r="H192" i="12" s="1"/>
  <c r="E192" i="12" s="1"/>
  <c r="C194" i="12" l="1"/>
  <c r="D193" i="12"/>
  <c r="H193" i="12" s="1"/>
  <c r="E193" i="12" s="1"/>
  <c r="D194" i="12" l="1"/>
  <c r="H194" i="12" s="1"/>
  <c r="E194" i="12" s="1"/>
  <c r="C195" i="12"/>
  <c r="D195" i="12" l="1"/>
  <c r="H195" i="12" s="1"/>
  <c r="E195" i="12" s="1"/>
  <c r="C196" i="12"/>
  <c r="C197" i="12" l="1"/>
  <c r="D196" i="12"/>
  <c r="H196" i="12" s="1"/>
  <c r="E196" i="12" s="1"/>
  <c r="C198" i="12" l="1"/>
  <c r="D197" i="12"/>
  <c r="H197" i="12" s="1"/>
  <c r="E197" i="12" s="1"/>
  <c r="D198" i="12" l="1"/>
  <c r="H198" i="12" s="1"/>
  <c r="E198" i="12" s="1"/>
  <c r="C199" i="12"/>
  <c r="D199" i="12" l="1"/>
  <c r="H199" i="12" s="1"/>
  <c r="E199" i="12" s="1"/>
  <c r="C200" i="12"/>
  <c r="C201" i="12" l="1"/>
  <c r="D200" i="12"/>
  <c r="H200" i="12" s="1"/>
  <c r="E200" i="12" s="1"/>
  <c r="C202" i="12" l="1"/>
  <c r="D201" i="12"/>
  <c r="H201" i="12" s="1"/>
  <c r="E201" i="12" s="1"/>
  <c r="D202" i="12" l="1"/>
  <c r="H202" i="12" s="1"/>
  <c r="E202" i="12" s="1"/>
  <c r="C203" i="12"/>
  <c r="D203" i="12" l="1"/>
  <c r="H203" i="12" s="1"/>
  <c r="E203" i="12" s="1"/>
  <c r="C204" i="12"/>
  <c r="C205" i="12" l="1"/>
  <c r="D204" i="12"/>
  <c r="H204" i="12" s="1"/>
  <c r="E204" i="12" s="1"/>
  <c r="C206" i="12" l="1"/>
  <c r="D205" i="12"/>
  <c r="H205" i="12" s="1"/>
  <c r="E205" i="12" s="1"/>
  <c r="D206" i="12" l="1"/>
  <c r="H206" i="12" s="1"/>
  <c r="E206" i="12" s="1"/>
  <c r="C207" i="12"/>
  <c r="D207" i="12" l="1"/>
  <c r="H207" i="12" s="1"/>
  <c r="E207" i="12" s="1"/>
  <c r="C208" i="12"/>
  <c r="C209" i="12" l="1"/>
  <c r="D208" i="12"/>
  <c r="H208" i="12" s="1"/>
  <c r="E208" i="12" s="1"/>
  <c r="C210" i="12" l="1"/>
  <c r="D209" i="12"/>
  <c r="H209" i="12" s="1"/>
  <c r="E209" i="12" s="1"/>
  <c r="D210" i="12" l="1"/>
  <c r="H210" i="12" s="1"/>
  <c r="E210" i="12" s="1"/>
  <c r="C211" i="12"/>
  <c r="D211" i="12" l="1"/>
  <c r="H211" i="12" s="1"/>
  <c r="E211" i="12" s="1"/>
  <c r="C212" i="12"/>
  <c r="C213" i="12" l="1"/>
  <c r="D212" i="12"/>
  <c r="H212" i="12" s="1"/>
  <c r="E212" i="12" s="1"/>
  <c r="C214" i="12" l="1"/>
  <c r="D213" i="12"/>
  <c r="H213" i="12" s="1"/>
  <c r="E213" i="12" s="1"/>
  <c r="D214" i="12" l="1"/>
  <c r="H214" i="12" s="1"/>
  <c r="E214" i="12" s="1"/>
  <c r="C215" i="12"/>
  <c r="D215" i="12" l="1"/>
  <c r="H215" i="12" s="1"/>
  <c r="E215" i="12" s="1"/>
  <c r="C216" i="12"/>
  <c r="C217" i="12" l="1"/>
  <c r="D216" i="12"/>
  <c r="H216" i="12" s="1"/>
  <c r="E216" i="12" s="1"/>
  <c r="C218" i="12" l="1"/>
  <c r="D217" i="12"/>
  <c r="H217" i="12" s="1"/>
  <c r="E217" i="12" s="1"/>
  <c r="D218" i="12" l="1"/>
  <c r="H218" i="12" s="1"/>
  <c r="E218" i="12" s="1"/>
  <c r="C219" i="12"/>
  <c r="D219" i="12" l="1"/>
  <c r="H219" i="12" s="1"/>
  <c r="E219" i="12" s="1"/>
  <c r="C220" i="12"/>
  <c r="C221" i="12" l="1"/>
  <c r="D220" i="12"/>
  <c r="H220" i="12" s="1"/>
  <c r="E220" i="12" s="1"/>
  <c r="C222" i="12" l="1"/>
  <c r="D221" i="12"/>
  <c r="H221" i="12" s="1"/>
  <c r="E221" i="12" s="1"/>
  <c r="D222" i="12" l="1"/>
  <c r="H222" i="12" s="1"/>
  <c r="E222" i="12" s="1"/>
  <c r="C223" i="12"/>
  <c r="D223" i="12" l="1"/>
  <c r="H223" i="12" s="1"/>
  <c r="E223" i="12" s="1"/>
  <c r="C224" i="12"/>
  <c r="C225" i="12" l="1"/>
  <c r="D224" i="12"/>
  <c r="H224" i="12" s="1"/>
  <c r="E224" i="12" s="1"/>
  <c r="C226" i="12" l="1"/>
  <c r="D225" i="12"/>
  <c r="H225" i="12" s="1"/>
  <c r="E225" i="12" s="1"/>
  <c r="D226" i="12" l="1"/>
  <c r="H226" i="12" s="1"/>
  <c r="E226" i="12" s="1"/>
  <c r="C227" i="12"/>
  <c r="D227" i="12" l="1"/>
  <c r="H227" i="12" s="1"/>
  <c r="E227" i="12" s="1"/>
  <c r="C228" i="12"/>
  <c r="C229" i="12" l="1"/>
  <c r="D228" i="12"/>
  <c r="H228" i="12" s="1"/>
  <c r="E228" i="12" s="1"/>
  <c r="C230" i="12" l="1"/>
  <c r="D229" i="12"/>
  <c r="H229" i="12" s="1"/>
  <c r="E229" i="12" s="1"/>
  <c r="D230" i="12" l="1"/>
  <c r="H230" i="12" s="1"/>
  <c r="E230" i="12" s="1"/>
  <c r="C231" i="12"/>
  <c r="D231" i="12" l="1"/>
  <c r="H231" i="12" s="1"/>
  <c r="E231" i="12" s="1"/>
  <c r="C232" i="12"/>
  <c r="C233" i="12" l="1"/>
  <c r="D232" i="12"/>
  <c r="H232" i="12" s="1"/>
  <c r="E232" i="12" s="1"/>
  <c r="C234" i="12" l="1"/>
  <c r="D233" i="12"/>
  <c r="H233" i="12" s="1"/>
  <c r="E233" i="12" s="1"/>
  <c r="D234" i="12" l="1"/>
  <c r="H234" i="12" s="1"/>
  <c r="E234" i="12" s="1"/>
  <c r="C235" i="12"/>
  <c r="D235" i="12" l="1"/>
  <c r="H235" i="12" s="1"/>
  <c r="E235" i="12" s="1"/>
  <c r="C236" i="12"/>
  <c r="C237" i="12" l="1"/>
  <c r="D236" i="12"/>
  <c r="H236" i="12" s="1"/>
  <c r="E236" i="12" s="1"/>
  <c r="C238" i="12" l="1"/>
  <c r="D237" i="12"/>
  <c r="H237" i="12" s="1"/>
  <c r="E237" i="12" s="1"/>
  <c r="D238" i="12" l="1"/>
  <c r="H238" i="12" s="1"/>
  <c r="E238" i="12" s="1"/>
  <c r="C239" i="12"/>
  <c r="D239" i="12" l="1"/>
  <c r="H239" i="12" s="1"/>
  <c r="E239" i="12" s="1"/>
  <c r="C240" i="12"/>
  <c r="C241" i="12" l="1"/>
  <c r="D240" i="12"/>
  <c r="H240" i="12" s="1"/>
  <c r="E240" i="12" s="1"/>
  <c r="C242" i="12" l="1"/>
  <c r="D241" i="12"/>
  <c r="H241" i="12" s="1"/>
  <c r="E241" i="12" s="1"/>
  <c r="D242" i="12" l="1"/>
  <c r="H242" i="12" s="1"/>
  <c r="E242" i="12" s="1"/>
  <c r="C243" i="12"/>
  <c r="D243" i="12" l="1"/>
  <c r="H243" i="12" s="1"/>
  <c r="E243" i="12" s="1"/>
  <c r="C244" i="12"/>
  <c r="C245" i="12" l="1"/>
  <c r="D244" i="12"/>
  <c r="H244" i="12" s="1"/>
  <c r="E244" i="12" s="1"/>
  <c r="C246" i="12" l="1"/>
  <c r="D245" i="12"/>
  <c r="H245" i="12" s="1"/>
  <c r="E245" i="12" s="1"/>
  <c r="D246" i="12" l="1"/>
  <c r="H246" i="12" s="1"/>
  <c r="E246" i="12" s="1"/>
  <c r="C247" i="12"/>
  <c r="D247" i="12" l="1"/>
  <c r="H247" i="12" s="1"/>
  <c r="E247" i="12" s="1"/>
  <c r="C248" i="12"/>
  <c r="C249" i="12" l="1"/>
  <c r="D248" i="12"/>
  <c r="H248" i="12" s="1"/>
  <c r="E248" i="12" s="1"/>
  <c r="C250" i="12" l="1"/>
  <c r="D249" i="12"/>
  <c r="H249" i="12" s="1"/>
  <c r="E249" i="12" s="1"/>
  <c r="D250" i="12" l="1"/>
  <c r="H250" i="12" s="1"/>
  <c r="E250" i="12" s="1"/>
  <c r="C251" i="12"/>
  <c r="D251" i="12" l="1"/>
  <c r="H251" i="12" s="1"/>
  <c r="E251" i="12" s="1"/>
  <c r="C252" i="12"/>
  <c r="C253" i="12" l="1"/>
  <c r="D252" i="12"/>
  <c r="H252" i="12" s="1"/>
  <c r="E252" i="12" s="1"/>
  <c r="C254" i="12" l="1"/>
  <c r="D253" i="12"/>
  <c r="H253" i="12" s="1"/>
  <c r="E253" i="12" s="1"/>
  <c r="D254" i="12" l="1"/>
  <c r="H254" i="12" s="1"/>
  <c r="E254" i="12" s="1"/>
  <c r="C255" i="12"/>
  <c r="D255" i="12" l="1"/>
  <c r="H255" i="12" s="1"/>
  <c r="E255" i="12" s="1"/>
  <c r="C256" i="12"/>
  <c r="C257" i="12" l="1"/>
  <c r="D256" i="12"/>
  <c r="H256" i="12" s="1"/>
  <c r="E256" i="12" s="1"/>
  <c r="C258" i="12" l="1"/>
  <c r="D257" i="12"/>
  <c r="H257" i="12" s="1"/>
  <c r="E257" i="12" s="1"/>
  <c r="D258" i="12" l="1"/>
  <c r="H258" i="12" s="1"/>
  <c r="E258" i="12" s="1"/>
  <c r="C259" i="12"/>
  <c r="D259" i="12" l="1"/>
  <c r="H259" i="12" s="1"/>
  <c r="E259" i="12" s="1"/>
  <c r="C260" i="12"/>
  <c r="C261" i="12" l="1"/>
  <c r="D260" i="12"/>
  <c r="H260" i="12" s="1"/>
  <c r="E260" i="12" s="1"/>
  <c r="C262" i="12" l="1"/>
  <c r="D261" i="12"/>
  <c r="H261" i="12" s="1"/>
  <c r="E261" i="12" s="1"/>
  <c r="D262" i="12" l="1"/>
  <c r="H262" i="12" s="1"/>
  <c r="E262" i="12" s="1"/>
  <c r="C263" i="12"/>
  <c r="D263" i="12" l="1"/>
  <c r="H263" i="12" s="1"/>
  <c r="E263" i="12" s="1"/>
  <c r="C264" i="12"/>
  <c r="C265" i="12" l="1"/>
  <c r="D264" i="12"/>
  <c r="H264" i="12" s="1"/>
  <c r="E264" i="12" s="1"/>
  <c r="C266" i="12" l="1"/>
  <c r="D265" i="12"/>
  <c r="H265" i="12" s="1"/>
  <c r="E265" i="12" s="1"/>
  <c r="D266" i="12" l="1"/>
  <c r="H266" i="12" s="1"/>
  <c r="E266" i="12" s="1"/>
  <c r="C267" i="12"/>
  <c r="D267" i="12" l="1"/>
  <c r="H267" i="12" s="1"/>
  <c r="E267" i="12" s="1"/>
  <c r="C268" i="12"/>
  <c r="C269" i="12" l="1"/>
  <c r="D268" i="12"/>
  <c r="H268" i="12" s="1"/>
  <c r="E268" i="12" s="1"/>
  <c r="C270" i="12" l="1"/>
  <c r="D269" i="12"/>
  <c r="H269" i="12" s="1"/>
  <c r="E269" i="12" s="1"/>
  <c r="D270" i="12" l="1"/>
  <c r="H270" i="12" s="1"/>
  <c r="E270" i="12" s="1"/>
  <c r="C271" i="12"/>
  <c r="D271" i="12" l="1"/>
  <c r="H271" i="12" s="1"/>
  <c r="E271" i="12" s="1"/>
  <c r="C272" i="12"/>
  <c r="C273" i="12" l="1"/>
  <c r="D272" i="12"/>
  <c r="H272" i="12" s="1"/>
  <c r="E272" i="12" s="1"/>
  <c r="C274" i="12" l="1"/>
  <c r="D273" i="12"/>
  <c r="H273" i="12" s="1"/>
  <c r="E273" i="12" s="1"/>
  <c r="D274" i="12" l="1"/>
  <c r="H274" i="12" s="1"/>
  <c r="E274" i="12" s="1"/>
  <c r="C275" i="12"/>
  <c r="D275" i="12" l="1"/>
  <c r="H275" i="12" s="1"/>
  <c r="E275" i="12" s="1"/>
  <c r="C276" i="12"/>
  <c r="C277" i="12" l="1"/>
  <c r="D276" i="12"/>
  <c r="H276" i="12" s="1"/>
  <c r="E276" i="12" s="1"/>
  <c r="C278" i="12" l="1"/>
  <c r="D277" i="12"/>
  <c r="H277" i="12" s="1"/>
  <c r="E277" i="12" s="1"/>
  <c r="D278" i="12" l="1"/>
  <c r="H278" i="12" s="1"/>
  <c r="E278" i="12" s="1"/>
  <c r="C279" i="12"/>
  <c r="D279" i="12" l="1"/>
  <c r="H279" i="12" s="1"/>
  <c r="E279" i="12" s="1"/>
  <c r="C280" i="12"/>
  <c r="C281" i="12" l="1"/>
  <c r="D280" i="12"/>
  <c r="H280" i="12" s="1"/>
  <c r="E280" i="12" s="1"/>
  <c r="C282" i="12" l="1"/>
  <c r="D281" i="12"/>
  <c r="H281" i="12" s="1"/>
  <c r="E281" i="12" s="1"/>
  <c r="D282" i="12" l="1"/>
  <c r="H282" i="12" s="1"/>
  <c r="E282" i="12" s="1"/>
  <c r="C283" i="12"/>
  <c r="D283" i="12" l="1"/>
  <c r="H283" i="12" s="1"/>
  <c r="E283" i="12" s="1"/>
  <c r="C284" i="12"/>
  <c r="C285" i="12" l="1"/>
  <c r="D284" i="12"/>
  <c r="H284" i="12" s="1"/>
  <c r="E284" i="12" s="1"/>
  <c r="C286" i="12" l="1"/>
  <c r="D285" i="12"/>
  <c r="H285" i="12" s="1"/>
  <c r="E285" i="12" s="1"/>
  <c r="D286" i="12" l="1"/>
  <c r="H286" i="12" s="1"/>
  <c r="E286" i="12" s="1"/>
  <c r="C287" i="12"/>
  <c r="D287" i="12" l="1"/>
  <c r="H287" i="12" s="1"/>
  <c r="E287" i="12" s="1"/>
  <c r="C288" i="12"/>
  <c r="C289" i="12" l="1"/>
  <c r="D288" i="12"/>
  <c r="H288" i="12" s="1"/>
  <c r="E288" i="12" s="1"/>
  <c r="C290" i="12" l="1"/>
  <c r="D289" i="12"/>
  <c r="H289" i="12" s="1"/>
  <c r="E289" i="12" s="1"/>
  <c r="D290" i="12" l="1"/>
  <c r="H290" i="12" s="1"/>
  <c r="E290" i="12" s="1"/>
  <c r="C291" i="12"/>
  <c r="D291" i="12" l="1"/>
  <c r="H291" i="12" s="1"/>
  <c r="E291" i="12" s="1"/>
  <c r="C292" i="12"/>
  <c r="C293" i="12" l="1"/>
  <c r="D292" i="12"/>
  <c r="H292" i="12" s="1"/>
  <c r="E292" i="12" s="1"/>
  <c r="C294" i="12" l="1"/>
  <c r="D293" i="12"/>
  <c r="H293" i="12" s="1"/>
  <c r="E293" i="12" s="1"/>
  <c r="D294" i="12" l="1"/>
  <c r="H294" i="12" s="1"/>
  <c r="E294" i="12" s="1"/>
  <c r="C295" i="12"/>
  <c r="D295" i="12" l="1"/>
  <c r="H295" i="12" s="1"/>
  <c r="E295" i="12" s="1"/>
  <c r="C296" i="12"/>
  <c r="C297" i="12" l="1"/>
  <c r="D296" i="12"/>
  <c r="H296" i="12" s="1"/>
  <c r="E296" i="12" s="1"/>
  <c r="C298" i="12" l="1"/>
  <c r="D297" i="12"/>
  <c r="H297" i="12" s="1"/>
  <c r="E297" i="12" s="1"/>
  <c r="D298" i="12" l="1"/>
  <c r="H298" i="12" s="1"/>
  <c r="E298" i="12" s="1"/>
  <c r="C299" i="12"/>
  <c r="D299" i="12" l="1"/>
  <c r="H299" i="12" s="1"/>
  <c r="E299" i="12" s="1"/>
  <c r="C300" i="12"/>
  <c r="C301" i="12" l="1"/>
  <c r="D300" i="12"/>
  <c r="H300" i="12" s="1"/>
  <c r="E300" i="12" s="1"/>
  <c r="C302" i="12" l="1"/>
  <c r="D301" i="12"/>
  <c r="H301" i="12" s="1"/>
  <c r="E301" i="12" s="1"/>
  <c r="D302" i="12" l="1"/>
  <c r="H302" i="12" s="1"/>
  <c r="E302" i="12" s="1"/>
  <c r="C303" i="12"/>
  <c r="D303" i="12" l="1"/>
  <c r="H303" i="12" s="1"/>
  <c r="E303" i="12" s="1"/>
  <c r="C304" i="12"/>
  <c r="C305" i="12" l="1"/>
  <c r="D304" i="12"/>
  <c r="H304" i="12" s="1"/>
  <c r="E304" i="12" s="1"/>
  <c r="C306" i="12" l="1"/>
  <c r="D305" i="12"/>
  <c r="H305" i="12" s="1"/>
  <c r="E305" i="12" s="1"/>
  <c r="D306" i="12" l="1"/>
  <c r="H306" i="12" s="1"/>
  <c r="E306" i="12" s="1"/>
  <c r="C307" i="12"/>
  <c r="D307" i="12" l="1"/>
  <c r="H307" i="12" s="1"/>
  <c r="E307" i="12" s="1"/>
  <c r="C308" i="12"/>
  <c r="C309" i="12" l="1"/>
  <c r="D308" i="12"/>
  <c r="H308" i="12" s="1"/>
  <c r="E308" i="12" s="1"/>
  <c r="C310" i="12" l="1"/>
  <c r="D309" i="12"/>
  <c r="H309" i="12" s="1"/>
  <c r="E309" i="12" s="1"/>
  <c r="D310" i="12" l="1"/>
  <c r="H310" i="12" s="1"/>
  <c r="E310" i="12" s="1"/>
  <c r="C311" i="12"/>
  <c r="D311" i="12" l="1"/>
  <c r="H311" i="12" s="1"/>
  <c r="E311" i="12" s="1"/>
  <c r="C312" i="12"/>
  <c r="C313" i="12" l="1"/>
  <c r="D312" i="12"/>
  <c r="H312" i="12" s="1"/>
  <c r="E312" i="12" s="1"/>
  <c r="C314" i="12" l="1"/>
  <c r="D313" i="12"/>
  <c r="H313" i="12" s="1"/>
  <c r="E313" i="12" s="1"/>
  <c r="D314" i="12" l="1"/>
  <c r="H314" i="12" s="1"/>
  <c r="E314" i="12" s="1"/>
  <c r="C315" i="12"/>
  <c r="D315" i="12" l="1"/>
  <c r="H315" i="12" s="1"/>
  <c r="E315" i="12" s="1"/>
  <c r="C316" i="12"/>
  <c r="C317" i="12" l="1"/>
  <c r="D316" i="12"/>
  <c r="H316" i="12" s="1"/>
  <c r="E316" i="12" s="1"/>
  <c r="C318" i="12" l="1"/>
  <c r="D317" i="12"/>
  <c r="H317" i="12" s="1"/>
  <c r="E317" i="12" s="1"/>
  <c r="D318" i="12" l="1"/>
  <c r="H318" i="12" s="1"/>
  <c r="E318" i="12" s="1"/>
  <c r="C319" i="12"/>
  <c r="D319" i="12" l="1"/>
  <c r="H319" i="12" s="1"/>
  <c r="E319" i="12" s="1"/>
  <c r="C320" i="12"/>
  <c r="C321" i="12" l="1"/>
  <c r="D320" i="12"/>
  <c r="H320" i="12" s="1"/>
  <c r="E320" i="12" s="1"/>
  <c r="C322" i="12" l="1"/>
  <c r="D321" i="12"/>
  <c r="H321" i="12" s="1"/>
  <c r="E321" i="12" s="1"/>
  <c r="D322" i="12" l="1"/>
  <c r="H322" i="12" s="1"/>
  <c r="E322" i="12" s="1"/>
  <c r="C323" i="12"/>
  <c r="D323" i="12" l="1"/>
  <c r="H323" i="12" s="1"/>
  <c r="E323" i="12" s="1"/>
  <c r="C324" i="12"/>
  <c r="C325" i="12" l="1"/>
  <c r="D324" i="12"/>
  <c r="H324" i="12" s="1"/>
  <c r="E324" i="12" s="1"/>
  <c r="C326" i="12" l="1"/>
  <c r="D325" i="12"/>
  <c r="H325" i="12" s="1"/>
  <c r="E325" i="12" s="1"/>
  <c r="D326" i="12" l="1"/>
  <c r="H326" i="12" s="1"/>
  <c r="E326" i="12" s="1"/>
  <c r="C327" i="12"/>
  <c r="D327" i="12" l="1"/>
  <c r="H327" i="12" s="1"/>
  <c r="E327" i="12" s="1"/>
  <c r="C328" i="12"/>
  <c r="C329" i="12" l="1"/>
  <c r="D328" i="12"/>
  <c r="H328" i="12" s="1"/>
  <c r="E328" i="12" s="1"/>
  <c r="C330" i="12" l="1"/>
  <c r="D329" i="12"/>
  <c r="H329" i="12" s="1"/>
  <c r="E329" i="12" s="1"/>
  <c r="D330" i="12" l="1"/>
  <c r="H330" i="12" s="1"/>
  <c r="E330" i="12" s="1"/>
  <c r="C331" i="12"/>
  <c r="D331" i="12" l="1"/>
  <c r="H331" i="12" s="1"/>
  <c r="E331" i="12" s="1"/>
  <c r="C332" i="12"/>
  <c r="C333" i="12" l="1"/>
  <c r="D332" i="12"/>
  <c r="H332" i="12" s="1"/>
  <c r="E332" i="12" s="1"/>
  <c r="C334" i="12" l="1"/>
  <c r="D333" i="12"/>
  <c r="H333" i="12" s="1"/>
  <c r="E333" i="12" s="1"/>
  <c r="D334" i="12" l="1"/>
  <c r="H334" i="12" s="1"/>
  <c r="E334" i="12" s="1"/>
  <c r="C335" i="12"/>
  <c r="D335" i="12" l="1"/>
  <c r="H335" i="12" s="1"/>
  <c r="E335" i="12" s="1"/>
  <c r="C336" i="12"/>
  <c r="C337" i="12" l="1"/>
  <c r="D336" i="12"/>
  <c r="H336" i="12" s="1"/>
  <c r="E336" i="12" s="1"/>
  <c r="C338" i="12" l="1"/>
  <c r="D337" i="12"/>
  <c r="H337" i="12" s="1"/>
  <c r="E337" i="12" s="1"/>
  <c r="D338" i="12" l="1"/>
  <c r="H338" i="12" s="1"/>
  <c r="E338" i="12" s="1"/>
  <c r="C339" i="12"/>
  <c r="D339" i="12" l="1"/>
  <c r="H339" i="12" s="1"/>
  <c r="E339" i="12" s="1"/>
  <c r="C340" i="12"/>
  <c r="C341" i="12" l="1"/>
  <c r="D340" i="12"/>
  <c r="H340" i="12" s="1"/>
  <c r="E340" i="12" s="1"/>
  <c r="C342" i="12" l="1"/>
  <c r="D341" i="12"/>
  <c r="H341" i="12" s="1"/>
  <c r="E341" i="12" s="1"/>
  <c r="D342" i="12" l="1"/>
  <c r="H342" i="12" s="1"/>
  <c r="E342" i="12" s="1"/>
  <c r="C343" i="12"/>
  <c r="D343" i="12" l="1"/>
  <c r="H343" i="12" s="1"/>
  <c r="E343" i="12" s="1"/>
  <c r="C344" i="12"/>
  <c r="C345" i="12" l="1"/>
  <c r="D344" i="12"/>
  <c r="H344" i="12" s="1"/>
  <c r="E344" i="12" s="1"/>
  <c r="C346" i="12" l="1"/>
  <c r="D345" i="12"/>
  <c r="H345" i="12" s="1"/>
  <c r="E345" i="12" s="1"/>
  <c r="D346" i="12" l="1"/>
  <c r="H346" i="12" s="1"/>
  <c r="E346" i="12" s="1"/>
  <c r="C347" i="12"/>
  <c r="D347" i="12" l="1"/>
  <c r="H347" i="12" s="1"/>
  <c r="E347" i="12" s="1"/>
  <c r="C348" i="12"/>
  <c r="C349" i="12" l="1"/>
  <c r="D348" i="12"/>
  <c r="H348" i="12" s="1"/>
  <c r="E348" i="12" s="1"/>
  <c r="D349" i="12" l="1"/>
  <c r="H349" i="12" s="1"/>
  <c r="E349" i="12" s="1"/>
  <c r="C350" i="12"/>
  <c r="C351" i="12" l="1"/>
  <c r="D350" i="12"/>
  <c r="H350" i="12" s="1"/>
  <c r="E350" i="12" s="1"/>
  <c r="C352" i="12" l="1"/>
  <c r="D351" i="12"/>
  <c r="H351" i="12" s="1"/>
  <c r="E351" i="12" s="1"/>
  <c r="C353" i="12" l="1"/>
  <c r="D352" i="12"/>
  <c r="H352" i="12" s="1"/>
  <c r="E352" i="12" s="1"/>
  <c r="D353" i="12" l="1"/>
  <c r="H353" i="12" s="1"/>
  <c r="E353" i="12" s="1"/>
  <c r="C354" i="12"/>
  <c r="C355" i="12" l="1"/>
  <c r="D354" i="12"/>
  <c r="H354" i="12" s="1"/>
  <c r="E354" i="12" s="1"/>
  <c r="C356" i="12" l="1"/>
  <c r="D355" i="12"/>
  <c r="H355" i="12" s="1"/>
  <c r="E355" i="12" s="1"/>
  <c r="D356" i="12" l="1"/>
  <c r="H356" i="12" s="1"/>
  <c r="E356" i="12" s="1"/>
  <c r="C357" i="12"/>
  <c r="D357" i="12" l="1"/>
  <c r="H357" i="12" s="1"/>
  <c r="E357" i="12" s="1"/>
  <c r="C358" i="12"/>
  <c r="D358" i="12" l="1"/>
  <c r="H358" i="12" s="1"/>
  <c r="E358" i="12" s="1"/>
  <c r="C359" i="12"/>
  <c r="C360" i="12" l="1"/>
  <c r="D359" i="12"/>
  <c r="H359" i="12" s="1"/>
  <c r="E359" i="12" s="1"/>
  <c r="D360" i="12" l="1"/>
  <c r="H360" i="12" s="1"/>
  <c r="E360" i="12" s="1"/>
  <c r="C361" i="12"/>
  <c r="D361" i="12" l="1"/>
  <c r="H361" i="12" s="1"/>
  <c r="E361" i="12" s="1"/>
  <c r="C362" i="12"/>
  <c r="D362" i="12" l="1"/>
  <c r="H362" i="12" s="1"/>
  <c r="E362" i="12" s="1"/>
  <c r="C363" i="12"/>
  <c r="C364" i="12" l="1"/>
  <c r="D363" i="12"/>
  <c r="H363" i="12" s="1"/>
  <c r="E363" i="12" s="1"/>
  <c r="D364" i="12" l="1"/>
  <c r="H364" i="12" s="1"/>
  <c r="E364" i="12" s="1"/>
  <c r="C365" i="12"/>
  <c r="D365" i="12" l="1"/>
  <c r="H365" i="12" s="1"/>
  <c r="E365" i="12" s="1"/>
  <c r="C366" i="12"/>
  <c r="D366" i="12" l="1"/>
  <c r="H366" i="12" s="1"/>
  <c r="E366" i="12" s="1"/>
  <c r="C367" i="12"/>
  <c r="C368" i="12" l="1"/>
  <c r="D367" i="12"/>
  <c r="H367" i="12" s="1"/>
  <c r="E367" i="12" s="1"/>
  <c r="D368" i="12" l="1"/>
  <c r="H368" i="12" s="1"/>
  <c r="E368" i="12" s="1"/>
  <c r="C369" i="12"/>
  <c r="D369" i="12" l="1"/>
  <c r="H369" i="12" s="1"/>
  <c r="E369" i="12" s="1"/>
  <c r="C370" i="12"/>
  <c r="D370" i="12" l="1"/>
  <c r="H370" i="12" s="1"/>
  <c r="E370" i="12" s="1"/>
  <c r="C371" i="12"/>
  <c r="C372" i="12" l="1"/>
  <c r="D371" i="12"/>
  <c r="H371" i="12" s="1"/>
  <c r="E371" i="12" s="1"/>
  <c r="C373" i="12" l="1"/>
  <c r="D372" i="12"/>
  <c r="H372" i="12" s="1"/>
  <c r="E372" i="12" s="1"/>
  <c r="D373" i="12" l="1"/>
  <c r="H373" i="12" s="1"/>
  <c r="E373" i="12" s="1"/>
  <c r="C374" i="12"/>
  <c r="C375" i="12" l="1"/>
  <c r="D374" i="12"/>
  <c r="H374" i="12" s="1"/>
  <c r="E374" i="12" s="1"/>
  <c r="C376" i="12" l="1"/>
  <c r="D375" i="12"/>
  <c r="H375" i="12" s="1"/>
  <c r="E375" i="12" s="1"/>
  <c r="C377" i="12" l="1"/>
  <c r="D376" i="12"/>
  <c r="H376" i="12" s="1"/>
  <c r="E376" i="12" s="1"/>
  <c r="D377" i="12" l="1"/>
  <c r="H377" i="12" s="1"/>
  <c r="E377" i="12" s="1"/>
  <c r="C378" i="12"/>
  <c r="C379" i="12" l="1"/>
  <c r="D378" i="12"/>
  <c r="H378" i="12" s="1"/>
  <c r="E378" i="12" s="1"/>
  <c r="C380" i="12" l="1"/>
  <c r="D379" i="12"/>
  <c r="H379" i="12" s="1"/>
  <c r="E379" i="12" s="1"/>
  <c r="C381" i="12" l="1"/>
  <c r="D380" i="12"/>
  <c r="H380" i="12" s="1"/>
  <c r="E380" i="12" s="1"/>
  <c r="D381" i="12" l="1"/>
  <c r="H381" i="12" s="1"/>
  <c r="E381" i="12" s="1"/>
  <c r="C382" i="12"/>
  <c r="C383" i="12" l="1"/>
  <c r="D382" i="12"/>
  <c r="H382" i="12" s="1"/>
  <c r="E382" i="12" s="1"/>
  <c r="C384" i="12" l="1"/>
  <c r="D383" i="12"/>
  <c r="H383" i="12" s="1"/>
  <c r="E383" i="12" s="1"/>
  <c r="C385" i="12" l="1"/>
  <c r="D384" i="12"/>
  <c r="H384" i="12" s="1"/>
  <c r="E384" i="12" s="1"/>
  <c r="D385" i="12" l="1"/>
  <c r="H385" i="12" s="1"/>
  <c r="E385" i="12" s="1"/>
  <c r="C386" i="12"/>
  <c r="C387" i="12" l="1"/>
  <c r="D386" i="12"/>
  <c r="H386" i="12" s="1"/>
  <c r="E386" i="12" s="1"/>
  <c r="C388" i="12" l="1"/>
  <c r="D387" i="12"/>
  <c r="H387" i="12" s="1"/>
  <c r="E387" i="12" s="1"/>
  <c r="D388" i="12" l="1"/>
  <c r="H388" i="12" s="1"/>
  <c r="E388" i="12" s="1"/>
  <c r="C389" i="12"/>
  <c r="D389" i="12" l="1"/>
  <c r="H389" i="12" s="1"/>
  <c r="E389" i="12" s="1"/>
  <c r="C390" i="12"/>
  <c r="D390" i="12" l="1"/>
  <c r="H390" i="12" s="1"/>
  <c r="E390" i="12" s="1"/>
  <c r="C391" i="12"/>
  <c r="C392" i="12" l="1"/>
  <c r="D391" i="12"/>
  <c r="H391" i="12" s="1"/>
  <c r="E391" i="12" s="1"/>
  <c r="D392" i="12" l="1"/>
  <c r="H392" i="12" s="1"/>
  <c r="E392" i="12" s="1"/>
  <c r="C393" i="12"/>
  <c r="D393" i="12" l="1"/>
  <c r="H393" i="12" s="1"/>
  <c r="E393" i="12" s="1"/>
  <c r="C394" i="12"/>
  <c r="D394" i="12" l="1"/>
  <c r="H394" i="12" s="1"/>
  <c r="E394" i="12" s="1"/>
  <c r="C395" i="12"/>
  <c r="C396" i="12" l="1"/>
  <c r="D395" i="12"/>
  <c r="H395" i="12" s="1"/>
  <c r="E395" i="12" s="1"/>
  <c r="D396" i="12" l="1"/>
  <c r="H396" i="12" s="1"/>
  <c r="E396" i="12" s="1"/>
  <c r="C397" i="12"/>
  <c r="D397" i="12" l="1"/>
  <c r="H397" i="12" s="1"/>
  <c r="E397" i="12" s="1"/>
  <c r="C398" i="12"/>
  <c r="D398" i="12" l="1"/>
  <c r="H398" i="12" s="1"/>
  <c r="E398" i="12" s="1"/>
  <c r="C399" i="12"/>
  <c r="C400" i="12" l="1"/>
  <c r="D399" i="12"/>
  <c r="H399" i="12" s="1"/>
  <c r="E399" i="12" s="1"/>
  <c r="D400" i="12" l="1"/>
  <c r="H400" i="12" s="1"/>
  <c r="E400" i="12" s="1"/>
  <c r="C401" i="12"/>
  <c r="D401" i="12" l="1"/>
  <c r="H401" i="12" s="1"/>
  <c r="E401" i="12" s="1"/>
  <c r="C402" i="12"/>
  <c r="D402" i="12" l="1"/>
  <c r="H402" i="12" s="1"/>
  <c r="E402" i="12" s="1"/>
  <c r="C403" i="12"/>
  <c r="C404" i="12" l="1"/>
  <c r="D403" i="12"/>
  <c r="H403" i="12" s="1"/>
  <c r="E403" i="12" s="1"/>
  <c r="C405" i="12" l="1"/>
  <c r="D404" i="12"/>
  <c r="H404" i="12" s="1"/>
  <c r="E404" i="12" s="1"/>
  <c r="D405" i="12" l="1"/>
  <c r="H405" i="12" s="1"/>
  <c r="E405" i="12" s="1"/>
  <c r="C406" i="12"/>
  <c r="C407" i="12" l="1"/>
  <c r="D406" i="12"/>
  <c r="H406" i="12" s="1"/>
  <c r="E406" i="12" s="1"/>
  <c r="C408" i="12" l="1"/>
  <c r="D407" i="12"/>
  <c r="H407" i="12" s="1"/>
  <c r="E407" i="12" s="1"/>
  <c r="C409" i="12" l="1"/>
  <c r="D408" i="12"/>
  <c r="H408" i="12" s="1"/>
  <c r="E408" i="12" s="1"/>
  <c r="D409" i="12" l="1"/>
  <c r="H409" i="12" s="1"/>
  <c r="E409" i="12" s="1"/>
  <c r="C410" i="12"/>
  <c r="C411" i="12" l="1"/>
  <c r="D410" i="12"/>
  <c r="H410" i="12" s="1"/>
  <c r="E410" i="12" s="1"/>
  <c r="C412" i="12" l="1"/>
  <c r="D411" i="12"/>
  <c r="H411" i="12" s="1"/>
  <c r="E411" i="12" s="1"/>
  <c r="C413" i="12" l="1"/>
  <c r="D412" i="12"/>
  <c r="H412" i="12" s="1"/>
  <c r="E412" i="12" s="1"/>
  <c r="C414" i="12" l="1"/>
  <c r="D413" i="12"/>
  <c r="H413" i="12" s="1"/>
  <c r="E413" i="12" s="1"/>
  <c r="C415" i="12" l="1"/>
  <c r="D414" i="12"/>
  <c r="H414" i="12" s="1"/>
  <c r="E414" i="12" s="1"/>
  <c r="D415" i="12" l="1"/>
  <c r="H415" i="12" s="1"/>
  <c r="E415" i="12" s="1"/>
  <c r="C416" i="12"/>
  <c r="C417" i="12" l="1"/>
  <c r="D416" i="12"/>
  <c r="H416" i="12" s="1"/>
  <c r="E416" i="12" s="1"/>
  <c r="C418" i="12" l="1"/>
  <c r="D417" i="12"/>
  <c r="H417" i="12" s="1"/>
  <c r="E417" i="12" s="1"/>
  <c r="D418" i="12" l="1"/>
  <c r="H418" i="12" s="1"/>
  <c r="E418" i="12" s="1"/>
  <c r="C419" i="12"/>
  <c r="C420" i="12" l="1"/>
  <c r="D419" i="12"/>
  <c r="H419" i="12" s="1"/>
  <c r="E419" i="12" s="1"/>
  <c r="C421" i="12" l="1"/>
  <c r="D420" i="12"/>
  <c r="H420" i="12" s="1"/>
  <c r="E420" i="12" s="1"/>
  <c r="C422" i="12" l="1"/>
  <c r="D421" i="12"/>
  <c r="H421" i="12" s="1"/>
  <c r="E421" i="12" s="1"/>
  <c r="D422" i="12" l="1"/>
  <c r="H422" i="12" s="1"/>
  <c r="E422" i="12" s="1"/>
  <c r="C423" i="12"/>
  <c r="C424" i="12" l="1"/>
  <c r="D423" i="12"/>
  <c r="H423" i="12" s="1"/>
  <c r="E423" i="12" s="1"/>
  <c r="C425" i="12" l="1"/>
  <c r="D424" i="12"/>
  <c r="H424" i="12" s="1"/>
  <c r="E424" i="12" s="1"/>
  <c r="C426" i="12" l="1"/>
  <c r="D425" i="12"/>
  <c r="H425" i="12" s="1"/>
  <c r="E425" i="12" s="1"/>
  <c r="D426" i="12" l="1"/>
  <c r="H426" i="12" s="1"/>
  <c r="E426" i="12" s="1"/>
  <c r="C427" i="12"/>
  <c r="D427" i="12" l="1"/>
  <c r="H427" i="12" s="1"/>
  <c r="E427" i="12" s="1"/>
  <c r="C428" i="12"/>
  <c r="C429" i="12" l="1"/>
  <c r="D428" i="12"/>
  <c r="H428" i="12" s="1"/>
  <c r="E428" i="12" s="1"/>
  <c r="C430" i="12" l="1"/>
  <c r="D429" i="12"/>
  <c r="H429" i="12" s="1"/>
  <c r="E429" i="12" s="1"/>
  <c r="C431" i="12" l="1"/>
  <c r="D430" i="12"/>
  <c r="H430" i="12" s="1"/>
  <c r="E430" i="12" s="1"/>
  <c r="D431" i="12" l="1"/>
  <c r="H431" i="12" s="1"/>
  <c r="E431" i="12" s="1"/>
  <c r="C432" i="12"/>
  <c r="C433" i="12" l="1"/>
  <c r="D432" i="12"/>
  <c r="H432" i="12" s="1"/>
  <c r="E432" i="12" s="1"/>
  <c r="C434" i="12" l="1"/>
  <c r="D433" i="12"/>
  <c r="H433" i="12" s="1"/>
  <c r="E433" i="12" s="1"/>
  <c r="D434" i="12" l="1"/>
  <c r="H434" i="12" s="1"/>
  <c r="E434" i="12" s="1"/>
  <c r="C435" i="12"/>
  <c r="C436" i="12" l="1"/>
  <c r="D435" i="12"/>
  <c r="H435" i="12" s="1"/>
  <c r="E435" i="12" s="1"/>
  <c r="C437" i="12" l="1"/>
  <c r="D436" i="12"/>
  <c r="H436" i="12" s="1"/>
  <c r="E436" i="12" s="1"/>
  <c r="C438" i="12" l="1"/>
  <c r="D437" i="12"/>
  <c r="H437" i="12" s="1"/>
  <c r="E437" i="12" s="1"/>
  <c r="D438" i="12" l="1"/>
  <c r="H438" i="12" s="1"/>
  <c r="E438" i="12" s="1"/>
  <c r="C439" i="12"/>
  <c r="C440" i="12" l="1"/>
  <c r="D439" i="12"/>
  <c r="H439" i="12" s="1"/>
  <c r="E439" i="12" s="1"/>
  <c r="C441" i="12" l="1"/>
  <c r="D440" i="12"/>
  <c r="H440" i="12" s="1"/>
  <c r="E440" i="12" s="1"/>
  <c r="C442" i="12" l="1"/>
  <c r="D441" i="12"/>
  <c r="H441" i="12" s="1"/>
  <c r="E441" i="12" s="1"/>
  <c r="D442" i="12" l="1"/>
  <c r="H442" i="12" s="1"/>
  <c r="E442" i="12" s="1"/>
  <c r="C443" i="12"/>
  <c r="D443" i="12" l="1"/>
  <c r="H443" i="12" s="1"/>
  <c r="E443" i="12" s="1"/>
  <c r="C444" i="12"/>
  <c r="C445" i="12" l="1"/>
  <c r="D444" i="12"/>
  <c r="H444" i="12" s="1"/>
  <c r="E444" i="12" s="1"/>
  <c r="C446" i="12" l="1"/>
  <c r="D445" i="12"/>
  <c r="H445" i="12" s="1"/>
  <c r="E445" i="12" s="1"/>
  <c r="C447" i="12" l="1"/>
  <c r="D446" i="12"/>
  <c r="H446" i="12" s="1"/>
  <c r="E446" i="12" s="1"/>
  <c r="D447" i="12" l="1"/>
  <c r="H447" i="12" s="1"/>
  <c r="E447" i="12" s="1"/>
  <c r="C448" i="12"/>
  <c r="C449" i="12" l="1"/>
  <c r="D448" i="12"/>
  <c r="H448" i="12" s="1"/>
  <c r="E448" i="12" s="1"/>
  <c r="C450" i="12" l="1"/>
  <c r="D449" i="12"/>
  <c r="H449" i="12" s="1"/>
  <c r="E449" i="12" s="1"/>
  <c r="C451" i="12" l="1"/>
  <c r="D450" i="12"/>
  <c r="H450" i="12" s="1"/>
  <c r="E450" i="12" s="1"/>
  <c r="D451" i="12" l="1"/>
  <c r="H451" i="12" s="1"/>
  <c r="E451" i="12" s="1"/>
  <c r="C452" i="12"/>
  <c r="C453" i="12" l="1"/>
  <c r="D452" i="12"/>
  <c r="H452" i="12" s="1"/>
  <c r="E452" i="12" s="1"/>
  <c r="C454" i="12" l="1"/>
  <c r="D453" i="12"/>
  <c r="H453" i="12" s="1"/>
  <c r="E453" i="12" s="1"/>
  <c r="D454" i="12" l="1"/>
  <c r="H454" i="12" s="1"/>
  <c r="E454" i="12" s="1"/>
  <c r="C455" i="12"/>
  <c r="C456" i="12" l="1"/>
  <c r="D455" i="12"/>
  <c r="H455" i="12" s="1"/>
  <c r="E455" i="12" s="1"/>
  <c r="C457" i="12" l="1"/>
  <c r="D456" i="12"/>
  <c r="H456" i="12" s="1"/>
  <c r="E456" i="12" s="1"/>
  <c r="C458" i="12" l="1"/>
  <c r="D457" i="12"/>
  <c r="H457" i="12" s="1"/>
  <c r="E457" i="12" s="1"/>
  <c r="D458" i="12" l="1"/>
  <c r="H458" i="12" s="1"/>
  <c r="E458" i="12" s="1"/>
  <c r="C459" i="12"/>
  <c r="D459" i="12" l="1"/>
  <c r="H459" i="12" s="1"/>
  <c r="E459" i="12" s="1"/>
  <c r="C460" i="12"/>
  <c r="C461" i="12" l="1"/>
  <c r="D460" i="12"/>
  <c r="H460" i="12" s="1"/>
  <c r="E460" i="12" s="1"/>
  <c r="C462" i="12" l="1"/>
  <c r="D461" i="12"/>
  <c r="H461" i="12" s="1"/>
  <c r="E461" i="12" s="1"/>
  <c r="C463" i="12" l="1"/>
  <c r="D462" i="12"/>
  <c r="H462" i="12" s="1"/>
  <c r="E462" i="12" s="1"/>
  <c r="D463" i="12" l="1"/>
  <c r="H463" i="12" s="1"/>
  <c r="E463" i="12" s="1"/>
  <c r="C464" i="12"/>
  <c r="C465" i="12" l="1"/>
  <c r="D464" i="12"/>
  <c r="H464" i="12" s="1"/>
  <c r="E464" i="12" s="1"/>
  <c r="C466" i="12" l="1"/>
  <c r="D465" i="12"/>
  <c r="H465" i="12" s="1"/>
  <c r="E465" i="12" s="1"/>
  <c r="D466" i="12" l="1"/>
  <c r="H466" i="12" s="1"/>
  <c r="E466" i="12" s="1"/>
  <c r="C467" i="12"/>
  <c r="C468" i="12" l="1"/>
  <c r="D467" i="12"/>
  <c r="H467" i="12" s="1"/>
  <c r="E467" i="12" s="1"/>
  <c r="C469" i="12" l="1"/>
  <c r="D468" i="12"/>
  <c r="H468" i="12" s="1"/>
  <c r="E468" i="12" s="1"/>
  <c r="D469" i="12" l="1"/>
  <c r="H469" i="12" s="1"/>
  <c r="E469" i="12" s="1"/>
  <c r="C470" i="12"/>
  <c r="D470" i="12" l="1"/>
  <c r="H470" i="12" s="1"/>
  <c r="E470" i="12" s="1"/>
  <c r="C471" i="12"/>
  <c r="C472" i="12" l="1"/>
  <c r="D471" i="12"/>
  <c r="H471" i="12" s="1"/>
  <c r="E471" i="12" s="1"/>
  <c r="C473" i="12" l="1"/>
  <c r="D472" i="12"/>
  <c r="H472" i="12" s="1"/>
  <c r="E472" i="12" s="1"/>
  <c r="D473" i="12" l="1"/>
  <c r="H473" i="12" s="1"/>
  <c r="E473" i="12" s="1"/>
  <c r="C474" i="12"/>
  <c r="D474" i="12" l="1"/>
  <c r="H474" i="12" s="1"/>
  <c r="E474" i="12" s="1"/>
  <c r="C475" i="12"/>
  <c r="C476" i="12" l="1"/>
  <c r="D475" i="12"/>
  <c r="H475" i="12" s="1"/>
  <c r="E475" i="12" s="1"/>
  <c r="C477" i="12" l="1"/>
  <c r="D476" i="12"/>
  <c r="H476" i="12" s="1"/>
  <c r="E476" i="12" s="1"/>
  <c r="D477" i="12" l="1"/>
  <c r="H477" i="12" s="1"/>
  <c r="E477" i="12" s="1"/>
  <c r="C478" i="12"/>
  <c r="D478" i="12" l="1"/>
  <c r="H478" i="12" s="1"/>
  <c r="E478" i="12" s="1"/>
  <c r="C479" i="12"/>
  <c r="C480" i="12" l="1"/>
  <c r="D479" i="12"/>
  <c r="H479" i="12" s="1"/>
  <c r="E479" i="12" s="1"/>
  <c r="C481" i="12" l="1"/>
  <c r="D480" i="12"/>
  <c r="H480" i="12" s="1"/>
  <c r="E480" i="12" s="1"/>
  <c r="D481" i="12" l="1"/>
  <c r="H481" i="12" s="1"/>
  <c r="E481" i="12" s="1"/>
  <c r="C482" i="12"/>
  <c r="D482" i="12" l="1"/>
  <c r="H482" i="12" s="1"/>
  <c r="E482" i="12" s="1"/>
  <c r="C483" i="12"/>
  <c r="C484" i="12" l="1"/>
  <c r="D483" i="12"/>
  <c r="H483" i="12" s="1"/>
  <c r="E483" i="12" s="1"/>
  <c r="C485" i="12" l="1"/>
  <c r="D484" i="12"/>
  <c r="H484" i="12" s="1"/>
  <c r="E484" i="12" s="1"/>
  <c r="D485" i="12" l="1"/>
  <c r="H485" i="12" s="1"/>
  <c r="E485" i="12" s="1"/>
  <c r="C486" i="12"/>
  <c r="D486" i="12" l="1"/>
  <c r="H486" i="12" s="1"/>
  <c r="E486" i="12" s="1"/>
  <c r="C487" i="12"/>
  <c r="C488" i="12" l="1"/>
  <c r="D487" i="12"/>
  <c r="H487" i="12" s="1"/>
  <c r="E487" i="12" s="1"/>
  <c r="C489" i="12" l="1"/>
  <c r="D488" i="12"/>
  <c r="H488" i="12" s="1"/>
  <c r="E488" i="12" s="1"/>
  <c r="D489" i="12" l="1"/>
  <c r="H489" i="12" s="1"/>
  <c r="E489" i="12" s="1"/>
  <c r="C490" i="12"/>
  <c r="D490" i="12" l="1"/>
  <c r="H490" i="12" s="1"/>
  <c r="E490" i="12" s="1"/>
  <c r="C491" i="12"/>
  <c r="C492" i="12" l="1"/>
  <c r="D491" i="12"/>
  <c r="H491" i="12" s="1"/>
  <c r="E491" i="12" s="1"/>
  <c r="C493" i="12" l="1"/>
  <c r="D492" i="12"/>
  <c r="H492" i="12" s="1"/>
  <c r="E492" i="12" s="1"/>
  <c r="D493" i="12" l="1"/>
  <c r="H493" i="12" s="1"/>
  <c r="E493" i="12" s="1"/>
  <c r="C494" i="12"/>
  <c r="D494" i="12" l="1"/>
  <c r="H494" i="12" s="1"/>
  <c r="E494" i="12" s="1"/>
  <c r="C495" i="12"/>
  <c r="D495" i="12" l="1"/>
  <c r="H495" i="12" s="1"/>
  <c r="E495" i="12" s="1"/>
  <c r="C496" i="12"/>
  <c r="C497" i="12" l="1"/>
  <c r="D496" i="12"/>
  <c r="H496" i="12" s="1"/>
  <c r="E496" i="12" s="1"/>
  <c r="D497" i="12" l="1"/>
  <c r="H497" i="12" s="1"/>
  <c r="E497" i="12" s="1"/>
  <c r="C498" i="12"/>
  <c r="C499" i="12" l="1"/>
  <c r="D498" i="12"/>
  <c r="H498" i="12" s="1"/>
  <c r="E498" i="12" s="1"/>
  <c r="D499" i="12" l="1"/>
  <c r="H499" i="12" s="1"/>
  <c r="E499" i="12" s="1"/>
  <c r="C500" i="12"/>
  <c r="C501" i="12" l="1"/>
  <c r="D500" i="12"/>
  <c r="H500" i="12" s="1"/>
  <c r="E500" i="12" s="1"/>
  <c r="D501" i="12" l="1"/>
  <c r="H501" i="12" s="1"/>
  <c r="E501" i="12" s="1"/>
  <c r="C502" i="12"/>
  <c r="C503" i="12" l="1"/>
  <c r="D502" i="12"/>
  <c r="H502" i="12" s="1"/>
  <c r="E502" i="12" s="1"/>
  <c r="D503" i="12" l="1"/>
  <c r="H503" i="12" s="1"/>
  <c r="E503" i="12" s="1"/>
  <c r="C504" i="12"/>
  <c r="C505" i="12" l="1"/>
  <c r="D504" i="12"/>
  <c r="H504" i="12" s="1"/>
  <c r="E504" i="12" s="1"/>
  <c r="D505" i="12" l="1"/>
  <c r="H505" i="12" s="1"/>
  <c r="E505" i="12" s="1"/>
  <c r="C506" i="12"/>
  <c r="D506" i="12" l="1"/>
  <c r="H506" i="12" s="1"/>
  <c r="E506" i="12" s="1"/>
  <c r="C507" i="12"/>
  <c r="D507" i="12" l="1"/>
  <c r="H507" i="12" s="1"/>
  <c r="E507" i="12" s="1"/>
  <c r="C508" i="12"/>
  <c r="C509" i="12" l="1"/>
  <c r="D508" i="12"/>
  <c r="H508" i="12" s="1"/>
  <c r="E508" i="12" s="1"/>
  <c r="D509" i="12" l="1"/>
  <c r="H509" i="12" s="1"/>
  <c r="E509" i="12" s="1"/>
  <c r="C510" i="12"/>
  <c r="D510" i="12" l="1"/>
  <c r="H510" i="12" s="1"/>
  <c r="E510" i="12" s="1"/>
  <c r="C511" i="12"/>
  <c r="D511" i="12" l="1"/>
  <c r="H511" i="12" s="1"/>
  <c r="E511" i="12" s="1"/>
  <c r="C512" i="12"/>
  <c r="C513" i="12" l="1"/>
  <c r="D512" i="12"/>
  <c r="H512" i="12" s="1"/>
  <c r="E512" i="12" s="1"/>
  <c r="D513" i="12" l="1"/>
  <c r="H513" i="12" s="1"/>
  <c r="E513" i="12" s="1"/>
  <c r="C514" i="12"/>
  <c r="C515" i="12" l="1"/>
  <c r="D514" i="12"/>
  <c r="H514" i="12" s="1"/>
  <c r="E514" i="12" s="1"/>
  <c r="D515" i="12" l="1"/>
  <c r="H515" i="12" s="1"/>
  <c r="E515" i="12" s="1"/>
  <c r="C516" i="12"/>
  <c r="C517" i="12" l="1"/>
  <c r="D516" i="12"/>
  <c r="H516" i="12" s="1"/>
  <c r="E516" i="12" s="1"/>
  <c r="D517" i="12" l="1"/>
  <c r="H517" i="12" s="1"/>
  <c r="E517" i="12" s="1"/>
  <c r="C518" i="12"/>
  <c r="C519" i="12" l="1"/>
  <c r="D518" i="12"/>
  <c r="H518" i="12" s="1"/>
  <c r="E518" i="12" s="1"/>
  <c r="D519" i="12" l="1"/>
  <c r="H519" i="12" s="1"/>
  <c r="E519" i="12" s="1"/>
  <c r="C520" i="12"/>
  <c r="C521" i="12" l="1"/>
  <c r="D520" i="12"/>
  <c r="H520" i="12" s="1"/>
  <c r="E520" i="12" s="1"/>
  <c r="D521" i="12" l="1"/>
  <c r="H521" i="12" s="1"/>
  <c r="E521" i="12" s="1"/>
  <c r="C522" i="12"/>
  <c r="D522" i="12" l="1"/>
  <c r="H522" i="12" s="1"/>
  <c r="E522" i="12" s="1"/>
  <c r="C523" i="12"/>
  <c r="D523" i="12" l="1"/>
  <c r="H523" i="12" s="1"/>
  <c r="E523" i="12" s="1"/>
  <c r="C524" i="12"/>
  <c r="C525" i="12" l="1"/>
  <c r="D524" i="12"/>
  <c r="H524" i="12" s="1"/>
  <c r="E524" i="12" s="1"/>
  <c r="D525" i="12" l="1"/>
  <c r="H525" i="12" s="1"/>
  <c r="E525" i="12" s="1"/>
  <c r="C526" i="12"/>
  <c r="D526" i="12" l="1"/>
  <c r="H526" i="12" s="1"/>
  <c r="E526" i="12" s="1"/>
  <c r="C527" i="12"/>
  <c r="D527" i="12" l="1"/>
  <c r="H527" i="12" s="1"/>
  <c r="E527" i="12" s="1"/>
  <c r="C528" i="12"/>
  <c r="C529" i="12" l="1"/>
  <c r="D528" i="12"/>
  <c r="H528" i="12" s="1"/>
  <c r="E528" i="12" s="1"/>
  <c r="D529" i="12" l="1"/>
  <c r="H529" i="12" s="1"/>
  <c r="E529" i="12" s="1"/>
  <c r="C530" i="12"/>
  <c r="C531" i="12" l="1"/>
  <c r="D530" i="12"/>
  <c r="H530" i="12" s="1"/>
  <c r="E530" i="12" s="1"/>
  <c r="D531" i="12" l="1"/>
  <c r="H531" i="12" s="1"/>
  <c r="E531" i="12" s="1"/>
  <c r="C532" i="12"/>
  <c r="C533" i="12" l="1"/>
  <c r="D532" i="12"/>
  <c r="H532" i="12" s="1"/>
  <c r="E532" i="12" s="1"/>
  <c r="D533" i="12" l="1"/>
  <c r="H533" i="12" s="1"/>
  <c r="E533" i="12" s="1"/>
  <c r="C534" i="12"/>
  <c r="C535" i="12" l="1"/>
  <c r="D534" i="12"/>
  <c r="H534" i="12" s="1"/>
  <c r="E534" i="12" s="1"/>
  <c r="D535" i="12" l="1"/>
  <c r="H535" i="12" s="1"/>
  <c r="E535" i="12" s="1"/>
  <c r="C536" i="12"/>
  <c r="C537" i="12" l="1"/>
  <c r="D536" i="12"/>
  <c r="H536" i="12" s="1"/>
  <c r="E536" i="12" s="1"/>
  <c r="D537" i="12" l="1"/>
  <c r="H537" i="12" s="1"/>
  <c r="E537" i="12" s="1"/>
  <c r="C538" i="12"/>
  <c r="D538" i="12" l="1"/>
  <c r="H538" i="12" s="1"/>
  <c r="E538" i="12" s="1"/>
  <c r="C539" i="12"/>
  <c r="D539" i="12" l="1"/>
  <c r="H539" i="12" s="1"/>
  <c r="E539" i="12" s="1"/>
  <c r="C540" i="12"/>
  <c r="C541" i="12" l="1"/>
  <c r="D540" i="12"/>
  <c r="H540" i="12" s="1"/>
  <c r="E540" i="12" s="1"/>
  <c r="D541" i="12" l="1"/>
  <c r="H541" i="12" s="1"/>
  <c r="E541" i="12" s="1"/>
  <c r="C542" i="12"/>
  <c r="D542" i="12" l="1"/>
  <c r="H542" i="12" s="1"/>
  <c r="E542" i="12" s="1"/>
  <c r="C543" i="12"/>
  <c r="D543" i="12" l="1"/>
  <c r="H543" i="12" s="1"/>
  <c r="E543" i="12" s="1"/>
  <c r="C544" i="12"/>
  <c r="C545" i="12" l="1"/>
  <c r="D544" i="12"/>
  <c r="H544" i="12" s="1"/>
  <c r="E544" i="12" s="1"/>
  <c r="D545" i="12" l="1"/>
  <c r="H545" i="12" s="1"/>
  <c r="E545" i="12" s="1"/>
  <c r="C546" i="12"/>
  <c r="C547" i="12" l="1"/>
  <c r="D546" i="12"/>
  <c r="H546" i="12" s="1"/>
  <c r="E546" i="12" s="1"/>
  <c r="D547" i="12" l="1"/>
  <c r="H547" i="12" s="1"/>
  <c r="E547" i="12" s="1"/>
  <c r="C548" i="12"/>
  <c r="C549" i="12" l="1"/>
  <c r="D548" i="12"/>
  <c r="H548" i="12" s="1"/>
  <c r="E548" i="12" s="1"/>
  <c r="D549" i="12" l="1"/>
  <c r="H549" i="12" s="1"/>
  <c r="E549" i="12" s="1"/>
  <c r="C550" i="12"/>
  <c r="C551" i="12" l="1"/>
  <c r="D550" i="12"/>
  <c r="H550" i="12" s="1"/>
  <c r="E550" i="12" s="1"/>
  <c r="D551" i="12" l="1"/>
  <c r="H551" i="12" s="1"/>
  <c r="E551" i="12" s="1"/>
  <c r="C552" i="12"/>
  <c r="C553" i="12" l="1"/>
  <c r="D552" i="12"/>
  <c r="H552" i="12" s="1"/>
  <c r="E552" i="12" s="1"/>
  <c r="D553" i="12" l="1"/>
  <c r="H553" i="12" s="1"/>
  <c r="E553" i="12" s="1"/>
  <c r="C554" i="12"/>
  <c r="D554" i="12" l="1"/>
  <c r="H554" i="12" s="1"/>
  <c r="E554" i="12" s="1"/>
  <c r="C555" i="12"/>
  <c r="D555" i="12" l="1"/>
  <c r="H555" i="12" s="1"/>
  <c r="E555" i="12" s="1"/>
  <c r="C556" i="12"/>
  <c r="C557" i="12" l="1"/>
  <c r="D556" i="12"/>
  <c r="H556" i="12" s="1"/>
  <c r="E556" i="12" s="1"/>
  <c r="D557" i="12" l="1"/>
  <c r="H557" i="12" s="1"/>
  <c r="E557" i="12" s="1"/>
  <c r="C558" i="12"/>
  <c r="D558" i="12" l="1"/>
  <c r="H558" i="12" s="1"/>
  <c r="E558" i="12" s="1"/>
  <c r="C559" i="12"/>
  <c r="D559" i="12" l="1"/>
  <c r="H559" i="12" s="1"/>
  <c r="E559" i="12" s="1"/>
  <c r="C560" i="12"/>
  <c r="C561" i="12" l="1"/>
  <c r="D560" i="12"/>
  <c r="H560" i="12" s="1"/>
  <c r="E560" i="12" s="1"/>
  <c r="D561" i="12" l="1"/>
  <c r="H561" i="12" s="1"/>
  <c r="E561" i="12" s="1"/>
  <c r="C562" i="12"/>
  <c r="D562" i="12" l="1"/>
  <c r="H562" i="12" s="1"/>
  <c r="E562" i="12" s="1"/>
  <c r="C563" i="12"/>
  <c r="D563" i="12" l="1"/>
  <c r="H563" i="12" s="1"/>
  <c r="E563" i="12" s="1"/>
  <c r="C564" i="12"/>
  <c r="C565" i="12" l="1"/>
  <c r="D564" i="12"/>
  <c r="H564" i="12" s="1"/>
  <c r="E564" i="12" s="1"/>
  <c r="D565" i="12" l="1"/>
  <c r="H565" i="12" s="1"/>
  <c r="E565" i="12" s="1"/>
  <c r="C566" i="12"/>
  <c r="D566" i="12" l="1"/>
  <c r="H566" i="12" s="1"/>
  <c r="E566" i="12" s="1"/>
  <c r="C567" i="12"/>
  <c r="D567" i="12" l="1"/>
  <c r="H567" i="12" s="1"/>
  <c r="E567" i="12" s="1"/>
  <c r="C568" i="12"/>
  <c r="C569" i="12" l="1"/>
  <c r="D568" i="12"/>
  <c r="H568" i="12" s="1"/>
  <c r="E568" i="12" s="1"/>
  <c r="D569" i="12" l="1"/>
  <c r="H569" i="12" s="1"/>
  <c r="E569" i="12" s="1"/>
  <c r="C570" i="12"/>
  <c r="D570" i="12" l="1"/>
  <c r="H570" i="12" s="1"/>
  <c r="E570" i="12" s="1"/>
  <c r="C571" i="12"/>
  <c r="D571" i="12" l="1"/>
  <c r="H571" i="12" s="1"/>
  <c r="E571" i="12" s="1"/>
  <c r="C572" i="12"/>
  <c r="C573" i="12" l="1"/>
  <c r="D572" i="12"/>
  <c r="H572" i="12" s="1"/>
  <c r="E572" i="12" s="1"/>
  <c r="D573" i="12" l="1"/>
  <c r="H573" i="12" s="1"/>
  <c r="E573" i="12" s="1"/>
  <c r="C574" i="12"/>
  <c r="D574" i="12" l="1"/>
  <c r="H574" i="12" s="1"/>
  <c r="E574" i="12" s="1"/>
  <c r="C575" i="12"/>
  <c r="D575" i="12" l="1"/>
  <c r="H575" i="12" s="1"/>
  <c r="E575" i="12" s="1"/>
  <c r="C576" i="12"/>
  <c r="C577" i="12" l="1"/>
  <c r="D576" i="12"/>
  <c r="H576" i="12" s="1"/>
  <c r="E576" i="12" s="1"/>
  <c r="D577" i="12" l="1"/>
  <c r="H577" i="12" s="1"/>
  <c r="E577" i="12" s="1"/>
  <c r="C578" i="12"/>
  <c r="D578" i="12" l="1"/>
  <c r="H578" i="12" s="1"/>
  <c r="E578" i="12" s="1"/>
  <c r="C579" i="12"/>
  <c r="D579" i="12" l="1"/>
  <c r="H579" i="12" s="1"/>
  <c r="E579" i="12" s="1"/>
  <c r="C580" i="12"/>
  <c r="C581" i="12" l="1"/>
  <c r="D580" i="12"/>
  <c r="H580" i="12" s="1"/>
  <c r="E580" i="12" s="1"/>
  <c r="D581" i="12" l="1"/>
  <c r="H581" i="12" s="1"/>
  <c r="E581" i="12" s="1"/>
  <c r="C582" i="12"/>
  <c r="D582" i="12" l="1"/>
  <c r="H582" i="12" s="1"/>
  <c r="E582" i="12" s="1"/>
  <c r="C583" i="12"/>
  <c r="D583" i="12" l="1"/>
  <c r="H583" i="12" s="1"/>
  <c r="E583" i="12" s="1"/>
  <c r="C584" i="12"/>
  <c r="C585" i="12" l="1"/>
  <c r="D584" i="12"/>
  <c r="H584" i="12" s="1"/>
  <c r="E584" i="12" s="1"/>
  <c r="D585" i="12" l="1"/>
  <c r="H585" i="12" s="1"/>
  <c r="E585" i="12" s="1"/>
  <c r="C586" i="12"/>
  <c r="D586" i="12" l="1"/>
  <c r="H586" i="12" s="1"/>
  <c r="E586" i="12" s="1"/>
  <c r="C587" i="12"/>
  <c r="D587" i="12" l="1"/>
  <c r="H587" i="12" s="1"/>
  <c r="E587" i="12" s="1"/>
  <c r="C588" i="12"/>
  <c r="C589" i="12" l="1"/>
  <c r="D588" i="12"/>
  <c r="H588" i="12" s="1"/>
  <c r="E588" i="12" s="1"/>
  <c r="D589" i="12" l="1"/>
  <c r="H589" i="12" s="1"/>
  <c r="E589" i="12" s="1"/>
  <c r="C590" i="12"/>
  <c r="D590" i="12" l="1"/>
  <c r="H590" i="12" s="1"/>
  <c r="E590" i="12" s="1"/>
  <c r="C591" i="12"/>
  <c r="C592" i="12" l="1"/>
  <c r="D591" i="12"/>
  <c r="H591" i="12" s="1"/>
  <c r="E591" i="12" s="1"/>
  <c r="C593" i="12" l="1"/>
  <c r="D592" i="12"/>
  <c r="H592" i="12" s="1"/>
  <c r="E592" i="12" s="1"/>
  <c r="D593" i="12" l="1"/>
  <c r="H593" i="12" s="1"/>
  <c r="E593" i="12" s="1"/>
  <c r="C594" i="12"/>
  <c r="C595" i="12" l="1"/>
  <c r="D594" i="12"/>
  <c r="H594" i="12" s="1"/>
  <c r="E594" i="12" s="1"/>
  <c r="C596" i="12" l="1"/>
  <c r="D595" i="12"/>
  <c r="H595" i="12" s="1"/>
  <c r="E595" i="12" s="1"/>
  <c r="D596" i="12" l="1"/>
  <c r="H596" i="12" s="1"/>
  <c r="E596" i="12" s="1"/>
  <c r="C597" i="12"/>
  <c r="C598" i="12" l="1"/>
  <c r="D597" i="12"/>
  <c r="H597" i="12" s="1"/>
  <c r="E597" i="12" s="1"/>
  <c r="C599" i="12" l="1"/>
  <c r="D598" i="12"/>
  <c r="H598" i="12" s="1"/>
  <c r="E598" i="12" s="1"/>
  <c r="C600" i="12" l="1"/>
  <c r="D599" i="12"/>
  <c r="H599" i="12" s="1"/>
  <c r="E599" i="12" s="1"/>
  <c r="C601" i="12" l="1"/>
  <c r="D600" i="12"/>
  <c r="H600" i="12" s="1"/>
  <c r="E600" i="12" s="1"/>
  <c r="C602" i="12" l="1"/>
  <c r="D601" i="12"/>
  <c r="H601" i="12" s="1"/>
  <c r="E601" i="12" s="1"/>
  <c r="D602" i="12" l="1"/>
  <c r="H602" i="12" s="1"/>
  <c r="E602" i="12" s="1"/>
  <c r="C603" i="12"/>
  <c r="C604" i="12" l="1"/>
  <c r="D603" i="12"/>
  <c r="H603" i="12" s="1"/>
  <c r="E603" i="12" s="1"/>
  <c r="D604" i="12" l="1"/>
  <c r="H604" i="12" s="1"/>
  <c r="E604" i="12" s="1"/>
  <c r="C605" i="12"/>
  <c r="D605" i="12" l="1"/>
  <c r="H605" i="12" s="1"/>
  <c r="E605" i="12" s="1"/>
  <c r="C606" i="12"/>
  <c r="C607" i="12" l="1"/>
  <c r="D606" i="12"/>
  <c r="H606" i="12" s="1"/>
  <c r="E606" i="12" s="1"/>
  <c r="C608" i="12" l="1"/>
  <c r="D607" i="12"/>
  <c r="H607" i="12" s="1"/>
  <c r="E607" i="12" s="1"/>
  <c r="C609" i="12" l="1"/>
  <c r="D608" i="12"/>
  <c r="H608" i="12" s="1"/>
  <c r="E608" i="12" s="1"/>
  <c r="D609" i="12" l="1"/>
  <c r="H609" i="12" s="1"/>
  <c r="E609" i="12" s="1"/>
  <c r="C610" i="12"/>
  <c r="C611" i="12" l="1"/>
  <c r="D610" i="12"/>
  <c r="H610" i="12" s="1"/>
  <c r="E610" i="12" s="1"/>
  <c r="C612" i="12" l="1"/>
  <c r="D611" i="12"/>
  <c r="H611" i="12" s="1"/>
  <c r="E611" i="12" s="1"/>
  <c r="C613" i="12" l="1"/>
  <c r="D612" i="12"/>
  <c r="H612" i="12" s="1"/>
  <c r="E612" i="12" s="1"/>
  <c r="C614" i="12" l="1"/>
  <c r="D613" i="12"/>
  <c r="H613" i="12" s="1"/>
  <c r="E613" i="12" s="1"/>
  <c r="D614" i="12" l="1"/>
  <c r="H614" i="12" s="1"/>
  <c r="E614" i="12" s="1"/>
  <c r="C615" i="12"/>
  <c r="C616" i="12" l="1"/>
  <c r="D615" i="12"/>
  <c r="H615" i="12" s="1"/>
  <c r="E615" i="12" s="1"/>
  <c r="D616" i="12" l="1"/>
  <c r="H616" i="12" s="1"/>
  <c r="E616" i="12" s="1"/>
  <c r="C617" i="12"/>
  <c r="D617" i="12" l="1"/>
  <c r="H617" i="12" s="1"/>
  <c r="E617" i="12" s="1"/>
  <c r="C618" i="12"/>
  <c r="C619" i="12" l="1"/>
  <c r="D618" i="12"/>
  <c r="H618" i="12" s="1"/>
  <c r="E618" i="12" s="1"/>
  <c r="C620" i="12" l="1"/>
  <c r="D619" i="12"/>
  <c r="H619" i="12" s="1"/>
  <c r="E619" i="12" s="1"/>
  <c r="D620" i="12" l="1"/>
  <c r="H620" i="12" s="1"/>
  <c r="E620" i="12" s="1"/>
  <c r="C621" i="12"/>
  <c r="D621" i="12" l="1"/>
  <c r="H621" i="12" s="1"/>
  <c r="E621" i="12" s="1"/>
  <c r="C622" i="12"/>
  <c r="C623" i="12" l="1"/>
  <c r="D622" i="12"/>
  <c r="H622" i="12" s="1"/>
  <c r="E622" i="12" s="1"/>
  <c r="C624" i="12" l="1"/>
  <c r="D623" i="12"/>
  <c r="H623" i="12" s="1"/>
  <c r="E623" i="12" s="1"/>
  <c r="D624" i="12" l="1"/>
  <c r="H624" i="12" s="1"/>
  <c r="E624" i="12" s="1"/>
  <c r="C625" i="12"/>
  <c r="D625" i="12" l="1"/>
  <c r="H625" i="12" s="1"/>
  <c r="E625" i="12" s="1"/>
  <c r="C626" i="12"/>
  <c r="C627" i="12" l="1"/>
  <c r="D626" i="12"/>
  <c r="H626" i="12" s="1"/>
  <c r="E626" i="12" s="1"/>
  <c r="C628" i="12" l="1"/>
  <c r="D627" i="12"/>
  <c r="H627" i="12" s="1"/>
  <c r="E627" i="12" s="1"/>
  <c r="D628" i="12" l="1"/>
  <c r="H628" i="12" s="1"/>
  <c r="E628" i="12" s="1"/>
  <c r="C629" i="12"/>
  <c r="D629" i="12" l="1"/>
  <c r="H629" i="12" s="1"/>
  <c r="E629" i="12" s="1"/>
  <c r="C630" i="12"/>
  <c r="C631" i="12" l="1"/>
  <c r="D630" i="12"/>
  <c r="H630" i="12" s="1"/>
  <c r="E630" i="12" s="1"/>
  <c r="C632" i="12" l="1"/>
  <c r="D631" i="12"/>
  <c r="H631" i="12" s="1"/>
  <c r="E631" i="12" s="1"/>
  <c r="D632" i="12" l="1"/>
  <c r="H632" i="12" s="1"/>
  <c r="E632" i="12" s="1"/>
  <c r="C633" i="12"/>
  <c r="D633" i="12" l="1"/>
  <c r="H633" i="12" s="1"/>
  <c r="E633" i="12" s="1"/>
  <c r="C634" i="12"/>
  <c r="C635" i="12" l="1"/>
  <c r="D634" i="12"/>
  <c r="H634" i="12" s="1"/>
  <c r="E634" i="12" s="1"/>
  <c r="C636" i="12" l="1"/>
  <c r="D635" i="12"/>
  <c r="H635" i="12" s="1"/>
  <c r="E635" i="12" s="1"/>
  <c r="D636" i="12" l="1"/>
  <c r="H636" i="12" s="1"/>
  <c r="E636" i="12" s="1"/>
  <c r="C637" i="12"/>
  <c r="D637" i="12" l="1"/>
  <c r="H637" i="12" s="1"/>
  <c r="E637" i="12" s="1"/>
  <c r="C638" i="12"/>
  <c r="C639" i="12" l="1"/>
  <c r="D638" i="12"/>
  <c r="H638" i="12" s="1"/>
  <c r="E638" i="12" s="1"/>
  <c r="C640" i="12" l="1"/>
  <c r="D639" i="12"/>
  <c r="H639" i="12" s="1"/>
  <c r="E639" i="12" s="1"/>
  <c r="D640" i="12" l="1"/>
  <c r="H640" i="12" s="1"/>
  <c r="E640" i="12" s="1"/>
  <c r="C641" i="12"/>
  <c r="D641" i="12" l="1"/>
  <c r="H641" i="12" s="1"/>
  <c r="E641" i="12" s="1"/>
  <c r="C642" i="12"/>
  <c r="C643" i="12" l="1"/>
  <c r="D642" i="12"/>
  <c r="H642" i="12" s="1"/>
  <c r="E642" i="12" s="1"/>
  <c r="C644" i="12" l="1"/>
  <c r="D643" i="12"/>
  <c r="H643" i="12" s="1"/>
  <c r="E643" i="12" s="1"/>
  <c r="D644" i="12" l="1"/>
  <c r="H644" i="12" s="1"/>
  <c r="E644" i="12" s="1"/>
  <c r="C645" i="12"/>
  <c r="D645" i="12" l="1"/>
  <c r="H645" i="12" s="1"/>
  <c r="E645" i="12" s="1"/>
  <c r="C646" i="12"/>
  <c r="C647" i="12" l="1"/>
  <c r="D646" i="12"/>
  <c r="H646" i="12" s="1"/>
  <c r="E646" i="12" s="1"/>
  <c r="C648" i="12" l="1"/>
  <c r="D647" i="12"/>
  <c r="H647" i="12" s="1"/>
  <c r="E647" i="12" s="1"/>
  <c r="D648" i="12" l="1"/>
  <c r="H648" i="12" s="1"/>
  <c r="E648" i="12" s="1"/>
  <c r="C649" i="12"/>
  <c r="D649" i="12" l="1"/>
  <c r="H649" i="12" s="1"/>
  <c r="E649" i="12" s="1"/>
  <c r="C650" i="12"/>
  <c r="C651" i="12" l="1"/>
  <c r="D650" i="12"/>
  <c r="H650" i="12" s="1"/>
  <c r="E650" i="12" s="1"/>
  <c r="C652" i="12" l="1"/>
  <c r="D651" i="12"/>
  <c r="H651" i="12" s="1"/>
  <c r="E651" i="12" s="1"/>
  <c r="D652" i="12" l="1"/>
  <c r="H652" i="12" s="1"/>
  <c r="E652" i="12" s="1"/>
  <c r="C653" i="12"/>
  <c r="D653" i="12" l="1"/>
  <c r="H653" i="12" s="1"/>
  <c r="E653" i="12" s="1"/>
  <c r="C654" i="12"/>
  <c r="C655" i="12" l="1"/>
  <c r="D654" i="12"/>
  <c r="H654" i="12" s="1"/>
  <c r="E654" i="12" s="1"/>
  <c r="C656" i="12" l="1"/>
  <c r="D655" i="12"/>
  <c r="H655" i="12" s="1"/>
  <c r="E655" i="12" s="1"/>
  <c r="D656" i="12" l="1"/>
  <c r="H656" i="12" s="1"/>
  <c r="E656" i="12" s="1"/>
  <c r="C657" i="12"/>
  <c r="D657" i="12" l="1"/>
  <c r="H657" i="12" s="1"/>
  <c r="E657" i="12" s="1"/>
  <c r="C658" i="12"/>
  <c r="C659" i="12" l="1"/>
  <c r="D658" i="12"/>
  <c r="H658" i="12" s="1"/>
  <c r="E658" i="12" s="1"/>
  <c r="C660" i="12" l="1"/>
  <c r="D659" i="12"/>
  <c r="H659" i="12" s="1"/>
  <c r="E659" i="12" s="1"/>
  <c r="D660" i="12" l="1"/>
  <c r="H660" i="12" s="1"/>
  <c r="E660" i="12" s="1"/>
  <c r="C661" i="12"/>
  <c r="D661" i="12" l="1"/>
  <c r="H661" i="12" s="1"/>
  <c r="E661" i="12" s="1"/>
  <c r="C662" i="12"/>
  <c r="C663" i="12" l="1"/>
  <c r="D662" i="12"/>
  <c r="H662" i="12" s="1"/>
  <c r="E662" i="12" s="1"/>
  <c r="C664" i="12" l="1"/>
  <c r="D663" i="12"/>
  <c r="H663" i="12" s="1"/>
  <c r="E663" i="12" s="1"/>
  <c r="D664" i="12" l="1"/>
  <c r="H664" i="12" s="1"/>
  <c r="E664" i="12" s="1"/>
  <c r="C665" i="12"/>
  <c r="D665" i="12" l="1"/>
  <c r="H665" i="12" s="1"/>
  <c r="E665" i="12" s="1"/>
  <c r="C666" i="12"/>
  <c r="C667" i="12" l="1"/>
  <c r="D666" i="12"/>
  <c r="H666" i="12" s="1"/>
  <c r="E666" i="12" s="1"/>
  <c r="C668" i="12" l="1"/>
  <c r="D667" i="12"/>
  <c r="H667" i="12" s="1"/>
  <c r="E667" i="12" s="1"/>
  <c r="D668" i="12" l="1"/>
  <c r="H668" i="12" s="1"/>
  <c r="E668" i="12" s="1"/>
  <c r="C669" i="12"/>
  <c r="D669" i="12" l="1"/>
  <c r="H669" i="12" s="1"/>
  <c r="E669" i="12" s="1"/>
  <c r="C670" i="12"/>
  <c r="D670" i="12" l="1"/>
  <c r="H670" i="12" s="1"/>
  <c r="E670" i="12" s="1"/>
  <c r="C671" i="12"/>
  <c r="C672" i="12" l="1"/>
  <c r="D671" i="12"/>
  <c r="H671" i="12" s="1"/>
  <c r="E671" i="12" s="1"/>
  <c r="D672" i="12" l="1"/>
  <c r="H672" i="12" s="1"/>
  <c r="E672" i="12" s="1"/>
  <c r="C673" i="12"/>
  <c r="D673" i="12" l="1"/>
  <c r="H673" i="12" s="1"/>
  <c r="E673" i="12" s="1"/>
  <c r="C674" i="12"/>
  <c r="D674" i="12" l="1"/>
  <c r="H674" i="12" s="1"/>
  <c r="E674" i="12" s="1"/>
  <c r="C675" i="12"/>
  <c r="C676" i="12" l="1"/>
  <c r="D675" i="12"/>
  <c r="H675" i="12" s="1"/>
  <c r="E675" i="12" s="1"/>
  <c r="D676" i="12" l="1"/>
  <c r="H676" i="12" s="1"/>
  <c r="E676" i="12" s="1"/>
  <c r="C677" i="12"/>
  <c r="D677" i="12" l="1"/>
  <c r="H677" i="12" s="1"/>
  <c r="E677" i="12" s="1"/>
  <c r="C678" i="12"/>
  <c r="D678" i="12" l="1"/>
  <c r="H678" i="12" s="1"/>
  <c r="E678" i="12" s="1"/>
  <c r="C679" i="12"/>
  <c r="C680" i="12" l="1"/>
  <c r="D679" i="12"/>
  <c r="H679" i="12" s="1"/>
  <c r="E679" i="12" s="1"/>
  <c r="D680" i="12" l="1"/>
  <c r="H680" i="12" s="1"/>
  <c r="E680" i="12" s="1"/>
  <c r="C681" i="12"/>
  <c r="D681" i="12" l="1"/>
  <c r="H681" i="12" s="1"/>
  <c r="E681" i="12" s="1"/>
  <c r="C682" i="12"/>
  <c r="D682" i="12" l="1"/>
  <c r="H682" i="12" s="1"/>
  <c r="E682" i="12" s="1"/>
  <c r="C683" i="12"/>
  <c r="C684" i="12" l="1"/>
  <c r="D683" i="12"/>
  <c r="H683" i="12" s="1"/>
  <c r="E683" i="12" s="1"/>
  <c r="D684" i="12" l="1"/>
  <c r="H684" i="12" s="1"/>
  <c r="E684" i="12" s="1"/>
  <c r="C685" i="12"/>
  <c r="D685" i="12" l="1"/>
  <c r="H685" i="12" s="1"/>
  <c r="E685" i="12" s="1"/>
  <c r="C686" i="12"/>
  <c r="D686" i="12" l="1"/>
  <c r="H686" i="12" s="1"/>
  <c r="E686" i="12" s="1"/>
  <c r="C687" i="12"/>
  <c r="C688" i="12" l="1"/>
  <c r="D687" i="12"/>
  <c r="H687" i="12" s="1"/>
  <c r="E687" i="12" s="1"/>
  <c r="D688" i="12" l="1"/>
  <c r="H688" i="12" s="1"/>
  <c r="E688" i="12" s="1"/>
  <c r="C689" i="12"/>
  <c r="D689" i="12" l="1"/>
  <c r="H689" i="12" s="1"/>
  <c r="E689" i="12" s="1"/>
  <c r="C690" i="12"/>
  <c r="D690" i="12" l="1"/>
  <c r="H690" i="12" s="1"/>
  <c r="E690" i="12" s="1"/>
  <c r="C691" i="12"/>
  <c r="C692" i="12" l="1"/>
  <c r="D691" i="12"/>
  <c r="H691" i="12" s="1"/>
  <c r="E691" i="12" s="1"/>
  <c r="D692" i="12" l="1"/>
  <c r="H692" i="12" s="1"/>
  <c r="E692" i="12" s="1"/>
  <c r="C693" i="12"/>
  <c r="D693" i="12" l="1"/>
  <c r="H693" i="12" s="1"/>
  <c r="E693" i="12" s="1"/>
  <c r="C694" i="12"/>
  <c r="D694" i="12" l="1"/>
  <c r="H694" i="12" s="1"/>
  <c r="E694" i="12" s="1"/>
  <c r="C695" i="12"/>
  <c r="C696" i="12" l="1"/>
  <c r="D695" i="12"/>
  <c r="H695" i="12" s="1"/>
  <c r="E695" i="12" s="1"/>
  <c r="D696" i="12" l="1"/>
  <c r="H696" i="12" s="1"/>
  <c r="E696" i="12" s="1"/>
  <c r="C697" i="12"/>
  <c r="D697" i="12" l="1"/>
  <c r="H697" i="12" s="1"/>
  <c r="E697" i="12" s="1"/>
  <c r="C698" i="12"/>
  <c r="D698" i="12" l="1"/>
  <c r="H698" i="12" s="1"/>
  <c r="E698" i="12" s="1"/>
  <c r="C699" i="12"/>
  <c r="C700" i="12" l="1"/>
  <c r="D699" i="12"/>
  <c r="H699" i="12" s="1"/>
  <c r="E699" i="12" s="1"/>
  <c r="D700" i="12" l="1"/>
  <c r="H700" i="12" s="1"/>
  <c r="E700" i="12" s="1"/>
  <c r="C701" i="12"/>
  <c r="D701" i="12" l="1"/>
  <c r="H701" i="12" s="1"/>
  <c r="E701" i="12" s="1"/>
  <c r="C702" i="12"/>
  <c r="D702" i="12" l="1"/>
  <c r="H702" i="12" s="1"/>
  <c r="E702" i="12" s="1"/>
  <c r="C703" i="12"/>
  <c r="C704" i="12" l="1"/>
  <c r="D703" i="12"/>
  <c r="H703" i="12" s="1"/>
  <c r="E703" i="12" s="1"/>
  <c r="D704" i="12" l="1"/>
  <c r="H704" i="12" s="1"/>
  <c r="E704" i="12" s="1"/>
  <c r="C705" i="12"/>
  <c r="D705" i="12" l="1"/>
  <c r="H705" i="12" s="1"/>
  <c r="E705" i="12" s="1"/>
  <c r="C706" i="12"/>
  <c r="C707" i="12" l="1"/>
  <c r="D706" i="12"/>
  <c r="H706" i="12" s="1"/>
  <c r="E706" i="12" s="1"/>
  <c r="C708" i="12" l="1"/>
  <c r="D707" i="12"/>
  <c r="H707" i="12" s="1"/>
  <c r="E707" i="12" s="1"/>
  <c r="C709" i="12" l="1"/>
  <c r="D708" i="12"/>
  <c r="H708" i="12" s="1"/>
  <c r="E708" i="12" s="1"/>
  <c r="C710" i="12" l="1"/>
  <c r="D709" i="12"/>
  <c r="H709" i="12" s="1"/>
  <c r="E709" i="12" s="1"/>
  <c r="C711" i="12" l="1"/>
  <c r="D710" i="12"/>
  <c r="H710" i="12" s="1"/>
  <c r="E710" i="12" s="1"/>
  <c r="D711" i="12" l="1"/>
  <c r="H711" i="12" s="1"/>
  <c r="E711" i="12" s="1"/>
  <c r="C712" i="12"/>
  <c r="C713" i="12" l="1"/>
  <c r="D712" i="12"/>
  <c r="H712" i="12" s="1"/>
  <c r="E712" i="12" s="1"/>
  <c r="D713" i="12" l="1"/>
  <c r="H713" i="12" s="1"/>
  <c r="E713" i="12" s="1"/>
  <c r="C714" i="12"/>
  <c r="C715" i="12" l="1"/>
  <c r="D714" i="12"/>
  <c r="H714" i="12" s="1"/>
  <c r="E714" i="12" s="1"/>
  <c r="C716" i="12" l="1"/>
  <c r="D715" i="12"/>
  <c r="H715" i="12" s="1"/>
  <c r="E715" i="12" s="1"/>
  <c r="C717" i="12" l="1"/>
  <c r="D716" i="12"/>
  <c r="H716" i="12" s="1"/>
  <c r="E716" i="12" s="1"/>
  <c r="C718" i="12" l="1"/>
  <c r="D717" i="12"/>
  <c r="H717" i="12" s="1"/>
  <c r="E717" i="12" s="1"/>
  <c r="D718" i="12" l="1"/>
  <c r="H718" i="12" s="1"/>
  <c r="E718" i="12" s="1"/>
  <c r="C719" i="12"/>
  <c r="C720" i="12" l="1"/>
  <c r="D719" i="12"/>
  <c r="H719" i="12" s="1"/>
  <c r="E719" i="12" s="1"/>
  <c r="C721" i="12" l="1"/>
  <c r="D720" i="12"/>
  <c r="H720" i="12" s="1"/>
  <c r="E720" i="12" s="1"/>
  <c r="C722" i="12" l="1"/>
  <c r="D721" i="12"/>
  <c r="H721" i="12" s="1"/>
  <c r="E721" i="12" s="1"/>
  <c r="D722" i="12" l="1"/>
  <c r="H722" i="12" s="1"/>
  <c r="E722" i="12" s="1"/>
  <c r="C723" i="12"/>
  <c r="C724" i="12" l="1"/>
  <c r="D723" i="12"/>
  <c r="H723" i="12" s="1"/>
  <c r="E723" i="12" s="1"/>
  <c r="C725" i="12" l="1"/>
  <c r="D724" i="12"/>
  <c r="H724" i="12" s="1"/>
  <c r="E724" i="12" s="1"/>
  <c r="C726" i="12" l="1"/>
  <c r="D725" i="12"/>
  <c r="H725" i="12" s="1"/>
  <c r="E725" i="12" s="1"/>
  <c r="D726" i="12" l="1"/>
  <c r="H726" i="12" s="1"/>
  <c r="E726" i="12" s="1"/>
  <c r="C727" i="12"/>
  <c r="C728" i="12" l="1"/>
  <c r="D727" i="12"/>
  <c r="H727" i="12" s="1"/>
  <c r="E727" i="12" s="1"/>
  <c r="C729" i="12" l="1"/>
  <c r="D728" i="12"/>
  <c r="H728" i="12" s="1"/>
  <c r="E728" i="12" s="1"/>
  <c r="C730" i="12" l="1"/>
  <c r="D729" i="12"/>
  <c r="H729" i="12" s="1"/>
  <c r="E729" i="12" s="1"/>
  <c r="D730" i="12" l="1"/>
  <c r="H730" i="12" s="1"/>
  <c r="E730" i="12" s="1"/>
  <c r="C731" i="12"/>
  <c r="C732" i="12" l="1"/>
  <c r="D731" i="12"/>
  <c r="H731" i="12" s="1"/>
  <c r="E731" i="12" s="1"/>
  <c r="C733" i="12" l="1"/>
  <c r="D732" i="12"/>
  <c r="H732" i="12" s="1"/>
  <c r="E732" i="12" s="1"/>
  <c r="C734" i="12" l="1"/>
  <c r="D733" i="12"/>
  <c r="H733" i="12" s="1"/>
  <c r="E733" i="12" s="1"/>
  <c r="D734" i="12" l="1"/>
  <c r="H734" i="12" s="1"/>
  <c r="E734" i="12" s="1"/>
  <c r="C735" i="12"/>
  <c r="C736" i="12" l="1"/>
  <c r="D735" i="12"/>
  <c r="H735" i="12" s="1"/>
  <c r="E735" i="12" s="1"/>
  <c r="C737" i="12" l="1"/>
  <c r="D736" i="12"/>
  <c r="H736" i="12" s="1"/>
  <c r="E736" i="12" s="1"/>
  <c r="C738" i="12" l="1"/>
  <c r="D737" i="12"/>
  <c r="H737" i="12" s="1"/>
  <c r="E737" i="12" s="1"/>
  <c r="D738" i="12" l="1"/>
  <c r="H738" i="12" s="1"/>
  <c r="E738" i="12" s="1"/>
  <c r="C739" i="12"/>
  <c r="C740" i="12" l="1"/>
  <c r="D739" i="12"/>
  <c r="H739" i="12" s="1"/>
  <c r="E739" i="12" s="1"/>
  <c r="C741" i="12" l="1"/>
  <c r="D740" i="12"/>
  <c r="H740" i="12" s="1"/>
  <c r="E740" i="12" s="1"/>
  <c r="C742" i="12" l="1"/>
  <c r="D741" i="12"/>
  <c r="H741" i="12" s="1"/>
  <c r="E741" i="12" s="1"/>
  <c r="D742" i="12" l="1"/>
  <c r="H742" i="12" s="1"/>
  <c r="E742" i="12" s="1"/>
  <c r="C743" i="12"/>
  <c r="C744" i="12" l="1"/>
  <c r="D743" i="12"/>
  <c r="H743" i="12" s="1"/>
  <c r="E743" i="12" s="1"/>
  <c r="C745" i="12" l="1"/>
  <c r="D744" i="12"/>
  <c r="H744" i="12" s="1"/>
  <c r="E744" i="12" s="1"/>
  <c r="C746" i="12" l="1"/>
  <c r="D745" i="12"/>
  <c r="H745" i="12" s="1"/>
  <c r="E745" i="12" s="1"/>
  <c r="D746" i="12" l="1"/>
  <c r="H746" i="12" s="1"/>
  <c r="E746" i="12" s="1"/>
  <c r="C747" i="12"/>
  <c r="C748" i="12" l="1"/>
  <c r="D747" i="12"/>
  <c r="H747" i="12" s="1"/>
  <c r="E747" i="12" s="1"/>
  <c r="C749" i="12" l="1"/>
  <c r="D748" i="12"/>
  <c r="H748" i="12" s="1"/>
  <c r="E748" i="12" s="1"/>
  <c r="C750" i="12" l="1"/>
  <c r="D749" i="12"/>
  <c r="H749" i="12" s="1"/>
  <c r="E749" i="12" s="1"/>
  <c r="D750" i="12" l="1"/>
  <c r="H750" i="12" s="1"/>
  <c r="E750" i="12" s="1"/>
  <c r="C751" i="12"/>
  <c r="C752" i="12" l="1"/>
  <c r="D751" i="12"/>
  <c r="H751" i="12" s="1"/>
  <c r="E751" i="12" s="1"/>
  <c r="C753" i="12" l="1"/>
  <c r="D752" i="12"/>
  <c r="H752" i="12" s="1"/>
  <c r="E752" i="12" s="1"/>
  <c r="C754" i="12" l="1"/>
  <c r="D753" i="12"/>
  <c r="H753" i="12" s="1"/>
  <c r="E753" i="12" s="1"/>
  <c r="D754" i="12" l="1"/>
  <c r="H754" i="12" s="1"/>
  <c r="E754" i="12" s="1"/>
  <c r="C755" i="12"/>
  <c r="C756" i="12" l="1"/>
  <c r="D755" i="12"/>
  <c r="H755" i="12" s="1"/>
  <c r="E755" i="12" s="1"/>
  <c r="C757" i="12" l="1"/>
  <c r="D756" i="12"/>
  <c r="H756" i="12" s="1"/>
  <c r="E756" i="12" s="1"/>
  <c r="C758" i="12" l="1"/>
  <c r="D757" i="12"/>
  <c r="H757" i="12" s="1"/>
  <c r="E757" i="12" s="1"/>
  <c r="C759" i="12" l="1"/>
  <c r="D758" i="12"/>
  <c r="H758" i="12" s="1"/>
  <c r="E758" i="12" s="1"/>
  <c r="C760" i="12" l="1"/>
  <c r="D759" i="12"/>
  <c r="H759" i="12" s="1"/>
  <c r="E759" i="12" s="1"/>
  <c r="D760" i="12" l="1"/>
  <c r="H760" i="12" s="1"/>
  <c r="E760" i="12" s="1"/>
  <c r="C761" i="12"/>
  <c r="C762" i="12" l="1"/>
  <c r="D761" i="12"/>
  <c r="H761" i="12" s="1"/>
  <c r="E761" i="12" s="1"/>
  <c r="C763" i="12" l="1"/>
  <c r="D762" i="12"/>
  <c r="H762" i="12" s="1"/>
  <c r="E762" i="12" s="1"/>
  <c r="C764" i="12" l="1"/>
  <c r="D763" i="12"/>
  <c r="H763" i="12" s="1"/>
  <c r="E763" i="12" s="1"/>
  <c r="C765" i="12" l="1"/>
  <c r="D764" i="12"/>
  <c r="H764" i="12" s="1"/>
  <c r="E764" i="12" s="1"/>
  <c r="C766" i="12" l="1"/>
  <c r="D765" i="12"/>
  <c r="H765" i="12" s="1"/>
  <c r="E765" i="12" s="1"/>
  <c r="C767" i="12" l="1"/>
  <c r="D766" i="12"/>
  <c r="H766" i="12" s="1"/>
  <c r="E766" i="12" s="1"/>
  <c r="C768" i="12" l="1"/>
  <c r="D767" i="12"/>
  <c r="H767" i="12" s="1"/>
  <c r="E767" i="12" s="1"/>
  <c r="D768" i="12" l="1"/>
  <c r="H768" i="12" s="1"/>
  <c r="E768" i="12" s="1"/>
  <c r="C769" i="12"/>
  <c r="C770" i="12" l="1"/>
  <c r="D769" i="12"/>
  <c r="H769" i="12" s="1"/>
  <c r="E769" i="12" s="1"/>
  <c r="C771" i="12" l="1"/>
  <c r="D770" i="12"/>
  <c r="H770" i="12" s="1"/>
  <c r="E770" i="12" s="1"/>
  <c r="D771" i="12" l="1"/>
  <c r="H771" i="12" s="1"/>
  <c r="E771" i="12" s="1"/>
  <c r="C772" i="12"/>
  <c r="C773" i="12" l="1"/>
  <c r="D772" i="12"/>
  <c r="H772" i="12" s="1"/>
  <c r="E772" i="12" s="1"/>
  <c r="C774" i="12" l="1"/>
  <c r="D773" i="12"/>
  <c r="H773" i="12" s="1"/>
  <c r="E773" i="12" s="1"/>
  <c r="C775" i="12" l="1"/>
  <c r="D774" i="12"/>
  <c r="H774" i="12" s="1"/>
  <c r="E774" i="12" s="1"/>
  <c r="C776" i="12" l="1"/>
  <c r="D775" i="12"/>
  <c r="H775" i="12" s="1"/>
  <c r="E775" i="12" s="1"/>
  <c r="D776" i="12" l="1"/>
  <c r="H776" i="12" s="1"/>
  <c r="E776" i="12" s="1"/>
  <c r="C777" i="12"/>
  <c r="C778" i="12" l="1"/>
  <c r="D777" i="12"/>
  <c r="H777" i="12" s="1"/>
  <c r="E777" i="12" s="1"/>
  <c r="C779" i="12" l="1"/>
  <c r="D778" i="12"/>
  <c r="H778" i="12" s="1"/>
  <c r="E778" i="12" s="1"/>
  <c r="C780" i="12" l="1"/>
  <c r="D779" i="12"/>
  <c r="H779" i="12" s="1"/>
  <c r="E779" i="12" s="1"/>
  <c r="C781" i="12" l="1"/>
  <c r="D780" i="12"/>
  <c r="H780" i="12" s="1"/>
  <c r="E780" i="12" s="1"/>
  <c r="C782" i="12" l="1"/>
  <c r="D781" i="12"/>
  <c r="H781" i="12" s="1"/>
  <c r="E781" i="12" s="1"/>
  <c r="C783" i="12" l="1"/>
  <c r="D782" i="12"/>
  <c r="H782" i="12" s="1"/>
  <c r="E782" i="12" s="1"/>
  <c r="D783" i="12" l="1"/>
  <c r="H783" i="12" s="1"/>
  <c r="E783" i="12" s="1"/>
  <c r="C784" i="12"/>
  <c r="D784" i="12" l="1"/>
  <c r="H784" i="12" s="1"/>
  <c r="E784" i="12" s="1"/>
  <c r="C785" i="12"/>
  <c r="C786" i="12" l="1"/>
  <c r="D785" i="12"/>
  <c r="H785" i="12" s="1"/>
  <c r="E785" i="12" s="1"/>
  <c r="C787" i="12" l="1"/>
  <c r="D786" i="12"/>
  <c r="H786" i="12" s="1"/>
  <c r="E786" i="12" s="1"/>
  <c r="D787" i="12" l="1"/>
  <c r="H787" i="12" s="1"/>
  <c r="E787" i="12" s="1"/>
  <c r="C788" i="12"/>
  <c r="C789" i="12" l="1"/>
  <c r="D788" i="12"/>
  <c r="H788" i="12" s="1"/>
  <c r="E788" i="12" s="1"/>
  <c r="C790" i="12" l="1"/>
  <c r="D789" i="12"/>
  <c r="H789" i="12" s="1"/>
  <c r="E789" i="12" s="1"/>
  <c r="C791" i="12" l="1"/>
  <c r="D790" i="12"/>
  <c r="H790" i="12" s="1"/>
  <c r="E790" i="12" s="1"/>
  <c r="C792" i="12" l="1"/>
  <c r="D791" i="12"/>
  <c r="H791" i="12" s="1"/>
  <c r="E791" i="12" s="1"/>
  <c r="D792" i="12" l="1"/>
  <c r="H792" i="12" s="1"/>
  <c r="E792" i="12" s="1"/>
  <c r="C793" i="12"/>
  <c r="C794" i="12" l="1"/>
  <c r="D793" i="12"/>
  <c r="H793" i="12" s="1"/>
  <c r="E793" i="12" s="1"/>
  <c r="C795" i="12" l="1"/>
  <c r="D794" i="12"/>
  <c r="H794" i="12" s="1"/>
  <c r="E794" i="12" s="1"/>
  <c r="C796" i="12" l="1"/>
  <c r="D795" i="12"/>
  <c r="H795" i="12" s="1"/>
  <c r="E795" i="12" s="1"/>
  <c r="C797" i="12" l="1"/>
  <c r="D796" i="12"/>
  <c r="H796" i="12" s="1"/>
  <c r="E796" i="12" s="1"/>
  <c r="C798" i="12" l="1"/>
  <c r="D797" i="12"/>
  <c r="H797" i="12" s="1"/>
  <c r="E797" i="12" s="1"/>
  <c r="C799" i="12" l="1"/>
  <c r="D798" i="12"/>
  <c r="H798" i="12" s="1"/>
  <c r="E798" i="12" s="1"/>
  <c r="C800" i="12" l="1"/>
  <c r="D799" i="12"/>
  <c r="H799" i="12" s="1"/>
  <c r="E799" i="12" s="1"/>
  <c r="D800" i="12" l="1"/>
  <c r="H800" i="12" s="1"/>
  <c r="E800" i="12" s="1"/>
  <c r="C801" i="12"/>
  <c r="C802" i="12" l="1"/>
  <c r="D801" i="12"/>
  <c r="H801" i="12" s="1"/>
  <c r="E801" i="12" s="1"/>
  <c r="C803" i="12" l="1"/>
  <c r="D802" i="12"/>
  <c r="H802" i="12" s="1"/>
  <c r="E802" i="12" s="1"/>
  <c r="D803" i="12" l="1"/>
  <c r="H803" i="12" s="1"/>
  <c r="E803" i="12" s="1"/>
  <c r="C804" i="12"/>
  <c r="D804" i="12" l="1"/>
  <c r="H804" i="12" s="1"/>
  <c r="E804" i="12" s="1"/>
  <c r="C805" i="12"/>
  <c r="C806" i="12" l="1"/>
  <c r="D805" i="12"/>
  <c r="H805" i="12" s="1"/>
  <c r="E805" i="12" s="1"/>
  <c r="C807" i="12" l="1"/>
  <c r="D806" i="12"/>
  <c r="H806" i="12" s="1"/>
  <c r="E806" i="12" s="1"/>
  <c r="D807" i="12" l="1"/>
  <c r="H807" i="12" s="1"/>
  <c r="E807" i="12" s="1"/>
  <c r="C808" i="12"/>
  <c r="D808" i="12" l="1"/>
  <c r="H808" i="12" s="1"/>
  <c r="E808" i="12" s="1"/>
  <c r="C809" i="12"/>
  <c r="C810" i="12" l="1"/>
  <c r="D809" i="12"/>
  <c r="H809" i="12" s="1"/>
  <c r="E809" i="12" s="1"/>
  <c r="C811" i="12" l="1"/>
  <c r="D810" i="12"/>
  <c r="H810" i="12" s="1"/>
  <c r="E810" i="12" s="1"/>
  <c r="D811" i="12" l="1"/>
  <c r="H811" i="12" s="1"/>
  <c r="E811" i="12" s="1"/>
  <c r="C812" i="12"/>
  <c r="D812" i="12" l="1"/>
  <c r="H812" i="12" s="1"/>
  <c r="E812" i="12" s="1"/>
  <c r="C813" i="12"/>
  <c r="C814" i="12" l="1"/>
  <c r="D813" i="12"/>
  <c r="H813" i="12" s="1"/>
  <c r="E813" i="12" s="1"/>
  <c r="C815" i="12" l="1"/>
  <c r="D814" i="12"/>
  <c r="H814" i="12" s="1"/>
  <c r="E814" i="12" s="1"/>
  <c r="D815" i="12" l="1"/>
  <c r="H815" i="12" s="1"/>
  <c r="E815" i="12" s="1"/>
  <c r="C816" i="12"/>
  <c r="C817" i="12" l="1"/>
  <c r="D816" i="12"/>
  <c r="H816" i="12" s="1"/>
  <c r="E816" i="12" s="1"/>
  <c r="C818" i="12" l="1"/>
  <c r="D817" i="12"/>
  <c r="H817" i="12" s="1"/>
  <c r="E817" i="12" s="1"/>
  <c r="D818" i="12" l="1"/>
  <c r="H818" i="12" s="1"/>
  <c r="E818" i="12" s="1"/>
  <c r="C819" i="12"/>
  <c r="C820" i="12" l="1"/>
  <c r="D819" i="12"/>
  <c r="H819" i="12" s="1"/>
  <c r="E819" i="12" s="1"/>
  <c r="C821" i="12" l="1"/>
  <c r="D820" i="12"/>
  <c r="H820" i="12" s="1"/>
  <c r="E820" i="12" s="1"/>
  <c r="C822" i="12" l="1"/>
  <c r="D821" i="12"/>
  <c r="H821" i="12" s="1"/>
  <c r="E821" i="12" s="1"/>
  <c r="C823" i="12" l="1"/>
  <c r="D822" i="12"/>
  <c r="H822" i="12" s="1"/>
  <c r="E822" i="12" s="1"/>
  <c r="C824" i="12" l="1"/>
  <c r="D823" i="12"/>
  <c r="H823" i="12" s="1"/>
  <c r="E823" i="12" s="1"/>
  <c r="D824" i="12" l="1"/>
  <c r="H824" i="12" s="1"/>
  <c r="E824" i="12" s="1"/>
  <c r="C825" i="12"/>
  <c r="C826" i="12" l="1"/>
  <c r="D825" i="12"/>
  <c r="H825" i="12" s="1"/>
  <c r="E825" i="12" s="1"/>
  <c r="D826" i="12" l="1"/>
  <c r="H826" i="12" s="1"/>
  <c r="E826" i="12" s="1"/>
  <c r="C827" i="12"/>
  <c r="D827" i="12" l="1"/>
  <c r="H827" i="12" s="1"/>
  <c r="E827" i="12" s="1"/>
  <c r="C828" i="12"/>
  <c r="C829" i="12" l="1"/>
  <c r="D828" i="12"/>
  <c r="H828" i="12" s="1"/>
  <c r="E828" i="12" s="1"/>
  <c r="C830" i="12" l="1"/>
  <c r="D829" i="12"/>
  <c r="H829" i="12" s="1"/>
  <c r="E829" i="12" s="1"/>
  <c r="D830" i="12" l="1"/>
  <c r="H830" i="12" s="1"/>
  <c r="E830" i="12" s="1"/>
  <c r="C831" i="12"/>
  <c r="C832" i="12" l="1"/>
  <c r="D831" i="12"/>
  <c r="H831" i="12" s="1"/>
  <c r="E831" i="12" s="1"/>
  <c r="D832" i="12" l="1"/>
  <c r="H832" i="12" s="1"/>
  <c r="E832" i="12" s="1"/>
  <c r="C833" i="12"/>
  <c r="C834" i="12" l="1"/>
  <c r="D833" i="12"/>
  <c r="H833" i="12" s="1"/>
  <c r="E833" i="12" s="1"/>
  <c r="D834" i="12" l="1"/>
  <c r="H834" i="12" s="1"/>
  <c r="E834" i="12" s="1"/>
  <c r="C835" i="12"/>
  <c r="D835" i="12" l="1"/>
  <c r="H835" i="12" s="1"/>
  <c r="E835" i="12" s="1"/>
  <c r="C836" i="12"/>
  <c r="C837" i="12" l="1"/>
  <c r="D836" i="12"/>
  <c r="H836" i="12" s="1"/>
  <c r="E836" i="12" s="1"/>
  <c r="C838" i="12" l="1"/>
  <c r="D837" i="12"/>
  <c r="H837" i="12" s="1"/>
  <c r="E837" i="12" s="1"/>
  <c r="C839" i="12" l="1"/>
  <c r="D838" i="12"/>
  <c r="H838" i="12" s="1"/>
  <c r="E838" i="12" s="1"/>
  <c r="C840" i="12" l="1"/>
  <c r="D839" i="12"/>
  <c r="H839" i="12" s="1"/>
  <c r="E839" i="12" s="1"/>
  <c r="C841" i="12" l="1"/>
  <c r="D840" i="12"/>
  <c r="H840" i="12" s="1"/>
  <c r="E840" i="12" s="1"/>
  <c r="C842" i="12" l="1"/>
  <c r="D841" i="12"/>
  <c r="H841" i="12" s="1"/>
  <c r="E841" i="12" s="1"/>
  <c r="C843" i="12" l="1"/>
  <c r="D842" i="12"/>
  <c r="H842" i="12" s="1"/>
  <c r="E842" i="12" s="1"/>
  <c r="C844" i="12" l="1"/>
  <c r="D843" i="12"/>
  <c r="H843" i="12" s="1"/>
  <c r="E843" i="12" s="1"/>
  <c r="C845" i="12" l="1"/>
  <c r="D844" i="12"/>
  <c r="H844" i="12" s="1"/>
  <c r="E844" i="12" s="1"/>
  <c r="C846" i="12" l="1"/>
  <c r="D845" i="12"/>
  <c r="H845" i="12" s="1"/>
  <c r="E845" i="12" s="1"/>
  <c r="D846" i="12" l="1"/>
  <c r="H846" i="12" s="1"/>
  <c r="E846" i="12" s="1"/>
  <c r="C847" i="12"/>
  <c r="C848" i="12" l="1"/>
  <c r="D847" i="12"/>
  <c r="H847" i="12" s="1"/>
  <c r="E847" i="12" s="1"/>
  <c r="D848" i="12" l="1"/>
  <c r="H848" i="12" s="1"/>
  <c r="E848" i="12" s="1"/>
  <c r="C849" i="12"/>
  <c r="C850" i="12" l="1"/>
  <c r="D849" i="12"/>
  <c r="H849" i="12" s="1"/>
  <c r="E849" i="12" s="1"/>
  <c r="C851" i="12" l="1"/>
  <c r="D850" i="12"/>
  <c r="H850" i="12" s="1"/>
  <c r="E850" i="12" s="1"/>
  <c r="D851" i="12" l="1"/>
  <c r="H851" i="12" s="1"/>
  <c r="E851" i="12" s="1"/>
  <c r="C852" i="12"/>
  <c r="D852" i="12" l="1"/>
  <c r="H852" i="12" s="1"/>
  <c r="E852" i="12" s="1"/>
  <c r="C853" i="12"/>
  <c r="C854" i="12" l="1"/>
  <c r="D853" i="12"/>
  <c r="H853" i="12" s="1"/>
  <c r="E853" i="12" s="1"/>
  <c r="C855" i="12" l="1"/>
  <c r="D854" i="12"/>
  <c r="H854" i="12" s="1"/>
  <c r="E854" i="12" s="1"/>
  <c r="D855" i="12" l="1"/>
  <c r="H855" i="12" s="1"/>
  <c r="E855" i="12" s="1"/>
  <c r="C856" i="12"/>
  <c r="D856" i="12" l="1"/>
  <c r="H856" i="12" s="1"/>
  <c r="E856" i="12" s="1"/>
  <c r="C857" i="12"/>
  <c r="C858" i="12" l="1"/>
  <c r="D857" i="12"/>
  <c r="H857" i="12" s="1"/>
  <c r="E857" i="12" s="1"/>
  <c r="C859" i="12" l="1"/>
  <c r="D858" i="12"/>
  <c r="H858" i="12" s="1"/>
  <c r="E858" i="12" s="1"/>
  <c r="D859" i="12" l="1"/>
  <c r="H859" i="12" s="1"/>
  <c r="E859" i="12" s="1"/>
  <c r="C860" i="12"/>
  <c r="D860" i="12" l="1"/>
  <c r="H860" i="12" s="1"/>
  <c r="E860" i="12" s="1"/>
  <c r="C861" i="12"/>
  <c r="C862" i="12" l="1"/>
  <c r="D861" i="12"/>
  <c r="H861" i="12" s="1"/>
  <c r="E861" i="12" s="1"/>
  <c r="C863" i="12" l="1"/>
  <c r="D862" i="12"/>
  <c r="H862" i="12" s="1"/>
  <c r="E862" i="12" s="1"/>
  <c r="D863" i="12" l="1"/>
  <c r="H863" i="12" s="1"/>
  <c r="E863" i="12" s="1"/>
  <c r="C864" i="12"/>
  <c r="D864" i="12" l="1"/>
  <c r="H864" i="12" s="1"/>
  <c r="E864" i="12" s="1"/>
  <c r="C865" i="12"/>
  <c r="C866" i="12" l="1"/>
  <c r="D865" i="12"/>
  <c r="H865" i="12" s="1"/>
  <c r="E865" i="12" s="1"/>
  <c r="C867" i="12" l="1"/>
  <c r="D866" i="12"/>
  <c r="H866" i="12" s="1"/>
  <c r="E866" i="12" s="1"/>
  <c r="D867" i="12" l="1"/>
  <c r="H867" i="12" s="1"/>
  <c r="E867" i="12" s="1"/>
  <c r="C868" i="12"/>
  <c r="D868" i="12" l="1"/>
  <c r="H868" i="12" s="1"/>
  <c r="E868" i="12" s="1"/>
  <c r="C869" i="12"/>
  <c r="C870" i="12" l="1"/>
  <c r="D869" i="12"/>
  <c r="H869" i="12" s="1"/>
  <c r="E869" i="12" s="1"/>
  <c r="C871" i="12" l="1"/>
  <c r="D870" i="12"/>
  <c r="H870" i="12" s="1"/>
  <c r="E870" i="12" s="1"/>
  <c r="D871" i="12" l="1"/>
  <c r="H871" i="12" s="1"/>
  <c r="E871" i="12" s="1"/>
  <c r="C872" i="12"/>
  <c r="D872" i="12" l="1"/>
  <c r="H872" i="12" s="1"/>
  <c r="E872" i="12" s="1"/>
  <c r="C873" i="12"/>
  <c r="C874" i="12" l="1"/>
  <c r="D873" i="12"/>
  <c r="H873" i="12" s="1"/>
  <c r="E873" i="12" s="1"/>
  <c r="C875" i="12" l="1"/>
  <c r="D874" i="12"/>
  <c r="H874" i="12" s="1"/>
  <c r="E874" i="12" s="1"/>
  <c r="D875" i="12" l="1"/>
  <c r="H875" i="12" s="1"/>
  <c r="E875" i="12" s="1"/>
  <c r="C876" i="12"/>
  <c r="D876" i="12" l="1"/>
  <c r="H876" i="12" s="1"/>
  <c r="E876" i="12" s="1"/>
  <c r="C877" i="12"/>
  <c r="C878" i="12" l="1"/>
  <c r="D877" i="12"/>
  <c r="H877" i="12" s="1"/>
  <c r="E877" i="12" s="1"/>
  <c r="C879" i="12" l="1"/>
  <c r="D878" i="12"/>
  <c r="H878" i="12" s="1"/>
  <c r="E878" i="12" s="1"/>
  <c r="D879" i="12" l="1"/>
  <c r="H879" i="12" s="1"/>
  <c r="E879" i="12" s="1"/>
  <c r="C880" i="12"/>
  <c r="D880" i="12" l="1"/>
  <c r="H880" i="12" s="1"/>
  <c r="E880" i="12" s="1"/>
  <c r="C881" i="12"/>
  <c r="C882" i="12" l="1"/>
  <c r="D881" i="12"/>
  <c r="H881" i="12" s="1"/>
  <c r="E881" i="12" s="1"/>
  <c r="C883" i="12" l="1"/>
  <c r="D882" i="12"/>
  <c r="H882" i="12" s="1"/>
  <c r="E882" i="12" s="1"/>
  <c r="D883" i="12" l="1"/>
  <c r="H883" i="12" s="1"/>
  <c r="E883" i="12" s="1"/>
  <c r="C884" i="12"/>
  <c r="D884" i="12" l="1"/>
  <c r="H884" i="12" s="1"/>
  <c r="E884" i="12" s="1"/>
  <c r="C885" i="12"/>
  <c r="C886" i="12" l="1"/>
  <c r="D885" i="12"/>
  <c r="H885" i="12" s="1"/>
  <c r="E885" i="12" s="1"/>
  <c r="C887" i="12" l="1"/>
  <c r="D886" i="12"/>
  <c r="H886" i="12" s="1"/>
  <c r="E886" i="12" s="1"/>
  <c r="D887" i="12" l="1"/>
  <c r="H887" i="12" s="1"/>
  <c r="E887" i="12" s="1"/>
  <c r="C888" i="12"/>
  <c r="D888" i="12" l="1"/>
  <c r="H888" i="12" s="1"/>
  <c r="E888" i="12" s="1"/>
  <c r="C889" i="12"/>
  <c r="C890" i="12" l="1"/>
  <c r="D889" i="12"/>
  <c r="H889" i="12" s="1"/>
  <c r="E889" i="12" s="1"/>
  <c r="C891" i="12" l="1"/>
  <c r="D890" i="12"/>
  <c r="H890" i="12" s="1"/>
  <c r="E890" i="12" s="1"/>
  <c r="D891" i="12" l="1"/>
  <c r="H891" i="12" s="1"/>
  <c r="E891" i="12" s="1"/>
  <c r="C892" i="12"/>
  <c r="D892" i="12" l="1"/>
  <c r="H892" i="12" s="1"/>
  <c r="E892" i="12" s="1"/>
  <c r="C893" i="12"/>
  <c r="C894" i="12" l="1"/>
  <c r="D893" i="12"/>
  <c r="H893" i="12" s="1"/>
  <c r="E893" i="12" s="1"/>
  <c r="C895" i="12" l="1"/>
  <c r="D894" i="12"/>
  <c r="H894" i="12" s="1"/>
  <c r="E894" i="12" s="1"/>
  <c r="D895" i="12" l="1"/>
  <c r="H895" i="12" s="1"/>
  <c r="E895" i="12" s="1"/>
  <c r="C896" i="12"/>
  <c r="D896" i="12" l="1"/>
  <c r="H896" i="12" s="1"/>
  <c r="E896" i="12" s="1"/>
  <c r="C897" i="12"/>
  <c r="C898" i="12" l="1"/>
  <c r="D897" i="12"/>
  <c r="H897" i="12" s="1"/>
  <c r="E897" i="12" s="1"/>
  <c r="C899" i="12" l="1"/>
  <c r="D898" i="12"/>
  <c r="H898" i="12" s="1"/>
  <c r="E898" i="12" s="1"/>
  <c r="D899" i="12" l="1"/>
  <c r="H899" i="12" s="1"/>
  <c r="E899" i="12" s="1"/>
  <c r="C900" i="12"/>
  <c r="D900" i="12" l="1"/>
  <c r="H900" i="12" s="1"/>
  <c r="E900" i="12" s="1"/>
  <c r="C901" i="12"/>
  <c r="C902" i="12" l="1"/>
  <c r="D901" i="12"/>
  <c r="H901" i="12" s="1"/>
  <c r="E901" i="12" s="1"/>
  <c r="C903" i="12" l="1"/>
  <c r="D902" i="12"/>
  <c r="H902" i="12" s="1"/>
  <c r="E902" i="12" s="1"/>
  <c r="D903" i="12" l="1"/>
  <c r="H903" i="12" s="1"/>
  <c r="E903" i="12" s="1"/>
  <c r="C904" i="12"/>
  <c r="D904" i="12" l="1"/>
  <c r="H904" i="12" s="1"/>
  <c r="E904" i="12" s="1"/>
  <c r="C905" i="12"/>
  <c r="C906" i="12" l="1"/>
  <c r="D905" i="12"/>
  <c r="H905" i="12" s="1"/>
  <c r="E905" i="12" s="1"/>
  <c r="C907" i="12" l="1"/>
  <c r="D906" i="12"/>
  <c r="H906" i="12" s="1"/>
  <c r="E906" i="12" s="1"/>
  <c r="D907" i="12" l="1"/>
  <c r="H907" i="12" s="1"/>
  <c r="E907" i="12" s="1"/>
  <c r="C908" i="12"/>
  <c r="D908" i="12" l="1"/>
  <c r="H908" i="12" s="1"/>
  <c r="E908" i="12" s="1"/>
  <c r="C909" i="12"/>
  <c r="C910" i="12" l="1"/>
  <c r="D909" i="12"/>
  <c r="H909" i="12" s="1"/>
  <c r="E909" i="12" s="1"/>
  <c r="C911" i="12" l="1"/>
  <c r="D910" i="12"/>
  <c r="H910" i="12" s="1"/>
  <c r="E910" i="12" s="1"/>
  <c r="D911" i="12" l="1"/>
  <c r="H911" i="12" s="1"/>
  <c r="E911" i="12" s="1"/>
  <c r="C912" i="12"/>
  <c r="D912" i="12" l="1"/>
  <c r="H912" i="12" s="1"/>
  <c r="E912" i="12" s="1"/>
  <c r="C913" i="12"/>
  <c r="C914" i="12" l="1"/>
  <c r="D913" i="12"/>
  <c r="H913" i="12" s="1"/>
  <c r="E913" i="12" s="1"/>
  <c r="C915" i="12" l="1"/>
  <c r="D914" i="12"/>
  <c r="H914" i="12" s="1"/>
  <c r="E914" i="12" s="1"/>
  <c r="C916" i="12" l="1"/>
  <c r="D915" i="12"/>
  <c r="H915" i="12" s="1"/>
  <c r="E915" i="12" s="1"/>
  <c r="D916" i="12" l="1"/>
  <c r="H916" i="12" s="1"/>
  <c r="E916" i="12" s="1"/>
  <c r="C917" i="12"/>
  <c r="C918" i="12" l="1"/>
  <c r="D917" i="12"/>
  <c r="H917" i="12" s="1"/>
  <c r="E917" i="12" s="1"/>
  <c r="C919" i="12" l="1"/>
  <c r="D918" i="12"/>
  <c r="H918" i="12" s="1"/>
  <c r="E918" i="12" s="1"/>
  <c r="D919" i="12" l="1"/>
  <c r="H919" i="12" s="1"/>
  <c r="E919" i="12" s="1"/>
  <c r="C920" i="12"/>
  <c r="D920" i="12" l="1"/>
  <c r="H920" i="12" s="1"/>
  <c r="E920" i="12" s="1"/>
  <c r="C921" i="12"/>
  <c r="C922" i="12" l="1"/>
  <c r="D921" i="12"/>
  <c r="H921" i="12" s="1"/>
  <c r="E921" i="12" s="1"/>
  <c r="C923" i="12" l="1"/>
  <c r="D922" i="12"/>
  <c r="H922" i="12" s="1"/>
  <c r="E922" i="12" s="1"/>
  <c r="D923" i="12" l="1"/>
  <c r="H923" i="12" s="1"/>
  <c r="E923" i="12" s="1"/>
  <c r="C924" i="12"/>
  <c r="D924" i="12" l="1"/>
  <c r="H924" i="12" s="1"/>
  <c r="E924" i="12" s="1"/>
  <c r="C925" i="12"/>
  <c r="C926" i="12" l="1"/>
  <c r="D925" i="12"/>
  <c r="H925" i="12" s="1"/>
  <c r="E925" i="12" s="1"/>
  <c r="C927" i="12" l="1"/>
  <c r="D926" i="12"/>
  <c r="H926" i="12" s="1"/>
  <c r="E926" i="12" s="1"/>
  <c r="D927" i="12" l="1"/>
  <c r="H927" i="12" s="1"/>
  <c r="E927" i="12" s="1"/>
  <c r="C928" i="12"/>
  <c r="C929" i="12" l="1"/>
  <c r="D928" i="12"/>
  <c r="H928" i="12" s="1"/>
  <c r="E928" i="12" s="1"/>
  <c r="C930" i="12" l="1"/>
  <c r="D929" i="12"/>
  <c r="H929" i="12" s="1"/>
  <c r="E929" i="12" s="1"/>
  <c r="D930" i="12" l="1"/>
  <c r="H930" i="12" s="1"/>
  <c r="E930" i="12" s="1"/>
  <c r="C931" i="12"/>
  <c r="D931" i="12" l="1"/>
  <c r="H931" i="12" s="1"/>
  <c r="E931" i="12" s="1"/>
  <c r="C932" i="12"/>
  <c r="C933" i="12" l="1"/>
  <c r="D932" i="12"/>
  <c r="H932" i="12" s="1"/>
  <c r="E932" i="12" s="1"/>
  <c r="D933" i="12" l="1"/>
  <c r="H933" i="12" s="1"/>
  <c r="E933" i="12" s="1"/>
  <c r="C934" i="12"/>
  <c r="D934" i="12" l="1"/>
  <c r="H934" i="12" s="1"/>
  <c r="E934" i="12" s="1"/>
  <c r="C935" i="12"/>
  <c r="D935" i="12" l="1"/>
  <c r="H935" i="12" s="1"/>
  <c r="E935" i="12" s="1"/>
  <c r="C936" i="12"/>
  <c r="D936" i="12" l="1"/>
  <c r="H936" i="12" s="1"/>
  <c r="E936" i="12" s="1"/>
  <c r="C937" i="12"/>
  <c r="D937" i="12" l="1"/>
  <c r="H937" i="12" s="1"/>
  <c r="E937" i="12" s="1"/>
  <c r="C938" i="12"/>
  <c r="C939" i="12" l="1"/>
  <c r="D938" i="12"/>
  <c r="H938" i="12" s="1"/>
  <c r="E938" i="12" s="1"/>
  <c r="D939" i="12" l="1"/>
  <c r="H939" i="12" s="1"/>
  <c r="E939" i="12" s="1"/>
  <c r="C940" i="12"/>
  <c r="D940" i="12" l="1"/>
  <c r="H940" i="12" s="1"/>
  <c r="E940" i="12" s="1"/>
  <c r="C941" i="12"/>
  <c r="C942" i="12" l="1"/>
  <c r="D941" i="12"/>
  <c r="H941" i="12" s="1"/>
  <c r="E941" i="12" s="1"/>
  <c r="C943" i="12" l="1"/>
  <c r="D942" i="12"/>
  <c r="H942" i="12" s="1"/>
  <c r="E942" i="12" s="1"/>
  <c r="D943" i="12" l="1"/>
  <c r="H943" i="12" s="1"/>
  <c r="E943" i="12" s="1"/>
  <c r="C944" i="12"/>
  <c r="C945" i="12" l="1"/>
  <c r="D944" i="12"/>
  <c r="H944" i="12" s="1"/>
  <c r="E944" i="12" s="1"/>
  <c r="C946" i="12" l="1"/>
  <c r="D945" i="12"/>
  <c r="H945" i="12" s="1"/>
  <c r="E945" i="12" s="1"/>
  <c r="D946" i="12" l="1"/>
  <c r="H946" i="12" s="1"/>
  <c r="E946" i="12" s="1"/>
  <c r="C947" i="12"/>
  <c r="D947" i="12" l="1"/>
  <c r="H947" i="12" s="1"/>
  <c r="E947" i="12" s="1"/>
  <c r="C948" i="12"/>
  <c r="C949" i="12" l="1"/>
  <c r="D948" i="12"/>
  <c r="H948" i="12" s="1"/>
  <c r="E948" i="12" s="1"/>
  <c r="D949" i="12" l="1"/>
  <c r="H949" i="12" s="1"/>
  <c r="E949" i="12" s="1"/>
  <c r="C950" i="12"/>
  <c r="D950" i="12" l="1"/>
  <c r="H950" i="12" s="1"/>
  <c r="E950" i="12" s="1"/>
  <c r="C951" i="12"/>
  <c r="D951" i="12" l="1"/>
  <c r="H951" i="12" s="1"/>
  <c r="E951" i="12" s="1"/>
  <c r="C952" i="12"/>
  <c r="D952" i="12" l="1"/>
  <c r="H952" i="12" s="1"/>
  <c r="E952" i="12" s="1"/>
  <c r="C953" i="12"/>
  <c r="D953" i="12" l="1"/>
  <c r="H953" i="12" s="1"/>
  <c r="E953" i="12" s="1"/>
  <c r="C954" i="12"/>
  <c r="C955" i="12" l="1"/>
  <c r="D954" i="12"/>
  <c r="H954" i="12" s="1"/>
  <c r="E954" i="12" s="1"/>
  <c r="D955" i="12" l="1"/>
  <c r="H955" i="12" s="1"/>
  <c r="E955" i="12" s="1"/>
  <c r="C956" i="12"/>
  <c r="D956" i="12" l="1"/>
  <c r="H956" i="12" s="1"/>
  <c r="E956" i="12" s="1"/>
  <c r="C957" i="12"/>
  <c r="C958" i="12" l="1"/>
  <c r="D957" i="12"/>
  <c r="H957" i="12" s="1"/>
  <c r="E957" i="12" s="1"/>
  <c r="C959" i="12" l="1"/>
  <c r="D958" i="12"/>
  <c r="H958" i="12" s="1"/>
  <c r="E958" i="12" s="1"/>
  <c r="D959" i="12" l="1"/>
  <c r="H959" i="12" s="1"/>
  <c r="E959" i="12" s="1"/>
  <c r="C960" i="12"/>
  <c r="C961" i="12" l="1"/>
  <c r="D960" i="12"/>
  <c r="H960" i="12" s="1"/>
  <c r="E960" i="12" s="1"/>
  <c r="C962" i="12" l="1"/>
  <c r="D961" i="12"/>
  <c r="H961" i="12" s="1"/>
  <c r="E961" i="12" s="1"/>
  <c r="D962" i="12" l="1"/>
  <c r="H962" i="12" s="1"/>
  <c r="E962" i="12" s="1"/>
  <c r="C963" i="12"/>
  <c r="D963" i="12" l="1"/>
  <c r="H963" i="12" s="1"/>
  <c r="E963" i="12" s="1"/>
  <c r="C964" i="12"/>
  <c r="C965" i="12" l="1"/>
  <c r="D964" i="12"/>
  <c r="H964" i="12" s="1"/>
  <c r="E964" i="12" s="1"/>
  <c r="D965" i="12" l="1"/>
  <c r="H965" i="12" s="1"/>
  <c r="E965" i="12" s="1"/>
  <c r="C966" i="12"/>
  <c r="C967" i="12" l="1"/>
  <c r="D966" i="12"/>
  <c r="H966" i="12" s="1"/>
  <c r="E966" i="12" s="1"/>
  <c r="D967" i="12" l="1"/>
  <c r="H967" i="12" s="1"/>
  <c r="E967" i="12" s="1"/>
  <c r="C968" i="12"/>
  <c r="D968" i="12" l="1"/>
  <c r="H968" i="12" s="1"/>
  <c r="E968" i="12" s="1"/>
  <c r="C969" i="12"/>
  <c r="C970" i="12" l="1"/>
  <c r="D969" i="12"/>
  <c r="H969" i="12" s="1"/>
  <c r="E969" i="12" s="1"/>
  <c r="C971" i="12" l="1"/>
  <c r="D970" i="12"/>
  <c r="H970" i="12" s="1"/>
  <c r="E970" i="12" s="1"/>
  <c r="D971" i="12" l="1"/>
  <c r="H971" i="12" s="1"/>
  <c r="E971" i="12" s="1"/>
  <c r="C972" i="12"/>
  <c r="D972" i="12" l="1"/>
  <c r="H972" i="12" s="1"/>
  <c r="E972" i="12" s="1"/>
  <c r="C973" i="12"/>
  <c r="C974" i="12" l="1"/>
  <c r="D973" i="12"/>
  <c r="H973" i="12" s="1"/>
  <c r="E973" i="12" s="1"/>
  <c r="C975" i="12" l="1"/>
  <c r="D974" i="12"/>
  <c r="H974" i="12" s="1"/>
  <c r="E974" i="12" s="1"/>
  <c r="D975" i="12" l="1"/>
  <c r="H975" i="12" s="1"/>
  <c r="E975" i="12" s="1"/>
  <c r="C976" i="12"/>
  <c r="C977" i="12" l="1"/>
  <c r="D976" i="12"/>
  <c r="H976" i="12" s="1"/>
  <c r="E976" i="12" s="1"/>
  <c r="D977" i="12" l="1"/>
  <c r="H977" i="12" s="1"/>
  <c r="E977" i="12" s="1"/>
  <c r="C978" i="12"/>
  <c r="C979" i="12" l="1"/>
  <c r="D978" i="12"/>
  <c r="H978" i="12" s="1"/>
  <c r="E978" i="12" s="1"/>
  <c r="D979" i="12" l="1"/>
  <c r="H979" i="12" s="1"/>
  <c r="E979" i="12" s="1"/>
  <c r="C980" i="12"/>
  <c r="D980" i="12" l="1"/>
  <c r="H980" i="12" s="1"/>
  <c r="E980" i="12" s="1"/>
  <c r="C981" i="12"/>
  <c r="C982" i="12" l="1"/>
  <c r="D981" i="12"/>
  <c r="H981" i="12" s="1"/>
  <c r="E981" i="12" s="1"/>
  <c r="C983" i="12" l="1"/>
  <c r="D982" i="12"/>
  <c r="H982" i="12" s="1"/>
  <c r="E982" i="12" s="1"/>
  <c r="D983" i="12" l="1"/>
  <c r="H983" i="12" s="1"/>
  <c r="E983" i="12" s="1"/>
  <c r="C984" i="12"/>
  <c r="C985" i="12" l="1"/>
  <c r="D984" i="12"/>
  <c r="H984" i="12" s="1"/>
  <c r="E984" i="12" s="1"/>
  <c r="D985" i="12" l="1"/>
  <c r="H985" i="12" s="1"/>
  <c r="E985" i="12" s="1"/>
  <c r="C986" i="12"/>
  <c r="C987" i="12" l="1"/>
  <c r="D986" i="12"/>
  <c r="H986" i="12" s="1"/>
  <c r="E986" i="12" s="1"/>
  <c r="D987" i="12" l="1"/>
  <c r="H987" i="12" s="1"/>
  <c r="E987" i="12" s="1"/>
  <c r="C988" i="12"/>
  <c r="C989" i="12" l="1"/>
  <c r="D988" i="12"/>
  <c r="H988" i="12" s="1"/>
  <c r="E988" i="12" s="1"/>
  <c r="D989" i="12" l="1"/>
  <c r="H989" i="12" s="1"/>
  <c r="E989" i="12" s="1"/>
  <c r="C990" i="12"/>
  <c r="C991" i="12" l="1"/>
  <c r="D990" i="12"/>
  <c r="H990" i="12" s="1"/>
  <c r="E990" i="12" s="1"/>
  <c r="D991" i="12" l="1"/>
  <c r="H991" i="12" s="1"/>
  <c r="E991" i="12" s="1"/>
  <c r="C992" i="12"/>
  <c r="D992" i="12" l="1"/>
  <c r="H992" i="12" s="1"/>
  <c r="E992" i="12" s="1"/>
  <c r="C993" i="12"/>
  <c r="C994" i="12" l="1"/>
  <c r="D993" i="12"/>
  <c r="H993" i="12" s="1"/>
  <c r="E993" i="12" s="1"/>
  <c r="C995" i="12" l="1"/>
  <c r="D994" i="12"/>
  <c r="H994" i="12" s="1"/>
  <c r="E994" i="12" s="1"/>
  <c r="D995" i="12" l="1"/>
  <c r="H995" i="12" s="1"/>
  <c r="E995" i="12" s="1"/>
  <c r="C996" i="12"/>
  <c r="C997" i="12" l="1"/>
  <c r="D996" i="12"/>
  <c r="H996" i="12" s="1"/>
  <c r="E996" i="12" s="1"/>
  <c r="C998" i="12" l="1"/>
  <c r="D997" i="12"/>
  <c r="H997" i="12" s="1"/>
  <c r="E997" i="12" s="1"/>
  <c r="C999" i="12" l="1"/>
  <c r="D998" i="12"/>
  <c r="H998" i="12" s="1"/>
  <c r="E998" i="12" s="1"/>
  <c r="D999" i="12" l="1"/>
  <c r="H999" i="12" s="1"/>
  <c r="E999" i="12" s="1"/>
  <c r="C1000" i="12"/>
  <c r="C1001" i="12" l="1"/>
  <c r="D1000" i="12"/>
  <c r="H1000" i="12" s="1"/>
  <c r="E1000" i="12" s="1"/>
  <c r="C1002" i="12" l="1"/>
  <c r="D1001" i="12"/>
  <c r="H1001" i="12" s="1"/>
  <c r="E1001" i="12" s="1"/>
  <c r="C1003" i="12" l="1"/>
  <c r="D1002" i="12"/>
  <c r="H1002" i="12" s="1"/>
  <c r="E1002" i="12" s="1"/>
  <c r="D1003" i="12" l="1"/>
  <c r="H1003" i="12" s="1"/>
  <c r="E1003" i="12" s="1"/>
  <c r="C1004" i="12"/>
  <c r="C1005" i="12" l="1"/>
  <c r="D1004" i="12"/>
  <c r="H1004" i="12" s="1"/>
  <c r="E1004" i="12" s="1"/>
  <c r="C1006" i="12" l="1"/>
  <c r="D1005" i="12"/>
  <c r="H1005" i="12" s="1"/>
  <c r="E1005" i="12" s="1"/>
  <c r="C1007" i="12" l="1"/>
  <c r="D1006" i="12"/>
  <c r="H1006" i="12" s="1"/>
  <c r="E1006" i="12" s="1"/>
  <c r="D1007" i="12" l="1"/>
  <c r="H1007" i="12" s="1"/>
  <c r="E1007" i="12" s="1"/>
  <c r="C1008" i="12"/>
  <c r="C1009" i="12" l="1"/>
  <c r="D1008" i="12"/>
  <c r="H1008" i="12" s="1"/>
  <c r="E1008" i="12" s="1"/>
  <c r="C1010" i="12" l="1"/>
  <c r="D1009" i="12"/>
  <c r="H1009" i="12" s="1"/>
  <c r="E1009" i="12" s="1"/>
  <c r="C1011" i="12" l="1"/>
  <c r="D1010" i="12"/>
  <c r="H1010" i="12" s="1"/>
  <c r="E1010" i="12" s="1"/>
  <c r="D1011" i="12" l="1"/>
  <c r="H1011" i="12" s="1"/>
  <c r="E1011" i="12" s="1"/>
  <c r="C1012" i="12"/>
  <c r="C1013" i="12" l="1"/>
  <c r="D1012" i="12"/>
  <c r="H1012" i="12" s="1"/>
  <c r="E1012" i="12" s="1"/>
  <c r="C1014" i="12" l="1"/>
  <c r="D1013" i="12"/>
  <c r="H1013" i="12" s="1"/>
  <c r="E1013" i="12" s="1"/>
  <c r="C1015" i="12" l="1"/>
  <c r="D1014" i="12"/>
  <c r="H1014" i="12" s="1"/>
  <c r="E1014" i="12" s="1"/>
  <c r="D1015" i="12" l="1"/>
  <c r="H1015" i="12" s="1"/>
  <c r="E1015" i="12" s="1"/>
  <c r="C1016" i="12"/>
  <c r="C1017" i="12" l="1"/>
  <c r="D1016" i="12"/>
  <c r="H1016" i="12" s="1"/>
  <c r="E1016" i="12" s="1"/>
  <c r="C1018" i="12" l="1"/>
  <c r="D1017" i="12"/>
  <c r="H1017" i="12" s="1"/>
  <c r="E1017" i="12" s="1"/>
  <c r="C1019" i="12" l="1"/>
  <c r="D1018" i="12"/>
  <c r="H1018" i="12" s="1"/>
  <c r="E1018" i="12" s="1"/>
  <c r="D1019" i="12" l="1"/>
  <c r="H1019" i="12" s="1"/>
  <c r="E1019" i="12" s="1"/>
  <c r="C1020" i="12"/>
  <c r="C1021" i="12" l="1"/>
  <c r="D1020" i="12"/>
  <c r="H1020" i="12" s="1"/>
  <c r="E1020" i="12" s="1"/>
  <c r="C1022" i="12" l="1"/>
  <c r="D1021" i="12"/>
  <c r="H1021" i="12" s="1"/>
  <c r="E1021" i="12" s="1"/>
  <c r="C1023" i="12" l="1"/>
  <c r="D1022" i="12"/>
  <c r="H1022" i="12" s="1"/>
  <c r="E1022" i="12" s="1"/>
  <c r="D1023" i="12" l="1"/>
  <c r="H1023" i="12" s="1"/>
  <c r="E1023" i="12" s="1"/>
  <c r="C1024" i="12"/>
  <c r="C1025" i="12" l="1"/>
  <c r="D1024" i="12"/>
  <c r="H1024" i="12" s="1"/>
  <c r="E1024" i="12" s="1"/>
  <c r="C1026" i="12" l="1"/>
  <c r="D1025" i="12"/>
  <c r="H1025" i="12" s="1"/>
  <c r="E1025" i="12" s="1"/>
  <c r="C1027" i="12" l="1"/>
  <c r="D1026" i="12"/>
  <c r="H1026" i="12" s="1"/>
  <c r="E1026" i="12" s="1"/>
  <c r="D1027" i="12" l="1"/>
  <c r="H1027" i="12" s="1"/>
  <c r="E1027" i="12" s="1"/>
  <c r="C1028" i="12"/>
  <c r="C1029" i="12" l="1"/>
  <c r="D1028" i="12"/>
  <c r="H1028" i="12" s="1"/>
  <c r="E1028" i="12" s="1"/>
  <c r="C1030" i="12" l="1"/>
  <c r="D1029" i="12"/>
  <c r="H1029" i="12" s="1"/>
  <c r="E1029" i="12" s="1"/>
  <c r="C1031" i="12" l="1"/>
  <c r="D1030" i="12"/>
  <c r="H1030" i="12" s="1"/>
  <c r="E1030" i="12" s="1"/>
  <c r="D1031" i="12" l="1"/>
  <c r="H1031" i="12" s="1"/>
  <c r="E1031" i="12" s="1"/>
  <c r="C1032" i="12"/>
  <c r="C1033" i="12" l="1"/>
  <c r="D1032" i="12"/>
  <c r="H1032" i="12" s="1"/>
  <c r="E1032" i="12" s="1"/>
  <c r="C1034" i="12" l="1"/>
  <c r="D1033" i="12"/>
  <c r="H1033" i="12" s="1"/>
  <c r="E1033" i="12" s="1"/>
  <c r="C1035" i="12" l="1"/>
  <c r="D1034" i="12"/>
  <c r="H1034" i="12" s="1"/>
  <c r="E1034" i="12" s="1"/>
  <c r="D1035" i="12" l="1"/>
  <c r="H1035" i="12" s="1"/>
  <c r="E1035" i="12" s="1"/>
  <c r="C1036" i="12"/>
  <c r="C1037" i="12" l="1"/>
  <c r="D1036" i="12"/>
  <c r="H1036" i="12" s="1"/>
  <c r="E1036" i="12" s="1"/>
  <c r="C1038" i="12" l="1"/>
  <c r="D1037" i="12"/>
  <c r="H1037" i="12" s="1"/>
  <c r="E1037" i="12" s="1"/>
  <c r="C1039" i="12" l="1"/>
  <c r="D1038" i="12"/>
  <c r="H1038" i="12" s="1"/>
  <c r="E1038" i="12" s="1"/>
  <c r="D1039" i="12" l="1"/>
  <c r="H1039" i="12" s="1"/>
  <c r="E1039" i="12" s="1"/>
  <c r="C1040" i="12"/>
  <c r="C1041" i="12" l="1"/>
  <c r="D1040" i="12"/>
  <c r="H1040" i="12" s="1"/>
  <c r="E1040" i="12" s="1"/>
  <c r="C1042" i="12" l="1"/>
  <c r="D1041" i="12"/>
  <c r="H1041" i="12" s="1"/>
  <c r="E1041" i="12" s="1"/>
  <c r="C1043" i="12" l="1"/>
  <c r="D1042" i="12"/>
  <c r="H1042" i="12" s="1"/>
  <c r="E1042" i="12" s="1"/>
  <c r="D1043" i="12" l="1"/>
  <c r="H1043" i="12" s="1"/>
  <c r="E1043" i="12" s="1"/>
  <c r="C1044" i="12"/>
  <c r="C1045" i="12" l="1"/>
  <c r="D1044" i="12"/>
  <c r="H1044" i="12" s="1"/>
  <c r="E1044" i="12" s="1"/>
  <c r="C1046" i="12" l="1"/>
  <c r="D1045" i="12"/>
  <c r="H1045" i="12" s="1"/>
  <c r="E1045" i="12" s="1"/>
  <c r="C1047" i="12" l="1"/>
  <c r="D1046" i="12"/>
  <c r="H1046" i="12" s="1"/>
  <c r="E1046" i="12" s="1"/>
  <c r="D1047" i="12" l="1"/>
  <c r="H1047" i="12" s="1"/>
  <c r="E1047" i="12" s="1"/>
  <c r="C1048" i="12"/>
  <c r="C1049" i="12" l="1"/>
  <c r="D1048" i="12"/>
  <c r="H1048" i="12" s="1"/>
  <c r="E1048" i="12" s="1"/>
  <c r="C1050" i="12" l="1"/>
  <c r="D1049" i="12"/>
  <c r="H1049" i="12" s="1"/>
  <c r="E1049" i="12" s="1"/>
  <c r="C1051" i="12" l="1"/>
  <c r="D1050" i="12"/>
  <c r="H1050" i="12" s="1"/>
  <c r="E1050" i="12" s="1"/>
  <c r="D1051" i="12" l="1"/>
  <c r="H1051" i="12" s="1"/>
  <c r="E1051" i="12" s="1"/>
  <c r="C1052" i="12"/>
  <c r="C1053" i="12" l="1"/>
  <c r="D1052" i="12"/>
  <c r="H1052" i="12" s="1"/>
  <c r="E1052" i="12" s="1"/>
  <c r="C1054" i="12" l="1"/>
  <c r="D1053" i="12"/>
  <c r="H1053" i="12" s="1"/>
  <c r="E1053" i="12" s="1"/>
  <c r="C1055" i="12" l="1"/>
  <c r="D1054" i="12"/>
  <c r="H1054" i="12" s="1"/>
  <c r="E1054" i="12" s="1"/>
  <c r="D1055" i="12" l="1"/>
  <c r="H1055" i="12" s="1"/>
  <c r="E1055" i="12" s="1"/>
  <c r="C1056" i="12"/>
  <c r="C1057" i="12" l="1"/>
  <c r="D1056" i="12"/>
  <c r="H1056" i="12" s="1"/>
  <c r="E1056" i="12" s="1"/>
  <c r="C1058" i="12" l="1"/>
  <c r="D1057" i="12"/>
  <c r="H1057" i="12" s="1"/>
  <c r="E1057" i="12" s="1"/>
  <c r="C1059" i="12" l="1"/>
  <c r="D1058" i="12"/>
  <c r="H1058" i="12" s="1"/>
  <c r="E1058" i="12" s="1"/>
  <c r="D1059" i="12" l="1"/>
  <c r="H1059" i="12" s="1"/>
  <c r="E1059" i="12" s="1"/>
  <c r="C1060" i="12"/>
  <c r="C1061" i="12" l="1"/>
  <c r="D1060" i="12"/>
  <c r="H1060" i="12" s="1"/>
  <c r="E1060" i="12" s="1"/>
  <c r="C1062" i="12" l="1"/>
  <c r="D1061" i="12"/>
  <c r="H1061" i="12" s="1"/>
  <c r="E1061" i="12" s="1"/>
  <c r="C1063" i="12" l="1"/>
  <c r="D1062" i="12"/>
  <c r="H1062" i="12" s="1"/>
  <c r="E1062" i="12" s="1"/>
  <c r="D1063" i="12" l="1"/>
  <c r="H1063" i="12" s="1"/>
  <c r="E1063" i="12" s="1"/>
  <c r="C1064" i="12"/>
  <c r="C1065" i="12" l="1"/>
  <c r="D1064" i="12"/>
  <c r="H1064" i="12" s="1"/>
  <c r="E1064" i="12" s="1"/>
  <c r="C1066" i="12" l="1"/>
  <c r="D1065" i="12"/>
  <c r="H1065" i="12" s="1"/>
  <c r="E1065" i="12" s="1"/>
  <c r="C1067" i="12" l="1"/>
  <c r="D1066" i="12"/>
  <c r="H1066" i="12" s="1"/>
  <c r="E1066" i="12" s="1"/>
  <c r="D1067" i="12" l="1"/>
  <c r="H1067" i="12" s="1"/>
  <c r="E1067" i="12" s="1"/>
  <c r="C1068" i="12"/>
  <c r="C1069" i="12" l="1"/>
  <c r="D1068" i="12"/>
  <c r="H1068" i="12" s="1"/>
  <c r="E1068" i="12" s="1"/>
  <c r="C1070" i="12" l="1"/>
  <c r="D1069" i="12"/>
  <c r="H1069" i="12" s="1"/>
  <c r="E1069" i="12" s="1"/>
  <c r="C1071" i="12" l="1"/>
  <c r="D1070" i="12"/>
  <c r="H1070" i="12" s="1"/>
  <c r="E1070" i="12" s="1"/>
  <c r="D1071" i="12" l="1"/>
  <c r="H1071" i="12" s="1"/>
  <c r="E1071" i="12" s="1"/>
  <c r="C1072" i="12"/>
  <c r="C1073" i="12" l="1"/>
  <c r="D1072" i="12"/>
  <c r="H1072" i="12" s="1"/>
  <c r="E1072" i="12" s="1"/>
  <c r="C1074" i="12" l="1"/>
  <c r="D1073" i="12"/>
  <c r="H1073" i="12" s="1"/>
  <c r="E1073" i="12" s="1"/>
  <c r="C1075" i="12" l="1"/>
  <c r="D1074" i="12"/>
  <c r="H1074" i="12" s="1"/>
  <c r="E1074" i="12" s="1"/>
  <c r="D1075" i="12" l="1"/>
  <c r="H1075" i="12" s="1"/>
  <c r="E1075" i="12" s="1"/>
  <c r="C1076" i="12"/>
  <c r="D1076" i="12" s="1"/>
  <c r="H1076" i="12" s="1"/>
  <c r="E1076" i="12" s="1"/>
  <c r="E1078" i="12" s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G3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2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71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F2" i="1"/>
  <c r="G1067" i="1"/>
  <c r="G1068" i="1"/>
  <c r="G1069" i="1"/>
  <c r="G1070" i="1"/>
  <c r="G1071" i="1"/>
  <c r="G1072" i="1"/>
  <c r="G1073" i="1"/>
  <c r="G1074" i="1"/>
  <c r="G1075" i="1"/>
  <c r="G1076" i="1"/>
  <c r="G1066" i="1"/>
  <c r="G1065" i="1"/>
  <c r="G1064" i="1"/>
  <c r="G1062" i="1"/>
  <c r="G1061" i="1"/>
  <c r="G1060" i="1"/>
  <c r="G1059" i="1"/>
  <c r="G1058" i="1"/>
  <c r="G1057" i="1"/>
  <c r="G1056" i="1"/>
  <c r="G1054" i="1"/>
  <c r="G1053" i="1"/>
  <c r="G1052" i="1"/>
  <c r="G1051" i="1"/>
  <c r="G1050" i="1"/>
  <c r="G1049" i="1"/>
  <c r="G1048" i="1"/>
  <c r="G1046" i="1"/>
  <c r="G1045" i="1"/>
  <c r="G1044" i="1"/>
  <c r="G1043" i="1"/>
  <c r="G1042" i="1"/>
  <c r="G1041" i="1"/>
  <c r="G1040" i="1"/>
  <c r="G1038" i="1"/>
  <c r="G1037" i="1"/>
  <c r="G1036" i="1"/>
  <c r="G1035" i="1"/>
  <c r="G1034" i="1"/>
  <c r="G1033" i="1"/>
  <c r="G1032" i="1"/>
  <c r="G1030" i="1"/>
  <c r="G1029" i="1"/>
  <c r="G1028" i="1"/>
  <c r="G1027" i="1"/>
  <c r="G1026" i="1"/>
  <c r="G1025" i="1"/>
  <c r="G1024" i="1"/>
  <c r="G1022" i="1"/>
  <c r="G1021" i="1"/>
  <c r="G1020" i="1"/>
  <c r="G1019" i="1"/>
  <c r="G1018" i="1"/>
  <c r="G1017" i="1"/>
  <c r="G1016" i="1"/>
  <c r="G1014" i="1"/>
  <c r="G1013" i="1"/>
  <c r="G1012" i="1"/>
  <c r="G1011" i="1"/>
  <c r="G1010" i="1"/>
  <c r="G1009" i="1"/>
  <c r="G1008" i="1"/>
  <c r="G1006" i="1"/>
  <c r="G1005" i="1"/>
  <c r="G1004" i="1"/>
  <c r="G1003" i="1"/>
  <c r="G1002" i="1"/>
  <c r="G1001" i="1"/>
  <c r="G1000" i="1"/>
  <c r="G998" i="1"/>
  <c r="G997" i="1"/>
  <c r="G996" i="1"/>
  <c r="G995" i="1"/>
  <c r="G994" i="1"/>
  <c r="G993" i="1"/>
  <c r="G992" i="1"/>
  <c r="G990" i="1"/>
  <c r="G989" i="1"/>
  <c r="G988" i="1"/>
  <c r="G987" i="1"/>
  <c r="G986" i="1"/>
  <c r="G985" i="1"/>
  <c r="G984" i="1"/>
  <c r="G982" i="1"/>
  <c r="G981" i="1"/>
  <c r="G980" i="1"/>
  <c r="G979" i="1"/>
  <c r="G978" i="1"/>
  <c r="G977" i="1"/>
  <c r="G976" i="1"/>
  <c r="G974" i="1"/>
  <c r="G973" i="1"/>
  <c r="G972" i="1"/>
  <c r="G971" i="1"/>
  <c r="G970" i="1"/>
  <c r="G969" i="1"/>
  <c r="G968" i="1"/>
  <c r="G966" i="1"/>
  <c r="G965" i="1"/>
  <c r="G964" i="1"/>
  <c r="G963" i="1"/>
  <c r="G962" i="1"/>
  <c r="G961" i="1"/>
  <c r="G960" i="1"/>
  <c r="G958" i="1"/>
  <c r="G957" i="1"/>
  <c r="G956" i="1"/>
  <c r="G955" i="1"/>
  <c r="G954" i="1"/>
  <c r="G953" i="1"/>
  <c r="G952" i="1"/>
  <c r="G950" i="1"/>
  <c r="G949" i="1"/>
  <c r="G948" i="1"/>
  <c r="G947" i="1"/>
  <c r="G946" i="1"/>
  <c r="G945" i="1"/>
  <c r="G944" i="1"/>
  <c r="G942" i="1"/>
  <c r="G941" i="1"/>
  <c r="G940" i="1"/>
  <c r="G939" i="1"/>
  <c r="G938" i="1"/>
  <c r="G937" i="1"/>
  <c r="G936" i="1"/>
  <c r="G934" i="1"/>
  <c r="G933" i="1"/>
  <c r="G932" i="1"/>
  <c r="G931" i="1"/>
  <c r="G930" i="1"/>
  <c r="G929" i="1"/>
  <c r="G928" i="1"/>
  <c r="G926" i="1"/>
  <c r="G925" i="1"/>
  <c r="G924" i="1"/>
  <c r="G923" i="1"/>
  <c r="G922" i="1"/>
  <c r="G921" i="1"/>
  <c r="G920" i="1"/>
  <c r="G918" i="1"/>
  <c r="G917" i="1"/>
  <c r="G916" i="1"/>
  <c r="G915" i="1"/>
  <c r="G914" i="1"/>
  <c r="G913" i="1"/>
  <c r="G912" i="1"/>
  <c r="G910" i="1"/>
  <c r="G909" i="1"/>
  <c r="G908" i="1"/>
  <c r="G907" i="1"/>
  <c r="G906" i="1"/>
  <c r="G905" i="1"/>
  <c r="G904" i="1"/>
  <c r="G902" i="1"/>
  <c r="G901" i="1"/>
  <c r="G900" i="1"/>
  <c r="G899" i="1"/>
  <c r="G898" i="1"/>
  <c r="G897" i="1"/>
  <c r="G896" i="1"/>
  <c r="G894" i="1"/>
  <c r="G893" i="1"/>
  <c r="G892" i="1"/>
  <c r="G891" i="1"/>
  <c r="G890" i="1"/>
  <c r="G889" i="1"/>
  <c r="G888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0" i="1"/>
  <c r="G869" i="1"/>
  <c r="G868" i="1"/>
  <c r="G867" i="1"/>
  <c r="G866" i="1"/>
  <c r="G865" i="1"/>
  <c r="G864" i="1"/>
  <c r="G862" i="1"/>
  <c r="G861" i="1"/>
  <c r="G860" i="1"/>
  <c r="G859" i="1"/>
  <c r="G858" i="1"/>
  <c r="G857" i="1"/>
  <c r="G856" i="1"/>
  <c r="G854" i="1"/>
  <c r="G853" i="1"/>
  <c r="G852" i="1"/>
  <c r="G851" i="1"/>
  <c r="G850" i="1"/>
  <c r="G849" i="1"/>
  <c r="G848" i="1"/>
  <c r="G846" i="1"/>
  <c r="G845" i="1"/>
  <c r="G844" i="1"/>
  <c r="G843" i="1"/>
  <c r="G842" i="1"/>
  <c r="G841" i="1"/>
  <c r="G840" i="1"/>
  <c r="G838" i="1"/>
  <c r="G837" i="1"/>
  <c r="G836" i="1"/>
  <c r="G835" i="1"/>
  <c r="G834" i="1"/>
  <c r="G833" i="1"/>
  <c r="G832" i="1"/>
  <c r="G830" i="1"/>
  <c r="G829" i="1"/>
  <c r="G828" i="1"/>
  <c r="G827" i="1"/>
  <c r="G826" i="1"/>
  <c r="G825" i="1"/>
  <c r="G824" i="1"/>
  <c r="G822" i="1"/>
  <c r="G821" i="1"/>
  <c r="G820" i="1"/>
  <c r="G819" i="1"/>
  <c r="G818" i="1"/>
  <c r="G817" i="1"/>
  <c r="G816" i="1"/>
  <c r="G814" i="1"/>
  <c r="G813" i="1"/>
  <c r="G812" i="1"/>
  <c r="G811" i="1"/>
  <c r="G810" i="1"/>
  <c r="G809" i="1"/>
  <c r="G808" i="1"/>
  <c r="G806" i="1"/>
  <c r="G805" i="1"/>
  <c r="G804" i="1"/>
  <c r="G803" i="1"/>
  <c r="G802" i="1"/>
  <c r="G801" i="1"/>
  <c r="G800" i="1"/>
  <c r="G798" i="1"/>
  <c r="G797" i="1"/>
  <c r="G796" i="1"/>
  <c r="G795" i="1"/>
  <c r="G794" i="1"/>
  <c r="G793" i="1"/>
  <c r="G792" i="1"/>
  <c r="G790" i="1"/>
  <c r="G789" i="1"/>
  <c r="G788" i="1"/>
  <c r="G787" i="1"/>
  <c r="G786" i="1"/>
  <c r="G785" i="1"/>
  <c r="G784" i="1"/>
  <c r="G782" i="1"/>
  <c r="G781" i="1"/>
  <c r="G780" i="1"/>
  <c r="G779" i="1"/>
  <c r="G778" i="1"/>
  <c r="G777" i="1"/>
  <c r="G776" i="1"/>
  <c r="G774" i="1"/>
  <c r="G773" i="1"/>
  <c r="G772" i="1"/>
  <c r="G771" i="1"/>
  <c r="G770" i="1"/>
  <c r="G769" i="1"/>
  <c r="G768" i="1"/>
  <c r="G766" i="1"/>
  <c r="G765" i="1"/>
  <c r="G764" i="1"/>
  <c r="G763" i="1"/>
  <c r="G762" i="1"/>
  <c r="G761" i="1"/>
  <c r="G760" i="1"/>
  <c r="G758" i="1"/>
  <c r="G757" i="1"/>
  <c r="G756" i="1"/>
  <c r="G755" i="1"/>
  <c r="G754" i="1"/>
  <c r="G753" i="1"/>
  <c r="G752" i="1"/>
  <c r="G750" i="1"/>
  <c r="G749" i="1"/>
  <c r="G748" i="1"/>
  <c r="G747" i="1"/>
  <c r="G746" i="1"/>
  <c r="G745" i="1"/>
  <c r="G744" i="1"/>
  <c r="G742" i="1"/>
  <c r="G741" i="1"/>
  <c r="G740" i="1"/>
  <c r="G739" i="1"/>
  <c r="G738" i="1"/>
  <c r="G737" i="1"/>
  <c r="G736" i="1"/>
  <c r="G734" i="1"/>
  <c r="G733" i="1"/>
  <c r="G732" i="1"/>
  <c r="G731" i="1"/>
  <c r="G730" i="1"/>
  <c r="G729" i="1"/>
  <c r="G728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5" i="1"/>
  <c r="G704" i="1"/>
  <c r="G702" i="1"/>
  <c r="G701" i="1"/>
  <c r="G700" i="1"/>
  <c r="G699" i="1"/>
  <c r="G698" i="1"/>
  <c r="G697" i="1"/>
  <c r="G696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8" i="1"/>
  <c r="G677" i="1"/>
  <c r="G676" i="1"/>
  <c r="G675" i="1"/>
  <c r="G674" i="1"/>
  <c r="G673" i="1"/>
  <c r="G672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4" i="1"/>
  <c r="G653" i="1"/>
  <c r="G652" i="1"/>
  <c r="G651" i="1"/>
  <c r="G650" i="1"/>
  <c r="G649" i="1"/>
  <c r="G648" i="1"/>
  <c r="G646" i="1"/>
  <c r="G645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0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4" i="1"/>
  <c r="G613" i="1"/>
  <c r="G612" i="1"/>
  <c r="G611" i="1"/>
  <c r="G610" i="1"/>
  <c r="G609" i="1"/>
  <c r="G608" i="1"/>
  <c r="G606" i="1"/>
  <c r="G605" i="1"/>
  <c r="G604" i="1"/>
  <c r="G603" i="1"/>
  <c r="G602" i="1"/>
  <c r="G601" i="1"/>
  <c r="G600" i="1"/>
  <c r="G598" i="1"/>
  <c r="G597" i="1"/>
  <c r="G596" i="1"/>
  <c r="G595" i="1"/>
  <c r="G594" i="1"/>
  <c r="G593" i="1"/>
  <c r="G592" i="1"/>
  <c r="G590" i="1"/>
  <c r="G589" i="1"/>
  <c r="G588" i="1"/>
  <c r="G587" i="1"/>
  <c r="G586" i="1"/>
  <c r="G585" i="1"/>
  <c r="G584" i="1"/>
  <c r="G582" i="1"/>
  <c r="G581" i="1"/>
  <c r="G580" i="1"/>
  <c r="G579" i="1"/>
  <c r="G578" i="1"/>
  <c r="G577" i="1"/>
  <c r="G576" i="1"/>
  <c r="G574" i="1"/>
  <c r="G573" i="1"/>
  <c r="G572" i="1"/>
  <c r="G571" i="1"/>
  <c r="G570" i="1"/>
  <c r="G569" i="1"/>
  <c r="G568" i="1"/>
  <c r="G566" i="1"/>
  <c r="G565" i="1"/>
  <c r="G564" i="1"/>
  <c r="G563" i="1"/>
  <c r="G562" i="1"/>
  <c r="G561" i="1"/>
  <c r="G560" i="1"/>
  <c r="G558" i="1"/>
  <c r="G557" i="1"/>
  <c r="G556" i="1"/>
  <c r="G555" i="1"/>
  <c r="G554" i="1"/>
  <c r="G553" i="1"/>
  <c r="G552" i="1"/>
  <c r="G550" i="1"/>
  <c r="G549" i="1"/>
  <c r="G548" i="1"/>
  <c r="G547" i="1"/>
  <c r="G546" i="1"/>
  <c r="G545" i="1"/>
  <c r="G544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1" i="1"/>
  <c r="G520" i="1"/>
  <c r="G518" i="1"/>
  <c r="G517" i="1"/>
  <c r="G516" i="1"/>
  <c r="G515" i="1"/>
  <c r="G514" i="1"/>
  <c r="G513" i="1"/>
  <c r="G512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4" i="1"/>
  <c r="G493" i="1"/>
  <c r="G492" i="1"/>
  <c r="G491" i="1"/>
  <c r="G490" i="1"/>
  <c r="G489" i="1"/>
  <c r="G488" i="1"/>
  <c r="G486" i="1"/>
  <c r="G485" i="1"/>
  <c r="G484" i="1"/>
  <c r="G483" i="1"/>
  <c r="G482" i="1"/>
  <c r="G481" i="1"/>
  <c r="G480" i="1"/>
  <c r="G478" i="1"/>
  <c r="G477" i="1"/>
  <c r="G476" i="1"/>
  <c r="G475" i="1"/>
  <c r="G474" i="1"/>
  <c r="G473" i="1"/>
  <c r="G472" i="1"/>
  <c r="G470" i="1"/>
  <c r="G469" i="1"/>
  <c r="G468" i="1"/>
  <c r="G467" i="1"/>
  <c r="G466" i="1"/>
  <c r="G465" i="1"/>
  <c r="G464" i="1"/>
  <c r="G462" i="1"/>
  <c r="G461" i="1"/>
  <c r="G460" i="1"/>
  <c r="G459" i="1"/>
  <c r="G458" i="1"/>
  <c r="G457" i="1"/>
  <c r="G456" i="1"/>
  <c r="G454" i="1"/>
  <c r="G453" i="1"/>
  <c r="G452" i="1"/>
  <c r="G451" i="1"/>
  <c r="G450" i="1"/>
  <c r="G449" i="1"/>
  <c r="G448" i="1"/>
  <c r="G446" i="1"/>
  <c r="G445" i="1"/>
  <c r="G444" i="1"/>
  <c r="G443" i="1"/>
  <c r="G442" i="1"/>
  <c r="G441" i="1"/>
  <c r="G440" i="1"/>
  <c r="G438" i="1"/>
  <c r="G437" i="1"/>
  <c r="G436" i="1"/>
  <c r="G435" i="1"/>
  <c r="G434" i="1"/>
  <c r="G433" i="1"/>
  <c r="G432" i="1"/>
  <c r="G430" i="1"/>
  <c r="G429" i="1"/>
  <c r="G428" i="1"/>
  <c r="G427" i="1"/>
  <c r="G426" i="1"/>
  <c r="G425" i="1"/>
  <c r="G424" i="1"/>
  <c r="G422" i="1"/>
  <c r="G421" i="1"/>
  <c r="G420" i="1"/>
  <c r="G419" i="1"/>
  <c r="G418" i="1"/>
  <c r="G417" i="1"/>
  <c r="G416" i="1"/>
  <c r="G414" i="1"/>
  <c r="G413" i="1"/>
  <c r="G412" i="1"/>
  <c r="G411" i="1"/>
  <c r="G410" i="1"/>
  <c r="G409" i="1"/>
  <c r="G408" i="1"/>
  <c r="G406" i="1"/>
  <c r="G405" i="1"/>
  <c r="G404" i="1"/>
  <c r="G403" i="1"/>
  <c r="G402" i="1"/>
  <c r="G401" i="1"/>
  <c r="G400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6" i="1"/>
  <c r="G365" i="1"/>
  <c r="G364" i="1"/>
  <c r="G363" i="1"/>
  <c r="G362" i="1"/>
  <c r="G361" i="1"/>
  <c r="G360" i="1"/>
  <c r="G358" i="1"/>
  <c r="G357" i="1"/>
  <c r="G356" i="1"/>
  <c r="G355" i="1"/>
  <c r="G354" i="1"/>
  <c r="G353" i="1"/>
  <c r="G352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4" i="1"/>
  <c r="G333" i="1"/>
  <c r="G332" i="1"/>
  <c r="G331" i="1"/>
  <c r="G330" i="1"/>
  <c r="G329" i="1"/>
  <c r="G328" i="1"/>
  <c r="G326" i="1"/>
  <c r="G325" i="1"/>
  <c r="G324" i="1"/>
  <c r="G323" i="1"/>
  <c r="G322" i="1"/>
  <c r="G321" i="1"/>
  <c r="G320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272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40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4" i="1"/>
  <c r="G213" i="1"/>
  <c r="G212" i="1"/>
  <c r="G211" i="1"/>
  <c r="G210" i="1"/>
  <c r="G209" i="1"/>
  <c r="G208" i="1"/>
  <c r="G206" i="1"/>
  <c r="G205" i="1"/>
  <c r="G204" i="1"/>
  <c r="G203" i="1"/>
  <c r="G202" i="1"/>
  <c r="G201" i="1"/>
  <c r="G200" i="1"/>
  <c r="G198" i="1"/>
  <c r="G197" i="1"/>
  <c r="G196" i="1"/>
  <c r="G195" i="1"/>
  <c r="G194" i="1"/>
  <c r="G193" i="1"/>
  <c r="G192" i="1"/>
  <c r="G190" i="1"/>
  <c r="G189" i="1"/>
  <c r="G188" i="1"/>
  <c r="G187" i="1"/>
  <c r="G186" i="1"/>
  <c r="G185" i="1"/>
  <c r="G184" i="1"/>
  <c r="G182" i="1"/>
  <c r="G181" i="1"/>
  <c r="G180" i="1"/>
  <c r="G179" i="1"/>
  <c r="G178" i="1"/>
  <c r="G177" i="1"/>
  <c r="G176" i="1"/>
  <c r="G174" i="1"/>
  <c r="G173" i="1"/>
  <c r="G172" i="1"/>
  <c r="G171" i="1"/>
  <c r="G170" i="1"/>
  <c r="G169" i="1"/>
  <c r="G168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2" i="1"/>
  <c r="G141" i="1"/>
  <c r="G140" i="1"/>
  <c r="G139" i="1"/>
  <c r="G138" i="1"/>
  <c r="G137" i="1"/>
  <c r="G136" i="1"/>
  <c r="G134" i="1"/>
  <c r="G133" i="1"/>
  <c r="G132" i="1"/>
  <c r="G131" i="1"/>
  <c r="G130" i="1"/>
  <c r="G129" i="1"/>
  <c r="G128" i="1"/>
  <c r="G126" i="1"/>
  <c r="G125" i="1"/>
  <c r="G124" i="1"/>
  <c r="G123" i="1"/>
  <c r="G122" i="1"/>
  <c r="G121" i="1"/>
  <c r="G120" i="1"/>
  <c r="G118" i="1"/>
  <c r="G117" i="1"/>
  <c r="G116" i="1"/>
  <c r="G115" i="1"/>
  <c r="G114" i="1"/>
  <c r="G113" i="1"/>
  <c r="G112" i="1"/>
  <c r="G110" i="1"/>
  <c r="G109" i="1"/>
  <c r="G108" i="1"/>
  <c r="G107" i="1"/>
  <c r="G106" i="1"/>
  <c r="G105" i="1"/>
  <c r="G104" i="1"/>
  <c r="G102" i="1"/>
  <c r="G101" i="1"/>
  <c r="G100" i="1"/>
  <c r="G99" i="1"/>
  <c r="G98" i="1"/>
  <c r="G97" i="1"/>
  <c r="G96" i="1"/>
  <c r="G94" i="1"/>
  <c r="G93" i="1"/>
  <c r="G92" i="1"/>
  <c r="G91" i="1"/>
  <c r="G90" i="1"/>
  <c r="G89" i="1"/>
  <c r="G88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6" i="1"/>
  <c r="G5" i="1"/>
  <c r="G4" i="1"/>
  <c r="D3" i="1" l="1"/>
  <c r="F3" i="1" l="1"/>
  <c r="D4" i="1" l="1"/>
  <c r="F4" i="1" l="1"/>
  <c r="D5" i="1" l="1"/>
  <c r="D6" i="1" s="1"/>
  <c r="D7" i="1" l="1"/>
  <c r="F6" i="1"/>
  <c r="F5" i="1"/>
  <c r="D8" i="1" l="1"/>
  <c r="F7" i="1"/>
  <c r="D9" i="1" l="1"/>
  <c r="F8" i="1"/>
  <c r="D10" i="1" l="1"/>
  <c r="F9" i="1"/>
  <c r="F10" i="1" l="1"/>
  <c r="D11" i="1"/>
  <c r="D12" i="1" l="1"/>
  <c r="F11" i="1"/>
  <c r="D13" i="1" l="1"/>
  <c r="F12" i="1"/>
  <c r="F13" i="1" l="1"/>
  <c r="D14" i="1"/>
  <c r="F14" i="1" l="1"/>
  <c r="D15" i="1"/>
  <c r="F15" i="1" l="1"/>
  <c r="D16" i="1"/>
  <c r="F16" i="1" s="1"/>
  <c r="D17" i="1" l="1"/>
  <c r="F17" i="1" l="1"/>
  <c r="D18" i="1" l="1"/>
  <c r="D19" i="1" s="1"/>
  <c r="D20" i="1" l="1"/>
  <c r="F19" i="1"/>
  <c r="F18" i="1"/>
  <c r="D21" i="1" l="1"/>
  <c r="F20" i="1"/>
  <c r="D22" i="1" l="1"/>
  <c r="F21" i="1"/>
  <c r="D23" i="1" l="1"/>
  <c r="F22" i="1"/>
  <c r="D24" i="1" l="1"/>
  <c r="F23" i="1"/>
  <c r="F24" i="1" l="1"/>
  <c r="D25" i="1"/>
  <c r="F25" i="1" l="1"/>
  <c r="D26" i="1"/>
  <c r="F26" i="1" l="1"/>
  <c r="D27" i="1"/>
  <c r="F27" i="1" l="1"/>
  <c r="D28" i="1"/>
  <c r="F28" i="1" s="1"/>
  <c r="D29" i="1" l="1"/>
  <c r="F29" i="1" l="1"/>
  <c r="D30" i="1" l="1"/>
  <c r="D31" i="1" s="1"/>
  <c r="D32" i="1" l="1"/>
  <c r="F31" i="1"/>
  <c r="F30" i="1"/>
  <c r="D33" i="1" l="1"/>
  <c r="F32" i="1"/>
  <c r="D34" i="1" l="1"/>
  <c r="F33" i="1"/>
  <c r="D35" i="1" l="1"/>
  <c r="F34" i="1"/>
  <c r="F35" i="1" l="1"/>
  <c r="D36" i="1"/>
  <c r="D37" i="1" l="1"/>
  <c r="F36" i="1"/>
  <c r="F37" i="1" l="1"/>
  <c r="D38" i="1"/>
  <c r="F38" i="1" l="1"/>
  <c r="D39" i="1"/>
  <c r="F39" i="1" s="1"/>
  <c r="D40" i="1" l="1"/>
  <c r="D41" i="1" s="1"/>
  <c r="D42" i="1" l="1"/>
  <c r="F41" i="1"/>
  <c r="F40" i="1"/>
  <c r="D43" i="1" l="1"/>
  <c r="F42" i="1"/>
  <c r="D44" i="1" l="1"/>
  <c r="F43" i="1"/>
  <c r="D45" i="1" l="1"/>
  <c r="F44" i="1"/>
  <c r="D46" i="1" l="1"/>
  <c r="F45" i="1"/>
  <c r="D47" i="1" l="1"/>
  <c r="F46" i="1"/>
  <c r="D48" i="1" l="1"/>
  <c r="F47" i="1"/>
  <c r="F48" i="1" l="1"/>
  <c r="D49" i="1"/>
  <c r="F49" i="1" l="1"/>
  <c r="D50" i="1"/>
  <c r="F50" i="1" l="1"/>
  <c r="D51" i="1"/>
  <c r="F51" i="1" l="1"/>
  <c r="D52" i="1"/>
  <c r="F52" i="1" l="1"/>
  <c r="D53" i="1"/>
  <c r="F53" i="1" l="1"/>
  <c r="D54" i="1"/>
  <c r="D55" i="1" l="1"/>
  <c r="F54" i="1"/>
  <c r="D56" i="1" l="1"/>
  <c r="F55" i="1"/>
  <c r="D57" i="1" l="1"/>
  <c r="F56" i="1"/>
  <c r="D58" i="1" l="1"/>
  <c r="F57" i="1"/>
  <c r="D59" i="1" l="1"/>
  <c r="F58" i="1"/>
  <c r="D60" i="1" l="1"/>
  <c r="F59" i="1"/>
  <c r="F60" i="1" l="1"/>
  <c r="D61" i="1"/>
  <c r="D62" i="1" l="1"/>
  <c r="F61" i="1"/>
  <c r="F62" i="1" l="1"/>
  <c r="D63" i="1"/>
  <c r="F63" i="1" l="1"/>
  <c r="D64" i="1"/>
  <c r="F64" i="1" l="1"/>
  <c r="D65" i="1"/>
  <c r="D66" i="1" l="1"/>
  <c r="F65" i="1"/>
  <c r="F66" i="1" l="1"/>
  <c r="D67" i="1"/>
  <c r="D68" i="1" l="1"/>
  <c r="F67" i="1"/>
  <c r="D69" i="1" l="1"/>
  <c r="F68" i="1"/>
  <c r="D70" i="1" l="1"/>
  <c r="F69" i="1"/>
  <c r="D71" i="1" l="1"/>
  <c r="F70" i="1"/>
  <c r="F71" i="1" l="1"/>
  <c r="D72" i="1"/>
  <c r="D73" i="1" l="1"/>
  <c r="F72" i="1"/>
  <c r="F73" i="1" l="1"/>
  <c r="D74" i="1"/>
  <c r="F74" i="1" l="1"/>
  <c r="D75" i="1"/>
  <c r="F75" i="1" l="1"/>
  <c r="D76" i="1"/>
  <c r="F76" i="1" l="1"/>
  <c r="D77" i="1"/>
  <c r="D78" i="1" l="1"/>
  <c r="F77" i="1"/>
  <c r="D79" i="1" l="1"/>
  <c r="F78" i="1"/>
  <c r="D80" i="1" l="1"/>
  <c r="F79" i="1"/>
  <c r="D81" i="1" l="1"/>
  <c r="F80" i="1"/>
  <c r="D82" i="1" l="1"/>
  <c r="F81" i="1"/>
  <c r="D83" i="1" l="1"/>
  <c r="F82" i="1"/>
  <c r="D84" i="1" l="1"/>
  <c r="F83" i="1"/>
  <c r="D85" i="1" l="1"/>
  <c r="F84" i="1"/>
  <c r="F85" i="1" l="1"/>
  <c r="D86" i="1"/>
  <c r="F86" i="1" l="1"/>
  <c r="D87" i="1"/>
  <c r="F87" i="1" l="1"/>
  <c r="D88" i="1"/>
  <c r="F88" i="1" l="1"/>
  <c r="D89" i="1"/>
  <c r="D90" i="1" l="1"/>
  <c r="F89" i="1"/>
  <c r="D91" i="1" l="1"/>
  <c r="F90" i="1"/>
  <c r="D92" i="1" l="1"/>
  <c r="F91" i="1"/>
  <c r="F92" i="1" l="1"/>
  <c r="D93" i="1"/>
  <c r="D94" i="1" l="1"/>
  <c r="F93" i="1"/>
  <c r="D95" i="1" l="1"/>
  <c r="F94" i="1"/>
  <c r="D96" i="1" l="1"/>
  <c r="F95" i="1"/>
  <c r="F96" i="1" l="1"/>
  <c r="D97" i="1"/>
  <c r="F97" i="1" l="1"/>
  <c r="D98" i="1"/>
  <c r="F98" i="1" l="1"/>
  <c r="D99" i="1"/>
  <c r="F99" i="1" l="1"/>
  <c r="D100" i="1"/>
  <c r="D101" i="1" l="1"/>
  <c r="F100" i="1"/>
  <c r="F101" i="1" l="1"/>
  <c r="D102" i="1"/>
  <c r="D103" i="1" l="1"/>
  <c r="F102" i="1"/>
  <c r="D104" i="1" l="1"/>
  <c r="F103" i="1"/>
  <c r="D105" i="1" l="1"/>
  <c r="F104" i="1"/>
  <c r="D106" i="1" l="1"/>
  <c r="F105" i="1"/>
  <c r="D107" i="1" l="1"/>
  <c r="F106" i="1"/>
  <c r="F107" i="1" l="1"/>
  <c r="D108" i="1"/>
  <c r="F108" i="1" l="1"/>
  <c r="D109" i="1"/>
  <c r="F109" i="1" l="1"/>
  <c r="D110" i="1"/>
  <c r="F110" i="1" l="1"/>
  <c r="D111" i="1"/>
  <c r="D112" i="1" l="1"/>
  <c r="F111" i="1"/>
  <c r="D113" i="1" l="1"/>
  <c r="F112" i="1"/>
  <c r="F113" i="1" l="1"/>
  <c r="D114" i="1"/>
  <c r="D115" i="1" l="1"/>
  <c r="F114" i="1"/>
  <c r="D116" i="1" l="1"/>
  <c r="F115" i="1"/>
  <c r="D117" i="1" l="1"/>
  <c r="F116" i="1"/>
  <c r="D118" i="1" l="1"/>
  <c r="F117" i="1"/>
  <c r="D119" i="1" l="1"/>
  <c r="F118" i="1"/>
  <c r="D120" i="1" l="1"/>
  <c r="F119" i="1"/>
  <c r="F120" i="1" l="1"/>
  <c r="D121" i="1"/>
  <c r="F121" i="1" l="1"/>
  <c r="D122" i="1"/>
  <c r="F122" i="1" l="1"/>
  <c r="D123" i="1"/>
  <c r="D124" i="1" l="1"/>
  <c r="F123" i="1"/>
  <c r="D125" i="1" l="1"/>
  <c r="F124" i="1"/>
  <c r="D126" i="1" l="1"/>
  <c r="F125" i="1"/>
  <c r="D127" i="1" l="1"/>
  <c r="F126" i="1"/>
  <c r="D128" i="1" l="1"/>
  <c r="F127" i="1"/>
  <c r="F128" i="1" l="1"/>
  <c r="D129" i="1"/>
  <c r="D130" i="1" l="1"/>
  <c r="F129" i="1"/>
  <c r="D131" i="1" l="1"/>
  <c r="F130" i="1"/>
  <c r="F131" i="1" l="1"/>
  <c r="D132" i="1"/>
  <c r="F132" i="1" l="1"/>
  <c r="D133" i="1"/>
  <c r="F133" i="1" l="1"/>
  <c r="D134" i="1"/>
  <c r="D135" i="1" l="1"/>
  <c r="F134" i="1"/>
  <c r="D136" i="1" l="1"/>
  <c r="F135" i="1"/>
  <c r="D137" i="1" l="1"/>
  <c r="F136" i="1"/>
  <c r="D138" i="1" l="1"/>
  <c r="F137" i="1"/>
  <c r="D139" i="1" l="1"/>
  <c r="F138" i="1"/>
  <c r="D140" i="1" l="1"/>
  <c r="F139" i="1"/>
  <c r="F140" i="1" l="1"/>
  <c r="D141" i="1"/>
  <c r="D142" i="1" l="1"/>
  <c r="F141" i="1"/>
  <c r="D143" i="1" l="1"/>
  <c r="F142" i="1"/>
  <c r="F143" i="1" l="1"/>
  <c r="D144" i="1"/>
  <c r="F144" i="1" l="1"/>
  <c r="D145" i="1"/>
  <c r="F145" i="1" l="1"/>
  <c r="D146" i="1"/>
  <c r="F146" i="1" l="1"/>
  <c r="D147" i="1"/>
  <c r="D148" i="1" l="1"/>
  <c r="F147" i="1"/>
  <c r="D149" i="1" l="1"/>
  <c r="F148" i="1"/>
  <c r="D150" i="1" l="1"/>
  <c r="F149" i="1"/>
  <c r="F150" i="1" l="1"/>
  <c r="D151" i="1"/>
  <c r="D152" i="1" l="1"/>
  <c r="F151" i="1"/>
  <c r="F152" i="1" l="1"/>
  <c r="D153" i="1"/>
  <c r="F153" i="1" l="1"/>
  <c r="D154" i="1"/>
  <c r="D155" i="1" l="1"/>
  <c r="F154" i="1"/>
  <c r="F155" i="1" l="1"/>
  <c r="D156" i="1"/>
  <c r="D157" i="1" l="1"/>
  <c r="F156" i="1"/>
  <c r="F157" i="1" l="1"/>
  <c r="D158" i="1"/>
  <c r="F158" i="1" l="1"/>
  <c r="D159" i="1"/>
  <c r="D160" i="1" l="1"/>
  <c r="F159" i="1"/>
  <c r="D161" i="1" l="1"/>
  <c r="F160" i="1"/>
  <c r="D162" i="1" l="1"/>
  <c r="F161" i="1"/>
  <c r="D163" i="1" l="1"/>
  <c r="F162" i="1"/>
  <c r="D164" i="1" l="1"/>
  <c r="F163" i="1"/>
  <c r="F164" i="1" l="1"/>
  <c r="D165" i="1"/>
  <c r="D166" i="1" l="1"/>
  <c r="F165" i="1"/>
  <c r="F166" i="1" l="1"/>
  <c r="D167" i="1"/>
  <c r="D168" i="1" l="1"/>
  <c r="F167" i="1"/>
  <c r="F168" i="1" l="1"/>
  <c r="D169" i="1"/>
  <c r="D170" i="1" l="1"/>
  <c r="F169" i="1"/>
  <c r="F170" i="1" l="1"/>
  <c r="D171" i="1"/>
  <c r="F171" i="1" l="1"/>
  <c r="D172" i="1"/>
  <c r="D173" i="1" l="1"/>
  <c r="F172" i="1"/>
  <c r="D174" i="1" l="1"/>
  <c r="F173" i="1"/>
  <c r="D175" i="1" l="1"/>
  <c r="F174" i="1"/>
  <c r="F175" i="1" l="1"/>
  <c r="D176" i="1"/>
  <c r="D177" i="1" l="1"/>
  <c r="F176" i="1"/>
  <c r="D178" i="1" l="1"/>
  <c r="F177" i="1"/>
  <c r="F178" i="1" l="1"/>
  <c r="D179" i="1"/>
  <c r="F179" i="1" l="1"/>
  <c r="D180" i="1"/>
  <c r="D181" i="1" l="1"/>
  <c r="F180" i="1"/>
  <c r="F181" i="1" l="1"/>
  <c r="D182" i="1"/>
  <c r="F182" i="1" l="1"/>
  <c r="D183" i="1"/>
  <c r="F183" i="1" l="1"/>
  <c r="D184" i="1"/>
  <c r="D185" i="1" l="1"/>
  <c r="F184" i="1"/>
  <c r="D186" i="1" l="1"/>
  <c r="F185" i="1"/>
  <c r="D187" i="1" l="1"/>
  <c r="F186" i="1"/>
  <c r="F187" i="1" l="1"/>
  <c r="D188" i="1"/>
  <c r="D189" i="1" l="1"/>
  <c r="F188" i="1"/>
  <c r="F189" i="1" l="1"/>
  <c r="D190" i="1"/>
  <c r="D191" i="1" l="1"/>
  <c r="F190" i="1"/>
  <c r="F191" i="1" l="1"/>
  <c r="D192" i="1"/>
  <c r="F192" i="1" l="1"/>
  <c r="D193" i="1"/>
  <c r="F193" i="1" l="1"/>
  <c r="D194" i="1"/>
  <c r="F194" i="1" l="1"/>
  <c r="D195" i="1"/>
  <c r="D196" i="1" l="1"/>
  <c r="F195" i="1"/>
  <c r="D197" i="1" l="1"/>
  <c r="F196" i="1"/>
  <c r="D198" i="1" l="1"/>
  <c r="F197" i="1"/>
  <c r="D199" i="1" l="1"/>
  <c r="F198" i="1"/>
  <c r="D200" i="1" l="1"/>
  <c r="F199" i="1"/>
  <c r="D201" i="1" l="1"/>
  <c r="F200" i="1"/>
  <c r="F201" i="1" l="1"/>
  <c r="D202" i="1"/>
  <c r="D203" i="1" l="1"/>
  <c r="F202" i="1"/>
  <c r="F203" i="1" l="1"/>
  <c r="D204" i="1"/>
  <c r="F204" i="1" l="1"/>
  <c r="D205" i="1"/>
  <c r="F205" i="1" l="1"/>
  <c r="D206" i="1"/>
  <c r="F206" i="1" l="1"/>
  <c r="D207" i="1"/>
  <c r="F207" i="1" l="1"/>
  <c r="D208" i="1"/>
  <c r="D209" i="1" l="1"/>
  <c r="F208" i="1"/>
  <c r="D210" i="1" l="1"/>
  <c r="F209" i="1"/>
  <c r="D211" i="1" l="1"/>
  <c r="F210" i="1"/>
  <c r="D212" i="1" l="1"/>
  <c r="F211" i="1"/>
  <c r="D213" i="1" l="1"/>
  <c r="F212" i="1"/>
  <c r="D214" i="1" l="1"/>
  <c r="F213" i="1"/>
  <c r="D215" i="1" l="1"/>
  <c r="F214" i="1"/>
  <c r="F215" i="1" l="1"/>
  <c r="D216" i="1"/>
  <c r="F216" i="1" l="1"/>
  <c r="D217" i="1"/>
  <c r="F217" i="1" l="1"/>
  <c r="D218" i="1"/>
  <c r="D219" i="1" l="1"/>
  <c r="F218" i="1"/>
  <c r="D220" i="1" l="1"/>
  <c r="F219" i="1"/>
  <c r="D221" i="1" l="1"/>
  <c r="F220" i="1"/>
  <c r="D222" i="1" l="1"/>
  <c r="F221" i="1"/>
  <c r="D223" i="1" l="1"/>
  <c r="F222" i="1"/>
  <c r="F223" i="1" l="1"/>
  <c r="D224" i="1"/>
  <c r="F224" i="1" l="1"/>
  <c r="D225" i="1"/>
  <c r="D226" i="1" l="1"/>
  <c r="F225" i="1"/>
  <c r="D227" i="1" l="1"/>
  <c r="F226" i="1"/>
  <c r="F227" i="1" l="1"/>
  <c r="D228" i="1"/>
  <c r="F228" i="1" l="1"/>
  <c r="D229" i="1"/>
  <c r="F229" i="1" l="1"/>
  <c r="D230" i="1"/>
  <c r="F230" i="1" l="1"/>
  <c r="D231" i="1"/>
  <c r="D232" i="1" l="1"/>
  <c r="F231" i="1"/>
  <c r="D233" i="1" l="1"/>
  <c r="F232" i="1"/>
  <c r="D234" i="1" l="1"/>
  <c r="F233" i="1"/>
  <c r="D235" i="1" l="1"/>
  <c r="F234" i="1"/>
  <c r="D236" i="1" l="1"/>
  <c r="F235" i="1"/>
  <c r="F236" i="1" l="1"/>
  <c r="D237" i="1"/>
  <c r="D238" i="1" l="1"/>
  <c r="F237" i="1"/>
  <c r="D239" i="1" l="1"/>
  <c r="F238" i="1"/>
  <c r="D240" i="1" l="1"/>
  <c r="F239" i="1"/>
  <c r="F240" i="1" l="1"/>
  <c r="D241" i="1"/>
  <c r="F241" i="1" l="1"/>
  <c r="D242" i="1"/>
  <c r="F242" i="1" l="1"/>
  <c r="D243" i="1"/>
  <c r="D244" i="1" l="1"/>
  <c r="F243" i="1"/>
  <c r="D245" i="1" l="1"/>
  <c r="F244" i="1"/>
  <c r="D246" i="1" l="1"/>
  <c r="F245" i="1"/>
  <c r="D247" i="1" l="1"/>
  <c r="F246" i="1"/>
  <c r="D248" i="1" l="1"/>
  <c r="F247" i="1"/>
  <c r="D249" i="1" l="1"/>
  <c r="F248" i="1"/>
  <c r="F249" i="1" l="1"/>
  <c r="D250" i="1"/>
  <c r="D251" i="1" l="1"/>
  <c r="F250" i="1"/>
  <c r="F251" i="1" l="1"/>
  <c r="D252" i="1"/>
  <c r="F252" i="1" l="1"/>
  <c r="D253" i="1"/>
  <c r="F253" i="1" l="1"/>
  <c r="D254" i="1"/>
  <c r="D255" i="1" l="1"/>
  <c r="F254" i="1"/>
  <c r="F255" i="1" l="1"/>
  <c r="D256" i="1"/>
  <c r="D257" i="1" l="1"/>
  <c r="F256" i="1"/>
  <c r="D258" i="1" l="1"/>
  <c r="F257" i="1"/>
  <c r="D259" i="1" l="1"/>
  <c r="F258" i="1"/>
  <c r="D260" i="1" l="1"/>
  <c r="F259" i="1"/>
  <c r="D261" i="1" l="1"/>
  <c r="F260" i="1"/>
  <c r="F261" i="1" l="1"/>
  <c r="D262" i="1"/>
  <c r="F262" i="1" l="1"/>
  <c r="D263" i="1"/>
  <c r="F263" i="1" l="1"/>
  <c r="D264" i="1"/>
  <c r="F264" i="1" l="1"/>
  <c r="D265" i="1"/>
  <c r="F265" i="1" l="1"/>
  <c r="D266" i="1"/>
  <c r="F266" i="1" l="1"/>
  <c r="D267" i="1"/>
  <c r="F267" i="1" l="1"/>
  <c r="D268" i="1"/>
  <c r="D269" i="1" l="1"/>
  <c r="F268" i="1"/>
  <c r="D270" i="1" l="1"/>
  <c r="F269" i="1"/>
  <c r="D271" i="1" l="1"/>
  <c r="F270" i="1"/>
  <c r="D272" i="1" l="1"/>
  <c r="F271" i="1"/>
  <c r="D273" i="1" l="1"/>
  <c r="F272" i="1"/>
  <c r="D274" i="1" l="1"/>
  <c r="F273" i="1"/>
  <c r="D275" i="1" l="1"/>
  <c r="F274" i="1"/>
  <c r="D276" i="1" l="1"/>
  <c r="F275" i="1"/>
  <c r="F276" i="1" l="1"/>
  <c r="D277" i="1"/>
  <c r="F277" i="1" l="1"/>
  <c r="D278" i="1"/>
  <c r="D279" i="1" l="1"/>
  <c r="F278" i="1"/>
  <c r="F279" i="1" l="1"/>
  <c r="D280" i="1"/>
  <c r="D281" i="1" l="1"/>
  <c r="F280" i="1"/>
  <c r="D282" i="1" l="1"/>
  <c r="F281" i="1"/>
  <c r="D283" i="1" l="1"/>
  <c r="F282" i="1"/>
  <c r="D284" i="1" l="1"/>
  <c r="F283" i="1"/>
  <c r="F284" i="1" l="1"/>
  <c r="D285" i="1"/>
  <c r="D286" i="1" l="1"/>
  <c r="F285" i="1"/>
  <c r="D287" i="1" l="1"/>
  <c r="F286" i="1"/>
  <c r="F287" i="1" l="1"/>
  <c r="D288" i="1"/>
  <c r="F288" i="1" l="1"/>
  <c r="D289" i="1"/>
  <c r="F289" i="1" l="1"/>
  <c r="D290" i="1"/>
  <c r="D291" i="1" l="1"/>
  <c r="F290" i="1"/>
  <c r="D292" i="1" l="1"/>
  <c r="F291" i="1"/>
  <c r="D293" i="1" l="1"/>
  <c r="F292" i="1"/>
  <c r="D294" i="1" l="1"/>
  <c r="F293" i="1"/>
  <c r="D295" i="1" l="1"/>
  <c r="F294" i="1"/>
  <c r="D296" i="1" l="1"/>
  <c r="F295" i="1"/>
  <c r="D297" i="1" l="1"/>
  <c r="F296" i="1"/>
  <c r="F297" i="1" l="1"/>
  <c r="D298" i="1"/>
  <c r="D299" i="1" l="1"/>
  <c r="F298" i="1"/>
  <c r="F299" i="1" l="1"/>
  <c r="D300" i="1"/>
  <c r="F300" i="1" l="1"/>
  <c r="D301" i="1"/>
  <c r="F301" i="1" l="1"/>
  <c r="D302" i="1"/>
  <c r="F302" i="1" l="1"/>
  <c r="D303" i="1"/>
  <c r="D304" i="1" l="1"/>
  <c r="F303" i="1"/>
  <c r="D305" i="1" l="1"/>
  <c r="F304" i="1"/>
  <c r="D306" i="1" l="1"/>
  <c r="F305" i="1"/>
  <c r="D307" i="1" l="1"/>
  <c r="F306" i="1"/>
  <c r="D308" i="1" l="1"/>
  <c r="F307" i="1"/>
  <c r="D309" i="1" l="1"/>
  <c r="F308" i="1"/>
  <c r="F309" i="1" l="1"/>
  <c r="D310" i="1"/>
  <c r="F310" i="1" l="1"/>
  <c r="D311" i="1"/>
  <c r="F311" i="1" l="1"/>
  <c r="D312" i="1"/>
  <c r="D313" i="1" l="1"/>
  <c r="F312" i="1"/>
  <c r="F313" i="1" l="1"/>
  <c r="D314" i="1"/>
  <c r="F314" i="1" l="1"/>
  <c r="D315" i="1"/>
  <c r="D316" i="1" l="1"/>
  <c r="F315" i="1"/>
  <c r="D317" i="1" l="1"/>
  <c r="F316" i="1"/>
  <c r="D318" i="1" l="1"/>
  <c r="F317" i="1"/>
  <c r="F318" i="1" l="1"/>
  <c r="D319" i="1"/>
  <c r="D320" i="1" l="1"/>
  <c r="F319" i="1"/>
  <c r="F320" i="1" l="1"/>
  <c r="D321" i="1"/>
  <c r="D322" i="1" l="1"/>
  <c r="F321" i="1"/>
  <c r="D323" i="1" l="1"/>
  <c r="F322" i="1"/>
  <c r="F323" i="1" l="1"/>
  <c r="D324" i="1"/>
  <c r="D325" i="1" l="1"/>
  <c r="F324" i="1"/>
  <c r="F325" i="1" l="1"/>
  <c r="D326" i="1"/>
  <c r="D327" i="1" l="1"/>
  <c r="F326" i="1"/>
  <c r="F327" i="1" l="1"/>
  <c r="D328" i="1"/>
  <c r="D329" i="1" l="1"/>
  <c r="F328" i="1"/>
  <c r="D330" i="1" l="1"/>
  <c r="F329" i="1"/>
  <c r="D331" i="1" l="1"/>
  <c r="F330" i="1"/>
  <c r="D332" i="1" l="1"/>
  <c r="F331" i="1"/>
  <c r="F332" i="1" l="1"/>
  <c r="D333" i="1"/>
  <c r="D334" i="1" l="1"/>
  <c r="F333" i="1"/>
  <c r="F334" i="1" l="1"/>
  <c r="D335" i="1"/>
  <c r="F335" i="1" l="1"/>
  <c r="D336" i="1"/>
  <c r="F336" i="1" l="1"/>
  <c r="D337" i="1"/>
  <c r="F337" i="1" l="1"/>
  <c r="D338" i="1"/>
  <c r="F338" i="1" l="1"/>
  <c r="D339" i="1"/>
  <c r="D340" i="1" l="1"/>
  <c r="F339" i="1"/>
  <c r="D341" i="1" l="1"/>
  <c r="F340" i="1"/>
  <c r="D342" i="1" l="1"/>
  <c r="F341" i="1"/>
  <c r="D343" i="1" l="1"/>
  <c r="F342" i="1"/>
  <c r="D344" i="1" l="1"/>
  <c r="F343" i="1"/>
  <c r="D345" i="1" l="1"/>
  <c r="F344" i="1"/>
  <c r="D346" i="1" l="1"/>
  <c r="F345" i="1"/>
  <c r="F346" i="1" l="1"/>
  <c r="D347" i="1"/>
  <c r="F347" i="1" l="1"/>
  <c r="D348" i="1"/>
  <c r="F348" i="1" l="1"/>
  <c r="D349" i="1"/>
  <c r="F349" i="1" l="1"/>
  <c r="D350" i="1"/>
  <c r="F350" i="1" l="1"/>
  <c r="D351" i="1"/>
  <c r="D352" i="1" l="1"/>
  <c r="F351" i="1"/>
  <c r="D353" i="1" l="1"/>
  <c r="F352" i="1"/>
  <c r="D354" i="1" l="1"/>
  <c r="F353" i="1"/>
  <c r="D355" i="1" l="1"/>
  <c r="F354" i="1"/>
  <c r="F355" i="1" l="1"/>
  <c r="D356" i="1"/>
  <c r="D357" i="1" l="1"/>
  <c r="F356" i="1"/>
  <c r="D358" i="1" l="1"/>
  <c r="F357" i="1"/>
  <c r="F358" i="1" l="1"/>
  <c r="D359" i="1"/>
  <c r="F359" i="1" l="1"/>
  <c r="D360" i="1"/>
  <c r="F360" i="1" l="1"/>
  <c r="D361" i="1"/>
  <c r="D362" i="1" l="1"/>
  <c r="F361" i="1"/>
  <c r="F362" i="1" l="1"/>
  <c r="D363" i="1"/>
  <c r="D364" i="1" l="1"/>
  <c r="F363" i="1"/>
  <c r="D365" i="1" l="1"/>
  <c r="F364" i="1"/>
  <c r="D366" i="1" l="1"/>
  <c r="F365" i="1"/>
  <c r="F366" i="1" l="1"/>
  <c r="D367" i="1"/>
  <c r="D368" i="1" l="1"/>
  <c r="F367" i="1"/>
  <c r="F368" i="1" l="1"/>
  <c r="D369" i="1"/>
  <c r="D370" i="1" l="1"/>
  <c r="F369" i="1"/>
  <c r="F370" i="1" l="1"/>
  <c r="D371" i="1"/>
  <c r="D372" i="1" l="1"/>
  <c r="F371" i="1"/>
  <c r="F372" i="1" l="1"/>
  <c r="D373" i="1"/>
  <c r="D374" i="1" l="1"/>
  <c r="F373" i="1"/>
  <c r="F374" i="1" l="1"/>
  <c r="D375" i="1"/>
  <c r="F375" i="1" l="1"/>
  <c r="D376" i="1"/>
  <c r="D377" i="1" l="1"/>
  <c r="F376" i="1"/>
  <c r="D378" i="1" l="1"/>
  <c r="F377" i="1"/>
  <c r="D379" i="1" l="1"/>
  <c r="F378" i="1"/>
  <c r="F379" i="1" l="1"/>
  <c r="D380" i="1"/>
  <c r="D381" i="1" l="1"/>
  <c r="F380" i="1"/>
  <c r="D382" i="1" l="1"/>
  <c r="F381" i="1"/>
  <c r="D383" i="1" l="1"/>
  <c r="F382" i="1"/>
  <c r="F383" i="1" l="1"/>
  <c r="D384" i="1"/>
  <c r="F384" i="1" l="1"/>
  <c r="D385" i="1"/>
  <c r="D386" i="1" l="1"/>
  <c r="F385" i="1"/>
  <c r="F386" i="1" l="1"/>
  <c r="D387" i="1"/>
  <c r="D388" i="1" l="1"/>
  <c r="F387" i="1"/>
  <c r="D389" i="1" l="1"/>
  <c r="F388" i="1"/>
  <c r="D390" i="1" l="1"/>
  <c r="F389" i="1"/>
  <c r="D391" i="1" l="1"/>
  <c r="F390" i="1"/>
  <c r="F391" i="1" l="1"/>
  <c r="D392" i="1"/>
  <c r="F392" i="1" l="1"/>
  <c r="D393" i="1"/>
  <c r="D394" i="1" l="1"/>
  <c r="F393" i="1"/>
  <c r="D395" i="1" l="1"/>
  <c r="F394" i="1"/>
  <c r="F395" i="1" l="1"/>
  <c r="D396" i="1"/>
  <c r="F396" i="1" l="1"/>
  <c r="D397" i="1"/>
  <c r="F397" i="1" l="1"/>
  <c r="D398" i="1"/>
  <c r="D399" i="1" l="1"/>
  <c r="F398" i="1"/>
  <c r="F399" i="1" l="1"/>
  <c r="D400" i="1"/>
  <c r="D401" i="1" l="1"/>
  <c r="F400" i="1"/>
  <c r="D402" i="1" l="1"/>
  <c r="F401" i="1"/>
  <c r="D403" i="1" l="1"/>
  <c r="F402" i="1"/>
  <c r="D404" i="1" l="1"/>
  <c r="F403" i="1"/>
  <c r="F404" i="1" l="1"/>
  <c r="D405" i="1"/>
  <c r="D406" i="1" l="1"/>
  <c r="F405" i="1"/>
  <c r="F406" i="1" l="1"/>
  <c r="D407" i="1"/>
  <c r="D408" i="1" l="1"/>
  <c r="F407" i="1"/>
  <c r="F408" i="1" l="1"/>
  <c r="D409" i="1"/>
  <c r="F409" i="1" l="1"/>
  <c r="D410" i="1"/>
  <c r="D411" i="1" l="1"/>
  <c r="F410" i="1"/>
  <c r="D412" i="1" l="1"/>
  <c r="F411" i="1"/>
  <c r="D413" i="1" l="1"/>
  <c r="F412" i="1"/>
  <c r="D414" i="1" l="1"/>
  <c r="F413" i="1"/>
  <c r="D415" i="1" l="1"/>
  <c r="F414" i="1"/>
  <c r="D416" i="1" l="1"/>
  <c r="F415" i="1"/>
  <c r="F416" i="1" l="1"/>
  <c r="D417" i="1"/>
  <c r="F417" i="1" l="1"/>
  <c r="D418" i="1"/>
  <c r="D419" i="1" l="1"/>
  <c r="F418" i="1"/>
  <c r="F419" i="1" l="1"/>
  <c r="D420" i="1"/>
  <c r="F420" i="1" l="1"/>
  <c r="D421" i="1"/>
  <c r="F421" i="1" l="1"/>
  <c r="D422" i="1"/>
  <c r="F422" i="1" l="1"/>
  <c r="D423" i="1"/>
  <c r="D424" i="1" l="1"/>
  <c r="F423" i="1"/>
  <c r="D425" i="1" l="1"/>
  <c r="F424" i="1"/>
  <c r="D426" i="1" l="1"/>
  <c r="F425" i="1"/>
  <c r="D427" i="1" l="1"/>
  <c r="F426" i="1"/>
  <c r="D428" i="1" l="1"/>
  <c r="F427" i="1"/>
  <c r="F428" i="1" l="1"/>
  <c r="D429" i="1"/>
  <c r="D430" i="1" l="1"/>
  <c r="F429" i="1"/>
  <c r="F430" i="1" l="1"/>
  <c r="D431" i="1"/>
  <c r="D432" i="1" l="1"/>
  <c r="F431" i="1"/>
  <c r="F432" i="1" l="1"/>
  <c r="D433" i="1"/>
  <c r="F433" i="1" l="1"/>
  <c r="D434" i="1"/>
  <c r="D435" i="1" l="1"/>
  <c r="F434" i="1"/>
  <c r="F435" i="1" l="1"/>
  <c r="D436" i="1"/>
  <c r="D437" i="1" l="1"/>
  <c r="F436" i="1"/>
  <c r="D438" i="1" l="1"/>
  <c r="F437" i="1"/>
  <c r="D439" i="1" l="1"/>
  <c r="F438" i="1"/>
  <c r="D440" i="1" l="1"/>
  <c r="F439" i="1"/>
  <c r="D441" i="1" l="1"/>
  <c r="F440" i="1"/>
  <c r="F441" i="1" l="1"/>
  <c r="D442" i="1"/>
  <c r="D443" i="1" l="1"/>
  <c r="F443" i="1" s="1"/>
  <c r="F442" i="1"/>
  <c r="D444" i="1"/>
  <c r="D445" i="1"/>
  <c r="D446" i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F445" i="1"/>
  <c r="F470" i="1"/>
  <c r="F460" i="1"/>
  <c r="F473" i="1"/>
  <c r="F447" i="1"/>
  <c r="F448" i="1"/>
  <c r="F461" i="1"/>
  <c r="F531" i="1"/>
  <c r="F494" i="1"/>
  <c r="F462" i="1"/>
  <c r="F475" i="1"/>
  <c r="F457" i="1"/>
  <c r="F484" i="1"/>
  <c r="F456" i="1"/>
  <c r="F450" i="1"/>
  <c r="F452" i="1"/>
  <c r="F451" i="1"/>
  <c r="F511" i="1"/>
  <c r="F525" i="1"/>
  <c r="F492" i="1"/>
  <c r="F503" i="1"/>
  <c r="F454" i="1"/>
  <c r="F453" i="1"/>
  <c r="F481" i="1"/>
  <c r="F464" i="1"/>
  <c r="F463" i="1"/>
  <c r="F444" i="1"/>
  <c r="F486" i="1"/>
  <c r="F467" i="1"/>
  <c r="F466" i="1"/>
  <c r="F527" i="1"/>
  <c r="F526" i="1"/>
  <c r="F491" i="1"/>
  <c r="F490" i="1"/>
  <c r="F480" i="1" l="1"/>
  <c r="F501" i="1"/>
  <c r="F541" i="1"/>
  <c r="F482" i="1"/>
  <c r="F468" i="1"/>
  <c r="F476" i="1"/>
  <c r="F497" i="1"/>
  <c r="F474" i="1"/>
  <c r="F520" i="1"/>
  <c r="F446" i="1"/>
  <c r="F472" i="1"/>
  <c r="F539" i="1"/>
  <c r="F556" i="1"/>
  <c r="F514" i="1"/>
  <c r="F537" i="1"/>
  <c r="F512" i="1"/>
  <c r="F507" i="1"/>
  <c r="F515" i="1"/>
  <c r="F540" i="1"/>
  <c r="F504" i="1"/>
  <c r="F513" i="1"/>
  <c r="F529" i="1"/>
  <c r="F543" i="1"/>
  <c r="F479" i="1"/>
  <c r="F500" i="1"/>
  <c r="F538" i="1"/>
  <c r="F487" i="1"/>
  <c r="F534" i="1"/>
  <c r="F469" i="1"/>
  <c r="F471" i="1"/>
  <c r="F488" i="1"/>
  <c r="F516" i="1"/>
  <c r="F477" i="1"/>
  <c r="F483" i="1"/>
  <c r="F465" i="1"/>
  <c r="F498" i="1"/>
  <c r="F505" i="1"/>
  <c r="F506" i="1"/>
  <c r="F533" i="1"/>
  <c r="F549" i="1"/>
  <c r="F489" i="1"/>
  <c r="F485" i="1"/>
  <c r="F478" i="1"/>
  <c r="F502" i="1"/>
  <c r="F455" i="1"/>
  <c r="F499" i="1"/>
  <c r="F493" i="1"/>
  <c r="F449" i="1"/>
  <c r="F532" i="1"/>
  <c r="F544" i="1"/>
  <c r="F459" i="1"/>
  <c r="D563" i="1"/>
  <c r="F562" i="1"/>
  <c r="F561" i="1"/>
  <c r="F559" i="1"/>
  <c r="F553" i="1"/>
  <c r="F542" i="1"/>
  <c r="F547" i="1"/>
  <c r="F558" i="1"/>
  <c r="F557" i="1"/>
  <c r="F550" i="1"/>
  <c r="F551" i="1"/>
  <c r="F528" i="1"/>
  <c r="F523" i="1"/>
  <c r="F510" i="1"/>
  <c r="F509" i="1"/>
  <c r="F495" i="1"/>
  <c r="F545" i="1"/>
  <c r="F519" i="1"/>
  <c r="F554" i="1"/>
  <c r="F560" i="1"/>
  <c r="F535" i="1"/>
  <c r="F548" i="1"/>
  <c r="F496" i="1"/>
  <c r="F508" i="1"/>
  <c r="F555" i="1"/>
  <c r="F536" i="1"/>
  <c r="F521" i="1"/>
  <c r="F552" i="1"/>
  <c r="F524" i="1"/>
  <c r="F522" i="1"/>
  <c r="F517" i="1"/>
  <c r="F530" i="1"/>
  <c r="F546" i="1"/>
  <c r="F458" i="1"/>
  <c r="F518" i="1"/>
  <c r="D564" i="1" l="1"/>
  <c r="F563" i="1"/>
  <c r="D565" i="1" l="1"/>
  <c r="F564" i="1"/>
  <c r="D566" i="1" l="1"/>
  <c r="F565" i="1"/>
  <c r="D567" i="1" l="1"/>
  <c r="F566" i="1"/>
  <c r="D568" i="1" l="1"/>
  <c r="F567" i="1"/>
  <c r="D569" i="1" l="1"/>
  <c r="F568" i="1"/>
  <c r="D570" i="1" l="1"/>
  <c r="F569" i="1"/>
  <c r="D571" i="1" l="1"/>
  <c r="F570" i="1"/>
  <c r="D572" i="1" l="1"/>
  <c r="F571" i="1"/>
  <c r="D573" i="1" l="1"/>
  <c r="F572" i="1"/>
  <c r="D574" i="1" l="1"/>
  <c r="F573" i="1"/>
  <c r="D575" i="1" l="1"/>
  <c r="F574" i="1"/>
  <c r="D576" i="1" l="1"/>
  <c r="F575" i="1"/>
  <c r="D577" i="1" l="1"/>
  <c r="F576" i="1"/>
  <c r="D578" i="1" l="1"/>
  <c r="F577" i="1"/>
  <c r="D579" i="1" l="1"/>
  <c r="F578" i="1"/>
  <c r="D580" i="1" l="1"/>
  <c r="F579" i="1"/>
  <c r="D581" i="1" l="1"/>
  <c r="F580" i="1"/>
  <c r="D582" i="1" l="1"/>
  <c r="F581" i="1"/>
  <c r="D583" i="1" l="1"/>
  <c r="F582" i="1"/>
  <c r="D584" i="1" l="1"/>
  <c r="F583" i="1"/>
  <c r="D585" i="1" l="1"/>
  <c r="F584" i="1"/>
  <c r="D586" i="1" l="1"/>
  <c r="F585" i="1"/>
  <c r="D587" i="1" l="1"/>
  <c r="F586" i="1"/>
  <c r="D588" i="1" l="1"/>
  <c r="F587" i="1"/>
  <c r="D589" i="1" l="1"/>
  <c r="F588" i="1"/>
  <c r="D590" i="1" l="1"/>
  <c r="F589" i="1"/>
  <c r="D591" i="1" l="1"/>
  <c r="F590" i="1"/>
  <c r="F591" i="1" l="1"/>
  <c r="D592" i="1"/>
  <c r="D593" i="1" l="1"/>
  <c r="F592" i="1"/>
  <c r="D594" i="1" l="1"/>
  <c r="F593" i="1"/>
  <c r="D595" i="1" l="1"/>
  <c r="F594" i="1"/>
  <c r="D596" i="1" l="1"/>
  <c r="F595" i="1"/>
  <c r="D597" i="1" l="1"/>
  <c r="F596" i="1"/>
  <c r="D598" i="1" l="1"/>
  <c r="F597" i="1"/>
  <c r="D599" i="1" l="1"/>
  <c r="F598" i="1"/>
  <c r="D600" i="1" l="1"/>
  <c r="F599" i="1"/>
  <c r="D601" i="1" l="1"/>
  <c r="F600" i="1"/>
  <c r="D602" i="1" l="1"/>
  <c r="F601" i="1"/>
  <c r="D603" i="1" l="1"/>
  <c r="F602" i="1"/>
  <c r="D604" i="1" l="1"/>
  <c r="F603" i="1"/>
  <c r="D605" i="1" l="1"/>
  <c r="F604" i="1"/>
  <c r="D606" i="1" l="1"/>
  <c r="F605" i="1"/>
  <c r="D607" i="1" l="1"/>
  <c r="F606" i="1"/>
  <c r="D608" i="1" l="1"/>
  <c r="F607" i="1"/>
  <c r="D609" i="1" l="1"/>
  <c r="F608" i="1"/>
  <c r="D610" i="1" l="1"/>
  <c r="F609" i="1"/>
  <c r="D611" i="1" l="1"/>
  <c r="F610" i="1"/>
  <c r="D612" i="1" l="1"/>
  <c r="F611" i="1"/>
  <c r="D613" i="1" l="1"/>
  <c r="F612" i="1"/>
  <c r="D614" i="1" l="1"/>
  <c r="F613" i="1"/>
  <c r="D615" i="1" l="1"/>
  <c r="F614" i="1"/>
  <c r="D616" i="1" l="1"/>
  <c r="F615" i="1"/>
  <c r="D617" i="1" l="1"/>
  <c r="F616" i="1"/>
  <c r="D618" i="1" l="1"/>
  <c r="F617" i="1"/>
  <c r="D619" i="1" l="1"/>
  <c r="F618" i="1"/>
  <c r="D620" i="1" l="1"/>
  <c r="F619" i="1"/>
  <c r="D621" i="1" l="1"/>
  <c r="F620" i="1"/>
  <c r="D622" i="1" l="1"/>
  <c r="F621" i="1"/>
  <c r="D623" i="1" l="1"/>
  <c r="F622" i="1"/>
  <c r="D624" i="1" l="1"/>
  <c r="F623" i="1"/>
  <c r="D625" i="1" l="1"/>
  <c r="F624" i="1"/>
  <c r="D626" i="1" l="1"/>
  <c r="F625" i="1"/>
  <c r="D627" i="1" l="1"/>
  <c r="F626" i="1"/>
  <c r="D628" i="1" l="1"/>
  <c r="F627" i="1"/>
  <c r="D629" i="1" l="1"/>
  <c r="F628" i="1"/>
  <c r="D630" i="1" l="1"/>
  <c r="F629" i="1"/>
  <c r="F630" i="1" l="1"/>
  <c r="D631" i="1"/>
  <c r="D632" i="1" l="1"/>
  <c r="F631" i="1"/>
  <c r="D633" i="1" l="1"/>
  <c r="F632" i="1"/>
  <c r="D634" i="1" l="1"/>
  <c r="F633" i="1"/>
  <c r="D635" i="1" l="1"/>
  <c r="F634" i="1"/>
  <c r="D636" i="1" l="1"/>
  <c r="F635" i="1"/>
  <c r="D637" i="1" l="1"/>
  <c r="F636" i="1"/>
  <c r="D638" i="1" l="1"/>
  <c r="F637" i="1"/>
  <c r="D639" i="1" l="1"/>
  <c r="F638" i="1"/>
  <c r="D640" i="1" l="1"/>
  <c r="F639" i="1"/>
  <c r="F640" i="1" l="1"/>
  <c r="D641" i="1"/>
  <c r="F641" i="1" l="1"/>
  <c r="D642" i="1"/>
  <c r="D643" i="1" l="1"/>
  <c r="F642" i="1"/>
  <c r="D644" i="1" l="1"/>
  <c r="F643" i="1"/>
  <c r="D645" i="1" l="1"/>
  <c r="F644" i="1"/>
  <c r="D646" i="1" l="1"/>
  <c r="F645" i="1"/>
  <c r="D647" i="1" l="1"/>
  <c r="F646" i="1"/>
  <c r="D648" i="1" l="1"/>
  <c r="F647" i="1"/>
  <c r="D649" i="1" l="1"/>
  <c r="F648" i="1"/>
  <c r="D650" i="1" l="1"/>
  <c r="F649" i="1"/>
  <c r="D651" i="1" l="1"/>
  <c r="F650" i="1"/>
  <c r="F651" i="1" l="1"/>
  <c r="D652" i="1"/>
  <c r="D653" i="1" l="1"/>
  <c r="F652" i="1"/>
  <c r="D654" i="1" l="1"/>
  <c r="F653" i="1"/>
  <c r="D655" i="1" l="1"/>
  <c r="F654" i="1"/>
  <c r="D656" i="1" l="1"/>
  <c r="F655" i="1"/>
  <c r="D657" i="1" l="1"/>
  <c r="F656" i="1"/>
  <c r="D658" i="1" l="1"/>
  <c r="F657" i="1"/>
  <c r="D659" i="1" l="1"/>
  <c r="F658" i="1"/>
  <c r="D660" i="1" l="1"/>
  <c r="F659" i="1"/>
  <c r="D661" i="1" l="1"/>
  <c r="F660" i="1"/>
  <c r="D662" i="1" l="1"/>
  <c r="F661" i="1"/>
  <c r="D663" i="1" l="1"/>
  <c r="F662" i="1"/>
  <c r="D664" i="1" l="1"/>
  <c r="F663" i="1"/>
  <c r="F664" i="1" l="1"/>
  <c r="D665" i="1"/>
  <c r="D666" i="1" l="1"/>
  <c r="F665" i="1"/>
  <c r="D667" i="1" l="1"/>
  <c r="F666" i="1"/>
  <c r="D668" i="1" l="1"/>
  <c r="F667" i="1"/>
  <c r="D669" i="1" l="1"/>
  <c r="F668" i="1"/>
  <c r="D670" i="1" l="1"/>
  <c r="F669" i="1"/>
  <c r="D671" i="1" l="1"/>
  <c r="F670" i="1"/>
  <c r="D672" i="1" l="1"/>
  <c r="F671" i="1"/>
  <c r="D673" i="1" l="1"/>
  <c r="F672" i="1"/>
  <c r="D674" i="1" l="1"/>
  <c r="F673" i="1"/>
  <c r="D675" i="1" l="1"/>
  <c r="F674" i="1"/>
  <c r="D676" i="1" l="1"/>
  <c r="F675" i="1"/>
  <c r="D677" i="1" l="1"/>
  <c r="F676" i="1"/>
  <c r="D678" i="1" l="1"/>
  <c r="F677" i="1"/>
  <c r="D679" i="1" l="1"/>
  <c r="F678" i="1"/>
  <c r="D680" i="1" l="1"/>
  <c r="F679" i="1"/>
  <c r="D681" i="1" l="1"/>
  <c r="F680" i="1"/>
  <c r="D682" i="1" l="1"/>
  <c r="F681" i="1"/>
  <c r="D683" i="1" l="1"/>
  <c r="F682" i="1"/>
  <c r="D684" i="1" l="1"/>
  <c r="F683" i="1"/>
  <c r="D685" i="1" l="1"/>
  <c r="F684" i="1"/>
  <c r="D686" i="1" l="1"/>
  <c r="F685" i="1"/>
  <c r="D687" i="1" l="1"/>
  <c r="F686" i="1"/>
  <c r="D688" i="1" l="1"/>
  <c r="F687" i="1"/>
  <c r="D689" i="1" l="1"/>
  <c r="F688" i="1"/>
  <c r="D690" i="1" l="1"/>
  <c r="F689" i="1"/>
  <c r="D691" i="1" l="1"/>
  <c r="F690" i="1"/>
  <c r="D692" i="1" l="1"/>
  <c r="F691" i="1"/>
  <c r="D693" i="1" l="1"/>
  <c r="F692" i="1"/>
  <c r="D694" i="1" l="1"/>
  <c r="F693" i="1"/>
  <c r="D695" i="1" l="1"/>
  <c r="F694" i="1"/>
  <c r="D696" i="1" l="1"/>
  <c r="F695" i="1"/>
  <c r="D697" i="1" l="1"/>
  <c r="F696" i="1"/>
  <c r="D698" i="1" l="1"/>
  <c r="F697" i="1"/>
  <c r="D699" i="1" l="1"/>
  <c r="F698" i="1"/>
  <c r="D700" i="1" l="1"/>
  <c r="F699" i="1"/>
  <c r="D701" i="1" l="1"/>
  <c r="F700" i="1"/>
  <c r="D702" i="1" l="1"/>
  <c r="F701" i="1"/>
  <c r="D703" i="1" l="1"/>
  <c r="F702" i="1"/>
  <c r="D704" i="1" l="1"/>
  <c r="F703" i="1"/>
  <c r="F704" i="1" l="1"/>
  <c r="D705" i="1"/>
  <c r="D706" i="1" l="1"/>
  <c r="F705" i="1"/>
  <c r="D707" i="1" l="1"/>
  <c r="F706" i="1"/>
  <c r="D708" i="1" l="1"/>
  <c r="F707" i="1"/>
  <c r="D709" i="1" l="1"/>
  <c r="F708" i="1"/>
  <c r="D710" i="1" l="1"/>
  <c r="F709" i="1"/>
  <c r="D711" i="1" l="1"/>
  <c r="F710" i="1"/>
  <c r="D712" i="1" l="1"/>
  <c r="F711" i="1"/>
  <c r="F712" i="1" l="1"/>
  <c r="D713" i="1"/>
  <c r="D714" i="1" l="1"/>
  <c r="F713" i="1"/>
  <c r="D715" i="1" l="1"/>
  <c r="F714" i="1"/>
  <c r="D716" i="1" l="1"/>
  <c r="F715" i="1"/>
  <c r="D717" i="1" l="1"/>
  <c r="F716" i="1"/>
  <c r="D718" i="1" l="1"/>
  <c r="F717" i="1"/>
  <c r="D719" i="1" l="1"/>
  <c r="F718" i="1"/>
  <c r="D720" i="1" l="1"/>
  <c r="F719" i="1"/>
  <c r="D721" i="1" l="1"/>
  <c r="F720" i="1"/>
  <c r="D722" i="1" l="1"/>
  <c r="F721" i="1"/>
  <c r="D723" i="1" l="1"/>
  <c r="F722" i="1"/>
  <c r="F723" i="1" l="1"/>
  <c r="D724" i="1"/>
  <c r="D725" i="1" l="1"/>
  <c r="F724" i="1"/>
  <c r="D726" i="1" l="1"/>
  <c r="F725" i="1"/>
  <c r="D727" i="1" l="1"/>
  <c r="F726" i="1"/>
  <c r="D728" i="1" l="1"/>
  <c r="F727" i="1"/>
  <c r="D729" i="1" l="1"/>
  <c r="F728" i="1"/>
  <c r="D730" i="1" l="1"/>
  <c r="F729" i="1"/>
  <c r="D731" i="1" l="1"/>
  <c r="F730" i="1"/>
  <c r="D732" i="1" l="1"/>
  <c r="F731" i="1"/>
  <c r="D733" i="1" l="1"/>
  <c r="F732" i="1"/>
  <c r="D734" i="1" l="1"/>
  <c r="F733" i="1"/>
  <c r="D735" i="1" l="1"/>
  <c r="F734" i="1"/>
  <c r="F735" i="1" l="1"/>
  <c r="D736" i="1"/>
  <c r="F736" i="1" l="1"/>
  <c r="D737" i="1"/>
  <c r="F737" i="1" l="1"/>
  <c r="D738" i="1"/>
  <c r="D739" i="1" l="1"/>
  <c r="F738" i="1"/>
  <c r="D740" i="1" l="1"/>
  <c r="F739" i="1"/>
  <c r="D741" i="1" l="1"/>
  <c r="F740" i="1"/>
  <c r="D742" i="1" l="1"/>
  <c r="F741" i="1"/>
  <c r="D743" i="1" l="1"/>
  <c r="F742" i="1"/>
  <c r="D744" i="1" l="1"/>
  <c r="F743" i="1"/>
  <c r="D745" i="1" l="1"/>
  <c r="F744" i="1"/>
  <c r="D746" i="1" l="1"/>
  <c r="F745" i="1"/>
  <c r="F746" i="1" l="1"/>
  <c r="D747" i="1"/>
  <c r="D748" i="1" l="1"/>
  <c r="F747" i="1"/>
  <c r="D749" i="1" l="1"/>
  <c r="F748" i="1"/>
  <c r="D750" i="1" l="1"/>
  <c r="F749" i="1"/>
  <c r="D751" i="1" l="1"/>
  <c r="F750" i="1"/>
  <c r="D752" i="1" l="1"/>
  <c r="F751" i="1"/>
  <c r="D753" i="1" l="1"/>
  <c r="F752" i="1"/>
  <c r="D754" i="1" l="1"/>
  <c r="F753" i="1"/>
  <c r="D755" i="1" l="1"/>
  <c r="F754" i="1"/>
  <c r="D756" i="1" l="1"/>
  <c r="F755" i="1"/>
  <c r="D757" i="1" l="1"/>
  <c r="F756" i="1"/>
  <c r="D758" i="1" l="1"/>
  <c r="F757" i="1"/>
  <c r="F758" i="1" l="1"/>
  <c r="D759" i="1"/>
  <c r="F759" i="1" l="1"/>
  <c r="D760" i="1"/>
  <c r="D761" i="1" l="1"/>
  <c r="F760" i="1"/>
  <c r="D762" i="1" l="1"/>
  <c r="F761" i="1"/>
  <c r="D763" i="1" l="1"/>
  <c r="F762" i="1"/>
  <c r="D764" i="1" l="1"/>
  <c r="F763" i="1"/>
  <c r="D765" i="1" l="1"/>
  <c r="F764" i="1"/>
  <c r="D766" i="1" l="1"/>
  <c r="F765" i="1"/>
  <c r="D767" i="1" l="1"/>
  <c r="F766" i="1"/>
  <c r="D768" i="1" l="1"/>
  <c r="F767" i="1"/>
  <c r="D769" i="1" l="1"/>
  <c r="F768" i="1"/>
  <c r="D770" i="1" l="1"/>
  <c r="F769" i="1"/>
  <c r="D771" i="1" l="1"/>
  <c r="F770" i="1"/>
  <c r="F771" i="1" l="1"/>
  <c r="D772" i="1"/>
  <c r="D773" i="1" l="1"/>
  <c r="F772" i="1"/>
  <c r="F773" i="1" l="1"/>
  <c r="D774" i="1"/>
  <c r="D775" i="1" l="1"/>
  <c r="F774" i="1"/>
  <c r="D776" i="1" l="1"/>
  <c r="F775" i="1"/>
  <c r="D777" i="1" l="1"/>
  <c r="F776" i="1"/>
  <c r="D778" i="1" l="1"/>
  <c r="F777" i="1"/>
  <c r="D779" i="1" l="1"/>
  <c r="F778" i="1"/>
  <c r="D780" i="1" l="1"/>
  <c r="F779" i="1"/>
  <c r="D781" i="1" l="1"/>
  <c r="F780" i="1"/>
  <c r="D782" i="1" l="1"/>
  <c r="F781" i="1"/>
  <c r="D783" i="1" l="1"/>
  <c r="F782" i="1"/>
  <c r="D784" i="1" l="1"/>
  <c r="F783" i="1"/>
  <c r="D785" i="1" l="1"/>
  <c r="F784" i="1"/>
  <c r="D786" i="1" l="1"/>
  <c r="F785" i="1"/>
  <c r="D787" i="1" l="1"/>
  <c r="F786" i="1"/>
  <c r="D788" i="1" l="1"/>
  <c r="F787" i="1"/>
  <c r="D789" i="1" l="1"/>
  <c r="F788" i="1"/>
  <c r="D790" i="1" l="1"/>
  <c r="F789" i="1"/>
  <c r="D791" i="1" l="1"/>
  <c r="F790" i="1"/>
  <c r="D792" i="1" l="1"/>
  <c r="F791" i="1"/>
  <c r="D793" i="1" l="1"/>
  <c r="F792" i="1"/>
  <c r="D794" i="1" l="1"/>
  <c r="F793" i="1"/>
  <c r="D795" i="1" l="1"/>
  <c r="F794" i="1"/>
  <c r="D796" i="1" l="1"/>
  <c r="F795" i="1"/>
  <c r="D797" i="1" l="1"/>
  <c r="F796" i="1"/>
  <c r="D798" i="1" l="1"/>
  <c r="F797" i="1"/>
  <c r="D799" i="1" l="1"/>
  <c r="F798" i="1"/>
  <c r="D800" i="1" l="1"/>
  <c r="F799" i="1"/>
  <c r="D801" i="1" l="1"/>
  <c r="F800" i="1"/>
  <c r="D802" i="1" l="1"/>
  <c r="F801" i="1"/>
  <c r="D803" i="1" l="1"/>
  <c r="F802" i="1"/>
  <c r="D804" i="1" l="1"/>
  <c r="F803" i="1"/>
  <c r="D805" i="1" l="1"/>
  <c r="F804" i="1"/>
  <c r="F805" i="1" l="1"/>
  <c r="D806" i="1"/>
  <c r="D807" i="1" l="1"/>
  <c r="F806" i="1"/>
  <c r="D808" i="1" l="1"/>
  <c r="F807" i="1"/>
  <c r="D809" i="1" l="1"/>
  <c r="F808" i="1"/>
  <c r="D810" i="1" l="1"/>
  <c r="F809" i="1"/>
  <c r="D811" i="1" l="1"/>
  <c r="F810" i="1"/>
  <c r="D812" i="1" l="1"/>
  <c r="F811" i="1"/>
  <c r="D813" i="1" l="1"/>
  <c r="F812" i="1"/>
  <c r="D814" i="1" l="1"/>
  <c r="F813" i="1"/>
  <c r="D815" i="1" l="1"/>
  <c r="F814" i="1"/>
  <c r="D816" i="1" l="1"/>
  <c r="F815" i="1"/>
  <c r="D817" i="1" l="1"/>
  <c r="F816" i="1"/>
  <c r="D818" i="1" l="1"/>
  <c r="F817" i="1"/>
  <c r="D819" i="1" l="1"/>
  <c r="F818" i="1"/>
  <c r="D820" i="1" l="1"/>
  <c r="F819" i="1"/>
  <c r="D821" i="1" l="1"/>
  <c r="F820" i="1"/>
  <c r="D822" i="1" l="1"/>
  <c r="F821" i="1"/>
  <c r="D823" i="1" l="1"/>
  <c r="F822" i="1"/>
  <c r="D824" i="1" l="1"/>
  <c r="F823" i="1"/>
  <c r="D825" i="1" l="1"/>
  <c r="F824" i="1"/>
  <c r="D826" i="1" l="1"/>
  <c r="F825" i="1"/>
  <c r="D827" i="1" l="1"/>
  <c r="F826" i="1"/>
  <c r="D828" i="1" l="1"/>
  <c r="F827" i="1"/>
  <c r="D829" i="1" l="1"/>
  <c r="F828" i="1"/>
  <c r="F829" i="1" l="1"/>
  <c r="D830" i="1"/>
  <c r="D831" i="1" l="1"/>
  <c r="F830" i="1"/>
  <c r="D832" i="1" l="1"/>
  <c r="F831" i="1"/>
  <c r="D833" i="1" l="1"/>
  <c r="F832" i="1"/>
  <c r="F833" i="1" l="1"/>
  <c r="D834" i="1"/>
  <c r="D835" i="1" l="1"/>
  <c r="F834" i="1"/>
  <c r="D836" i="1" l="1"/>
  <c r="F835" i="1"/>
  <c r="D837" i="1" l="1"/>
  <c r="F836" i="1"/>
  <c r="F837" i="1" l="1"/>
  <c r="D838" i="1"/>
  <c r="D839" i="1" l="1"/>
  <c r="F838" i="1"/>
  <c r="D840" i="1" l="1"/>
  <c r="F839" i="1"/>
  <c r="D841" i="1" l="1"/>
  <c r="F840" i="1"/>
  <c r="D842" i="1" l="1"/>
  <c r="F841" i="1"/>
  <c r="D843" i="1" l="1"/>
  <c r="F842" i="1"/>
  <c r="D844" i="1" l="1"/>
  <c r="F843" i="1"/>
  <c r="D845" i="1" l="1"/>
  <c r="F844" i="1"/>
  <c r="D846" i="1" l="1"/>
  <c r="F845" i="1"/>
  <c r="D847" i="1" l="1"/>
  <c r="F846" i="1"/>
  <c r="D848" i="1" l="1"/>
  <c r="F847" i="1"/>
  <c r="D849" i="1" l="1"/>
  <c r="F848" i="1"/>
  <c r="D850" i="1" l="1"/>
  <c r="F849" i="1"/>
  <c r="D851" i="1" l="1"/>
  <c r="F850" i="1"/>
  <c r="D852" i="1" l="1"/>
  <c r="F851" i="1"/>
  <c r="D853" i="1" l="1"/>
  <c r="F852" i="1"/>
  <c r="F853" i="1" l="1"/>
  <c r="D854" i="1"/>
  <c r="D855" i="1" l="1"/>
  <c r="F854" i="1"/>
  <c r="D856" i="1" l="1"/>
  <c r="F855" i="1"/>
  <c r="D857" i="1" l="1"/>
  <c r="F856" i="1"/>
  <c r="D858" i="1" l="1"/>
  <c r="F857" i="1"/>
  <c r="D859" i="1" l="1"/>
  <c r="F858" i="1"/>
  <c r="D860" i="1" l="1"/>
  <c r="F859" i="1"/>
  <c r="D861" i="1" l="1"/>
  <c r="F860" i="1"/>
  <c r="F861" i="1" l="1"/>
  <c r="D862" i="1"/>
  <c r="D863" i="1" l="1"/>
  <c r="F862" i="1"/>
  <c r="D864" i="1" l="1"/>
  <c r="F863" i="1"/>
  <c r="D865" i="1" l="1"/>
  <c r="F864" i="1"/>
  <c r="D866" i="1" l="1"/>
  <c r="F865" i="1"/>
  <c r="D867" i="1" l="1"/>
  <c r="F866" i="1"/>
  <c r="D868" i="1" l="1"/>
  <c r="F867" i="1"/>
  <c r="D869" i="1" l="1"/>
  <c r="F868" i="1"/>
  <c r="D870" i="1" l="1"/>
  <c r="F869" i="1"/>
  <c r="D871" i="1" l="1"/>
  <c r="F870" i="1"/>
  <c r="D872" i="1" l="1"/>
  <c r="F871" i="1"/>
  <c r="D873" i="1" l="1"/>
  <c r="F872" i="1"/>
  <c r="D874" i="1" l="1"/>
  <c r="F873" i="1"/>
  <c r="D875" i="1" l="1"/>
  <c r="F874" i="1"/>
  <c r="D876" i="1" l="1"/>
  <c r="F875" i="1"/>
  <c r="D877" i="1" l="1"/>
  <c r="F876" i="1"/>
  <c r="F877" i="1" l="1"/>
  <c r="D878" i="1"/>
  <c r="D879" i="1" l="1"/>
  <c r="F878" i="1"/>
  <c r="D880" i="1" l="1"/>
  <c r="F879" i="1"/>
  <c r="D881" i="1" l="1"/>
  <c r="F880" i="1"/>
  <c r="D882" i="1" l="1"/>
  <c r="F881" i="1"/>
  <c r="D883" i="1" l="1"/>
  <c r="F882" i="1"/>
  <c r="D884" i="1" l="1"/>
  <c r="F883" i="1"/>
  <c r="D885" i="1" l="1"/>
  <c r="F884" i="1"/>
  <c r="F885" i="1" l="1"/>
  <c r="D886" i="1"/>
  <c r="D887" i="1" l="1"/>
  <c r="F886" i="1"/>
  <c r="D888" i="1" l="1"/>
  <c r="F887" i="1"/>
  <c r="D889" i="1" l="1"/>
  <c r="F888" i="1"/>
  <c r="D890" i="1" l="1"/>
  <c r="F889" i="1"/>
  <c r="D891" i="1" l="1"/>
  <c r="F890" i="1"/>
  <c r="D892" i="1" l="1"/>
  <c r="F891" i="1"/>
  <c r="D893" i="1" l="1"/>
  <c r="F892" i="1"/>
  <c r="D894" i="1" l="1"/>
  <c r="F893" i="1"/>
  <c r="D895" i="1" l="1"/>
  <c r="F894" i="1"/>
  <c r="D896" i="1" l="1"/>
  <c r="F895" i="1"/>
  <c r="D897" i="1" l="1"/>
  <c r="F896" i="1"/>
  <c r="D898" i="1" l="1"/>
  <c r="F897" i="1"/>
  <c r="D899" i="1" l="1"/>
  <c r="F898" i="1"/>
  <c r="D900" i="1" l="1"/>
  <c r="F899" i="1"/>
  <c r="D901" i="1" l="1"/>
  <c r="F900" i="1"/>
  <c r="F901" i="1" l="1"/>
  <c r="D902" i="1"/>
  <c r="D903" i="1" l="1"/>
  <c r="F902" i="1"/>
  <c r="D904" i="1" l="1"/>
  <c r="F903" i="1"/>
  <c r="D905" i="1" l="1"/>
  <c r="F904" i="1"/>
  <c r="D906" i="1" l="1"/>
  <c r="F905" i="1"/>
  <c r="D907" i="1" l="1"/>
  <c r="F906" i="1"/>
  <c r="D908" i="1" l="1"/>
  <c r="F907" i="1"/>
  <c r="D909" i="1" l="1"/>
  <c r="F908" i="1"/>
  <c r="D910" i="1" l="1"/>
  <c r="F909" i="1"/>
  <c r="D911" i="1" l="1"/>
  <c r="F910" i="1"/>
  <c r="D912" i="1" l="1"/>
  <c r="F911" i="1"/>
  <c r="D913" i="1" l="1"/>
  <c r="F912" i="1"/>
  <c r="D914" i="1" l="1"/>
  <c r="F913" i="1"/>
  <c r="D915" i="1" l="1"/>
  <c r="F914" i="1"/>
  <c r="D916" i="1" l="1"/>
  <c r="F915" i="1"/>
  <c r="D917" i="1" l="1"/>
  <c r="F916" i="1"/>
  <c r="D918" i="1" l="1"/>
  <c r="F917" i="1"/>
  <c r="D919" i="1" l="1"/>
  <c r="F918" i="1"/>
  <c r="D920" i="1" l="1"/>
  <c r="F919" i="1"/>
  <c r="D921" i="1" l="1"/>
  <c r="F920" i="1"/>
  <c r="D922" i="1" l="1"/>
  <c r="F921" i="1"/>
  <c r="D923" i="1" l="1"/>
  <c r="F922" i="1"/>
  <c r="D924" i="1" l="1"/>
  <c r="F923" i="1"/>
  <c r="D925" i="1" l="1"/>
  <c r="F924" i="1"/>
  <c r="D926" i="1" l="1"/>
  <c r="F925" i="1"/>
  <c r="D927" i="1" l="1"/>
  <c r="F926" i="1"/>
  <c r="D928" i="1" l="1"/>
  <c r="F927" i="1"/>
  <c r="D929" i="1" l="1"/>
  <c r="F928" i="1"/>
  <c r="D930" i="1" l="1"/>
  <c r="F929" i="1"/>
  <c r="D931" i="1" l="1"/>
  <c r="F930" i="1"/>
  <c r="D932" i="1" l="1"/>
  <c r="F931" i="1"/>
  <c r="D933" i="1" l="1"/>
  <c r="F932" i="1"/>
  <c r="D934" i="1" l="1"/>
  <c r="F933" i="1"/>
  <c r="D935" i="1" l="1"/>
  <c r="F934" i="1"/>
  <c r="D936" i="1" l="1"/>
  <c r="F935" i="1"/>
  <c r="D937" i="1" l="1"/>
  <c r="F936" i="1"/>
  <c r="D938" i="1" l="1"/>
  <c r="F937" i="1"/>
  <c r="D939" i="1" l="1"/>
  <c r="F938" i="1"/>
  <c r="F939" i="1" l="1"/>
  <c r="D940" i="1"/>
  <c r="D941" i="1" l="1"/>
  <c r="F940" i="1"/>
  <c r="D942" i="1" l="1"/>
  <c r="F941" i="1"/>
  <c r="D943" i="1" l="1"/>
  <c r="F942" i="1"/>
  <c r="D944" i="1" l="1"/>
  <c r="F943" i="1"/>
  <c r="D945" i="1" l="1"/>
  <c r="F944" i="1"/>
  <c r="D946" i="1" l="1"/>
  <c r="F945" i="1"/>
  <c r="D947" i="1" l="1"/>
  <c r="F946" i="1"/>
  <c r="D948" i="1" l="1"/>
  <c r="F947" i="1"/>
  <c r="D949" i="1" l="1"/>
  <c r="F948" i="1"/>
  <c r="F949" i="1" l="1"/>
  <c r="D950" i="1"/>
  <c r="D951" i="1" l="1"/>
  <c r="F950" i="1"/>
  <c r="D952" i="1" l="1"/>
  <c r="F951" i="1"/>
  <c r="D953" i="1" l="1"/>
  <c r="F952" i="1"/>
  <c r="D954" i="1" l="1"/>
  <c r="F953" i="1"/>
  <c r="D955" i="1" l="1"/>
  <c r="F954" i="1"/>
  <c r="D956" i="1" l="1"/>
  <c r="F955" i="1"/>
  <c r="D957" i="1" l="1"/>
  <c r="F956" i="1"/>
  <c r="F957" i="1" l="1"/>
  <c r="D958" i="1"/>
  <c r="D959" i="1" l="1"/>
  <c r="F958" i="1"/>
  <c r="D960" i="1" l="1"/>
  <c r="F959" i="1"/>
  <c r="D961" i="1" l="1"/>
  <c r="F960" i="1"/>
  <c r="D962" i="1" l="1"/>
  <c r="F961" i="1"/>
  <c r="D963" i="1" l="1"/>
  <c r="F962" i="1"/>
  <c r="D964" i="1" l="1"/>
  <c r="F963" i="1"/>
  <c r="D965" i="1" l="1"/>
  <c r="F964" i="1"/>
  <c r="D966" i="1" l="1"/>
  <c r="F965" i="1"/>
  <c r="D967" i="1" l="1"/>
  <c r="F966" i="1"/>
  <c r="D968" i="1" l="1"/>
  <c r="F967" i="1"/>
  <c r="D969" i="1" l="1"/>
  <c r="F968" i="1"/>
  <c r="D970" i="1" l="1"/>
  <c r="F969" i="1"/>
  <c r="D971" i="1" l="1"/>
  <c r="F970" i="1"/>
  <c r="D972" i="1" l="1"/>
  <c r="F971" i="1"/>
  <c r="D973" i="1" l="1"/>
  <c r="F972" i="1"/>
  <c r="D974" i="1" l="1"/>
  <c r="F973" i="1"/>
  <c r="D975" i="1" l="1"/>
  <c r="F974" i="1"/>
  <c r="D976" i="1" l="1"/>
  <c r="F975" i="1"/>
  <c r="D977" i="1" l="1"/>
  <c r="F976" i="1"/>
  <c r="D978" i="1" l="1"/>
  <c r="F977" i="1"/>
  <c r="D979" i="1" l="1"/>
  <c r="F978" i="1"/>
  <c r="D980" i="1" l="1"/>
  <c r="F979" i="1"/>
  <c r="D981" i="1" l="1"/>
  <c r="F980" i="1"/>
  <c r="D982" i="1" l="1"/>
  <c r="F981" i="1"/>
  <c r="D983" i="1" l="1"/>
  <c r="F982" i="1"/>
  <c r="D984" i="1" l="1"/>
  <c r="F983" i="1"/>
  <c r="D985" i="1" l="1"/>
  <c r="F984" i="1"/>
  <c r="D986" i="1" l="1"/>
  <c r="F985" i="1"/>
  <c r="D987" i="1" l="1"/>
  <c r="F986" i="1"/>
  <c r="D988" i="1" l="1"/>
  <c r="F987" i="1"/>
  <c r="D989" i="1" l="1"/>
  <c r="F988" i="1"/>
  <c r="D990" i="1" l="1"/>
  <c r="F989" i="1"/>
  <c r="D991" i="1" l="1"/>
  <c r="F990" i="1"/>
  <c r="D992" i="1" l="1"/>
  <c r="F991" i="1"/>
  <c r="D993" i="1" l="1"/>
  <c r="F992" i="1"/>
  <c r="D994" i="1" l="1"/>
  <c r="F993" i="1"/>
  <c r="D995" i="1" l="1"/>
  <c r="F994" i="1"/>
  <c r="D996" i="1" l="1"/>
  <c r="F995" i="1"/>
  <c r="D997" i="1" l="1"/>
  <c r="F996" i="1"/>
  <c r="D998" i="1" l="1"/>
  <c r="F997" i="1"/>
  <c r="D999" i="1" l="1"/>
  <c r="F998" i="1"/>
  <c r="D1000" i="1" l="1"/>
  <c r="F999" i="1"/>
  <c r="D1001" i="1" l="1"/>
  <c r="F1000" i="1"/>
  <c r="D1002" i="1" l="1"/>
  <c r="F1001" i="1"/>
  <c r="D1003" i="1" l="1"/>
  <c r="F1002" i="1"/>
  <c r="D1004" i="1" l="1"/>
  <c r="F1003" i="1"/>
  <c r="D1005" i="1" l="1"/>
  <c r="F1004" i="1"/>
  <c r="F1005" i="1" l="1"/>
  <c r="D1006" i="1"/>
  <c r="D1007" i="1" l="1"/>
  <c r="F1006" i="1"/>
  <c r="D1008" i="1" l="1"/>
  <c r="F1007" i="1"/>
  <c r="D1009" i="1" l="1"/>
  <c r="F1008" i="1"/>
  <c r="D1010" i="1" l="1"/>
  <c r="F1009" i="1"/>
  <c r="D1011" i="1" l="1"/>
  <c r="F1010" i="1"/>
  <c r="D1012" i="1" l="1"/>
  <c r="F1011" i="1"/>
  <c r="D1013" i="1" l="1"/>
  <c r="F1012" i="1"/>
  <c r="F1013" i="1" l="1"/>
  <c r="D1014" i="1"/>
  <c r="D1015" i="1" l="1"/>
  <c r="F1014" i="1"/>
  <c r="D1016" i="1" l="1"/>
  <c r="F1015" i="1"/>
  <c r="D1017" i="1" l="1"/>
  <c r="F1016" i="1"/>
  <c r="D1018" i="1" l="1"/>
  <c r="F1017" i="1"/>
  <c r="D1019" i="1" l="1"/>
  <c r="F1018" i="1"/>
  <c r="D1020" i="1" l="1"/>
  <c r="F1019" i="1"/>
  <c r="D1021" i="1" l="1"/>
  <c r="F1020" i="1"/>
  <c r="D1022" i="1" l="1"/>
  <c r="F1021" i="1"/>
  <c r="D1023" i="1" l="1"/>
  <c r="F1022" i="1"/>
  <c r="D1024" i="1" l="1"/>
  <c r="F1023" i="1"/>
  <c r="D1025" i="1" l="1"/>
  <c r="F1024" i="1"/>
  <c r="D1026" i="1" l="1"/>
  <c r="F1025" i="1"/>
  <c r="D1027" i="1" l="1"/>
  <c r="F1026" i="1"/>
  <c r="D1028" i="1" l="1"/>
  <c r="F1027" i="1"/>
  <c r="D1029" i="1" l="1"/>
  <c r="F1028" i="1"/>
  <c r="F1029" i="1" l="1"/>
  <c r="D1030" i="1"/>
  <c r="D1031" i="1" l="1"/>
  <c r="F1030" i="1"/>
  <c r="D1032" i="1" l="1"/>
  <c r="F1031" i="1"/>
  <c r="D1033" i="1" l="1"/>
  <c r="F1032" i="1"/>
  <c r="D1034" i="1" l="1"/>
  <c r="F1033" i="1"/>
  <c r="D1035" i="1" l="1"/>
  <c r="F1034" i="1"/>
  <c r="D1036" i="1" l="1"/>
  <c r="F1035" i="1"/>
  <c r="D1037" i="1" l="1"/>
  <c r="F1036" i="1"/>
  <c r="D1038" i="1" l="1"/>
  <c r="F1037" i="1"/>
  <c r="D1039" i="1" l="1"/>
  <c r="F1038" i="1"/>
  <c r="D1040" i="1" l="1"/>
  <c r="F1039" i="1"/>
  <c r="D1041" i="1" l="1"/>
  <c r="F1040" i="1"/>
  <c r="D1042" i="1" l="1"/>
  <c r="F1041" i="1"/>
  <c r="D1043" i="1" l="1"/>
  <c r="F1042" i="1"/>
  <c r="D1044" i="1" l="1"/>
  <c r="F1043" i="1"/>
  <c r="D1045" i="1" l="1"/>
  <c r="F1044" i="1"/>
  <c r="F1045" i="1" l="1"/>
  <c r="D1046" i="1"/>
  <c r="D1047" i="1" l="1"/>
  <c r="F1046" i="1"/>
  <c r="D1048" i="1" l="1"/>
  <c r="F1047" i="1"/>
  <c r="D1049" i="1" l="1"/>
  <c r="F1048" i="1"/>
  <c r="D1050" i="1" l="1"/>
  <c r="F1049" i="1"/>
  <c r="D1051" i="1" l="1"/>
  <c r="F1050" i="1"/>
  <c r="D1052" i="1" l="1"/>
  <c r="F1051" i="1"/>
  <c r="D1053" i="1" l="1"/>
  <c r="F1052" i="1"/>
  <c r="F1053" i="1" l="1"/>
  <c r="D1054" i="1"/>
  <c r="D1055" i="1" l="1"/>
  <c r="F1054" i="1"/>
  <c r="D1056" i="1" l="1"/>
  <c r="F1055" i="1"/>
  <c r="D1057" i="1" l="1"/>
  <c r="F1056" i="1"/>
  <c r="D1058" i="1" l="1"/>
  <c r="F1057" i="1"/>
  <c r="D1059" i="1" l="1"/>
  <c r="F1058" i="1"/>
  <c r="D1060" i="1" l="1"/>
  <c r="F1059" i="1"/>
  <c r="D1061" i="1" l="1"/>
  <c r="F1060" i="1"/>
  <c r="F1061" i="1" l="1"/>
  <c r="D1062" i="1"/>
  <c r="D1063" i="1" l="1"/>
  <c r="F1062" i="1"/>
  <c r="D1064" i="1" l="1"/>
  <c r="F1063" i="1"/>
  <c r="D1065" i="1" l="1"/>
  <c r="F1064" i="1"/>
  <c r="D1066" i="1" l="1"/>
  <c r="F1065" i="1"/>
  <c r="D1067" i="1" l="1"/>
  <c r="F1066" i="1"/>
  <c r="D1068" i="1" l="1"/>
  <c r="F1067" i="1"/>
  <c r="D1069" i="1" l="1"/>
  <c r="F1068" i="1"/>
  <c r="F1069" i="1" l="1"/>
  <c r="D1070" i="1"/>
  <c r="D1071" i="1" l="1"/>
  <c r="F1070" i="1"/>
  <c r="D1072" i="1" l="1"/>
  <c r="F1071" i="1"/>
  <c r="D1073" i="1" l="1"/>
  <c r="F1072" i="1"/>
  <c r="D1074" i="1" l="1"/>
  <c r="F1073" i="1"/>
  <c r="D1075" i="1" l="1"/>
  <c r="F1074" i="1"/>
  <c r="D1076" i="1" l="1"/>
  <c r="F1076" i="1" s="1"/>
  <c r="F1075" i="1"/>
</calcChain>
</file>

<file path=xl/sharedStrings.xml><?xml version="1.0" encoding="utf-8"?>
<sst xmlns="http://schemas.openxmlformats.org/spreadsheetml/2006/main" count="67" uniqueCount="59">
  <si>
    <t>Data</t>
  </si>
  <si>
    <t>Q usina m³ [Vazão]</t>
  </si>
  <si>
    <t>Ordem</t>
  </si>
  <si>
    <t>Q usina m³ [Vazão Decrescente]</t>
  </si>
  <si>
    <t>Permanência</t>
  </si>
  <si>
    <t>Ph [kW]</t>
  </si>
  <si>
    <t>Ad Posto [km²]</t>
  </si>
  <si>
    <t>Ad Usina [km²]</t>
  </si>
  <si>
    <t>Altura [m]</t>
  </si>
  <si>
    <t>PH kW</t>
  </si>
  <si>
    <t>e kw/h</t>
  </si>
  <si>
    <t>e kWh/ano</t>
  </si>
  <si>
    <t>Beneficio liquido (BLi) - R$/ano</t>
  </si>
  <si>
    <t>Investimento (i) - R$</t>
  </si>
  <si>
    <t>Custo de Operação e Manutenção (COM)</t>
  </si>
  <si>
    <t>Receita Bruta (R) - R$/ano</t>
  </si>
  <si>
    <t>Preço de Energia</t>
  </si>
  <si>
    <t>R$/kWh</t>
  </si>
  <si>
    <t>Custo médio da hidrelétrica</t>
  </si>
  <si>
    <t>Dados de mercado Ivan</t>
  </si>
  <si>
    <t>Fator de recuperação de capital (FRC)</t>
  </si>
  <si>
    <t>Media</t>
  </si>
  <si>
    <t>Irradiação Mensal (kWh/m²d)</t>
  </si>
  <si>
    <t>Energia Painel (kWh/Dia)</t>
  </si>
  <si>
    <t>Número de Painéis</t>
  </si>
  <si>
    <t xml:space="preserve">Eficiência </t>
  </si>
  <si>
    <t>Horas de Sol Pleno (Horas/Dia)</t>
  </si>
  <si>
    <t>Razão de Performace</t>
  </si>
  <si>
    <t>Área coberta (m²)</t>
  </si>
  <si>
    <t>Potência Máxima (kW)</t>
  </si>
  <si>
    <t>...</t>
  </si>
  <si>
    <t>R$ 5,145,605.79</t>
  </si>
  <si>
    <t>Vazão ótima</t>
  </si>
  <si>
    <t>Potência ótima</t>
  </si>
  <si>
    <t>Energia correspondente</t>
  </si>
  <si>
    <t>BLi máximo</t>
  </si>
  <si>
    <t>RESULTADOS</t>
  </si>
  <si>
    <r>
      <t xml:space="preserve">59.15 </t>
    </r>
    <r>
      <rPr>
        <b/>
        <sz val="11"/>
        <rFont val="Arial"/>
        <family val="2"/>
        <scheme val="major"/>
      </rPr>
      <t>m³/s</t>
    </r>
  </si>
  <si>
    <r>
      <t xml:space="preserve"> 6,431.84 </t>
    </r>
    <r>
      <rPr>
        <b/>
        <sz val="11"/>
        <rFont val="Arial"/>
        <family val="2"/>
        <scheme val="major"/>
      </rPr>
      <t>kW</t>
    </r>
  </si>
  <si>
    <t>Média (kWh/m²d)</t>
  </si>
  <si>
    <t>Área (m²)</t>
  </si>
  <si>
    <t>Área Coberta (%)</t>
  </si>
  <si>
    <t>Energia Diária</t>
  </si>
  <si>
    <t>Eanual (MWH)</t>
  </si>
  <si>
    <t>Área Alagada da PCH (m²)</t>
  </si>
  <si>
    <t>E kWh/ano</t>
  </si>
  <si>
    <r>
      <t xml:space="preserve">56,342,956.86 </t>
    </r>
    <r>
      <rPr>
        <b/>
        <sz val="11"/>
        <rFont val="Arial"/>
        <family val="2"/>
        <scheme val="major"/>
      </rPr>
      <t>kWh</t>
    </r>
  </si>
  <si>
    <t>Cobertura</t>
  </si>
  <si>
    <t>Energia Solar (MWh)</t>
  </si>
  <si>
    <t>GWh</t>
  </si>
  <si>
    <t>% da Energia da PCH</t>
  </si>
  <si>
    <t>Total PCH+FV (MWh)</t>
  </si>
  <si>
    <t>Total (GWh)</t>
  </si>
  <si>
    <t>56.43</t>
  </si>
  <si>
    <t>56.59</t>
  </si>
  <si>
    <t>56.76</t>
  </si>
  <si>
    <t>57.58</t>
  </si>
  <si>
    <t>PCH</t>
  </si>
  <si>
    <r>
      <t>56,34 </t>
    </r>
    <r>
      <rPr>
        <b/>
        <sz val="11"/>
        <color rgb="FF000000"/>
        <rFont val="Arial"/>
        <family val="2"/>
        <scheme val="minor"/>
      </rPr>
      <t>GWh/ano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</si>
</sst>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6" formatCode="&quot;R$&quot;\ #,##0.00"/>
    <numFmt numFmtId="168" formatCode="&quot;R$&quot;\ #,##0;[Red]\-\ &quot;R$&quot;\ #,##0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1"/>
      <color rgb="FF000000"/>
      <name val="Arial"/>
      <family val="2"/>
      <scheme val="minor"/>
    </font>
    <font>
      <b/>
      <sz val="11"/>
      <color theme="2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ajor"/>
    </font>
    <font>
      <b/>
      <sz val="11"/>
      <name val="Arial"/>
      <family val="2"/>
      <scheme val="major"/>
    </font>
    <font>
      <b/>
      <sz val="11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/>
        <bgColor rgb="FFFFFF00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theme="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E1F1FF"/>
      </patternFill>
    </fill>
    <fill>
      <patternFill patternType="solid">
        <fgColor theme="4" tint="0.39997558519241921"/>
        <bgColor rgb="FFE1F1FF"/>
      </patternFill>
    </fill>
    <fill>
      <patternFill patternType="solid">
        <fgColor theme="5" tint="0.39997558519241921"/>
        <bgColor rgb="FFE1F1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7">
    <xf numFmtId="0" fontId="0" fillId="0" borderId="0" xfId="0" applyFont="1" applyAlignment="1"/>
    <xf numFmtId="14" fontId="0" fillId="0" borderId="0" xfId="0" applyNumberFormat="1"/>
    <xf numFmtId="0" fontId="4" fillId="0" borderId="0" xfId="0" applyFont="1" applyAlignment="1"/>
    <xf numFmtId="2" fontId="2" fillId="0" borderId="0" xfId="0" applyNumberFormat="1" applyFont="1"/>
    <xf numFmtId="1" fontId="2" fillId="0" borderId="0" xfId="0" applyNumberFormat="1" applyFont="1"/>
    <xf numFmtId="43" fontId="2" fillId="0" borderId="0" xfId="1" applyFont="1"/>
    <xf numFmtId="9" fontId="2" fillId="0" borderId="0" xfId="0" applyNumberFormat="1" applyFont="1"/>
    <xf numFmtId="3" fontId="4" fillId="0" borderId="0" xfId="0" applyNumberFormat="1" applyFont="1" applyAlignment="1"/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4" fontId="10" fillId="5" borderId="3" xfId="0" applyNumberFormat="1" applyFont="1" applyFill="1" applyBorder="1"/>
    <xf numFmtId="0" fontId="10" fillId="5" borderId="3" xfId="0" applyFont="1" applyFill="1" applyBorder="1"/>
    <xf numFmtId="0" fontId="10" fillId="5" borderId="3" xfId="0" applyFont="1" applyFill="1" applyBorder="1" applyAlignment="1"/>
    <xf numFmtId="14" fontId="10" fillId="6" borderId="3" xfId="0" applyNumberFormat="1" applyFont="1" applyFill="1" applyBorder="1"/>
    <xf numFmtId="0" fontId="10" fillId="6" borderId="3" xfId="0" applyFont="1" applyFill="1" applyBorder="1"/>
    <xf numFmtId="0" fontId="10" fillId="6" borderId="3" xfId="0" applyFont="1" applyFill="1" applyBorder="1" applyAlignment="1"/>
    <xf numFmtId="14" fontId="10" fillId="5" borderId="2" xfId="0" applyNumberFormat="1" applyFont="1" applyFill="1" applyBorder="1"/>
    <xf numFmtId="0" fontId="10" fillId="5" borderId="7" xfId="0" applyFont="1" applyFill="1" applyBorder="1"/>
    <xf numFmtId="0" fontId="10" fillId="5" borderId="2" xfId="0" applyFont="1" applyFill="1" applyBorder="1"/>
    <xf numFmtId="0" fontId="10" fillId="5" borderId="1" xfId="0" applyFont="1" applyFill="1" applyBorder="1"/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1" applyNumberFormat="1" applyFont="1" applyAlignment="1"/>
    <xf numFmtId="0" fontId="12" fillId="0" borderId="0" xfId="0" applyFont="1"/>
    <xf numFmtId="0" fontId="12" fillId="0" borderId="0" xfId="0" applyFont="1" applyAlignment="1"/>
    <xf numFmtId="0" fontId="8" fillId="8" borderId="5" xfId="0" applyFont="1" applyFill="1" applyBorder="1" applyAlignment="1">
      <alignment horizontal="center" vertical="center"/>
    </xf>
    <xf numFmtId="164" fontId="8" fillId="8" borderId="5" xfId="1" applyNumberFormat="1" applyFont="1" applyFill="1" applyBorder="1" applyAlignment="1">
      <alignment horizontal="center" vertical="center"/>
    </xf>
    <xf numFmtId="164" fontId="8" fillId="8" borderId="6" xfId="1" applyNumberFormat="1" applyFont="1" applyFill="1" applyBorder="1" applyAlignment="1">
      <alignment horizontal="center" vertical="center"/>
    </xf>
    <xf numFmtId="164" fontId="1" fillId="9" borderId="1" xfId="1" applyNumberFormat="1" applyFont="1" applyFill="1" applyBorder="1" applyAlignment="1">
      <alignment horizontal="center" vertical="center"/>
    </xf>
    <xf numFmtId="166" fontId="9" fillId="9" borderId="1" xfId="1" applyNumberFormat="1" applyFont="1" applyFill="1" applyBorder="1" applyAlignment="1">
      <alignment horizontal="center" vertical="center"/>
    </xf>
    <xf numFmtId="166" fontId="1" fillId="9" borderId="1" xfId="1" applyNumberFormat="1" applyFont="1" applyFill="1" applyBorder="1" applyAlignment="1">
      <alignment horizontal="center" vertical="center"/>
    </xf>
    <xf numFmtId="168" fontId="1" fillId="9" borderId="1" xfId="1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/>
    <xf numFmtId="0" fontId="7" fillId="7" borderId="4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/>
    </xf>
    <xf numFmtId="0" fontId="7" fillId="7" borderId="4" xfId="0" applyFont="1" applyFill="1" applyBorder="1" applyAlignment="1">
      <alignment horizontal="right"/>
    </xf>
    <xf numFmtId="164" fontId="8" fillId="8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168" fontId="1" fillId="9" borderId="16" xfId="1" applyNumberFormat="1" applyFont="1" applyFill="1" applyBorder="1" applyAlignment="1">
      <alignment horizontal="right" vertical="center"/>
    </xf>
    <xf numFmtId="0" fontId="10" fillId="5" borderId="16" xfId="0" applyFont="1" applyFill="1" applyBorder="1"/>
    <xf numFmtId="0" fontId="15" fillId="7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right"/>
    </xf>
    <xf numFmtId="0" fontId="17" fillId="0" borderId="0" xfId="0" applyFont="1" applyAlignment="1">
      <alignment horizontal="center" vertical="center"/>
    </xf>
    <xf numFmtId="2" fontId="1" fillId="0" borderId="0" xfId="0" applyNumberFormat="1" applyFont="1"/>
    <xf numFmtId="2" fontId="9" fillId="10" borderId="1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right"/>
    </xf>
    <xf numFmtId="2" fontId="1" fillId="11" borderId="1" xfId="0" applyNumberFormat="1" applyFont="1" applyFill="1" applyBorder="1" applyAlignment="1">
      <alignment horizontal="right"/>
    </xf>
    <xf numFmtId="2" fontId="14" fillId="13" borderId="1" xfId="0" applyNumberFormat="1" applyFont="1" applyFill="1" applyBorder="1" applyAlignment="1">
      <alignment horizontal="right"/>
    </xf>
    <xf numFmtId="2" fontId="14" fillId="12" borderId="1" xfId="0" applyNumberFormat="1" applyFont="1" applyFill="1" applyBorder="1" applyAlignment="1">
      <alignment horizontal="right"/>
    </xf>
    <xf numFmtId="2" fontId="1" fillId="7" borderId="1" xfId="0" applyNumberFormat="1" applyFont="1" applyFill="1" applyBorder="1"/>
    <xf numFmtId="2" fontId="9" fillId="7" borderId="1" xfId="0" applyNumberFormat="1" applyFont="1" applyFill="1" applyBorder="1"/>
    <xf numFmtId="2" fontId="9" fillId="10" borderId="1" xfId="0" applyNumberFormat="1" applyFont="1" applyFill="1" applyBorder="1"/>
    <xf numFmtId="9" fontId="12" fillId="7" borderId="1" xfId="0" applyNumberFormat="1" applyFont="1" applyFill="1" applyBorder="1" applyAlignment="1">
      <alignment vertical="center" wrapText="1"/>
    </xf>
    <xf numFmtId="3" fontId="12" fillId="7" borderId="1" xfId="0" applyNumberFormat="1" applyFont="1" applyFill="1" applyBorder="1" applyAlignment="1">
      <alignment vertical="center" wrapText="1"/>
    </xf>
    <xf numFmtId="1" fontId="1" fillId="7" borderId="1" xfId="0" applyNumberFormat="1" applyFont="1" applyFill="1" applyBorder="1"/>
    <xf numFmtId="43" fontId="1" fillId="7" borderId="1" xfId="1" applyFont="1" applyFill="1" applyBorder="1"/>
    <xf numFmtId="0" fontId="17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164" fontId="14" fillId="9" borderId="1" xfId="1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/>
    <xf numFmtId="9" fontId="17" fillId="7" borderId="1" xfId="0" applyNumberFormat="1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10" fontId="12" fillId="7" borderId="1" xfId="0" applyNumberFormat="1" applyFont="1" applyFill="1" applyBorder="1" applyAlignment="1">
      <alignment vertical="center"/>
    </xf>
    <xf numFmtId="4" fontId="17" fillId="7" borderId="1" xfId="0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4" fontId="12" fillId="7" borderId="1" xfId="0" applyNumberFormat="1" applyFont="1" applyFill="1" applyBorder="1" applyAlignment="1">
      <alignment vertical="center"/>
    </xf>
    <xf numFmtId="0" fontId="9" fillId="10" borderId="14" xfId="0" applyFont="1" applyFill="1" applyBorder="1" applyAlignment="1"/>
    <xf numFmtId="0" fontId="9" fillId="10" borderId="15" xfId="0" applyFont="1" applyFill="1" applyBorder="1" applyAlignme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87086</xdr:rowOff>
    </xdr:from>
    <xdr:to>
      <xdr:col>11</xdr:col>
      <xdr:colOff>413657</xdr:colOff>
      <xdr:row>29</xdr:row>
      <xdr:rowOff>10886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3997DF3-08C6-48B1-AA9A-54E18B891499}"/>
            </a:ext>
          </a:extLst>
        </xdr:cNvPr>
        <xdr:cNvSpPr/>
      </xdr:nvSpPr>
      <xdr:spPr>
        <a:xfrm>
          <a:off x="9296400" y="533400"/>
          <a:ext cx="4267200" cy="517071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170412</xdr:colOff>
      <xdr:row>2</xdr:row>
      <xdr:rowOff>182397</xdr:rowOff>
    </xdr:from>
    <xdr:to>
      <xdr:col>11</xdr:col>
      <xdr:colOff>304801</xdr:colOff>
      <xdr:row>14</xdr:row>
      <xdr:rowOff>155553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8B6BB8-74FD-4C13-B128-D510EB36E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3685" y="625742"/>
          <a:ext cx="4069080" cy="2300720"/>
        </a:xfrm>
        <a:prstGeom prst="rect">
          <a:avLst/>
        </a:prstGeom>
      </xdr:spPr>
    </xdr:pic>
    <xdr:clientData/>
  </xdr:twoCellAnchor>
  <xdr:twoCellAnchor editAs="oneCell">
    <xdr:from>
      <xdr:col>7</xdr:col>
      <xdr:colOff>181863</xdr:colOff>
      <xdr:row>15</xdr:row>
      <xdr:rowOff>136468</xdr:rowOff>
    </xdr:from>
    <xdr:to>
      <xdr:col>11</xdr:col>
      <xdr:colOff>332510</xdr:colOff>
      <xdr:row>27</xdr:row>
      <xdr:rowOff>161190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F4DF9C5-5F89-48FC-B823-A76B1D899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5136" y="3101341"/>
          <a:ext cx="4085338" cy="2352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340658</xdr:colOff>
      <xdr:row>2</xdr:row>
      <xdr:rowOff>28687</xdr:rowOff>
    </xdr:from>
    <xdr:to>
      <xdr:col>15</xdr:col>
      <xdr:colOff>161365</xdr:colOff>
      <xdr:row>23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108FE30-3D8E-440B-BC51-CF39089CCF6D}"/>
            </a:ext>
          </a:extLst>
        </xdr:cNvPr>
        <xdr:cNvSpPr/>
      </xdr:nvSpPr>
      <xdr:spPr>
        <a:xfrm>
          <a:off x="3110752" y="458993"/>
          <a:ext cx="7440707" cy="388888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428962</xdr:colOff>
      <xdr:row>2</xdr:row>
      <xdr:rowOff>132677</xdr:rowOff>
    </xdr:from>
    <xdr:to>
      <xdr:col>15</xdr:col>
      <xdr:colOff>78442</xdr:colOff>
      <xdr:row>23</xdr:row>
      <xdr:rowOff>86957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82D996-212B-4AFF-8F72-797E3EB3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056" y="562983"/>
          <a:ext cx="7269480" cy="37194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113404</xdr:colOff>
      <xdr:row>10</xdr:row>
      <xdr:rowOff>29648</xdr:rowOff>
    </xdr:from>
    <xdr:to>
      <xdr:col>12</xdr:col>
      <xdr:colOff>762000</xdr:colOff>
      <xdr:row>29</xdr:row>
      <xdr:rowOff>89647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D263A56-1ADB-46D4-9122-111BE0C702B5}"/>
            </a:ext>
          </a:extLst>
        </xdr:cNvPr>
        <xdr:cNvSpPr/>
      </xdr:nvSpPr>
      <xdr:spPr>
        <a:xfrm>
          <a:off x="12762604" y="1894307"/>
          <a:ext cx="6466690" cy="346658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160018</xdr:colOff>
      <xdr:row>10</xdr:row>
      <xdr:rowOff>144781</xdr:rowOff>
    </xdr:from>
    <xdr:to>
      <xdr:col>12</xdr:col>
      <xdr:colOff>662492</xdr:colOff>
      <xdr:row>28</xdr:row>
      <xdr:rowOff>152401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0410F5A-DE88-41A2-96FE-5F9847FF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7258" y="1988821"/>
          <a:ext cx="6324602" cy="316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8</xdr:row>
      <xdr:rowOff>15241</xdr:rowOff>
    </xdr:from>
    <xdr:to>
      <xdr:col>5</xdr:col>
      <xdr:colOff>1463040</xdr:colOff>
      <xdr:row>25</xdr:row>
      <xdr:rowOff>68581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C50DDAB-F716-4764-B0B5-741B579CA1C6}"/>
            </a:ext>
          </a:extLst>
        </xdr:cNvPr>
        <xdr:cNvSpPr/>
      </xdr:nvSpPr>
      <xdr:spPr>
        <a:xfrm>
          <a:off x="739140" y="1493521"/>
          <a:ext cx="5829300" cy="296418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784860</xdr:colOff>
      <xdr:row>8</xdr:row>
      <xdr:rowOff>76201</xdr:rowOff>
    </xdr:from>
    <xdr:to>
      <xdr:col>5</xdr:col>
      <xdr:colOff>1422694</xdr:colOff>
      <xdr:row>25</xdr:row>
      <xdr:rowOff>15241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2B6E26-303B-4BF8-B469-26EAABC99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" y="1554481"/>
          <a:ext cx="5743234" cy="28498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rv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rticular/Downloads/C&#225;lculo%20da%20PCH-SOLA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va de Permanência (Aula)"/>
      <sheetName val="Cálculos Energéticos (Aula)"/>
      <sheetName val="Plan1"/>
      <sheetName val="Cálculos Energéticos 2 (Aula)"/>
    </sheetNames>
    <sheetDataSet>
      <sheetData sheetId="0" refreshError="1"/>
      <sheetData sheetId="1" refreshError="1"/>
      <sheetData sheetId="2">
        <row r="1">
          <cell r="F1" t="str">
            <v>PH kW</v>
          </cell>
          <cell r="K1" t="str">
            <v>Beneficio liquido (BLi) - R$/ano</v>
          </cell>
        </row>
        <row r="2">
          <cell r="F2">
            <v>652.88733890000003</v>
          </cell>
          <cell r="H2">
            <v>652.28056628020454</v>
          </cell>
          <cell r="K2">
            <v>801722.59480964777</v>
          </cell>
        </row>
        <row r="3">
          <cell r="F3">
            <v>819.75249590000021</v>
          </cell>
          <cell r="H3">
            <v>818.91310456691474</v>
          </cell>
          <cell r="K3">
            <v>1137617.7022815433</v>
          </cell>
        </row>
        <row r="4">
          <cell r="F4">
            <v>916.7216863000001</v>
          </cell>
          <cell r="H4">
            <v>915.65699480334592</v>
          </cell>
          <cell r="K4">
            <v>1271911.4695793279</v>
          </cell>
        </row>
        <row r="5">
          <cell r="F5">
            <v>921.58609469999988</v>
          </cell>
          <cell r="H5">
            <v>920.50558031356877</v>
          </cell>
          <cell r="K5">
            <v>1278638.3451267157</v>
          </cell>
        </row>
        <row r="6">
          <cell r="F6">
            <v>1018.73471</v>
          </cell>
          <cell r="H6">
            <v>1017.2479049361989</v>
          </cell>
          <cell r="K6">
            <v>1412785.1438102755</v>
          </cell>
        </row>
        <row r="7">
          <cell r="F7">
            <v>1030.9754754000001</v>
          </cell>
          <cell r="H7">
            <v>1029.4261013680764</v>
          </cell>
          <cell r="K7">
            <v>1429662.7816760875</v>
          </cell>
        </row>
        <row r="8">
          <cell r="F8">
            <v>1048.0407770000002</v>
          </cell>
          <cell r="H8">
            <v>1046.3883133208647</v>
          </cell>
          <cell r="K8">
            <v>1453157.7845726938</v>
          </cell>
        </row>
        <row r="9">
          <cell r="F9">
            <v>1119.2325900999999</v>
          </cell>
          <cell r="H9">
            <v>1117.0839009578067</v>
          </cell>
          <cell r="K9">
            <v>1551027.671017597</v>
          </cell>
        </row>
        <row r="10">
          <cell r="F10">
            <v>1158.1677934000004</v>
          </cell>
          <cell r="H10">
            <v>1155.7115306257904</v>
          </cell>
          <cell r="K10">
            <v>1604474.0173504809</v>
          </cell>
        </row>
        <row r="11">
          <cell r="F11">
            <v>1188.19156</v>
          </cell>
          <cell r="H11">
            <v>1185.4702175020911</v>
          </cell>
          <cell r="K11">
            <v>1645626.5283295796</v>
          </cell>
        </row>
        <row r="12">
          <cell r="F12">
            <v>1230.8149418</v>
          </cell>
          <cell r="H12">
            <v>1227.6776648142659</v>
          </cell>
          <cell r="K12">
            <v>1703962.1325032418</v>
          </cell>
        </row>
        <row r="13">
          <cell r="F13">
            <v>1261.0779416</v>
          </cell>
          <cell r="H13">
            <v>1257.6172217725373</v>
          </cell>
          <cell r="K13">
            <v>1745319.362401857</v>
          </cell>
        </row>
        <row r="14">
          <cell r="F14">
            <v>1283.8848400000002</v>
          </cell>
          <cell r="H14">
            <v>1280.1591701446564</v>
          </cell>
          <cell r="K14">
            <v>1776440.7106167974</v>
          </cell>
        </row>
        <row r="15">
          <cell r="F15">
            <v>1306.1933359</v>
          </cell>
          <cell r="H15">
            <v>1302.1877732057621</v>
          </cell>
          <cell r="K15">
            <v>1806836.554600619</v>
          </cell>
        </row>
        <row r="16">
          <cell r="F16">
            <v>1309.3033674999999</v>
          </cell>
          <cell r="H16">
            <v>1305.2558945286246</v>
          </cell>
          <cell r="K16">
            <v>1811067.7150176875</v>
          </cell>
        </row>
        <row r="17">
          <cell r="F17">
            <v>1342.4371656999999</v>
          </cell>
          <cell r="H17">
            <v>1337.9123935909852</v>
          </cell>
          <cell r="K17">
            <v>1856078.4094042578</v>
          </cell>
        </row>
        <row r="18">
          <cell r="F18">
            <v>1348.2784430000002</v>
          </cell>
          <cell r="H18">
            <v>1343.6640974007903</v>
          </cell>
          <cell r="K18">
            <v>1864001.6189077306</v>
          </cell>
        </row>
        <row r="19">
          <cell r="F19">
            <v>1387.5126878000001</v>
          </cell>
          <cell r="H19">
            <v>1382.2602387769984</v>
          </cell>
          <cell r="K19">
            <v>1917139.772681627</v>
          </cell>
        </row>
        <row r="20">
          <cell r="F20">
            <v>1399.0955619000001</v>
          </cell>
          <cell r="H20">
            <v>1393.6439649486992</v>
          </cell>
          <cell r="K20">
            <v>1932803.8337176512</v>
          </cell>
        </row>
        <row r="21">
          <cell r="F21">
            <v>1407.48866</v>
          </cell>
          <cell r="H21">
            <v>1401.8849576463292</v>
          </cell>
          <cell r="K21">
            <v>1944137.1292454612</v>
          </cell>
        </row>
        <row r="22">
          <cell r="F22">
            <v>1429.8769003</v>
          </cell>
          <cell r="H22">
            <v>1423.8466561934017</v>
          </cell>
          <cell r="K22">
            <v>1974322.6568235494</v>
          </cell>
        </row>
        <row r="23">
          <cell r="F23">
            <v>1438.9478257999999</v>
          </cell>
          <cell r="H23">
            <v>1432.7363317879649</v>
          </cell>
          <cell r="K23">
            <v>1986534.3059756435</v>
          </cell>
        </row>
        <row r="24">
          <cell r="F24">
            <v>1452.2252684</v>
          </cell>
          <cell r="H24">
            <v>1445.7361326979092</v>
          </cell>
          <cell r="K24">
            <v>2004381.9158884212</v>
          </cell>
        </row>
        <row r="25">
          <cell r="F25">
            <v>1460.5186860000001</v>
          </cell>
          <cell r="H25">
            <v>1453.8484208243033</v>
          </cell>
          <cell r="K25">
            <v>2015513.0928052235</v>
          </cell>
        </row>
        <row r="26">
          <cell r="F26">
            <v>1461.4756188000001</v>
          </cell>
          <cell r="H26">
            <v>1454.7835647269055</v>
          </cell>
          <cell r="K26">
            <v>2016795.5117119227</v>
          </cell>
        </row>
        <row r="27">
          <cell r="F27">
            <v>1464.1071840000004</v>
          </cell>
          <cell r="H27">
            <v>1457.3527647664969</v>
          </cell>
          <cell r="K27">
            <v>2020316.8076386279</v>
          </cell>
        </row>
        <row r="28">
          <cell r="F28">
            <v>1491.1604716999998</v>
          </cell>
          <cell r="H28">
            <v>1483.7397772582713</v>
          </cell>
          <cell r="K28">
            <v>2056461.734835614</v>
          </cell>
        </row>
        <row r="29">
          <cell r="F29">
            <v>1501.1883300000002</v>
          </cell>
          <cell r="H29">
            <v>1493.5113473582251</v>
          </cell>
          <cell r="K29">
            <v>2069839.1867145132</v>
          </cell>
        </row>
        <row r="30">
          <cell r="F30">
            <v>1518.7520340999997</v>
          </cell>
          <cell r="H30">
            <v>1510.6098418236056</v>
          </cell>
          <cell r="K30">
            <v>2093233.9263136967</v>
          </cell>
        </row>
        <row r="31">
          <cell r="F31">
            <v>1565.9208467000001</v>
          </cell>
          <cell r="H31">
            <v>1556.4854574238848</v>
          </cell>
          <cell r="K31">
            <v>2155966.4743983075</v>
          </cell>
        </row>
        <row r="32">
          <cell r="F32">
            <v>1578.9391200000005</v>
          </cell>
          <cell r="H32">
            <v>1569.1347183301584</v>
          </cell>
          <cell r="K32">
            <v>2173253.7371430462</v>
          </cell>
        </row>
        <row r="33">
          <cell r="F33">
            <v>1612.8504260999998</v>
          </cell>
          <cell r="H33">
            <v>1602.0532677924718</v>
          </cell>
          <cell r="K33">
            <v>2218216.3155855131</v>
          </cell>
        </row>
        <row r="34">
          <cell r="F34">
            <v>1615.3424385999999</v>
          </cell>
          <cell r="H34">
            <v>1604.4700103981875</v>
          </cell>
          <cell r="K34">
            <v>2221515.3718920304</v>
          </cell>
        </row>
        <row r="35">
          <cell r="F35">
            <v>1616.8974544000005</v>
          </cell>
          <cell r="H35">
            <v>1605.9766126021843</v>
          </cell>
          <cell r="K35">
            <v>2223570.8180787838</v>
          </cell>
        </row>
        <row r="36">
          <cell r="F36">
            <v>1618.8511922000002</v>
          </cell>
          <cell r="H36">
            <v>1607.8677073221654</v>
          </cell>
          <cell r="K36">
            <v>2226149.3252755427</v>
          </cell>
        </row>
        <row r="37">
          <cell r="F37">
            <v>1621.7419267000002</v>
          </cell>
          <cell r="H37">
            <v>1610.6630690761153</v>
          </cell>
          <cell r="K37">
            <v>2229958.5799166923</v>
          </cell>
        </row>
        <row r="38">
          <cell r="F38">
            <v>1628.7793700000002</v>
          </cell>
          <cell r="H38">
            <v>1617.4617886953997</v>
          </cell>
          <cell r="K38">
            <v>2239217.8212429252</v>
          </cell>
        </row>
        <row r="39">
          <cell r="F39">
            <v>1634.6605195</v>
          </cell>
          <cell r="H39">
            <v>1623.1379724832711</v>
          </cell>
          <cell r="K39">
            <v>2246943.7441383637</v>
          </cell>
        </row>
        <row r="40">
          <cell r="F40">
            <v>1657.1285042000004</v>
          </cell>
          <cell r="H40">
            <v>1644.8020376563663</v>
          </cell>
          <cell r="K40">
            <v>2276413.659107442</v>
          </cell>
        </row>
        <row r="41">
          <cell r="F41">
            <v>1667.2959152000003</v>
          </cell>
          <cell r="H41">
            <v>1654.5962026205855</v>
          </cell>
          <cell r="K41">
            <v>2289728.9515790818</v>
          </cell>
        </row>
        <row r="42">
          <cell r="F42">
            <v>1672.9976398000001</v>
          </cell>
          <cell r="H42">
            <v>1660.0833176980016</v>
          </cell>
          <cell r="K42">
            <v>2297184.3539186232</v>
          </cell>
        </row>
        <row r="43">
          <cell r="F43">
            <v>1686.8532292999998</v>
          </cell>
          <cell r="H43">
            <v>1673.4045141085496</v>
          </cell>
          <cell r="K43">
            <v>2315273.3024577238</v>
          </cell>
        </row>
        <row r="44">
          <cell r="F44">
            <v>1687.7304176999999</v>
          </cell>
          <cell r="H44">
            <v>1674.2470551972112</v>
          </cell>
          <cell r="K44">
            <v>2316416.7167218933</v>
          </cell>
        </row>
        <row r="45">
          <cell r="F45">
            <v>1732.6464510000003</v>
          </cell>
          <cell r="H45">
            <v>1717.3472451435407</v>
          </cell>
          <cell r="K45">
            <v>2374873.3060643533</v>
          </cell>
        </row>
        <row r="46">
          <cell r="F46">
            <v>1738.2883673000001</v>
          </cell>
          <cell r="H46">
            <v>1722.7558294032524</v>
          </cell>
          <cell r="K46">
            <v>2382204.5725531229</v>
          </cell>
        </row>
        <row r="47">
          <cell r="F47">
            <v>1759.5601860000002</v>
          </cell>
          <cell r="H47">
            <v>1743.1281427585964</v>
          </cell>
          <cell r="K47">
            <v>2409802.4838413261</v>
          </cell>
        </row>
        <row r="48">
          <cell r="F48">
            <v>1759.8791635999999</v>
          </cell>
          <cell r="H48">
            <v>1743.4333355459567</v>
          </cell>
          <cell r="K48">
            <v>2410215.6739656455</v>
          </cell>
        </row>
        <row r="49">
          <cell r="F49">
            <v>1794.1493195</v>
          </cell>
          <cell r="H49">
            <v>1776.190636050743</v>
          </cell>
          <cell r="K49">
            <v>2454538.0373511277</v>
          </cell>
        </row>
        <row r="50">
          <cell r="F50">
            <v>1817.8334063000002</v>
          </cell>
          <cell r="H50">
            <v>1798.8071780460964</v>
          </cell>
          <cell r="K50">
            <v>2485120.9948809515</v>
          </cell>
        </row>
        <row r="51">
          <cell r="F51">
            <v>1824.751233</v>
          </cell>
          <cell r="H51">
            <v>1805.4067590010682</v>
          </cell>
          <cell r="K51">
            <v>2494039.8158123391</v>
          </cell>
        </row>
        <row r="52">
          <cell r="F52">
            <v>1856.8084818000004</v>
          </cell>
          <cell r="H52">
            <v>1835.9594622021839</v>
          </cell>
          <cell r="K52">
            <v>2535304.4367827829</v>
          </cell>
        </row>
        <row r="53">
          <cell r="F53">
            <v>1871.9001095000001</v>
          </cell>
          <cell r="H53">
            <v>1850.328767572676</v>
          </cell>
          <cell r="K53">
            <v>2554699.913384161</v>
          </cell>
        </row>
        <row r="54">
          <cell r="F54">
            <v>1874.3123776000002</v>
          </cell>
          <cell r="H54">
            <v>1852.6233367179827</v>
          </cell>
          <cell r="K54">
            <v>2557795.2053323817</v>
          </cell>
        </row>
        <row r="55">
          <cell r="F55">
            <v>1876.2860515</v>
          </cell>
          <cell r="H55">
            <v>1854.4988772038096</v>
          </cell>
          <cell r="K55">
            <v>2560323.6998763429</v>
          </cell>
        </row>
        <row r="56">
          <cell r="F56">
            <v>1911.4333958</v>
          </cell>
          <cell r="H56">
            <v>1887.8659889161236</v>
          </cell>
          <cell r="K56">
            <v>2605279.7990863109</v>
          </cell>
        </row>
        <row r="57">
          <cell r="F57">
            <v>1913.7061112000004</v>
          </cell>
          <cell r="H57">
            <v>1890.0214778247671</v>
          </cell>
          <cell r="K57">
            <v>2608182.1474762391</v>
          </cell>
        </row>
        <row r="58">
          <cell r="F58">
            <v>1930.9109654999997</v>
          </cell>
          <cell r="H58">
            <v>1906.322917377601</v>
          </cell>
          <cell r="K58">
            <v>2630118.4166569468</v>
          </cell>
        </row>
        <row r="59">
          <cell r="F59">
            <v>1931.3894319000001</v>
          </cell>
          <cell r="H59">
            <v>1906.7758151735122</v>
          </cell>
          <cell r="K59">
            <v>2630727.4897099915</v>
          </cell>
        </row>
        <row r="60">
          <cell r="F60">
            <v>1933.2833614000006</v>
          </cell>
          <cell r="H60">
            <v>1908.5667754581316</v>
          </cell>
          <cell r="K60">
            <v>2633134.5491333078</v>
          </cell>
        </row>
        <row r="61">
          <cell r="F61">
            <v>1937.6892395000002</v>
          </cell>
          <cell r="H61">
            <v>1912.7290199643116</v>
          </cell>
          <cell r="K61">
            <v>2638725.1621218426</v>
          </cell>
        </row>
        <row r="62">
          <cell r="F62">
            <v>1945.2051492000003</v>
          </cell>
          <cell r="H62">
            <v>1919.8223343698414</v>
          </cell>
          <cell r="K62">
            <v>2648246.7929099528</v>
          </cell>
        </row>
        <row r="63">
          <cell r="F63">
            <v>1946.6206123000002</v>
          </cell>
          <cell r="H63">
            <v>1921.1568950714677</v>
          </cell>
          <cell r="K63">
            <v>2650037.110366514</v>
          </cell>
        </row>
        <row r="64">
          <cell r="F64">
            <v>1979.9338354000004</v>
          </cell>
          <cell r="H64">
            <v>1952.5351028891723</v>
          </cell>
          <cell r="K64">
            <v>2692104.8070072867</v>
          </cell>
        </row>
        <row r="65">
          <cell r="F65">
            <v>1984.2998413000003</v>
          </cell>
          <cell r="H65">
            <v>1956.6434495190515</v>
          </cell>
          <cell r="K65">
            <v>2697609.281406723</v>
          </cell>
        </row>
        <row r="66">
          <cell r="F66">
            <v>1993.6299361000001</v>
          </cell>
          <cell r="H66">
            <v>1965.4142588965606</v>
          </cell>
          <cell r="K66">
            <v>2709353.278103468</v>
          </cell>
        </row>
        <row r="67">
          <cell r="F67">
            <v>2001.9632259</v>
          </cell>
          <cell r="H67">
            <v>1973.2402712970252</v>
          </cell>
          <cell r="K67">
            <v>2719825.6134204855</v>
          </cell>
        </row>
        <row r="68">
          <cell r="F68">
            <v>2009.55888</v>
          </cell>
          <cell r="H68">
            <v>1980.3664913843393</v>
          </cell>
          <cell r="K68">
            <v>2729355.5121317022</v>
          </cell>
        </row>
        <row r="69">
          <cell r="F69">
            <v>2014.8818187000002</v>
          </cell>
          <cell r="H69">
            <v>1985.3555096733264</v>
          </cell>
          <cell r="K69">
            <v>2736023.1112245852</v>
          </cell>
        </row>
        <row r="70">
          <cell r="F70">
            <v>2022.9160670000001</v>
          </cell>
          <cell r="H70">
            <v>1992.8782839876851</v>
          </cell>
          <cell r="K70">
            <v>2746070.5883330302</v>
          </cell>
        </row>
        <row r="71">
          <cell r="F71">
            <v>2026.4646928</v>
          </cell>
          <cell r="H71">
            <v>1996.197700221607</v>
          </cell>
          <cell r="K71">
            <v>2750501.209245319</v>
          </cell>
        </row>
        <row r="72">
          <cell r="F72">
            <v>2047.9358725000006</v>
          </cell>
          <cell r="H72">
            <v>2016.2620786494422</v>
          </cell>
          <cell r="K72">
            <v>2777265.2542422768</v>
          </cell>
        </row>
        <row r="73">
          <cell r="F73">
            <v>2048.2947223000001</v>
          </cell>
          <cell r="H73">
            <v>2016.5970829469325</v>
          </cell>
          <cell r="K73">
            <v>2777711.8338137828</v>
          </cell>
        </row>
        <row r="74">
          <cell r="F74">
            <v>2054.3353606000001</v>
          </cell>
          <cell r="H74">
            <v>2022.2307079785774</v>
          </cell>
          <cell r="K74">
            <v>2785216.9619930852</v>
          </cell>
        </row>
        <row r="75">
          <cell r="F75">
            <v>2076.2850067000004</v>
          </cell>
          <cell r="H75">
            <v>2042.6810055763935</v>
          </cell>
          <cell r="K75">
            <v>2812443.3968523014</v>
          </cell>
        </row>
        <row r="76">
          <cell r="F76">
            <v>2082.2060284000004</v>
          </cell>
          <cell r="H76">
            <v>2048.1920680601761</v>
          </cell>
          <cell r="K76">
            <v>2819775.8063317854</v>
          </cell>
        </row>
        <row r="77">
          <cell r="F77">
            <v>2085.4954848999996</v>
          </cell>
          <cell r="H77">
            <v>2051.2507123243481</v>
          </cell>
          <cell r="K77">
            <v>2823842.6720703226</v>
          </cell>
        </row>
        <row r="78">
          <cell r="F78">
            <v>2086.4524177000003</v>
          </cell>
          <cell r="H78">
            <v>2052.1396104039027</v>
          </cell>
          <cell r="K78">
            <v>2825023.8126245458</v>
          </cell>
        </row>
        <row r="79">
          <cell r="F79">
            <v>2087.3096700000006</v>
          </cell>
          <cell r="H79">
            <v>2052.9351182306223</v>
          </cell>
          <cell r="K79">
            <v>2826080.1729250625</v>
          </cell>
        </row>
        <row r="80">
          <cell r="F80">
            <v>2089.9412351999999</v>
          </cell>
          <cell r="H80">
            <v>2055.3746965642649</v>
          </cell>
          <cell r="K80">
            <v>2829317.5973157398</v>
          </cell>
        </row>
        <row r="81">
          <cell r="F81">
            <v>2101.9028952000003</v>
          </cell>
          <cell r="H81">
            <v>2066.4525722055291</v>
          </cell>
          <cell r="K81">
            <v>2844008.8169701081</v>
          </cell>
        </row>
        <row r="82">
          <cell r="F82">
            <v>2107.0065368</v>
          </cell>
          <cell r="H82">
            <v>2071.1743893177963</v>
          </cell>
          <cell r="K82">
            <v>2850266.6831659744</v>
          </cell>
        </row>
        <row r="83">
          <cell r="F83">
            <v>2111.5918397999999</v>
          </cell>
          <cell r="H83">
            <v>2075.4123854455843</v>
          </cell>
          <cell r="K83">
            <v>2855879.6522858297</v>
          </cell>
        </row>
        <row r="84">
          <cell r="F84">
            <v>2116.2170150000002</v>
          </cell>
          <cell r="H84">
            <v>2079.6829352236514</v>
          </cell>
          <cell r="K84">
            <v>2861532.0161397965</v>
          </cell>
        </row>
        <row r="85">
          <cell r="F85">
            <v>2130.0726045000001</v>
          </cell>
          <cell r="H85">
            <v>2092.4633000737908</v>
          </cell>
          <cell r="K85">
            <v>2878436.5435616025</v>
          </cell>
        </row>
        <row r="86">
          <cell r="F86">
            <v>2136.4322204000005</v>
          </cell>
          <cell r="H86">
            <v>2098.3234851712355</v>
          </cell>
          <cell r="K86">
            <v>2886182.6562050059</v>
          </cell>
        </row>
        <row r="87">
          <cell r="F87">
            <v>2148.9520911999998</v>
          </cell>
          <cell r="H87">
            <v>2109.8485149364765</v>
          </cell>
          <cell r="K87">
            <v>2901406.574750884</v>
          </cell>
        </row>
        <row r="88">
          <cell r="F88">
            <v>2152.2814198999999</v>
          </cell>
          <cell r="H88">
            <v>2112.910197788382</v>
          </cell>
          <cell r="K88">
            <v>2905448.1972365566</v>
          </cell>
        </row>
        <row r="89">
          <cell r="F89">
            <v>2178.8562412000001</v>
          </cell>
          <cell r="H89">
            <v>2137.3239625235587</v>
          </cell>
          <cell r="K89">
            <v>2937654.4849665938</v>
          </cell>
        </row>
        <row r="90">
          <cell r="F90">
            <v>2183.0428222000005</v>
          </cell>
          <cell r="H90">
            <v>2141.1662011271837</v>
          </cell>
          <cell r="K90">
            <v>2942719.7227085317</v>
          </cell>
        </row>
        <row r="91">
          <cell r="F91">
            <v>2211.4318286000002</v>
          </cell>
          <cell r="H91">
            <v>2167.1938542996741</v>
          </cell>
          <cell r="K91">
            <v>2977009.0780362859</v>
          </cell>
        </row>
        <row r="92">
          <cell r="F92">
            <v>2212.3488892</v>
          </cell>
          <cell r="H92">
            <v>2168.0337829440045</v>
          </cell>
          <cell r="K92">
            <v>2978114.8732873695</v>
          </cell>
        </row>
        <row r="93">
          <cell r="F93">
            <v>2219.1271632000003</v>
          </cell>
          <cell r="H93">
            <v>2174.2356516735586</v>
          </cell>
          <cell r="K93">
            <v>2986274.3466050932</v>
          </cell>
        </row>
        <row r="94">
          <cell r="F94">
            <v>2219.3464603000002</v>
          </cell>
          <cell r="H94">
            <v>2174.4360965600363</v>
          </cell>
          <cell r="K94">
            <v>2986537.8832264799</v>
          </cell>
        </row>
        <row r="95">
          <cell r="F95">
            <v>2232.7235834000003</v>
          </cell>
          <cell r="H95">
            <v>2186.6508023646365</v>
          </cell>
          <cell r="K95">
            <v>3002586.390458554</v>
          </cell>
        </row>
        <row r="96">
          <cell r="F96">
            <v>2233.8998133</v>
          </cell>
          <cell r="H96">
            <v>2187.7237295457235</v>
          </cell>
          <cell r="K96">
            <v>3003995.1170651345</v>
          </cell>
        </row>
        <row r="97">
          <cell r="F97">
            <v>2235.9133594</v>
          </cell>
          <cell r="H97">
            <v>2189.5585640727218</v>
          </cell>
          <cell r="K97">
            <v>3006402.5677992599</v>
          </cell>
        </row>
        <row r="98">
          <cell r="F98">
            <v>2235.9931037999995</v>
          </cell>
          <cell r="H98">
            <v>2189.6311566747659</v>
          </cell>
          <cell r="K98">
            <v>3006497.7500777366</v>
          </cell>
        </row>
        <row r="99">
          <cell r="F99">
            <v>2238.6246690000003</v>
          </cell>
          <cell r="H99">
            <v>2192.0242668496735</v>
          </cell>
          <cell r="K99">
            <v>3009633.4092007843</v>
          </cell>
        </row>
        <row r="100">
          <cell r="F100">
            <v>2242.7514417000007</v>
          </cell>
          <cell r="H100">
            <v>2195.7732634242557</v>
          </cell>
          <cell r="K100">
            <v>3014542.293539119</v>
          </cell>
        </row>
        <row r="101">
          <cell r="F101">
            <v>2248.3534857999998</v>
          </cell>
          <cell r="H101">
            <v>2200.8572746358254</v>
          </cell>
          <cell r="K101">
            <v>3021194.6428124579</v>
          </cell>
        </row>
        <row r="102">
          <cell r="F102">
            <v>2248.9715049000006</v>
          </cell>
          <cell r="H102">
            <v>2201.4175698328986</v>
          </cell>
          <cell r="K102">
            <v>3021927.2740140483</v>
          </cell>
        </row>
        <row r="103">
          <cell r="F103">
            <v>2263.1460720000005</v>
          </cell>
          <cell r="H103">
            <v>2214.2550378988371</v>
          </cell>
          <cell r="K103">
            <v>3038701.6753984527</v>
          </cell>
        </row>
        <row r="104">
          <cell r="F104">
            <v>2273.2138025000008</v>
          </cell>
          <cell r="H104">
            <v>2223.3637141458171</v>
          </cell>
          <cell r="K104">
            <v>3050595.4919793392</v>
          </cell>
        </row>
        <row r="105">
          <cell r="F105">
            <v>2283.0422998000004</v>
          </cell>
          <cell r="H105">
            <v>2232.2468123096178</v>
          </cell>
          <cell r="K105">
            <v>3062186.6791180624</v>
          </cell>
        </row>
        <row r="106">
          <cell r="F106">
            <v>2296.8380810000003</v>
          </cell>
          <cell r="H106">
            <v>2244.7027615993948</v>
          </cell>
          <cell r="K106">
            <v>3078428.5831026742</v>
          </cell>
        </row>
        <row r="107">
          <cell r="F107">
            <v>2300.6458761000004</v>
          </cell>
          <cell r="H107">
            <v>2248.1372087597574</v>
          </cell>
          <cell r="K107">
            <v>3082903.786303869</v>
          </cell>
        </row>
        <row r="108">
          <cell r="F108">
            <v>2300.8253010000003</v>
          </cell>
          <cell r="H108">
            <v>2248.2988745966995</v>
          </cell>
          <cell r="K108">
            <v>3083114.2945667719</v>
          </cell>
        </row>
        <row r="109">
          <cell r="F109">
            <v>2302.4401250999999</v>
          </cell>
          <cell r="H109">
            <v>2249.7523663632883</v>
          </cell>
          <cell r="K109">
            <v>3085005.5822556014</v>
          </cell>
        </row>
        <row r="110">
          <cell r="F110">
            <v>2318.5484939000003</v>
          </cell>
          <cell r="H110">
            <v>2264.2364247406122</v>
          </cell>
          <cell r="K110">
            <v>3103838.975061941</v>
          </cell>
        </row>
        <row r="111">
          <cell r="F111">
            <v>2327.2007613000001</v>
          </cell>
          <cell r="H111">
            <v>2272.0081872332698</v>
          </cell>
          <cell r="K111">
            <v>3113937.321000861</v>
          </cell>
        </row>
        <row r="112">
          <cell r="F112">
            <v>2333.5005689000004</v>
          </cell>
          <cell r="H112">
            <v>2277.6610350379169</v>
          </cell>
          <cell r="K112">
            <v>3121277.2116130376</v>
          </cell>
        </row>
        <row r="113">
          <cell r="F113">
            <v>2336.4710477999997</v>
          </cell>
          <cell r="H113">
            <v>2280.3236994422377</v>
          </cell>
          <cell r="K113">
            <v>3124732.063538501</v>
          </cell>
        </row>
        <row r="114">
          <cell r="F114">
            <v>2338.1456801999998</v>
          </cell>
          <cell r="H114">
            <v>2281.8232424881485</v>
          </cell>
          <cell r="K114">
            <v>3126676.3568890467</v>
          </cell>
        </row>
        <row r="115">
          <cell r="F115">
            <v>2338.4646577999997</v>
          </cell>
          <cell r="H115">
            <v>2282.1085732874049</v>
          </cell>
          <cell r="K115">
            <v>3127046.0492594168</v>
          </cell>
        </row>
        <row r="116">
          <cell r="F116">
            <v>2352.8385859000005</v>
          </cell>
          <cell r="H116">
            <v>2294.9529337596637</v>
          </cell>
          <cell r="K116">
            <v>3143676.056213663</v>
          </cell>
        </row>
        <row r="117">
          <cell r="F117">
            <v>2357.1447834999999</v>
          </cell>
          <cell r="H117">
            <v>2298.7968954648677</v>
          </cell>
          <cell r="K117">
            <v>3148649.3742680606</v>
          </cell>
        </row>
        <row r="118">
          <cell r="F118">
            <v>2367.4118749999998</v>
          </cell>
          <cell r="H118">
            <v>2307.9523548461407</v>
          </cell>
          <cell r="K118">
            <v>3160486.1571130482</v>
          </cell>
        </row>
        <row r="119">
          <cell r="F119">
            <v>2373.6319382000001</v>
          </cell>
          <cell r="H119">
            <v>2313.4931825201188</v>
          </cell>
          <cell r="K119">
            <v>3167644.51915906</v>
          </cell>
        </row>
        <row r="120">
          <cell r="F120">
            <v>2386.8695086000002</v>
          </cell>
          <cell r="H120">
            <v>2325.2728978156579</v>
          </cell>
          <cell r="K120">
            <v>3182852.0393362907</v>
          </cell>
        </row>
        <row r="121">
          <cell r="F121">
            <v>2394.3854182999999</v>
          </cell>
          <cell r="H121">
            <v>2331.9540944960013</v>
          </cell>
          <cell r="K121">
            <v>3191471.1323062433</v>
          </cell>
        </row>
        <row r="122">
          <cell r="F122">
            <v>2395.9803062999999</v>
          </cell>
          <cell r="H122">
            <v>2333.3703728268565</v>
          </cell>
          <cell r="K122">
            <v>3193296.8714508163</v>
          </cell>
        </row>
        <row r="123">
          <cell r="F123">
            <v>2397.0767918000001</v>
          </cell>
          <cell r="H123">
            <v>2334.3430451407507</v>
          </cell>
          <cell r="K123">
            <v>3194549.8354182439</v>
          </cell>
        </row>
        <row r="124">
          <cell r="F124">
            <v>2400.7250981000002</v>
          </cell>
          <cell r="H124">
            <v>2337.5760005841057</v>
          </cell>
          <cell r="K124">
            <v>3198711.3627991914</v>
          </cell>
        </row>
        <row r="125">
          <cell r="F125">
            <v>2401.8415196999999</v>
          </cell>
          <cell r="H125">
            <v>2338.5642827160759</v>
          </cell>
          <cell r="K125">
            <v>3199982.563388207</v>
          </cell>
        </row>
        <row r="126">
          <cell r="F126">
            <v>2405.1708484000001</v>
          </cell>
          <cell r="H126">
            <v>2341.508387045119</v>
          </cell>
          <cell r="K126">
            <v>3203766.6889088117</v>
          </cell>
        </row>
        <row r="127">
          <cell r="F127">
            <v>2407.8622219000003</v>
          </cell>
          <cell r="H127">
            <v>2343.8858503460019</v>
          </cell>
          <cell r="K127">
            <v>3206820.2347377446</v>
          </cell>
        </row>
        <row r="128">
          <cell r="F128">
            <v>2413.3446494</v>
          </cell>
          <cell r="H128">
            <v>2348.7237359512524</v>
          </cell>
          <cell r="K128">
            <v>3213029.2622132418</v>
          </cell>
        </row>
        <row r="129">
          <cell r="F129">
            <v>2437.9856689999997</v>
          </cell>
          <cell r="H129">
            <v>2370.4449321321072</v>
          </cell>
          <cell r="K129">
            <v>3240885.8661693148</v>
          </cell>
        </row>
        <row r="130">
          <cell r="F130">
            <v>2442.0326973000001</v>
          </cell>
          <cell r="H130">
            <v>2374.0086489669125</v>
          </cell>
          <cell r="K130">
            <v>3245452.7833975395</v>
          </cell>
        </row>
        <row r="131">
          <cell r="F131">
            <v>2449.4090543000002</v>
          </cell>
          <cell r="H131">
            <v>2380.4972380937711</v>
          </cell>
          <cell r="K131">
            <v>3253761.7079853583</v>
          </cell>
        </row>
        <row r="132">
          <cell r="F132">
            <v>2449.8675846000001</v>
          </cell>
          <cell r="H132">
            <v>2380.900156679877</v>
          </cell>
          <cell r="K132">
            <v>3254277.2754489309</v>
          </cell>
        </row>
        <row r="133">
          <cell r="F133">
            <v>2453.8747407000001</v>
          </cell>
          <cell r="H133">
            <v>2384.4175906356854</v>
          </cell>
          <cell r="K133">
            <v>3258774.7309321519</v>
          </cell>
        </row>
        <row r="134">
          <cell r="F134">
            <v>2458.3404271000004</v>
          </cell>
          <cell r="H134">
            <v>2388.3333667680276</v>
          </cell>
          <cell r="K134">
            <v>3263777.731541981</v>
          </cell>
        </row>
        <row r="135">
          <cell r="F135">
            <v>2461.8890529</v>
          </cell>
          <cell r="H135">
            <v>2391.4417123223952</v>
          </cell>
          <cell r="K135">
            <v>3267746.1076660459</v>
          </cell>
        </row>
        <row r="136">
          <cell r="F136">
            <v>2462.3675193000004</v>
          </cell>
          <cell r="H136">
            <v>2391.8603704223956</v>
          </cell>
          <cell r="K136">
            <v>3268280.1957850466</v>
          </cell>
        </row>
        <row r="137">
          <cell r="F137">
            <v>2472.9735245000002</v>
          </cell>
          <cell r="H137">
            <v>2401.1307680902391</v>
          </cell>
          <cell r="K137">
            <v>3280097.5625176234</v>
          </cell>
        </row>
        <row r="138">
          <cell r="F138">
            <v>2476.9208723000006</v>
          </cell>
          <cell r="H138">
            <v>2404.5773603375442</v>
          </cell>
          <cell r="K138">
            <v>3284487.7212992217</v>
          </cell>
        </row>
        <row r="139">
          <cell r="F139">
            <v>2477.9176772999999</v>
          </cell>
          <cell r="H139">
            <v>2405.4467855164471</v>
          </cell>
          <cell r="K139">
            <v>3285594.3184410185</v>
          </cell>
        </row>
        <row r="140">
          <cell r="F140">
            <v>2480.4296259000002</v>
          </cell>
          <cell r="H140">
            <v>2407.6354024425627</v>
          </cell>
          <cell r="K140">
            <v>3288377.8306292119</v>
          </cell>
        </row>
        <row r="141">
          <cell r="F141">
            <v>2496.3984420000002</v>
          </cell>
          <cell r="H141">
            <v>2421.5339119942819</v>
          </cell>
          <cell r="K141">
            <v>3306040.5136674773</v>
          </cell>
        </row>
        <row r="142">
          <cell r="F142">
            <v>2497.2556943</v>
          </cell>
          <cell r="H142">
            <v>2422.2792275394954</v>
          </cell>
          <cell r="K142">
            <v>3306986.9528714949</v>
          </cell>
        </row>
        <row r="143">
          <cell r="F143">
            <v>2528.8145405999994</v>
          </cell>
          <cell r="H143">
            <v>2449.687909572348</v>
          </cell>
          <cell r="K143">
            <v>3341764.8894834425</v>
          </cell>
        </row>
        <row r="144">
          <cell r="F144">
            <v>2549.6677011999996</v>
          </cell>
          <cell r="H144">
            <v>2467.7793830111027</v>
          </cell>
          <cell r="K144">
            <v>3364702.6878343155</v>
          </cell>
        </row>
        <row r="145">
          <cell r="F145">
            <v>2550.2657842000003</v>
          </cell>
          <cell r="H145">
            <v>2468.2977030831294</v>
          </cell>
          <cell r="K145">
            <v>3365359.3423920525</v>
          </cell>
        </row>
        <row r="146">
          <cell r="F146">
            <v>2552.0999053999999</v>
          </cell>
          <cell r="H146">
            <v>2469.8855133970696</v>
          </cell>
          <cell r="K146">
            <v>3367369.3500195816</v>
          </cell>
        </row>
        <row r="147">
          <cell r="F147">
            <v>2562.9052716000006</v>
          </cell>
          <cell r="H147">
            <v>2479.2297450412152</v>
          </cell>
          <cell r="K147">
            <v>3379188.9243602613</v>
          </cell>
        </row>
        <row r="148">
          <cell r="F148">
            <v>2566.9921721000001</v>
          </cell>
          <cell r="H148">
            <v>2482.7602041627297</v>
          </cell>
          <cell r="K148">
            <v>3383651.1094363779</v>
          </cell>
        </row>
        <row r="149">
          <cell r="F149">
            <v>2572.8932577</v>
          </cell>
          <cell r="H149">
            <v>2487.8523584188633</v>
          </cell>
          <cell r="K149">
            <v>3390082.0587773109</v>
          </cell>
        </row>
        <row r="150">
          <cell r="F150">
            <v>2573.7106378000008</v>
          </cell>
          <cell r="H150">
            <v>2488.5569309493007</v>
          </cell>
          <cell r="K150">
            <v>3390971.1685389681</v>
          </cell>
        </row>
        <row r="151">
          <cell r="F151">
            <v>2575.5048868000003</v>
          </cell>
          <cell r="H151">
            <v>2490.1018860594304</v>
          </cell>
          <cell r="K151">
            <v>3392919.2210301524</v>
          </cell>
        </row>
        <row r="152">
          <cell r="F152">
            <v>2584.0176014999993</v>
          </cell>
          <cell r="H152">
            <v>2497.4239283037136</v>
          </cell>
          <cell r="K152">
            <v>3402144.3217851343</v>
          </cell>
        </row>
        <row r="153">
          <cell r="F153">
            <v>2587.6060994999998</v>
          </cell>
          <cell r="H153">
            <v>2500.5071684533423</v>
          </cell>
          <cell r="K153">
            <v>3406025.8193128202</v>
          </cell>
        </row>
        <row r="154">
          <cell r="F154">
            <v>2600.2256508</v>
          </cell>
          <cell r="H154">
            <v>2511.3381681053406</v>
          </cell>
          <cell r="K154">
            <v>3419650.0675106961</v>
          </cell>
        </row>
        <row r="155">
          <cell r="F155">
            <v>2608.6785572000003</v>
          </cell>
          <cell r="H155">
            <v>2518.5851998469766</v>
          </cell>
          <cell r="K155">
            <v>3428758.7419048781</v>
          </cell>
        </row>
        <row r="156">
          <cell r="F156">
            <v>2611.4696112000001</v>
          </cell>
          <cell r="H156">
            <v>2520.975493769839</v>
          </cell>
          <cell r="K156">
            <v>3431760.6423959467</v>
          </cell>
        </row>
        <row r="157">
          <cell r="F157">
            <v>2617.1115274999997</v>
          </cell>
          <cell r="H157">
            <v>2525.8020587829892</v>
          </cell>
          <cell r="K157">
            <v>3437817.2867347468</v>
          </cell>
        </row>
        <row r="158">
          <cell r="F158">
            <v>2624.4480122999998</v>
          </cell>
          <cell r="H158">
            <v>2532.0714805056659</v>
          </cell>
          <cell r="K158">
            <v>3445678.1324674087</v>
          </cell>
        </row>
        <row r="159">
          <cell r="F159">
            <v>2640.2972118000002</v>
          </cell>
          <cell r="H159">
            <v>2545.6007460639839</v>
          </cell>
          <cell r="K159">
            <v>3462627.864440124</v>
          </cell>
        </row>
        <row r="160">
          <cell r="F160">
            <v>2643.4869878000004</v>
          </cell>
          <cell r="H160">
            <v>2548.3206526439099</v>
          </cell>
          <cell r="K160">
            <v>3466032.6390501624</v>
          </cell>
        </row>
        <row r="161">
          <cell r="F161">
            <v>2655.1496063000004</v>
          </cell>
          <cell r="H161">
            <v>2558.254472211986</v>
          </cell>
          <cell r="K161">
            <v>3478457.6091042487</v>
          </cell>
        </row>
        <row r="162">
          <cell r="F162">
            <v>2668.446985000001</v>
          </cell>
          <cell r="H162">
            <v>2569.5683664497651</v>
          </cell>
          <cell r="K162">
            <v>3492597.1345249852</v>
          </cell>
        </row>
        <row r="163">
          <cell r="F163">
            <v>2673.869604200001</v>
          </cell>
          <cell r="H163">
            <v>2574.1770888088731</v>
          </cell>
          <cell r="K163">
            <v>3498352.1411314318</v>
          </cell>
        </row>
        <row r="164">
          <cell r="F164">
            <v>2675.6239809999997</v>
          </cell>
          <cell r="H164">
            <v>2575.666515580991</v>
          </cell>
          <cell r="K164">
            <v>3500210.484322371</v>
          </cell>
        </row>
        <row r="165">
          <cell r="F165">
            <v>2676.620786</v>
          </cell>
          <cell r="H165">
            <v>2576.5118543937238</v>
          </cell>
          <cell r="K165">
            <v>3501264.3323222552</v>
          </cell>
        </row>
        <row r="166">
          <cell r="F166">
            <v>2687.2267912000007</v>
          </cell>
          <cell r="H166">
            <v>2585.4964024790402</v>
          </cell>
          <cell r="K166">
            <v>3512455.688469097</v>
          </cell>
        </row>
        <row r="167">
          <cell r="F167">
            <v>2688.2435323</v>
          </cell>
          <cell r="H167">
            <v>2586.3567582146807</v>
          </cell>
          <cell r="K167">
            <v>3513526.4746501506</v>
          </cell>
        </row>
        <row r="168">
          <cell r="F168">
            <v>2690.0776535</v>
          </cell>
          <cell r="H168">
            <v>2587.9070679092902</v>
          </cell>
          <cell r="K168">
            <v>3515454.3559213462</v>
          </cell>
        </row>
        <row r="169">
          <cell r="F169">
            <v>2690.9349058000003</v>
          </cell>
          <cell r="H169">
            <v>2588.6308724767159</v>
          </cell>
          <cell r="K169">
            <v>3516353.6860840074</v>
          </cell>
        </row>
        <row r="170">
          <cell r="F170">
            <v>2692.5896020999999</v>
          </cell>
          <cell r="H170">
            <v>2590.0264457966505</v>
          </cell>
          <cell r="K170">
            <v>3518086.2346146647</v>
          </cell>
        </row>
        <row r="171">
          <cell r="F171">
            <v>2701.0225724000002</v>
          </cell>
          <cell r="H171">
            <v>2597.1309881544112</v>
          </cell>
          <cell r="K171">
            <v>3526898.8061381602</v>
          </cell>
        </row>
        <row r="172">
          <cell r="F172">
            <v>2704.9699202000002</v>
          </cell>
          <cell r="H172">
            <v>2600.4528500808983</v>
          </cell>
          <cell r="K172">
            <v>3531015.8055171669</v>
          </cell>
        </row>
        <row r="173">
          <cell r="F173">
            <v>2706.3255749999998</v>
          </cell>
          <cell r="H173">
            <v>2601.5924316483702</v>
          </cell>
          <cell r="K173">
            <v>3532426.96530993</v>
          </cell>
        </row>
        <row r="174">
          <cell r="F174">
            <v>2709.8143924999999</v>
          </cell>
          <cell r="H174">
            <v>2604.5219359339185</v>
          </cell>
          <cell r="K174">
            <v>3536051.525695282</v>
          </cell>
        </row>
        <row r="175">
          <cell r="F175">
            <v>2710.5520282000002</v>
          </cell>
          <cell r="H175">
            <v>2605.1406313049688</v>
          </cell>
          <cell r="K175">
            <v>3536816.359997882</v>
          </cell>
        </row>
        <row r="176">
          <cell r="F176">
            <v>2713.3829544000005</v>
          </cell>
          <cell r="H176">
            <v>2607.5124528377755</v>
          </cell>
          <cell r="K176">
            <v>3539745.9081947282</v>
          </cell>
        </row>
        <row r="177">
          <cell r="F177">
            <v>2715.6955419999999</v>
          </cell>
          <cell r="H177">
            <v>2609.447847943537</v>
          </cell>
          <cell r="K177">
            <v>3542134.3533963459</v>
          </cell>
        </row>
        <row r="178">
          <cell r="F178">
            <v>2717.5695353999999</v>
          </cell>
          <cell r="H178">
            <v>2611.0144437272729</v>
          </cell>
          <cell r="K178">
            <v>3544066.0034427284</v>
          </cell>
        </row>
        <row r="179">
          <cell r="F179">
            <v>2717.7290241999999</v>
          </cell>
          <cell r="H179">
            <v>2611.1476228042247</v>
          </cell>
          <cell r="K179">
            <v>3544230.0745812519</v>
          </cell>
        </row>
        <row r="180">
          <cell r="F180">
            <v>2721.4371388000004</v>
          </cell>
          <cell r="H180">
            <v>2614.2405901401917</v>
          </cell>
          <cell r="K180">
            <v>3548037.1813670197</v>
          </cell>
        </row>
        <row r="181">
          <cell r="F181">
            <v>2729.9897256999998</v>
          </cell>
          <cell r="H181">
            <v>2621.3664211400519</v>
          </cell>
          <cell r="K181">
            <v>3556800.6817367142</v>
          </cell>
        </row>
        <row r="182">
          <cell r="F182">
            <v>2742.5893408999996</v>
          </cell>
          <cell r="H182">
            <v>2631.8524391805722</v>
          </cell>
          <cell r="K182">
            <v>3569685.3690854535</v>
          </cell>
        </row>
        <row r="183">
          <cell r="F183">
            <v>2756.1259528000005</v>
          </cell>
          <cell r="H183">
            <v>2643.105691359523</v>
          </cell>
          <cell r="K183">
            <v>3583500.7018373548</v>
          </cell>
        </row>
        <row r="184">
          <cell r="F184">
            <v>2762.8045462999999</v>
          </cell>
          <cell r="H184">
            <v>2648.6515308504613</v>
          </cell>
          <cell r="K184">
            <v>3590303.2155225109</v>
          </cell>
        </row>
        <row r="185">
          <cell r="F185">
            <v>2767.8284435</v>
          </cell>
          <cell r="H185">
            <v>2652.8186574777851</v>
          </cell>
          <cell r="K185">
            <v>3595410.1050763493</v>
          </cell>
        </row>
        <row r="186">
          <cell r="F186">
            <v>2774.8060784999998</v>
          </cell>
          <cell r="H186">
            <v>2658.5998485581754</v>
          </cell>
          <cell r="K186">
            <v>3602488.8055424048</v>
          </cell>
        </row>
        <row r="187">
          <cell r="F187">
            <v>2780.2685698999999</v>
          </cell>
          <cell r="H187">
            <v>2663.120618624811</v>
          </cell>
          <cell r="K187">
            <v>3608019.2988683358</v>
          </cell>
        </row>
        <row r="188">
          <cell r="F188">
            <v>2790.9343834000001</v>
          </cell>
          <cell r="H188">
            <v>2671.9377572012518</v>
          </cell>
          <cell r="K188">
            <v>3618796.1815507407</v>
          </cell>
        </row>
        <row r="189">
          <cell r="F189">
            <v>2801.6201330000004</v>
          </cell>
          <cell r="H189">
            <v>2680.7614454164936</v>
          </cell>
          <cell r="K189">
            <v>3629571.4590621209</v>
          </cell>
        </row>
        <row r="190">
          <cell r="F190">
            <v>2807.00288</v>
          </cell>
          <cell r="H190">
            <v>2685.2012111808986</v>
          </cell>
          <cell r="K190">
            <v>3634988.3484861683</v>
          </cell>
        </row>
        <row r="191">
          <cell r="F191">
            <v>2808.5778319000001</v>
          </cell>
          <cell r="H191">
            <v>2686.4987900464657</v>
          </cell>
          <cell r="K191">
            <v>3636570.0846817591</v>
          </cell>
        </row>
        <row r="192">
          <cell r="F192">
            <v>2808.7373207000001</v>
          </cell>
          <cell r="H192">
            <v>2686.6300422141235</v>
          </cell>
          <cell r="K192">
            <v>3636729.9358889307</v>
          </cell>
        </row>
        <row r="193">
          <cell r="F193">
            <v>2808.9964900000004</v>
          </cell>
          <cell r="H193">
            <v>2686.8430861229062</v>
          </cell>
          <cell r="K193">
            <v>3636989.1666091648</v>
          </cell>
        </row>
        <row r="194">
          <cell r="F194">
            <v>2809.8736784000007</v>
          </cell>
          <cell r="H194">
            <v>2687.5633425833153</v>
          </cell>
          <cell r="K194">
            <v>3637864.7775374614</v>
          </cell>
        </row>
        <row r="195">
          <cell r="F195">
            <v>2824.0482455000006</v>
          </cell>
          <cell r="H195">
            <v>2699.1888588154247</v>
          </cell>
          <cell r="K195">
            <v>3651985.0044057788</v>
          </cell>
        </row>
        <row r="196">
          <cell r="F196">
            <v>2831.0059443999999</v>
          </cell>
          <cell r="H196">
            <v>2704.8888695778314</v>
          </cell>
          <cell r="K196">
            <v>3658901.8688554503</v>
          </cell>
        </row>
        <row r="197">
          <cell r="F197">
            <v>2832.7603211999999</v>
          </cell>
          <cell r="H197">
            <v>2706.3244911135193</v>
          </cell>
          <cell r="K197">
            <v>3660642.3785786079</v>
          </cell>
        </row>
        <row r="198">
          <cell r="F198">
            <v>2856.8032578000002</v>
          </cell>
          <cell r="H198">
            <v>2725.9766869682594</v>
          </cell>
          <cell r="K198">
            <v>3684446.3382204892</v>
          </cell>
        </row>
        <row r="199">
          <cell r="F199">
            <v>2856.8830022000002</v>
          </cell>
          <cell r="H199">
            <v>2726.0417942688168</v>
          </cell>
          <cell r="K199">
            <v>3684525.1276887096</v>
          </cell>
        </row>
        <row r="200">
          <cell r="F200">
            <v>2861.6277940000004</v>
          </cell>
          <cell r="H200">
            <v>2729.911268994189</v>
          </cell>
          <cell r="K200">
            <v>3689203.4438972739</v>
          </cell>
        </row>
        <row r="201">
          <cell r="F201">
            <v>2877.4769935000004</v>
          </cell>
          <cell r="H201">
            <v>2742.8218855013915</v>
          </cell>
          <cell r="K201">
            <v>3704798.3344480479</v>
          </cell>
        </row>
        <row r="202">
          <cell r="F202">
            <v>2878.9921371</v>
          </cell>
          <cell r="H202">
            <v>2744.0546998339191</v>
          </cell>
          <cell r="K202">
            <v>3706286.0829562829</v>
          </cell>
        </row>
        <row r="203">
          <cell r="F203">
            <v>2897.4729017999998</v>
          </cell>
          <cell r="H203">
            <v>2759.0746150106384</v>
          </cell>
          <cell r="K203">
            <v>3724395.0854332987</v>
          </cell>
        </row>
        <row r="204">
          <cell r="F204">
            <v>2898.9880454000004</v>
          </cell>
          <cell r="H204">
            <v>2760.3046130911221</v>
          </cell>
          <cell r="K204">
            <v>3725876.6663495568</v>
          </cell>
        </row>
        <row r="205">
          <cell r="F205">
            <v>2899.3867674000003</v>
          </cell>
          <cell r="H205">
            <v>2760.6279262370326</v>
          </cell>
          <cell r="K205">
            <v>3726265.7445391007</v>
          </cell>
        </row>
        <row r="206">
          <cell r="F206">
            <v>2904.7695144000004</v>
          </cell>
          <cell r="H206">
            <v>2764.9876511538541</v>
          </cell>
          <cell r="K206">
            <v>3731507.3445069417</v>
          </cell>
        </row>
        <row r="207">
          <cell r="F207">
            <v>2910.9297693000003</v>
          </cell>
          <cell r="H207">
            <v>2769.9713889702575</v>
          </cell>
          <cell r="K207">
            <v>3737493.5264048628</v>
          </cell>
        </row>
        <row r="208">
          <cell r="F208">
            <v>2925.1840808000002</v>
          </cell>
          <cell r="H208">
            <v>2781.4900914323857</v>
          </cell>
          <cell r="K208">
            <v>3751316.0355969248</v>
          </cell>
        </row>
        <row r="209">
          <cell r="F209">
            <v>2925.4033779000001</v>
          </cell>
          <cell r="H209">
            <v>2781.6670984317816</v>
          </cell>
          <cell r="K209">
            <v>3751528.2432456003</v>
          </cell>
        </row>
        <row r="210">
          <cell r="F210">
            <v>2927.7558377</v>
          </cell>
          <cell r="H210">
            <v>2783.5637144880084</v>
          </cell>
          <cell r="K210">
            <v>3753799.8645687373</v>
          </cell>
        </row>
        <row r="211">
          <cell r="F211">
            <v>2942.3889351000003</v>
          </cell>
          <cell r="H211">
            <v>2795.3477097455366</v>
          </cell>
          <cell r="K211">
            <v>3767900.3362627253</v>
          </cell>
        </row>
        <row r="212">
          <cell r="F212">
            <v>2944.5619699999997</v>
          </cell>
          <cell r="H212">
            <v>2797.0956295466049</v>
          </cell>
          <cell r="K212">
            <v>3769989.8527070642</v>
          </cell>
        </row>
        <row r="213">
          <cell r="F213">
            <v>2957.3210739999995</v>
          </cell>
          <cell r="H213">
            <v>2807.3467869889837</v>
          </cell>
          <cell r="K213">
            <v>3782232.6043058755</v>
          </cell>
        </row>
        <row r="214">
          <cell r="F214">
            <v>2961.3082940000004</v>
          </cell>
          <cell r="H214">
            <v>2810.5465680949324</v>
          </cell>
          <cell r="K214">
            <v>3786050.3489279016</v>
          </cell>
        </row>
        <row r="215">
          <cell r="F215">
            <v>2963.7604343000007</v>
          </cell>
          <cell r="H215">
            <v>2812.5121545342913</v>
          </cell>
          <cell r="K215">
            <v>3788393.2709900974</v>
          </cell>
        </row>
        <row r="216">
          <cell r="F216">
            <v>2963.8003064999998</v>
          </cell>
          <cell r="H216">
            <v>2812.544078233454</v>
          </cell>
          <cell r="K216">
            <v>3788431.2861312642</v>
          </cell>
        </row>
        <row r="217">
          <cell r="F217">
            <v>2968.8042676000005</v>
          </cell>
          <cell r="H217">
            <v>2816.5458519570138</v>
          </cell>
          <cell r="K217">
            <v>3793192.0017058607</v>
          </cell>
        </row>
        <row r="218">
          <cell r="F218">
            <v>2969.7811365000002</v>
          </cell>
          <cell r="H218">
            <v>2817.3261668450714</v>
          </cell>
          <cell r="K218">
            <v>3794119.3961907057</v>
          </cell>
        </row>
        <row r="219">
          <cell r="F219">
            <v>2971.2962800999999</v>
          </cell>
          <cell r="H219">
            <v>2818.5350430352196</v>
          </cell>
          <cell r="K219">
            <v>3795554.7201671312</v>
          </cell>
        </row>
        <row r="220">
          <cell r="F220">
            <v>2971.6551299000002</v>
          </cell>
          <cell r="H220">
            <v>2818.8210223135657</v>
          </cell>
          <cell r="K220">
            <v>3795893.9349467098</v>
          </cell>
        </row>
        <row r="221">
          <cell r="F221">
            <v>2977.6758320999998</v>
          </cell>
          <cell r="H221">
            <v>2823.613523646558</v>
          </cell>
          <cell r="K221">
            <v>3801572.951105962</v>
          </cell>
        </row>
        <row r="222">
          <cell r="F222">
            <v>2980.8656081000004</v>
          </cell>
          <cell r="H222">
            <v>2826.1496327246255</v>
          </cell>
          <cell r="K222">
            <v>3804575.2091869297</v>
          </cell>
        </row>
        <row r="223">
          <cell r="F223">
            <v>2987.3448406000002</v>
          </cell>
          <cell r="H223">
            <v>2831.2950826979059</v>
          </cell>
          <cell r="K223">
            <v>3810660.3586284127</v>
          </cell>
        </row>
        <row r="224">
          <cell r="F224">
            <v>2989.8169170000001</v>
          </cell>
          <cell r="H224">
            <v>2833.2559722958613</v>
          </cell>
          <cell r="K224">
            <v>3812977.0457279366</v>
          </cell>
        </row>
        <row r="225">
          <cell r="F225">
            <v>3002.1772989999995</v>
          </cell>
          <cell r="H225">
            <v>2843.0489329417715</v>
          </cell>
          <cell r="K225">
            <v>3824535.3239424797</v>
          </cell>
        </row>
        <row r="226">
          <cell r="F226">
            <v>3011.7266909</v>
          </cell>
          <cell r="H226">
            <v>2850.6059098960936</v>
          </cell>
          <cell r="K226">
            <v>3833445.5899524447</v>
          </cell>
        </row>
        <row r="227">
          <cell r="F227">
            <v>3019.1827923000001</v>
          </cell>
          <cell r="H227">
            <v>2856.4994175547367</v>
          </cell>
          <cell r="K227">
            <v>3840387.4906048742</v>
          </cell>
        </row>
        <row r="228">
          <cell r="F228">
            <v>3021.9937823999999</v>
          </cell>
          <cell r="H228">
            <v>2858.7186890137978</v>
          </cell>
          <cell r="K228">
            <v>3842998.9030202171</v>
          </cell>
        </row>
        <row r="229">
          <cell r="F229">
            <v>3023.4092455</v>
          </cell>
          <cell r="H229">
            <v>2859.8348790141231</v>
          </cell>
          <cell r="K229">
            <v>3844310.9886409291</v>
          </cell>
        </row>
        <row r="230">
          <cell r="F230">
            <v>3023.9076479999994</v>
          </cell>
          <cell r="H230">
            <v>2860.2274404627751</v>
          </cell>
          <cell r="K230">
            <v>3844771.9762134776</v>
          </cell>
        </row>
        <row r="231">
          <cell r="F231">
            <v>3024.9642613000001</v>
          </cell>
          <cell r="H231">
            <v>2861.0586887512977</v>
          </cell>
          <cell r="K231">
            <v>3845747.1193253421</v>
          </cell>
        </row>
        <row r="232">
          <cell r="F232">
            <v>3029.1109701</v>
          </cell>
          <cell r="H232">
            <v>2864.3170923669109</v>
          </cell>
          <cell r="K232">
            <v>3849565.6562035345</v>
          </cell>
        </row>
        <row r="233">
          <cell r="F233">
            <v>3030.4666249000002</v>
          </cell>
          <cell r="H233">
            <v>2865.3810798005543</v>
          </cell>
          <cell r="K233">
            <v>3850811.2648432134</v>
          </cell>
        </row>
        <row r="234">
          <cell r="F234">
            <v>3030.9849635</v>
          </cell>
          <cell r="H234">
            <v>2865.7874167978589</v>
          </cell>
          <cell r="K234">
            <v>3851286.4719873113</v>
          </cell>
        </row>
        <row r="235">
          <cell r="F235">
            <v>3031.2441328000004</v>
          </cell>
          <cell r="H235">
            <v>2865.9903444328497</v>
          </cell>
          <cell r="K235">
            <v>3851523.5480679399</v>
          </cell>
        </row>
        <row r="236">
          <cell r="F236">
            <v>3044.6212558999996</v>
          </cell>
          <cell r="H236">
            <v>2876.4521000914456</v>
          </cell>
          <cell r="K236">
            <v>3863733.0944802659</v>
          </cell>
        </row>
        <row r="237">
          <cell r="F237">
            <v>3046.4155049000005</v>
          </cell>
          <cell r="H237">
            <v>2877.8536486829889</v>
          </cell>
          <cell r="K237">
            <v>3865367.0866957451</v>
          </cell>
        </row>
        <row r="238">
          <cell r="F238">
            <v>3051.7583797000002</v>
          </cell>
          <cell r="H238">
            <v>2882.0221834363342</v>
          </cell>
          <cell r="K238">
            <v>3870221.8779655709</v>
          </cell>
        </row>
        <row r="239">
          <cell r="F239">
            <v>3054.2902643999996</v>
          </cell>
          <cell r="H239">
            <v>2883.9952181212316</v>
          </cell>
          <cell r="K239">
            <v>3872517.3161654971</v>
          </cell>
        </row>
        <row r="240">
          <cell r="F240">
            <v>3056.0446412000006</v>
          </cell>
          <cell r="H240">
            <v>2885.3607298033885</v>
          </cell>
          <cell r="K240">
            <v>3874104.28530942</v>
          </cell>
        </row>
        <row r="241">
          <cell r="F241">
            <v>3058.6562703</v>
          </cell>
          <cell r="H241">
            <v>2887.3910529838249</v>
          </cell>
          <cell r="K241">
            <v>3876461.3897945764</v>
          </cell>
        </row>
        <row r="242">
          <cell r="F242">
            <v>3059.3540338000003</v>
          </cell>
          <cell r="H242">
            <v>2887.9328572628679</v>
          </cell>
          <cell r="K242">
            <v>3877089.7303656801</v>
          </cell>
        </row>
        <row r="243">
          <cell r="F243">
            <v>3060.1913500000001</v>
          </cell>
          <cell r="H243">
            <v>2888.5822442228118</v>
          </cell>
          <cell r="K243">
            <v>3877842.0348479571</v>
          </cell>
        </row>
        <row r="244">
          <cell r="F244">
            <v>3060.5103276000004</v>
          </cell>
          <cell r="H244">
            <v>2888.8293332837789</v>
          </cell>
          <cell r="K244">
            <v>3878127.9778114758</v>
          </cell>
        </row>
        <row r="245">
          <cell r="F245">
            <v>3062.1052156000001</v>
          </cell>
          <cell r="H245">
            <v>2890.0632963506932</v>
          </cell>
          <cell r="K245">
            <v>3879554.4465280171</v>
          </cell>
        </row>
        <row r="246">
          <cell r="F246">
            <v>3064.0190812000001</v>
          </cell>
          <cell r="H246">
            <v>2891.5422733454889</v>
          </cell>
          <cell r="K246">
            <v>3881262.3136666212</v>
          </cell>
        </row>
        <row r="247">
          <cell r="F247">
            <v>3073.0501345000007</v>
          </cell>
          <cell r="H247">
            <v>2898.512802867469</v>
          </cell>
          <cell r="K247">
            <v>3889302.9306797558</v>
          </cell>
        </row>
        <row r="248">
          <cell r="F248">
            <v>3074.5054697999999</v>
          </cell>
          <cell r="H248">
            <v>2899.6347365397269</v>
          </cell>
          <cell r="K248">
            <v>3890595.6971820015</v>
          </cell>
        </row>
        <row r="249">
          <cell r="F249">
            <v>3077.3962043000001</v>
          </cell>
          <cell r="H249">
            <v>2901.8605483736023</v>
          </cell>
          <cell r="K249">
            <v>3893157.6374981883</v>
          </cell>
        </row>
        <row r="250">
          <cell r="F250">
            <v>3078.8116674000007</v>
          </cell>
          <cell r="H250">
            <v>2902.9491131647274</v>
          </cell>
          <cell r="K250">
            <v>3894409.2239107531</v>
          </cell>
        </row>
        <row r="251">
          <cell r="F251">
            <v>3080.0477056</v>
          </cell>
          <cell r="H251">
            <v>2903.8985421352659</v>
          </cell>
          <cell r="K251">
            <v>3895499.6427962319</v>
          </cell>
        </row>
        <row r="252">
          <cell r="F252">
            <v>3101.8976712000003</v>
          </cell>
          <cell r="H252">
            <v>2920.6616895356378</v>
          </cell>
          <cell r="K252">
            <v>3914730.9631230468</v>
          </cell>
        </row>
        <row r="253">
          <cell r="F253">
            <v>3103.253326</v>
          </cell>
          <cell r="H253">
            <v>2921.7004789246712</v>
          </cell>
          <cell r="K253">
            <v>3915921.3880450302</v>
          </cell>
        </row>
        <row r="254">
          <cell r="F254">
            <v>3103.7517285000004</v>
          </cell>
          <cell r="H254">
            <v>2922.0819235889371</v>
          </cell>
          <cell r="K254">
            <v>3916358.029859772</v>
          </cell>
        </row>
        <row r="255">
          <cell r="F255">
            <v>3106.5427824999997</v>
          </cell>
          <cell r="H255">
            <v>2924.2154197924683</v>
          </cell>
          <cell r="K255">
            <v>3918797.5433455054</v>
          </cell>
        </row>
        <row r="256">
          <cell r="F256">
            <v>3107.6990763000003</v>
          </cell>
          <cell r="H256">
            <v>2925.098222168584</v>
          </cell>
          <cell r="K256">
            <v>3919805.845509199</v>
          </cell>
        </row>
        <row r="257">
          <cell r="F257">
            <v>3109.6926863000008</v>
          </cell>
          <cell r="H257">
            <v>2926.6184424334542</v>
          </cell>
          <cell r="K257">
            <v>3921540.239889265</v>
          </cell>
        </row>
        <row r="258">
          <cell r="F258">
            <v>3111.0882133</v>
          </cell>
          <cell r="H258">
            <v>2927.6812996606841</v>
          </cell>
          <cell r="K258">
            <v>3922751.4756168984</v>
          </cell>
        </row>
        <row r="259">
          <cell r="F259">
            <v>3118.8234200999996</v>
          </cell>
          <cell r="H259">
            <v>2933.5653765805723</v>
          </cell>
          <cell r="K259">
            <v>3929449.4386314536</v>
          </cell>
        </row>
        <row r="260">
          <cell r="F260">
            <v>3121.8736433999998</v>
          </cell>
          <cell r="H260">
            <v>2935.8828092457675</v>
          </cell>
          <cell r="K260">
            <v>3932084.4375282302</v>
          </cell>
        </row>
        <row r="261">
          <cell r="F261">
            <v>3123.1495538000004</v>
          </cell>
          <cell r="H261">
            <v>2936.8510070539464</v>
          </cell>
          <cell r="K261">
            <v>3933184.0624081418</v>
          </cell>
        </row>
        <row r="262">
          <cell r="F262">
            <v>3129.1303837999999</v>
          </cell>
          <cell r="H262">
            <v>2941.3838758875891</v>
          </cell>
          <cell r="K262">
            <v>3938326.3811538192</v>
          </cell>
        </row>
        <row r="263">
          <cell r="F263">
            <v>3146.0960049000005</v>
          </cell>
          <cell r="H263">
            <v>2954.2263465065021</v>
          </cell>
          <cell r="K263">
            <v>3952878.8949292391</v>
          </cell>
        </row>
        <row r="264">
          <cell r="F264">
            <v>3147.1326820999993</v>
          </cell>
          <cell r="H264">
            <v>2955.0101168617057</v>
          </cell>
          <cell r="K264">
            <v>3953766.0102471365</v>
          </cell>
        </row>
        <row r="265">
          <cell r="F265">
            <v>3154.9675693999998</v>
          </cell>
          <cell r="H265">
            <v>2960.9263305524587</v>
          </cell>
          <cell r="K265">
            <v>3960454.6083898856</v>
          </cell>
        </row>
        <row r="266">
          <cell r="F266">
            <v>3168.5241174000003</v>
          </cell>
          <cell r="H266">
            <v>2971.1504371528308</v>
          </cell>
          <cell r="K266">
            <v>3972000.1634446988</v>
          </cell>
        </row>
        <row r="267">
          <cell r="F267">
            <v>3175.2625191999996</v>
          </cell>
          <cell r="H267">
            <v>2976.2261570960459</v>
          </cell>
          <cell r="K267">
            <v>3977725.268680342</v>
          </cell>
        </row>
        <row r="268">
          <cell r="F268">
            <v>3176.1795798000003</v>
          </cell>
          <cell r="H268">
            <v>2976.9160832630537</v>
          </cell>
          <cell r="K268">
            <v>3978502.5585060883</v>
          </cell>
        </row>
        <row r="269">
          <cell r="F269">
            <v>3181.2632853000005</v>
          </cell>
          <cell r="H269">
            <v>2980.7359493381005</v>
          </cell>
          <cell r="K269">
            <v>3982801.1008104398</v>
          </cell>
        </row>
        <row r="270">
          <cell r="F270">
            <v>3185.7489077999999</v>
          </cell>
          <cell r="H270">
            <v>2984.1022506101726</v>
          </cell>
          <cell r="K270">
            <v>3986584.8025962785</v>
          </cell>
        </row>
        <row r="271">
          <cell r="F271">
            <v>3189.0981726</v>
          </cell>
          <cell r="H271">
            <v>2986.6126428603584</v>
          </cell>
          <cell r="K271">
            <v>3989403.1497841855</v>
          </cell>
        </row>
        <row r="272">
          <cell r="F272">
            <v>3193.8030921999998</v>
          </cell>
          <cell r="H272">
            <v>2990.1347736575703</v>
          </cell>
          <cell r="K272">
            <v>3993352.6805500798</v>
          </cell>
        </row>
        <row r="273">
          <cell r="F273">
            <v>3199.2855196999994</v>
          </cell>
          <cell r="H273">
            <v>2994.2338563004605</v>
          </cell>
          <cell r="K273">
            <v>3997943.7295380095</v>
          </cell>
        </row>
        <row r="274">
          <cell r="F274">
            <v>3205.1866052999999</v>
          </cell>
          <cell r="H274">
            <v>2998.6404755194199</v>
          </cell>
          <cell r="K274">
            <v>4002873.3571475302</v>
          </cell>
        </row>
        <row r="275">
          <cell r="F275">
            <v>3212.5230901</v>
          </cell>
          <cell r="H275">
            <v>3004.1121567945129</v>
          </cell>
          <cell r="K275">
            <v>4008987.1512999842</v>
          </cell>
        </row>
        <row r="276">
          <cell r="F276">
            <v>3213.4600868000007</v>
          </cell>
          <cell r="H276">
            <v>3004.8101148382402</v>
          </cell>
          <cell r="K276">
            <v>4009766.0820557456</v>
          </cell>
        </row>
        <row r="277">
          <cell r="F277">
            <v>3230.7247494000003</v>
          </cell>
          <cell r="H277">
            <v>3017.6543178227193</v>
          </cell>
          <cell r="K277">
            <v>4024083.1565117566</v>
          </cell>
        </row>
        <row r="278">
          <cell r="F278">
            <v>3231.9807237000005</v>
          </cell>
          <cell r="H278">
            <v>3018.587544080015</v>
          </cell>
          <cell r="K278">
            <v>4025122.1425752328</v>
          </cell>
        </row>
        <row r="279">
          <cell r="F279">
            <v>3240.7326716000007</v>
          </cell>
          <cell r="H279">
            <v>3025.0823678701177</v>
          </cell>
          <cell r="K279">
            <v>4032344.2483555577</v>
          </cell>
        </row>
        <row r="280">
          <cell r="F280">
            <v>3247.7900509999999</v>
          </cell>
          <cell r="H280">
            <v>3030.3130928436303</v>
          </cell>
          <cell r="K280">
            <v>4038153.6325275516</v>
          </cell>
        </row>
        <row r="281">
          <cell r="F281">
            <v>3276.3186101000006</v>
          </cell>
          <cell r="H281">
            <v>3051.431120095629</v>
          </cell>
          <cell r="K281">
            <v>4061579.2649294268</v>
          </cell>
        </row>
        <row r="282">
          <cell r="F282">
            <v>3277.4948400000003</v>
          </cell>
          <cell r="H282">
            <v>3052.3007212902849</v>
          </cell>
          <cell r="K282">
            <v>4062542.7076257239</v>
          </cell>
        </row>
        <row r="283">
          <cell r="F283">
            <v>3278.7707504000005</v>
          </cell>
          <cell r="H283">
            <v>3053.242831711103</v>
          </cell>
          <cell r="K283">
            <v>4063585.2011273154</v>
          </cell>
        </row>
        <row r="284">
          <cell r="F284">
            <v>3280.2858939999996</v>
          </cell>
          <cell r="H284">
            <v>3054.3601797098013</v>
          </cell>
          <cell r="K284">
            <v>4064820.0783644654</v>
          </cell>
        </row>
        <row r="285">
          <cell r="F285">
            <v>3284.5721555</v>
          </cell>
          <cell r="H285">
            <v>3057.5171148759259</v>
          </cell>
          <cell r="K285">
            <v>4068304.7571782782</v>
          </cell>
        </row>
        <row r="286">
          <cell r="F286">
            <v>3295.6964993000006</v>
          </cell>
          <cell r="H286">
            <v>3065.7001242789934</v>
          </cell>
          <cell r="K286">
            <v>4077326.0727309948</v>
          </cell>
        </row>
        <row r="287">
          <cell r="F287">
            <v>3297.6701732000001</v>
          </cell>
          <cell r="H287">
            <v>3067.1501142585003</v>
          </cell>
          <cell r="K287">
            <v>4078922.6116661159</v>
          </cell>
        </row>
        <row r="288">
          <cell r="F288">
            <v>3297.9492786000005</v>
          </cell>
          <cell r="H288">
            <v>3067.3549039548761</v>
          </cell>
          <cell r="K288">
            <v>4079147.8167811781</v>
          </cell>
        </row>
        <row r="289">
          <cell r="F289">
            <v>3311.3662739000001</v>
          </cell>
          <cell r="H289">
            <v>3077.1869678898665</v>
          </cell>
          <cell r="K289">
            <v>4089946.4405588079</v>
          </cell>
        </row>
        <row r="290">
          <cell r="F290">
            <v>3312.6023121000007</v>
          </cell>
          <cell r="H290">
            <v>3078.091596219328</v>
          </cell>
          <cell r="K290">
            <v>4090938.7460403279</v>
          </cell>
        </row>
        <row r="291">
          <cell r="F291">
            <v>3318.4435893999994</v>
          </cell>
          <cell r="H291">
            <v>3082.3612659186301</v>
          </cell>
          <cell r="K291">
            <v>4095616.3008418009</v>
          </cell>
        </row>
        <row r="292">
          <cell r="F292">
            <v>3319.141352900001</v>
          </cell>
          <cell r="H292">
            <v>3082.8706462432133</v>
          </cell>
          <cell r="K292">
            <v>4096173.6329526361</v>
          </cell>
        </row>
        <row r="293">
          <cell r="F293">
            <v>3320.0783495999999</v>
          </cell>
          <cell r="H293">
            <v>3083.5538004357309</v>
          </cell>
          <cell r="K293">
            <v>4096920.1432742509</v>
          </cell>
        </row>
        <row r="294">
          <cell r="F294">
            <v>3320.4571354999998</v>
          </cell>
          <cell r="H294">
            <v>3083.8296171203497</v>
          </cell>
          <cell r="K294">
            <v>4097221.1530935662</v>
          </cell>
        </row>
        <row r="295">
          <cell r="F295">
            <v>3321.3741960999992</v>
          </cell>
          <cell r="H295">
            <v>3084.4965315436762</v>
          </cell>
          <cell r="K295">
            <v>4097948.0472006514</v>
          </cell>
        </row>
        <row r="296">
          <cell r="F296">
            <v>3323.0887007000006</v>
          </cell>
          <cell r="H296">
            <v>3085.7417781467443</v>
          </cell>
          <cell r="K296">
            <v>4099303.5335813696</v>
          </cell>
        </row>
        <row r="297">
          <cell r="F297">
            <v>3334.4124055000002</v>
          </cell>
          <cell r="H297">
            <v>3093.9556736824316</v>
          </cell>
          <cell r="K297">
            <v>4108233.0009645256</v>
          </cell>
        </row>
        <row r="298">
          <cell r="F298">
            <v>3334.4522776999993</v>
          </cell>
          <cell r="H298">
            <v>3093.9845587938621</v>
          </cell>
          <cell r="K298">
            <v>4108264.3615985592</v>
          </cell>
        </row>
        <row r="299">
          <cell r="F299">
            <v>3339.9347052000003</v>
          </cell>
          <cell r="H299">
            <v>3097.9511664228125</v>
          </cell>
          <cell r="K299">
            <v>4112565.2903059595</v>
          </cell>
        </row>
        <row r="300">
          <cell r="F300">
            <v>3345.8557269000007</v>
          </cell>
          <cell r="H300">
            <v>3102.2295998538075</v>
          </cell>
          <cell r="K300">
            <v>4117198.2421598393</v>
          </cell>
        </row>
        <row r="301">
          <cell r="F301">
            <v>3355.3253744000003</v>
          </cell>
          <cell r="H301">
            <v>3109.0634114558052</v>
          </cell>
          <cell r="K301">
            <v>4124588.5715682129</v>
          </cell>
        </row>
        <row r="302">
          <cell r="F302">
            <v>3356.4617321000005</v>
          </cell>
          <cell r="H302">
            <v>3109.8824127535286</v>
          </cell>
          <cell r="K302">
            <v>4125473.098250228</v>
          </cell>
        </row>
        <row r="303">
          <cell r="F303">
            <v>3358.1961728000006</v>
          </cell>
          <cell r="H303">
            <v>3111.1308554321067</v>
          </cell>
          <cell r="K303">
            <v>4126819.635156313</v>
          </cell>
        </row>
        <row r="304">
          <cell r="F304">
            <v>3361.4856293000007</v>
          </cell>
          <cell r="H304">
            <v>3113.4955344309451</v>
          </cell>
          <cell r="K304">
            <v>4129366.7169637685</v>
          </cell>
        </row>
        <row r="305">
          <cell r="F305">
            <v>3371.7527208000001</v>
          </cell>
          <cell r="H305">
            <v>3120.8666572782959</v>
          </cell>
          <cell r="K305">
            <v>4137295.8027994675</v>
          </cell>
        </row>
        <row r="306">
          <cell r="F306">
            <v>3387.3427510000001</v>
          </cell>
          <cell r="H306">
            <v>3132.044824842701</v>
          </cell>
          <cell r="K306">
            <v>4149303.9656055151</v>
          </cell>
        </row>
        <row r="307">
          <cell r="F307">
            <v>3389.1370000000006</v>
          </cell>
          <cell r="H307">
            <v>3133.3296471981848</v>
          </cell>
          <cell r="K307">
            <v>4150682.3273640242</v>
          </cell>
        </row>
        <row r="308">
          <cell r="F308">
            <v>3399.2844749000001</v>
          </cell>
          <cell r="H308">
            <v>3140.5866006698852</v>
          </cell>
          <cell r="K308">
            <v>4158457.0755470479</v>
          </cell>
        </row>
        <row r="309">
          <cell r="F309">
            <v>3414.1169333000003</v>
          </cell>
          <cell r="H309">
            <v>3151.1802291832682</v>
          </cell>
          <cell r="K309">
            <v>4169791.1552713574</v>
          </cell>
        </row>
        <row r="310">
          <cell r="F310">
            <v>3422.6495840999996</v>
          </cell>
          <cell r="H310">
            <v>3157.2664833552008</v>
          </cell>
          <cell r="K310">
            <v>4176293.9312678901</v>
          </cell>
        </row>
        <row r="311">
          <cell r="F311">
            <v>3428.271564300001</v>
          </cell>
          <cell r="H311">
            <v>3161.2713605144027</v>
          </cell>
          <cell r="K311">
            <v>4180567.0280865422</v>
          </cell>
        </row>
        <row r="312">
          <cell r="F312">
            <v>3428.5307336000001</v>
          </cell>
          <cell r="H312">
            <v>3161.4557416474408</v>
          </cell>
          <cell r="K312">
            <v>4180763.4873278947</v>
          </cell>
        </row>
        <row r="313">
          <cell r="F313">
            <v>3434.5115636</v>
          </cell>
          <cell r="H313">
            <v>3165.7051324792251</v>
          </cell>
          <cell r="K313">
            <v>4185284.9892495032</v>
          </cell>
        </row>
        <row r="314">
          <cell r="F314">
            <v>3447.0314344000008</v>
          </cell>
          <cell r="H314">
            <v>3174.588888386103</v>
          </cell>
          <cell r="K314">
            <v>4194724.518045566</v>
          </cell>
        </row>
        <row r="315">
          <cell r="F315">
            <v>3454.1087499</v>
          </cell>
          <cell r="H315">
            <v>3179.60417934219</v>
          </cell>
          <cell r="K315">
            <v>4200046.1528393961</v>
          </cell>
        </row>
        <row r="316">
          <cell r="F316">
            <v>3457.0991649000002</v>
          </cell>
          <cell r="H316">
            <v>3181.7205371697924</v>
          </cell>
          <cell r="K316">
            <v>4202288.6444818452</v>
          </cell>
        </row>
        <row r="317">
          <cell r="F317">
            <v>3465.6517518000001</v>
          </cell>
          <cell r="H317">
            <v>3187.7653720558983</v>
          </cell>
          <cell r="K317">
            <v>4208684.763362417</v>
          </cell>
        </row>
        <row r="318">
          <cell r="F318">
            <v>3472.3702175000003</v>
          </cell>
          <cell r="H318">
            <v>3192.5076347874506</v>
          </cell>
          <cell r="K318">
            <v>4213695.5461845156</v>
          </cell>
        </row>
        <row r="319">
          <cell r="F319">
            <v>3473.7059362</v>
          </cell>
          <cell r="H319">
            <v>3193.44921716101</v>
          </cell>
          <cell r="K319">
            <v>4214689.0366226118</v>
          </cell>
        </row>
        <row r="320">
          <cell r="F320">
            <v>3474.9619105000002</v>
          </cell>
          <cell r="H320">
            <v>3194.3334183991606</v>
          </cell>
          <cell r="K320">
            <v>4215620.6578941606</v>
          </cell>
        </row>
        <row r="321">
          <cell r="F321">
            <v>3480.8031878000011</v>
          </cell>
          <cell r="H321">
            <v>3198.4402272072002</v>
          </cell>
          <cell r="K321">
            <v>4219941.5473437682</v>
          </cell>
        </row>
        <row r="322">
          <cell r="F322">
            <v>3482.0790982000003</v>
          </cell>
          <cell r="H322">
            <v>3199.3360918049693</v>
          </cell>
          <cell r="K322">
            <v>4220882.762492883</v>
          </cell>
        </row>
        <row r="323">
          <cell r="F323">
            <v>3486.9833787999992</v>
          </cell>
          <cell r="H323">
            <v>3202.7750134710468</v>
          </cell>
          <cell r="K323">
            <v>4224490.5764615927</v>
          </cell>
        </row>
        <row r="324">
          <cell r="F324">
            <v>3494.2999274999997</v>
          </cell>
          <cell r="H324">
            <v>3207.8986374909823</v>
          </cell>
          <cell r="K324">
            <v>4229858.0741052516</v>
          </cell>
        </row>
        <row r="325">
          <cell r="F325">
            <v>3498.685869500001</v>
          </cell>
          <cell r="H325">
            <v>3210.9659435829908</v>
          </cell>
          <cell r="K325">
            <v>4233066.7208467489</v>
          </cell>
        </row>
        <row r="326">
          <cell r="F326">
            <v>3500.7990961</v>
          </cell>
          <cell r="H326">
            <v>3212.4418634620793</v>
          </cell>
          <cell r="K326">
            <v>4234608.4041019538</v>
          </cell>
        </row>
        <row r="327">
          <cell r="F327">
            <v>3501.6962205999994</v>
          </cell>
          <cell r="H327">
            <v>3213.0675994632406</v>
          </cell>
          <cell r="K327">
            <v>4235261.0663444977</v>
          </cell>
        </row>
        <row r="328">
          <cell r="F328">
            <v>3507.0191593000004</v>
          </cell>
          <cell r="H328">
            <v>3216.7753527677487</v>
          </cell>
          <cell r="K328">
            <v>4239122.6951213693</v>
          </cell>
        </row>
        <row r="329">
          <cell r="F329">
            <v>3509.0725776000004</v>
          </cell>
          <cell r="H329">
            <v>3218.2037761855463</v>
          </cell>
          <cell r="K329">
            <v>4240608.2077663466</v>
          </cell>
        </row>
        <row r="330">
          <cell r="F330">
            <v>3524.7224160999995</v>
          </cell>
          <cell r="H330">
            <v>3229.0757597159823</v>
          </cell>
          <cell r="K330">
            <v>4251897.9808980003</v>
          </cell>
        </row>
        <row r="331">
          <cell r="F331">
            <v>3530.2247797000009</v>
          </cell>
          <cell r="H331">
            <v>3232.8931523065039</v>
          </cell>
          <cell r="K331">
            <v>4255856.1797912437</v>
          </cell>
        </row>
        <row r="332">
          <cell r="F332">
            <v>3532.078837</v>
          </cell>
          <cell r="H332">
            <v>3234.1777245343378</v>
          </cell>
          <cell r="K332">
            <v>4257186.1471302006</v>
          </cell>
        </row>
        <row r="333">
          <cell r="F333">
            <v>3532.0987731</v>
          </cell>
          <cell r="H333">
            <v>3234.1915186109641</v>
          </cell>
          <cell r="K333">
            <v>4257200.4072780125</v>
          </cell>
        </row>
        <row r="334">
          <cell r="F334">
            <v>3542.9041393000002</v>
          </cell>
          <cell r="H334">
            <v>3241.6578659805737</v>
          </cell>
          <cell r="K334">
            <v>4264907.4150574543</v>
          </cell>
        </row>
        <row r="335">
          <cell r="F335">
            <v>3547.5891228</v>
          </cell>
          <cell r="H335">
            <v>3244.8907658400067</v>
          </cell>
          <cell r="K335">
            <v>4268239.4789496148</v>
          </cell>
        </row>
        <row r="336">
          <cell r="F336">
            <v>3552.4535312000007</v>
          </cell>
          <cell r="H336">
            <v>3248.2429580598955</v>
          </cell>
          <cell r="K336">
            <v>4271689.2531911721</v>
          </cell>
        </row>
        <row r="337">
          <cell r="F337">
            <v>3561.3450318000009</v>
          </cell>
          <cell r="H337">
            <v>3254.3620623296911</v>
          </cell>
          <cell r="K337">
            <v>4277976.8910620222</v>
          </cell>
        </row>
        <row r="338">
          <cell r="F338">
            <v>3566.0100791999998</v>
          </cell>
          <cell r="H338">
            <v>3257.5681985307128</v>
          </cell>
          <cell r="K338">
            <v>4281266.2914222609</v>
          </cell>
        </row>
        <row r="339">
          <cell r="F339">
            <v>3574.881643700001</v>
          </cell>
          <cell r="H339">
            <v>3263.6570929389386</v>
          </cell>
          <cell r="K339">
            <v>4287503.7185762748</v>
          </cell>
        </row>
        <row r="340">
          <cell r="F340">
            <v>3577.0746147</v>
          </cell>
          <cell r="H340">
            <v>3265.1601748278786</v>
          </cell>
          <cell r="K340">
            <v>4289041.0911130542</v>
          </cell>
        </row>
        <row r="341">
          <cell r="F341">
            <v>3580.1049018999997</v>
          </cell>
          <cell r="H341">
            <v>3267.2343444587336</v>
          </cell>
          <cell r="K341">
            <v>4291159.2928446271</v>
          </cell>
        </row>
        <row r="342">
          <cell r="F342">
            <v>3604.4668161000013</v>
          </cell>
          <cell r="H342">
            <v>3283.8869354383814</v>
          </cell>
          <cell r="K342">
            <v>4308138.9357300531</v>
          </cell>
        </row>
        <row r="343">
          <cell r="F343">
            <v>3606.5002983000004</v>
          </cell>
          <cell r="H343">
            <v>3285.2750327208159</v>
          </cell>
          <cell r="K343">
            <v>4309552.083018587</v>
          </cell>
        </row>
        <row r="344">
          <cell r="F344">
            <v>3611.0457290999993</v>
          </cell>
          <cell r="H344">
            <v>3288.373614032897</v>
          </cell>
          <cell r="K344">
            <v>4312701.6314520454</v>
          </cell>
        </row>
        <row r="345">
          <cell r="F345">
            <v>3641.3685372</v>
          </cell>
          <cell r="H345">
            <v>3309.016232000602</v>
          </cell>
          <cell r="K345">
            <v>4333650.7183213197</v>
          </cell>
        </row>
        <row r="346">
          <cell r="F346">
            <v>3649.6818909000003</v>
          </cell>
          <cell r="H346">
            <v>3314.6679218068757</v>
          </cell>
          <cell r="K346">
            <v>4339377.2360370588</v>
          </cell>
        </row>
        <row r="347">
          <cell r="F347">
            <v>3653.9880884999998</v>
          </cell>
          <cell r="H347">
            <v>3317.5914137648679</v>
          </cell>
          <cell r="K347">
            <v>4342334.7253450602</v>
          </cell>
        </row>
        <row r="348">
          <cell r="F348">
            <v>3656.2209317000006</v>
          </cell>
          <cell r="H348">
            <v>3319.1052233507421</v>
          </cell>
          <cell r="K348">
            <v>4343863.6937781256</v>
          </cell>
        </row>
        <row r="349">
          <cell r="F349">
            <v>3661.4441899000003</v>
          </cell>
          <cell r="H349">
            <v>3322.6416021599425</v>
          </cell>
          <cell r="K349">
            <v>4347429.756810274</v>
          </cell>
        </row>
        <row r="350">
          <cell r="F350">
            <v>3666.3285344000001</v>
          </cell>
          <cell r="H350">
            <v>3325.9439819217919</v>
          </cell>
          <cell r="K350">
            <v>4350754.4928887244</v>
          </cell>
        </row>
        <row r="351">
          <cell r="F351">
            <v>3673.8843163000006</v>
          </cell>
          <cell r="H351">
            <v>3331.0455391247197</v>
          </cell>
          <cell r="K351">
            <v>4355882.2776431357</v>
          </cell>
        </row>
        <row r="352">
          <cell r="F352">
            <v>3685.4671904000006</v>
          </cell>
          <cell r="H352">
            <v>3338.8553673399147</v>
          </cell>
          <cell r="K352">
            <v>4363719.5021544117</v>
          </cell>
        </row>
        <row r="353">
          <cell r="F353">
            <v>3688.0588834000005</v>
          </cell>
          <cell r="H353">
            <v>3340.6004245690037</v>
          </cell>
          <cell r="K353">
            <v>4365467.8230861165</v>
          </cell>
        </row>
        <row r="354">
          <cell r="F354">
            <v>3690.0126211999996</v>
          </cell>
          <cell r="H354">
            <v>3341.9141135079435</v>
          </cell>
          <cell r="K354">
            <v>4366781.8116223961</v>
          </cell>
        </row>
        <row r="355">
          <cell r="F355">
            <v>3691.6075092000001</v>
          </cell>
          <cell r="H355">
            <v>3342.9850304038546</v>
          </cell>
          <cell r="K355">
            <v>4367851.209224442</v>
          </cell>
        </row>
        <row r="356">
          <cell r="F356">
            <v>3700.6584986000003</v>
          </cell>
          <cell r="H356">
            <v>3349.0540720879626</v>
          </cell>
          <cell r="K356">
            <v>4373901.6189926388</v>
          </cell>
        </row>
        <row r="357">
          <cell r="F357">
            <v>3705.9216290000008</v>
          </cell>
          <cell r="H357">
            <v>3352.5783150742081</v>
          </cell>
          <cell r="K357">
            <v>4377409.2068125159</v>
          </cell>
        </row>
        <row r="358">
          <cell r="F358">
            <v>3710.1879543999994</v>
          </cell>
          <cell r="H358">
            <v>3355.4311228114748</v>
          </cell>
          <cell r="K358">
            <v>4380243.7954371292</v>
          </cell>
        </row>
        <row r="359">
          <cell r="F359">
            <v>3711.1249511000005</v>
          </cell>
          <cell r="H359">
            <v>3356.0568032287151</v>
          </cell>
          <cell r="K359">
            <v>4380864.4381908849</v>
          </cell>
        </row>
        <row r="360">
          <cell r="F360">
            <v>3714.3745354000002</v>
          </cell>
          <cell r="H360">
            <v>3358.2236961053413</v>
          </cell>
          <cell r="K360">
            <v>4383010.2661506971</v>
          </cell>
        </row>
        <row r="361">
          <cell r="F361">
            <v>3715.6504457999999</v>
          </cell>
          <cell r="H361">
            <v>3359.0733148800623</v>
          </cell>
          <cell r="K361">
            <v>4383850.2029473372</v>
          </cell>
        </row>
        <row r="362">
          <cell r="F362">
            <v>3727.0937672</v>
          </cell>
          <cell r="H362">
            <v>3366.6826982087796</v>
          </cell>
          <cell r="K362">
            <v>4391360.0953172259</v>
          </cell>
        </row>
        <row r="363">
          <cell r="F363">
            <v>3731.1607315999991</v>
          </cell>
          <cell r="H363">
            <v>3369.3832986398197</v>
          </cell>
          <cell r="K363">
            <v>4394020.8387412056</v>
          </cell>
        </row>
        <row r="364">
          <cell r="F364">
            <v>3735.2476320999999</v>
          </cell>
          <cell r="H364">
            <v>3372.0933390736027</v>
          </cell>
          <cell r="K364">
            <v>4396686.3068911899</v>
          </cell>
        </row>
        <row r="365">
          <cell r="F365">
            <v>3741.9262256000006</v>
          </cell>
          <cell r="H365">
            <v>3376.5157348624043</v>
          </cell>
          <cell r="K365">
            <v>4401028.4788686652</v>
          </cell>
        </row>
        <row r="366">
          <cell r="F366">
            <v>3743.1622637999999</v>
          </cell>
          <cell r="H366">
            <v>3377.3330593784817</v>
          </cell>
          <cell r="K366">
            <v>4401829.5889988765</v>
          </cell>
        </row>
        <row r="367">
          <cell r="F367">
            <v>3745.2555543000008</v>
          </cell>
          <cell r="H367">
            <v>3378.7152925571531</v>
          </cell>
          <cell r="K367">
            <v>4403182.0472601643</v>
          </cell>
        </row>
        <row r="368">
          <cell r="F368">
            <v>3752.4724225000004</v>
          </cell>
          <cell r="H368">
            <v>3383.4739988656102</v>
          </cell>
          <cell r="K368">
            <v>4407830.1195156854</v>
          </cell>
        </row>
        <row r="369">
          <cell r="F369">
            <v>3756.9779810999994</v>
          </cell>
          <cell r="H369">
            <v>3386.440716586892</v>
          </cell>
          <cell r="K369">
            <v>4410722.7844452932</v>
          </cell>
        </row>
        <row r="370">
          <cell r="F370">
            <v>3765.1119099000002</v>
          </cell>
          <cell r="H370">
            <v>3391.7890015552939</v>
          </cell>
          <cell r="K370">
            <v>4415928.3854860924</v>
          </cell>
        </row>
        <row r="371">
          <cell r="F371">
            <v>3766.2881398</v>
          </cell>
          <cell r="H371">
            <v>3392.5613123585931</v>
          </cell>
          <cell r="K371">
            <v>4416678.7622253187</v>
          </cell>
        </row>
        <row r="372">
          <cell r="F372">
            <v>3771.3917814000001</v>
          </cell>
          <cell r="H372">
            <v>3395.9076126827567</v>
          </cell>
          <cell r="K372">
            <v>4419924.2466552369</v>
          </cell>
        </row>
        <row r="373">
          <cell r="F373">
            <v>3774.3024519999999</v>
          </cell>
          <cell r="H373">
            <v>3397.8133445021804</v>
          </cell>
          <cell r="K373">
            <v>4421769.2628597748</v>
          </cell>
        </row>
        <row r="374">
          <cell r="F374">
            <v>3777.5321001999996</v>
          </cell>
          <cell r="H374">
            <v>3399.924922112496</v>
          </cell>
          <cell r="K374">
            <v>4423809.8992663668</v>
          </cell>
        </row>
        <row r="375">
          <cell r="F375">
            <v>3779.9244321999995</v>
          </cell>
          <cell r="H375">
            <v>3401.4868303188155</v>
          </cell>
          <cell r="K375">
            <v>4425316.6126382062</v>
          </cell>
        </row>
        <row r="376">
          <cell r="F376">
            <v>3782.6556779000002</v>
          </cell>
          <cell r="H376">
            <v>3403.2674705219292</v>
          </cell>
          <cell r="K376">
            <v>4427031.2181230262</v>
          </cell>
        </row>
        <row r="377">
          <cell r="F377">
            <v>3783.1740165000006</v>
          </cell>
          <cell r="H377">
            <v>3403.6049205119853</v>
          </cell>
          <cell r="K377">
            <v>4427355.5627212478</v>
          </cell>
        </row>
        <row r="378">
          <cell r="F378">
            <v>3823.9632771000001</v>
          </cell>
          <cell r="H378">
            <v>3430.121730725461</v>
          </cell>
          <cell r="K378">
            <v>4452795.9686087593</v>
          </cell>
        </row>
        <row r="379">
          <cell r="F379">
            <v>3834.6888988999999</v>
          </cell>
          <cell r="H379">
            <v>3437.0844136504606</v>
          </cell>
          <cell r="K379">
            <v>4459463.7467745095</v>
          </cell>
        </row>
        <row r="380">
          <cell r="F380">
            <v>3848.1058942</v>
          </cell>
          <cell r="H380">
            <v>3445.7817688751352</v>
          </cell>
          <cell r="K380">
            <v>4467777.3584765457</v>
          </cell>
        </row>
        <row r="381">
          <cell r="F381">
            <v>3852.5117723000008</v>
          </cell>
          <cell r="H381">
            <v>3448.6337150616132</v>
          </cell>
          <cell r="K381">
            <v>4470498.4181449329</v>
          </cell>
        </row>
        <row r="382">
          <cell r="F382">
            <v>3855.1632735999997</v>
          </cell>
          <cell r="H382">
            <v>3450.3475804465102</v>
          </cell>
          <cell r="K382">
            <v>4472130.5822978579</v>
          </cell>
        </row>
        <row r="383">
          <cell r="F383">
            <v>3856.4591201000003</v>
          </cell>
          <cell r="H383">
            <v>3451.1839795117985</v>
          </cell>
          <cell r="K383">
            <v>4472925.6190508381</v>
          </cell>
        </row>
        <row r="384">
          <cell r="F384">
            <v>3858.7318355000011</v>
          </cell>
          <cell r="H384">
            <v>3452.6487826065018</v>
          </cell>
          <cell r="K384">
            <v>4474315.3655082379</v>
          </cell>
        </row>
        <row r="385">
          <cell r="F385">
            <v>3859.6289600000005</v>
          </cell>
          <cell r="H385">
            <v>3453.2261605955814</v>
          </cell>
          <cell r="K385">
            <v>4474862.1237043226</v>
          </cell>
        </row>
        <row r="386">
          <cell r="F386">
            <v>3863.5364356</v>
          </cell>
          <cell r="H386">
            <v>3455.737331020674</v>
          </cell>
          <cell r="K386">
            <v>4477235.6064552758</v>
          </cell>
        </row>
        <row r="387">
          <cell r="F387">
            <v>3883.3927911999999</v>
          </cell>
          <cell r="H387">
            <v>3468.4797227881459</v>
          </cell>
          <cell r="K387">
            <v>4489256.3599460395</v>
          </cell>
        </row>
        <row r="388">
          <cell r="F388">
            <v>3887.0211614</v>
          </cell>
          <cell r="H388">
            <v>3470.8047797146328</v>
          </cell>
          <cell r="K388">
            <v>4491445.5384550467</v>
          </cell>
        </row>
        <row r="389">
          <cell r="F389">
            <v>3892.5235249999996</v>
          </cell>
          <cell r="H389">
            <v>3474.325576497718</v>
          </cell>
          <cell r="K389">
            <v>4494754.1925300024</v>
          </cell>
        </row>
        <row r="390">
          <cell r="F390">
            <v>3906.1000091000005</v>
          </cell>
          <cell r="H390">
            <v>3483.0001423144008</v>
          </cell>
          <cell r="K390">
            <v>4502890.304388538</v>
          </cell>
        </row>
        <row r="391">
          <cell r="F391">
            <v>3908.073683000001</v>
          </cell>
          <cell r="H391">
            <v>3484.2593682738343</v>
          </cell>
          <cell r="K391">
            <v>4504069.0701196957</v>
          </cell>
        </row>
        <row r="392">
          <cell r="F392">
            <v>3918.4005828000004</v>
          </cell>
          <cell r="H392">
            <v>3490.8384480255995</v>
          </cell>
          <cell r="K392">
            <v>4510215.7349360622</v>
          </cell>
        </row>
        <row r="393">
          <cell r="F393">
            <v>3923.5839688000001</v>
          </cell>
          <cell r="H393">
            <v>3494.1358715544097</v>
          </cell>
          <cell r="K393">
            <v>4513290.3836641572</v>
          </cell>
        </row>
        <row r="394">
          <cell r="F394">
            <v>3924.8798153000002</v>
          </cell>
          <cell r="H394">
            <v>3494.9590231183038</v>
          </cell>
          <cell r="K394">
            <v>4514056.4083890859</v>
          </cell>
        </row>
        <row r="395">
          <cell r="F395">
            <v>3933.0336801999997</v>
          </cell>
          <cell r="H395">
            <v>3500.1309680943723</v>
          </cell>
          <cell r="K395">
            <v>4518859.8759666756</v>
          </cell>
        </row>
        <row r="396">
          <cell r="F396">
            <v>3934.0504212999995</v>
          </cell>
          <cell r="H396">
            <v>3500.7749356219279</v>
          </cell>
          <cell r="K396">
            <v>4519456.771972023</v>
          </cell>
        </row>
        <row r="397">
          <cell r="F397">
            <v>3939.2338073000005</v>
          </cell>
          <cell r="H397">
            <v>3504.0530900578019</v>
          </cell>
          <cell r="K397">
            <v>4522489.2213865863</v>
          </cell>
        </row>
        <row r="398">
          <cell r="F398">
            <v>3942.4634555000002</v>
          </cell>
          <cell r="H398">
            <v>3506.0926309052925</v>
          </cell>
          <cell r="K398">
            <v>4524372.0972825913</v>
          </cell>
        </row>
        <row r="399">
          <cell r="F399">
            <v>3943.5798771000004</v>
          </cell>
          <cell r="H399">
            <v>3506.7966198045492</v>
          </cell>
          <cell r="K399">
            <v>4525020.6956919627</v>
          </cell>
        </row>
        <row r="400">
          <cell r="F400">
            <v>3962.2799389000002</v>
          </cell>
          <cell r="H400">
            <v>3518.5710546275045</v>
          </cell>
          <cell r="K400">
            <v>4535846.6585142352</v>
          </cell>
        </row>
        <row r="401">
          <cell r="F401">
            <v>3963.9545712999993</v>
          </cell>
          <cell r="H401">
            <v>3519.6239252767605</v>
          </cell>
          <cell r="K401">
            <v>4536812.7393161058</v>
          </cell>
        </row>
        <row r="402">
          <cell r="F402">
            <v>3964.4729098999996</v>
          </cell>
          <cell r="H402">
            <v>3519.949332083731</v>
          </cell>
          <cell r="K402">
            <v>4537110.7093433701</v>
          </cell>
        </row>
        <row r="403">
          <cell r="F403">
            <v>3965.2504177999999</v>
          </cell>
          <cell r="H403">
            <v>3520.4367197032016</v>
          </cell>
          <cell r="K403">
            <v>4537556.0819100123</v>
          </cell>
        </row>
        <row r="404">
          <cell r="F404">
            <v>3968.0414718000011</v>
          </cell>
          <cell r="H404">
            <v>3522.1837223695593</v>
          </cell>
          <cell r="K404">
            <v>4539149.1745493356</v>
          </cell>
        </row>
        <row r="405">
          <cell r="F405">
            <v>3972.2679250000006</v>
          </cell>
          <cell r="H405">
            <v>3524.8252556195589</v>
          </cell>
          <cell r="K405">
            <v>4541552.9698068332</v>
          </cell>
        </row>
        <row r="406">
          <cell r="F406">
            <v>3976.3348894000001</v>
          </cell>
          <cell r="H406">
            <v>3527.3633286628669</v>
          </cell>
          <cell r="K406">
            <v>4543857.7782516787</v>
          </cell>
        </row>
        <row r="407">
          <cell r="F407">
            <v>3976.434569900001</v>
          </cell>
          <cell r="H407">
            <v>3527.4254436956276</v>
          </cell>
          <cell r="K407">
            <v>4543914.0657734238</v>
          </cell>
        </row>
        <row r="408">
          <cell r="F408">
            <v>3976.6339309000005</v>
          </cell>
          <cell r="H408">
            <v>3527.5494884814079</v>
          </cell>
          <cell r="K408">
            <v>4544026.2350542843</v>
          </cell>
        </row>
        <row r="409">
          <cell r="F409">
            <v>3980.1227484000001</v>
          </cell>
          <cell r="H409">
            <v>3529.7170298371234</v>
          </cell>
          <cell r="K409">
            <v>4545982.0966232996</v>
          </cell>
        </row>
        <row r="410">
          <cell r="F410">
            <v>4010.1066428000004</v>
          </cell>
          <cell r="H410">
            <v>3548.3176334728114</v>
          </cell>
          <cell r="K410">
            <v>4562730.3030654564</v>
          </cell>
        </row>
        <row r="411">
          <cell r="F411">
            <v>4011.3626170999996</v>
          </cell>
          <cell r="H411">
            <v>3549.0956138361475</v>
          </cell>
          <cell r="K411">
            <v>4563429.300621164</v>
          </cell>
        </row>
        <row r="412">
          <cell r="F412">
            <v>4016.6257475000011</v>
          </cell>
          <cell r="H412">
            <v>3552.3508306402377</v>
          </cell>
          <cell r="K412">
            <v>4566347.7211021204</v>
          </cell>
        </row>
        <row r="413">
          <cell r="F413">
            <v>4029.026001700001</v>
          </cell>
          <cell r="H413">
            <v>3560.0087943167246</v>
          </cell>
          <cell r="K413">
            <v>4573198.4581936263</v>
          </cell>
        </row>
        <row r="414">
          <cell r="F414">
            <v>4030.5610814000006</v>
          </cell>
          <cell r="H414">
            <v>3560.955379243258</v>
          </cell>
          <cell r="K414">
            <v>4574043.4154227348</v>
          </cell>
        </row>
        <row r="415">
          <cell r="F415">
            <v>4033.3720714999999</v>
          </cell>
          <cell r="H415">
            <v>3562.6861236124491</v>
          </cell>
          <cell r="K415">
            <v>4575584.9535112632</v>
          </cell>
        </row>
        <row r="416">
          <cell r="F416">
            <v>4034.5084292000001</v>
          </cell>
          <cell r="H416">
            <v>3563.3847301352653</v>
          </cell>
          <cell r="K416">
            <v>4576205.8156362306</v>
          </cell>
        </row>
        <row r="417">
          <cell r="F417">
            <v>4045.1543066000004</v>
          </cell>
          <cell r="H417">
            <v>3569.9196762530164</v>
          </cell>
          <cell r="K417">
            <v>4582000.645714106</v>
          </cell>
        </row>
        <row r="418">
          <cell r="F418">
            <v>4061.0433782999999</v>
          </cell>
          <cell r="H418">
            <v>3579.658377727133</v>
          </cell>
          <cell r="K418">
            <v>4590617.1445824215</v>
          </cell>
        </row>
        <row r="419">
          <cell r="F419">
            <v>4061.0633143999994</v>
          </cell>
          <cell r="H419">
            <v>3579.6705783979969</v>
          </cell>
          <cell r="K419">
            <v>4590627.9151716139</v>
          </cell>
        </row>
        <row r="420">
          <cell r="F420">
            <v>4073.0050383000003</v>
          </cell>
          <cell r="H420">
            <v>3586.9676819893079</v>
          </cell>
          <cell r="K420">
            <v>4597055.1929165833</v>
          </cell>
        </row>
        <row r="421">
          <cell r="F421">
            <v>4078.2282964999995</v>
          </cell>
          <cell r="H421">
            <v>3590.1545490973931</v>
          </cell>
          <cell r="K421">
            <v>4599855.8253232911</v>
          </cell>
        </row>
        <row r="422">
          <cell r="F422">
            <v>4079.8231845000009</v>
          </cell>
          <cell r="H422">
            <v>3591.1261560527842</v>
          </cell>
          <cell r="K422">
            <v>4600707.7341555962</v>
          </cell>
        </row>
        <row r="423">
          <cell r="F423">
            <v>4080.0823538</v>
          </cell>
          <cell r="H423">
            <v>3591.2838013193727</v>
          </cell>
          <cell r="K423">
            <v>4600845.6418494266</v>
          </cell>
        </row>
        <row r="424">
          <cell r="F424">
            <v>4083.2721297999997</v>
          </cell>
          <cell r="H424">
            <v>3593.2210862784805</v>
          </cell>
          <cell r="K424">
            <v>4602536.4751098724</v>
          </cell>
        </row>
        <row r="425">
          <cell r="F425">
            <v>4086.0631838000004</v>
          </cell>
          <cell r="H425">
            <v>3594.9136167013435</v>
          </cell>
          <cell r="K425">
            <v>4604010.2735359427</v>
          </cell>
        </row>
        <row r="426">
          <cell r="F426">
            <v>4087.3390941999992</v>
          </cell>
          <cell r="H426">
            <v>3595.6861591043166</v>
          </cell>
          <cell r="K426">
            <v>4604681.4130784553</v>
          </cell>
        </row>
        <row r="427">
          <cell r="F427">
            <v>4099.3007541999996</v>
          </cell>
          <cell r="H427">
            <v>3602.9176273478115</v>
          </cell>
          <cell r="K427">
            <v>4610949.000531707</v>
          </cell>
        </row>
        <row r="428">
          <cell r="F428">
            <v>4101.0750671000005</v>
          </cell>
          <cell r="H428">
            <v>3603.9886461475799</v>
          </cell>
          <cell r="K428">
            <v>4611875.0813832004</v>
          </cell>
        </row>
        <row r="429">
          <cell r="F429">
            <v>4102.6898911999997</v>
          </cell>
          <cell r="H429">
            <v>3604.9618928286668</v>
          </cell>
          <cell r="K429">
            <v>4612714.6323347809</v>
          </cell>
        </row>
        <row r="430">
          <cell r="F430">
            <v>4107.7536605999994</v>
          </cell>
          <cell r="H430">
            <v>3608.0090960689081</v>
          </cell>
          <cell r="K430">
            <v>4615336.9919109084</v>
          </cell>
        </row>
        <row r="431">
          <cell r="F431">
            <v>4114.1332126000016</v>
          </cell>
          <cell r="H431">
            <v>3611.8421633254152</v>
          </cell>
          <cell r="K431">
            <v>4618627.7676026588</v>
          </cell>
        </row>
        <row r="432">
          <cell r="F432">
            <v>4117.0837554</v>
          </cell>
          <cell r="H432">
            <v>3613.6122147913993</v>
          </cell>
          <cell r="K432">
            <v>4620143.746073164</v>
          </cell>
        </row>
        <row r="433">
          <cell r="F433">
            <v>4122.8652243999995</v>
          </cell>
          <cell r="H433">
            <v>3617.0751857677001</v>
          </cell>
          <cell r="K433">
            <v>4623102.4773112629</v>
          </cell>
        </row>
        <row r="434">
          <cell r="F434">
            <v>4143.2199824999998</v>
          </cell>
          <cell r="H434">
            <v>3629.2483147986945</v>
          </cell>
          <cell r="K434">
            <v>4633477.8234091401</v>
          </cell>
        </row>
        <row r="435">
          <cell r="F435">
            <v>4164.2525680000008</v>
          </cell>
          <cell r="H435">
            <v>3641.8072703598009</v>
          </cell>
          <cell r="K435">
            <v>4644155.8676879629</v>
          </cell>
        </row>
        <row r="436">
          <cell r="F436">
            <v>4169.5555706000005</v>
          </cell>
          <cell r="H436">
            <v>3644.9688653113808</v>
          </cell>
          <cell r="K436">
            <v>4646837.3585519241</v>
          </cell>
        </row>
        <row r="437">
          <cell r="F437">
            <v>4182.5937800000002</v>
          </cell>
          <cell r="H437">
            <v>3652.7299927469753</v>
          </cell>
          <cell r="K437">
            <v>4653403.6601158753</v>
          </cell>
        </row>
        <row r="438">
          <cell r="F438">
            <v>4188.6543544000006</v>
          </cell>
          <cell r="H438">
            <v>3656.3319791120311</v>
          </cell>
          <cell r="K438">
            <v>4656443.5507353488</v>
          </cell>
        </row>
        <row r="439">
          <cell r="F439">
            <v>4188.9733320000005</v>
          </cell>
          <cell r="H439">
            <v>3656.5212608941874</v>
          </cell>
          <cell r="K439">
            <v>4656602.8957582703</v>
          </cell>
        </row>
        <row r="440">
          <cell r="F440">
            <v>4193.1399769000009</v>
          </cell>
          <cell r="H440">
            <v>3658.9898818270408</v>
          </cell>
          <cell r="K440">
            <v>4658675.8596812179</v>
          </cell>
        </row>
        <row r="441">
          <cell r="F441">
            <v>4197.3066217999994</v>
          </cell>
          <cell r="H441">
            <v>3661.4546304133319</v>
          </cell>
          <cell r="K441">
            <v>4660740.3431651965</v>
          </cell>
        </row>
        <row r="442">
          <cell r="F442">
            <v>4201.3137778999999</v>
          </cell>
          <cell r="H442">
            <v>3663.8213104333599</v>
          </cell>
          <cell r="K442">
            <v>4662717.6475290582</v>
          </cell>
        </row>
        <row r="443">
          <cell r="F443">
            <v>4226.6924331999999</v>
          </cell>
          <cell r="H443">
            <v>3678.7866977826629</v>
          </cell>
          <cell r="K443">
            <v>4675188.9215840325</v>
          </cell>
        </row>
        <row r="444">
          <cell r="F444">
            <v>4237.6772242999996</v>
          </cell>
          <cell r="H444">
            <v>3685.254044587356</v>
          </cell>
          <cell r="K444">
            <v>4680564.57820631</v>
          </cell>
        </row>
        <row r="445">
          <cell r="F445">
            <v>4238.5544127000003</v>
          </cell>
          <cell r="H445">
            <v>3685.7696781031559</v>
          </cell>
          <cell r="K445">
            <v>4680992.0648859125</v>
          </cell>
        </row>
        <row r="446">
          <cell r="F446">
            <v>4251.2337723000001</v>
          </cell>
          <cell r="H446">
            <v>3693.2111424037134</v>
          </cell>
          <cell r="K446">
            <v>4687145.384024132</v>
          </cell>
        </row>
        <row r="447">
          <cell r="F447">
            <v>4255.2608645</v>
          </cell>
          <cell r="H447">
            <v>3695.5708836974868</v>
          </cell>
          <cell r="K447">
            <v>4689091.5436974969</v>
          </cell>
        </row>
        <row r="448">
          <cell r="F448">
            <v>4258.2512795000002</v>
          </cell>
          <cell r="H448">
            <v>3697.3203876403309</v>
          </cell>
          <cell r="K448">
            <v>4690530.6253323248</v>
          </cell>
        </row>
        <row r="449">
          <cell r="F449">
            <v>4263.9530041000007</v>
          </cell>
          <cell r="H449">
            <v>3700.6508094907958</v>
          </cell>
          <cell r="K449">
            <v>4693262.8695048429</v>
          </cell>
        </row>
        <row r="450">
          <cell r="F450">
            <v>4273.5622043000003</v>
          </cell>
          <cell r="H450">
            <v>3706.2546878602193</v>
          </cell>
          <cell r="K450">
            <v>4697848.0029738806</v>
          </cell>
        </row>
        <row r="451">
          <cell r="F451">
            <v>4275.1770284000004</v>
          </cell>
          <cell r="H451">
            <v>3707.1949176916783</v>
          </cell>
          <cell r="K451">
            <v>4698615.2470247746</v>
          </cell>
        </row>
        <row r="452">
          <cell r="F452">
            <v>4276.8516608</v>
          </cell>
          <cell r="H452">
            <v>3708.1684145004142</v>
          </cell>
          <cell r="K452">
            <v>4699407.4991159067</v>
          </cell>
        </row>
        <row r="453">
          <cell r="F453">
            <v>4283.7495514000002</v>
          </cell>
          <cell r="H453">
            <v>3712.1718835335928</v>
          </cell>
          <cell r="K453">
            <v>4702656.783818569</v>
          </cell>
        </row>
        <row r="454">
          <cell r="F454">
            <v>4291.3452054999998</v>
          </cell>
          <cell r="H454">
            <v>3716.5732685999028</v>
          </cell>
          <cell r="K454">
            <v>4706219.2938337866</v>
          </cell>
        </row>
        <row r="455">
          <cell r="F455">
            <v>4292.1825217000005</v>
          </cell>
          <cell r="H455">
            <v>3717.0576824795498</v>
          </cell>
          <cell r="K455">
            <v>4706610.307270214</v>
          </cell>
        </row>
        <row r="456">
          <cell r="F456">
            <v>4302.0110190000005</v>
          </cell>
          <cell r="H456">
            <v>3722.7346444423288</v>
          </cell>
          <cell r="K456">
            <v>4711180.0561286993</v>
          </cell>
        </row>
        <row r="457">
          <cell r="F457">
            <v>4309.2278872000006</v>
          </cell>
          <cell r="H457">
            <v>3726.8964164851727</v>
          </cell>
          <cell r="K457">
            <v>4714520.8423425276</v>
          </cell>
        </row>
        <row r="458">
          <cell r="F458">
            <v>4309.8259702000005</v>
          </cell>
          <cell r="H458">
            <v>3727.2407588815481</v>
          </cell>
          <cell r="K458">
            <v>4714796.4857905908</v>
          </cell>
        </row>
        <row r="459">
          <cell r="F459">
            <v>4311.540474800001</v>
          </cell>
          <cell r="H459">
            <v>3728.2262803453959</v>
          </cell>
          <cell r="K459">
            <v>4715583.1741164168</v>
          </cell>
        </row>
        <row r="460">
          <cell r="F460">
            <v>4314.4511453999994</v>
          </cell>
          <cell r="H460">
            <v>3729.8966698393542</v>
          </cell>
          <cell r="K460">
            <v>4716912.7906281855</v>
          </cell>
        </row>
        <row r="461">
          <cell r="F461">
            <v>4319.3155538000001</v>
          </cell>
          <cell r="H461">
            <v>3732.6837588529233</v>
          </cell>
          <cell r="K461">
            <v>4719124.988847902</v>
          </cell>
        </row>
        <row r="462">
          <cell r="F462">
            <v>4338.4342737000006</v>
          </cell>
          <cell r="H462">
            <v>3743.620164148881</v>
          </cell>
          <cell r="K462">
            <v>4727780.7405260494</v>
          </cell>
        </row>
        <row r="463">
          <cell r="F463">
            <v>4343.3186181999999</v>
          </cell>
          <cell r="H463">
            <v>3746.4095969511577</v>
          </cell>
          <cell r="K463">
            <v>4729982.1227630349</v>
          </cell>
        </row>
        <row r="464">
          <cell r="F464">
            <v>4346.7276913000005</v>
          </cell>
          <cell r="H464">
            <v>3748.3533389091972</v>
          </cell>
          <cell r="K464">
            <v>4731511.6591711417</v>
          </cell>
        </row>
        <row r="465">
          <cell r="F465">
            <v>4356.3169554000015</v>
          </cell>
          <cell r="H465">
            <v>3753.8119116427015</v>
          </cell>
          <cell r="K465">
            <v>4735794.5221775165</v>
          </cell>
        </row>
        <row r="466">
          <cell r="F466">
            <v>4367.859957300002</v>
          </cell>
          <cell r="H466">
            <v>3760.3718983172835</v>
          </cell>
          <cell r="K466">
            <v>4740926.4914748501</v>
          </cell>
        </row>
        <row r="467">
          <cell r="F467">
            <v>4367.9995099999996</v>
          </cell>
          <cell r="H467">
            <v>3760.451077614076</v>
          </cell>
          <cell r="K467">
            <v>4740988.2519748267</v>
          </cell>
        </row>
        <row r="468">
          <cell r="F468">
            <v>4370.6310752000009</v>
          </cell>
          <cell r="H468">
            <v>3761.9417272324781</v>
          </cell>
          <cell r="K468">
            <v>4742147.5224791262</v>
          </cell>
        </row>
        <row r="469">
          <cell r="F469">
            <v>4373.940467800001</v>
          </cell>
          <cell r="H469">
            <v>3763.8132564119392</v>
          </cell>
          <cell r="K469">
            <v>4743598.6573021468</v>
          </cell>
        </row>
        <row r="470">
          <cell r="F470">
            <v>4376.4524163999995</v>
          </cell>
          <cell r="H470">
            <v>3765.2314801800608</v>
          </cell>
          <cell r="K470">
            <v>4744695.0084743341</v>
          </cell>
        </row>
        <row r="471">
          <cell r="F471">
            <v>4397.3055769999992</v>
          </cell>
          <cell r="H471">
            <v>3776.9856083435366</v>
          </cell>
          <cell r="K471">
            <v>4753754.0206723455</v>
          </cell>
        </row>
        <row r="472">
          <cell r="F472">
            <v>4397.4650658</v>
          </cell>
          <cell r="H472">
            <v>3777.075357849485</v>
          </cell>
          <cell r="K472">
            <v>4753822.9810503721</v>
          </cell>
        </row>
        <row r="473">
          <cell r="F473">
            <v>4408.9881316000001</v>
          </cell>
          <cell r="H473">
            <v>3783.5490504852655</v>
          </cell>
          <cell r="K473">
            <v>4758781.9152827309</v>
          </cell>
        </row>
        <row r="474">
          <cell r="F474">
            <v>4415.0885782000014</v>
          </cell>
          <cell r="H474">
            <v>3786.9706299677014</v>
          </cell>
          <cell r="K474">
            <v>4761394.8170692641</v>
          </cell>
        </row>
        <row r="475">
          <cell r="F475">
            <v>4415.4075558000004</v>
          </cell>
          <cell r="H475">
            <v>3787.1492396368458</v>
          </cell>
          <cell r="K475">
            <v>4761530.7901646933</v>
          </cell>
        </row>
        <row r="476">
          <cell r="F476">
            <v>4415.6069168000004</v>
          </cell>
          <cell r="H476">
            <v>3787.2606854003216</v>
          </cell>
          <cell r="K476">
            <v>4761615.3675867049</v>
          </cell>
        </row>
        <row r="477">
          <cell r="F477">
            <v>4419.6539450999999</v>
          </cell>
          <cell r="H477">
            <v>3789.5192732201631</v>
          </cell>
          <cell r="K477">
            <v>4763324.0522721559</v>
          </cell>
        </row>
        <row r="478">
          <cell r="F478">
            <v>4422.2855103000002</v>
          </cell>
          <cell r="H478">
            <v>3790.9854659129142</v>
          </cell>
          <cell r="K478">
            <v>4764429.7621092824</v>
          </cell>
        </row>
        <row r="479">
          <cell r="F479">
            <v>4440.6665945000004</v>
          </cell>
          <cell r="H479">
            <v>3801.2095169293643</v>
          </cell>
          <cell r="K479">
            <v>4772115.5664753076</v>
          </cell>
        </row>
        <row r="480">
          <cell r="F480">
            <v>4443.5373929000016</v>
          </cell>
          <cell r="H480">
            <v>3802.8036638104059</v>
          </cell>
          <cell r="K480">
            <v>4773310.1094247885</v>
          </cell>
        </row>
        <row r="481">
          <cell r="F481">
            <v>4448.7407150000008</v>
          </cell>
          <cell r="H481">
            <v>3805.6882192310841</v>
          </cell>
          <cell r="K481">
            <v>4775464.6281160731</v>
          </cell>
        </row>
        <row r="482">
          <cell r="F482">
            <v>4454.8212255000008</v>
          </cell>
          <cell r="H482">
            <v>3809.0534088247177</v>
          </cell>
          <cell r="K482">
            <v>4777969.9849261306</v>
          </cell>
        </row>
        <row r="483">
          <cell r="F483">
            <v>4460.5030140000008</v>
          </cell>
          <cell r="H483">
            <v>3812.1926497756936</v>
          </cell>
          <cell r="K483">
            <v>4780299.4918087684</v>
          </cell>
        </row>
        <row r="484">
          <cell r="F484">
            <v>4461.4001385000001</v>
          </cell>
          <cell r="H484">
            <v>3812.6874856407026</v>
          </cell>
          <cell r="K484">
            <v>4780665.4827531381</v>
          </cell>
        </row>
        <row r="485">
          <cell r="F485">
            <v>4469.6536839</v>
          </cell>
          <cell r="H485">
            <v>3817.2323050175614</v>
          </cell>
          <cell r="K485">
            <v>4784015.8008684609</v>
          </cell>
        </row>
        <row r="486">
          <cell r="F486">
            <v>4479.5021173000014</v>
          </cell>
          <cell r="H486">
            <v>3822.6461975418188</v>
          </cell>
          <cell r="K486">
            <v>4787993.4787765834</v>
          </cell>
        </row>
        <row r="487">
          <cell r="F487">
            <v>4485.6623722000004</v>
          </cell>
          <cell r="H487">
            <v>3826.0268950496716</v>
          </cell>
          <cell r="K487">
            <v>4790469.0023987796</v>
          </cell>
        </row>
        <row r="488">
          <cell r="F488">
            <v>4491.8026909999999</v>
          </cell>
          <cell r="H488">
            <v>3829.3909451729055</v>
          </cell>
          <cell r="K488">
            <v>4792924.0171286631</v>
          </cell>
        </row>
        <row r="489">
          <cell r="F489">
            <v>4495.5905500000008</v>
          </cell>
          <cell r="H489">
            <v>3831.4626505832221</v>
          </cell>
          <cell r="K489">
            <v>4794430.7647772552</v>
          </cell>
        </row>
        <row r="490">
          <cell r="F490">
            <v>4508.3097817999997</v>
          </cell>
          <cell r="H490">
            <v>3838.4073984294109</v>
          </cell>
          <cell r="K490">
            <v>4799464.3771204101</v>
          </cell>
        </row>
        <row r="491">
          <cell r="F491">
            <v>4511.8584076000006</v>
          </cell>
          <cell r="H491">
            <v>3840.3416633287611</v>
          </cell>
          <cell r="K491">
            <v>4800861.5166099854</v>
          </cell>
        </row>
        <row r="492">
          <cell r="F492">
            <v>4517.1414740999999</v>
          </cell>
          <cell r="H492">
            <v>3843.216417451205</v>
          </cell>
          <cell r="K492">
            <v>4802930.7749381382</v>
          </cell>
        </row>
        <row r="493">
          <cell r="F493">
            <v>4537.0975101999993</v>
          </cell>
          <cell r="H493">
            <v>3854.0568478419573</v>
          </cell>
          <cell r="K493">
            <v>4810706.4886138868</v>
          </cell>
        </row>
        <row r="494">
          <cell r="F494">
            <v>4537.775337600001</v>
          </cell>
          <cell r="H494">
            <v>3854.4244243177018</v>
          </cell>
          <cell r="K494">
            <v>4810969.2191757672</v>
          </cell>
        </row>
        <row r="495">
          <cell r="F495">
            <v>4547.9228125</v>
          </cell>
          <cell r="H495">
            <v>3859.9178296422829</v>
          </cell>
          <cell r="K495">
            <v>4814881.7969165985</v>
          </cell>
        </row>
        <row r="496">
          <cell r="F496">
            <v>4558.4092011000002</v>
          </cell>
          <cell r="H496">
            <v>3865.5849625148667</v>
          </cell>
          <cell r="K496">
            <v>4818903.7070275582</v>
          </cell>
        </row>
        <row r="497">
          <cell r="F497">
            <v>4560.2034500999998</v>
          </cell>
          <cell r="H497">
            <v>3866.5529565153311</v>
          </cell>
          <cell r="K497">
            <v>4819588.2146885758</v>
          </cell>
        </row>
        <row r="498">
          <cell r="F498">
            <v>4612.8746263000003</v>
          </cell>
          <cell r="H498">
            <v>3894.9200072661679</v>
          </cell>
          <cell r="K498">
            <v>4839575.1148729082</v>
          </cell>
        </row>
        <row r="499">
          <cell r="F499">
            <v>4621.9854240000004</v>
          </cell>
          <cell r="H499">
            <v>3899.8183311225343</v>
          </cell>
          <cell r="K499">
            <v>4843013.8059583502</v>
          </cell>
        </row>
        <row r="500">
          <cell r="F500">
            <v>4636.1998633000003</v>
          </cell>
          <cell r="H500">
            <v>3907.4473633676553</v>
          </cell>
          <cell r="K500">
            <v>4848349.8351351656</v>
          </cell>
        </row>
        <row r="501">
          <cell r="F501">
            <v>4643.0379456000001</v>
          </cell>
          <cell r="H501">
            <v>3911.1110756780176</v>
          </cell>
          <cell r="K501">
            <v>4850902.8992548585</v>
          </cell>
        </row>
        <row r="502">
          <cell r="F502">
            <v>4655.5578163999999</v>
          </cell>
          <cell r="H502">
            <v>3917.8073448651921</v>
          </cell>
          <cell r="K502">
            <v>4855551.8321347721</v>
          </cell>
        </row>
        <row r="503">
          <cell r="F503">
            <v>4659.6845890999994</v>
          </cell>
          <cell r="H503">
            <v>3920.0107193225804</v>
          </cell>
          <cell r="K503">
            <v>4857075.8040364506</v>
          </cell>
        </row>
        <row r="504">
          <cell r="F504">
            <v>4668.217239900001</v>
          </cell>
          <cell r="H504">
            <v>3924.5585587591981</v>
          </cell>
          <cell r="K504">
            <v>4860209.4517626427</v>
          </cell>
        </row>
        <row r="505">
          <cell r="F505">
            <v>4678.7235645999999</v>
          </cell>
          <cell r="H505">
            <v>3930.1485874680729</v>
          </cell>
          <cell r="K505">
            <v>4864046.5548750786</v>
          </cell>
        </row>
        <row r="506">
          <cell r="F506">
            <v>4684.5648418999999</v>
          </cell>
          <cell r="H506">
            <v>3933.2510874466511</v>
          </cell>
          <cell r="K506">
            <v>4866168.0079881661</v>
          </cell>
        </row>
        <row r="507">
          <cell r="F507">
            <v>4698.8191533999998</v>
          </cell>
          <cell r="H507">
            <v>3940.8087869919577</v>
          </cell>
          <cell r="K507">
            <v>4871315.9207923859</v>
          </cell>
        </row>
        <row r="508">
          <cell r="F508">
            <v>4706.8135295000002</v>
          </cell>
          <cell r="H508">
            <v>3945.0400111452573</v>
          </cell>
          <cell r="K508">
            <v>4874186.8008081131</v>
          </cell>
        </row>
        <row r="509">
          <cell r="F509">
            <v>4712.7943595000006</v>
          </cell>
          <cell r="H509">
            <v>3948.1999571071533</v>
          </cell>
          <cell r="K509">
            <v>4876322.4184646653</v>
          </cell>
        </row>
        <row r="510">
          <cell r="F510">
            <v>4715.1069470999992</v>
          </cell>
          <cell r="H510">
            <v>3949.4196536341042</v>
          </cell>
          <cell r="K510">
            <v>4877143.4837786891</v>
          </cell>
        </row>
        <row r="511">
          <cell r="F511">
            <v>4717.8182567000003</v>
          </cell>
          <cell r="H511">
            <v>3950.8471228612425</v>
          </cell>
          <cell r="K511">
            <v>4878100.5937061198</v>
          </cell>
        </row>
        <row r="512">
          <cell r="F512">
            <v>4723.9984476999998</v>
          </cell>
          <cell r="H512">
            <v>3954.0951693394022</v>
          </cell>
          <cell r="K512">
            <v>4880269.6626932919</v>
          </cell>
        </row>
        <row r="513">
          <cell r="F513">
            <v>4726.6698851000001</v>
          </cell>
          <cell r="H513">
            <v>3955.4966808749973</v>
          </cell>
          <cell r="K513">
            <v>4881201.8230362441</v>
          </cell>
        </row>
        <row r="514">
          <cell r="F514">
            <v>4727.9657315999993</v>
          </cell>
          <cell r="H514">
            <v>3956.1753142418647</v>
          </cell>
          <cell r="K514">
            <v>4881651.352909686</v>
          </cell>
        </row>
        <row r="515">
          <cell r="F515">
            <v>4732.0725681999993</v>
          </cell>
          <cell r="H515">
            <v>3958.3222432265302</v>
          </cell>
          <cell r="K515">
            <v>4883067.6581061017</v>
          </cell>
        </row>
        <row r="516">
          <cell r="F516">
            <v>4738.3125675000001</v>
          </cell>
          <cell r="H516">
            <v>3961.5785253891236</v>
          </cell>
          <cell r="K516">
            <v>4885206.9166021813</v>
          </cell>
        </row>
        <row r="517">
          <cell r="F517">
            <v>4751.6498183999993</v>
          </cell>
          <cell r="H517">
            <v>3968.5260431674224</v>
          </cell>
          <cell r="K517">
            <v>4889752.1798166558</v>
          </cell>
        </row>
        <row r="518">
          <cell r="F518">
            <v>4766.7613822000012</v>
          </cell>
          <cell r="H518">
            <v>3976.3837754593378</v>
          </cell>
          <cell r="K518">
            <v>4894871.3624959495</v>
          </cell>
        </row>
        <row r="519">
          <cell r="F519">
            <v>4771.4663018000001</v>
          </cell>
          <cell r="H519">
            <v>3978.8258735974414</v>
          </cell>
          <cell r="K519">
            <v>4896455.6217383975</v>
          </cell>
        </row>
        <row r="520">
          <cell r="F520">
            <v>4776.6895600000007</v>
          </cell>
          <cell r="H520">
            <v>3981.532162116494</v>
          </cell>
          <cell r="K520">
            <v>4898203.7870351207</v>
          </cell>
        </row>
        <row r="521">
          <cell r="F521">
            <v>4804.0817613999998</v>
          </cell>
          <cell r="H521">
            <v>3995.6992253870326</v>
          </cell>
          <cell r="K521">
            <v>4907315.8944776002</v>
          </cell>
        </row>
        <row r="522">
          <cell r="F522">
            <v>4828.8822698000013</v>
          </cell>
          <cell r="H522">
            <v>4008.5028335805277</v>
          </cell>
          <cell r="K522">
            <v>4915515.3897013543</v>
          </cell>
        </row>
        <row r="523">
          <cell r="F523">
            <v>4841.2825240000002</v>
          </cell>
          <cell r="H523">
            <v>4014.8931132774601</v>
          </cell>
          <cell r="K523">
            <v>4919589.8988776393</v>
          </cell>
        </row>
        <row r="524">
          <cell r="F524">
            <v>4844.8112136999998</v>
          </cell>
          <cell r="H524">
            <v>4016.7082896240677</v>
          </cell>
          <cell r="K524">
            <v>4920742.1833167076</v>
          </cell>
        </row>
        <row r="525">
          <cell r="F525">
            <v>4845.0105747000016</v>
          </cell>
          <cell r="H525">
            <v>4016.8106566802953</v>
          </cell>
          <cell r="K525">
            <v>4920806.8783698445</v>
          </cell>
        </row>
        <row r="526">
          <cell r="F526">
            <v>4846.2067407000004</v>
          </cell>
          <cell r="H526">
            <v>4017.4237473392168</v>
          </cell>
          <cell r="K526">
            <v>4921192.6141128847</v>
          </cell>
        </row>
        <row r="527">
          <cell r="F527">
            <v>4865.8836713999999</v>
          </cell>
          <cell r="H527">
            <v>4027.4908015681663</v>
          </cell>
          <cell r="K527">
            <v>4927497.9183142837</v>
          </cell>
        </row>
        <row r="528">
          <cell r="F528">
            <v>4866.4219461000002</v>
          </cell>
          <cell r="H528">
            <v>4027.7656918540865</v>
          </cell>
          <cell r="K528">
            <v>4927669.3082804475</v>
          </cell>
        </row>
        <row r="529">
          <cell r="F529">
            <v>4874.4163222000006</v>
          </cell>
          <cell r="H529">
            <v>4031.8408919385197</v>
          </cell>
          <cell r="K529">
            <v>4930198.4955853578</v>
          </cell>
        </row>
        <row r="530">
          <cell r="F530">
            <v>4875.4529994000004</v>
          </cell>
          <cell r="H530">
            <v>4032.3683833576647</v>
          </cell>
          <cell r="K530">
            <v>4930524.3600332849</v>
          </cell>
        </row>
        <row r="531">
          <cell r="F531">
            <v>4888.8101864</v>
          </cell>
          <cell r="H531">
            <v>4039.1524936694673</v>
          </cell>
          <cell r="K531">
            <v>4934695.8120161314</v>
          </cell>
        </row>
        <row r="532">
          <cell r="F532">
            <v>4889.1291639999999</v>
          </cell>
          <cell r="H532">
            <v>4039.3142058263447</v>
          </cell>
          <cell r="K532">
            <v>4934794.7795596961</v>
          </cell>
        </row>
        <row r="533">
          <cell r="F533">
            <v>4893.3954893999999</v>
          </cell>
          <cell r="H533">
            <v>4041.4731409381475</v>
          </cell>
          <cell r="K533">
            <v>4936109.7871345431</v>
          </cell>
        </row>
        <row r="534">
          <cell r="F534">
            <v>4916.4814931999999</v>
          </cell>
          <cell r="H534">
            <v>4053.1341475044114</v>
          </cell>
          <cell r="K534">
            <v>4943178.5884746611</v>
          </cell>
        </row>
        <row r="535">
          <cell r="F535">
            <v>4919.3323555000006</v>
          </cell>
          <cell r="H535">
            <v>4054.5715014056664</v>
          </cell>
          <cell r="K535">
            <v>4944045.7036784086</v>
          </cell>
        </row>
        <row r="536">
          <cell r="F536">
            <v>4934.5635359000007</v>
          </cell>
          <cell r="H536">
            <v>4062.2366354080827</v>
          </cell>
          <cell r="K536">
            <v>4948647.4028237015</v>
          </cell>
        </row>
        <row r="537">
          <cell r="F537">
            <v>4941.8202763000008</v>
          </cell>
          <cell r="H537">
            <v>4065.8818660644024</v>
          </cell>
          <cell r="K537">
            <v>4950825.06564104</v>
          </cell>
        </row>
        <row r="538">
          <cell r="F538">
            <v>4947.7213619000013</v>
          </cell>
          <cell r="H538">
            <v>4068.8406352848488</v>
          </cell>
          <cell r="K538">
            <v>4952583.9017538177</v>
          </cell>
        </row>
        <row r="539">
          <cell r="F539">
            <v>4951.0108184000001</v>
          </cell>
          <cell r="H539">
            <v>4070.4868920927015</v>
          </cell>
          <cell r="K539">
            <v>4953557.6389630167</v>
          </cell>
        </row>
        <row r="540">
          <cell r="F540">
            <v>4958.5666002999997</v>
          </cell>
          <cell r="H540">
            <v>4074.2612719916324</v>
          </cell>
          <cell r="K540">
            <v>4955778.9054216761</v>
          </cell>
        </row>
        <row r="541">
          <cell r="F541">
            <v>4959.0849389000014</v>
          </cell>
          <cell r="H541">
            <v>4074.5197187006479</v>
          </cell>
          <cell r="K541">
            <v>4955930.2328344155</v>
          </cell>
        </row>
        <row r="542">
          <cell r="F542">
            <v>4971.2459599000013</v>
          </cell>
          <cell r="H542">
            <v>4080.571974040332</v>
          </cell>
          <cell r="K542">
            <v>4959455.8552283254</v>
          </cell>
        </row>
        <row r="543">
          <cell r="F543">
            <v>4972.7411674000004</v>
          </cell>
          <cell r="H543">
            <v>4081.3147141971626</v>
          </cell>
          <cell r="K543">
            <v>4959886.2901717853</v>
          </cell>
        </row>
        <row r="544">
          <cell r="F544">
            <v>4975.8910711999997</v>
          </cell>
          <cell r="H544">
            <v>4082.8764927076641</v>
          </cell>
          <cell r="K544">
            <v>4960786.6620697826</v>
          </cell>
        </row>
        <row r="545">
          <cell r="F545">
            <v>4989.0090250000003</v>
          </cell>
          <cell r="H545">
            <v>4089.3684168698392</v>
          </cell>
          <cell r="K545">
            <v>4964509.6129449494</v>
          </cell>
        </row>
        <row r="546">
          <cell r="F546">
            <v>4997.6214202000001</v>
          </cell>
          <cell r="H546">
            <v>4093.6225879189096</v>
          </cell>
          <cell r="K546">
            <v>4966936.3313824106</v>
          </cell>
        </row>
        <row r="547">
          <cell r="F547">
            <v>4999.6349663000001</v>
          </cell>
          <cell r="H547">
            <v>4094.6153260286214</v>
          </cell>
          <cell r="K547">
            <v>4967499.5909626801</v>
          </cell>
        </row>
        <row r="548">
          <cell r="F548">
            <v>5014.4873607999998</v>
          </cell>
          <cell r="H548">
            <v>4101.9241948834078</v>
          </cell>
          <cell r="K548">
            <v>4971624.0981546631</v>
          </cell>
        </row>
        <row r="549">
          <cell r="F549">
            <v>5016.6005873999993</v>
          </cell>
          <cell r="H549">
            <v>4102.962150513612</v>
          </cell>
          <cell r="K549">
            <v>4972206.6397048086</v>
          </cell>
        </row>
        <row r="550">
          <cell r="F550">
            <v>5028.8413528000001</v>
          </cell>
          <cell r="H550">
            <v>4108.9630833653782</v>
          </cell>
          <cell r="K550">
            <v>4975556.0703301765</v>
          </cell>
        </row>
        <row r="551">
          <cell r="F551">
            <v>5029.2400748</v>
          </cell>
          <cell r="H551">
            <v>4109.1581829313636</v>
          </cell>
          <cell r="K551">
            <v>4975664.3607796878</v>
          </cell>
        </row>
        <row r="552">
          <cell r="F552">
            <v>5035.8588600000003</v>
          </cell>
          <cell r="H552">
            <v>4112.3906844393559</v>
          </cell>
          <cell r="K552">
            <v>4977448.5109221898</v>
          </cell>
        </row>
        <row r="553">
          <cell r="F553">
            <v>5042.5175173999996</v>
          </cell>
          <cell r="H553">
            <v>4115.6364705046899</v>
          </cell>
          <cell r="K553">
            <v>4979229.85648527</v>
          </cell>
        </row>
        <row r="554">
          <cell r="F554">
            <v>5053.9010305000002</v>
          </cell>
          <cell r="H554">
            <v>4121.1748246941415</v>
          </cell>
          <cell r="K554">
            <v>4982252.0416801684</v>
          </cell>
        </row>
        <row r="555">
          <cell r="F555">
            <v>5055.0971965000008</v>
          </cell>
          <cell r="H555">
            <v>4121.7556766783428</v>
          </cell>
          <cell r="K555">
            <v>4982567.1747255698</v>
          </cell>
        </row>
        <row r="556">
          <cell r="F556">
            <v>5055.8946404999997</v>
          </cell>
          <cell r="H556">
            <v>4122.1421702155167</v>
          </cell>
          <cell r="K556">
            <v>4982775.6403719801</v>
          </cell>
        </row>
        <row r="557">
          <cell r="F557">
            <v>5063.4902945999993</v>
          </cell>
          <cell r="H557">
            <v>4125.8164619990202</v>
          </cell>
          <cell r="K557">
            <v>4984745.8160978556</v>
          </cell>
        </row>
        <row r="558">
          <cell r="F558">
            <v>5079.6784078000001</v>
          </cell>
          <cell r="H558">
            <v>4133.6321913739275</v>
          </cell>
          <cell r="K558">
            <v>4988911.7728689006</v>
          </cell>
        </row>
        <row r="559">
          <cell r="F559">
            <v>5085.6791739</v>
          </cell>
          <cell r="H559">
            <v>4136.5238244806651</v>
          </cell>
          <cell r="K559">
            <v>4990443.8364926567</v>
          </cell>
        </row>
        <row r="560">
          <cell r="F560">
            <v>5091.5603234000009</v>
          </cell>
          <cell r="H560">
            <v>4139.3523513080354</v>
          </cell>
          <cell r="K560">
            <v>4991933.390644595</v>
          </cell>
        </row>
        <row r="561">
          <cell r="F561">
            <v>5097.6607700000004</v>
          </cell>
          <cell r="H561">
            <v>4142.2806790672357</v>
          </cell>
          <cell r="K561">
            <v>4993466.071157245</v>
          </cell>
        </row>
        <row r="562">
          <cell r="F562">
            <v>5100.1727185999998</v>
          </cell>
          <cell r="H562">
            <v>4143.4841265610085</v>
          </cell>
          <cell r="K562">
            <v>4994092.0622886084</v>
          </cell>
        </row>
        <row r="563">
          <cell r="F563">
            <v>5101.3688846000005</v>
          </cell>
          <cell r="H563">
            <v>4144.0560851177006</v>
          </cell>
          <cell r="K563">
            <v>4994387.7187277637</v>
          </cell>
        </row>
        <row r="564">
          <cell r="F564">
            <v>5113.3504807000008</v>
          </cell>
          <cell r="H564">
            <v>4149.7740680148663</v>
          </cell>
          <cell r="K564">
            <v>4997324.8243925562</v>
          </cell>
        </row>
        <row r="565">
          <cell r="F565">
            <v>5129.5585300000002</v>
          </cell>
          <cell r="H565">
            <v>4157.493979972347</v>
          </cell>
          <cell r="K565">
            <v>5001264.99213944</v>
          </cell>
        </row>
        <row r="566">
          <cell r="F566">
            <v>5144.4906688999999</v>
          </cell>
          <cell r="H566">
            <v>4164.5922969308504</v>
          </cell>
          <cell r="K566">
            <v>5004864.5951585621</v>
          </cell>
        </row>
        <row r="567">
          <cell r="F567">
            <v>5145.7267070999997</v>
          </cell>
          <cell r="H567">
            <v>4165.1787258352178</v>
          </cell>
          <cell r="K567">
            <v>5005160.0438991264</v>
          </cell>
        </row>
        <row r="568">
          <cell r="F568">
            <v>5146.0855568999996</v>
          </cell>
          <cell r="H568">
            <v>4165.3486458845673</v>
          </cell>
          <cell r="K568">
            <v>5005245.0889672041</v>
          </cell>
        </row>
        <row r="569">
          <cell r="F569">
            <v>5151.5480483000001</v>
          </cell>
          <cell r="H569">
            <v>4167.9301299709059</v>
          </cell>
          <cell r="K569">
            <v>5006528.545996285</v>
          </cell>
        </row>
        <row r="570">
          <cell r="F570">
            <v>5173.9562247000003</v>
          </cell>
          <cell r="H570">
            <v>4178.4990421670027</v>
          </cell>
          <cell r="K570">
            <v>5011747.922585736</v>
          </cell>
        </row>
        <row r="571">
          <cell r="F571">
            <v>5178.2823584000007</v>
          </cell>
          <cell r="H571">
            <v>4180.5354610508784</v>
          </cell>
          <cell r="K571">
            <v>5012746.772981423</v>
          </cell>
        </row>
        <row r="572">
          <cell r="F572">
            <v>5179.9769269000017</v>
          </cell>
          <cell r="H572">
            <v>4181.3315617727658</v>
          </cell>
          <cell r="K572">
            <v>5013134.5787623562</v>
          </cell>
        </row>
        <row r="573">
          <cell r="F573">
            <v>5181.9705368999994</v>
          </cell>
          <cell r="H573">
            <v>4182.2662980599398</v>
          </cell>
          <cell r="K573">
            <v>5013586.7632312682</v>
          </cell>
        </row>
        <row r="574">
          <cell r="F574">
            <v>5200.2718767000006</v>
          </cell>
          <cell r="H574">
            <v>4190.8301684960925</v>
          </cell>
          <cell r="K574">
            <v>5017700.5676464401</v>
          </cell>
        </row>
        <row r="575">
          <cell r="F575">
            <v>5227.9431835000005</v>
          </cell>
          <cell r="H575">
            <v>4203.7528745063155</v>
          </cell>
          <cell r="K575">
            <v>5023864.2483688304</v>
          </cell>
        </row>
        <row r="576">
          <cell r="F576">
            <v>5244.9088046000006</v>
          </cell>
          <cell r="H576">
            <v>4211.6601783926071</v>
          </cell>
          <cell r="K576">
            <v>5027608.7469998077</v>
          </cell>
        </row>
        <row r="577">
          <cell r="F577">
            <v>5253.9199218000003</v>
          </cell>
          <cell r="H577">
            <v>4215.851687833685</v>
          </cell>
          <cell r="K577">
            <v>5029579.2589157689</v>
          </cell>
        </row>
        <row r="578">
          <cell r="F578">
            <v>5260.5387070000006</v>
          </cell>
          <cell r="H578">
            <v>4218.9242558703027</v>
          </cell>
          <cell r="K578">
            <v>5031013.1547559639</v>
          </cell>
        </row>
        <row r="579">
          <cell r="F579">
            <v>5270.6263736000019</v>
          </cell>
          <cell r="H579">
            <v>4223.597770554411</v>
          </cell>
          <cell r="K579">
            <v>5033178.01863416</v>
          </cell>
        </row>
        <row r="580">
          <cell r="F580">
            <v>5312.0934616000022</v>
          </cell>
          <cell r="H580">
            <v>4242.7705180265302</v>
          </cell>
          <cell r="K580">
            <v>5041992.6651981017</v>
          </cell>
        </row>
        <row r="581">
          <cell r="F581">
            <v>5312.9905860999997</v>
          </cell>
          <cell r="H581">
            <v>4243.1844792851261</v>
          </cell>
          <cell r="K581">
            <v>5042181.5407544253</v>
          </cell>
        </row>
        <row r="582">
          <cell r="F582">
            <v>5323.1380609999997</v>
          </cell>
          <cell r="H582">
            <v>4247.8574103380533</v>
          </cell>
          <cell r="K582">
            <v>5044297.279840338</v>
          </cell>
        </row>
        <row r="583">
          <cell r="F583">
            <v>5329.4976769000004</v>
          </cell>
          <cell r="H583">
            <v>4250.7801148571525</v>
          </cell>
          <cell r="K583">
            <v>5045610.3100171629</v>
          </cell>
        </row>
        <row r="584">
          <cell r="F584">
            <v>5338.3094331000011</v>
          </cell>
          <cell r="H584">
            <v>4254.8215662369857</v>
          </cell>
          <cell r="K584">
            <v>5047411.6835789979</v>
          </cell>
        </row>
        <row r="585">
          <cell r="F585">
            <v>5343.4330108000004</v>
          </cell>
          <cell r="H585">
            <v>4257.1666982232773</v>
          </cell>
          <cell r="K585">
            <v>5048448.6604689769</v>
          </cell>
        </row>
        <row r="586">
          <cell r="F586">
            <v>5346.0047676999993</v>
          </cell>
          <cell r="H586">
            <v>4258.3414366213719</v>
          </cell>
          <cell r="K586">
            <v>5048963.9320408031</v>
          </cell>
        </row>
        <row r="587">
          <cell r="F587">
            <v>5362.1330725999987</v>
          </cell>
          <cell r="H587">
            <v>4265.6936053513436</v>
          </cell>
          <cell r="K587">
            <v>5052162.5376394428</v>
          </cell>
        </row>
        <row r="588">
          <cell r="F588">
            <v>5371.2438702999998</v>
          </cell>
          <cell r="H588">
            <v>4269.8383409221151</v>
          </cell>
          <cell r="K588">
            <v>5053950.8703794312</v>
          </cell>
        </row>
        <row r="589">
          <cell r="F589">
            <v>5384.6808016999994</v>
          </cell>
          <cell r="H589">
            <v>4275.9386578262975</v>
          </cell>
          <cell r="K589">
            <v>5056561.0192795917</v>
          </cell>
        </row>
        <row r="590">
          <cell r="F590">
            <v>5387.8307055000005</v>
          </cell>
          <cell r="H590">
            <v>4277.3657750219299</v>
          </cell>
          <cell r="K590">
            <v>5057166.4828980267</v>
          </cell>
        </row>
        <row r="591">
          <cell r="F591">
            <v>5408.7835465999997</v>
          </cell>
          <cell r="H591">
            <v>4286.8393411884263</v>
          </cell>
          <cell r="K591">
            <v>5061151.319922654</v>
          </cell>
        </row>
        <row r="592">
          <cell r="F592">
            <v>5413.2691691000009</v>
          </cell>
          <cell r="H592">
            <v>4288.863290745815</v>
          </cell>
          <cell r="K592">
            <v>5061995.2714533331</v>
          </cell>
        </row>
        <row r="593">
          <cell r="F593">
            <v>5419.3297434999995</v>
          </cell>
          <cell r="H593">
            <v>4291.5922389770412</v>
          </cell>
          <cell r="K593">
            <v>5063123.2085597198</v>
          </cell>
        </row>
        <row r="594">
          <cell r="F594">
            <v>5423.2571551999999</v>
          </cell>
          <cell r="H594">
            <v>4293.3570192344296</v>
          </cell>
          <cell r="K594">
            <v>5063846.1479634</v>
          </cell>
        </row>
        <row r="595">
          <cell r="F595">
            <v>5423.5163245000003</v>
          </cell>
          <cell r="H595">
            <v>4293.4732359512045</v>
          </cell>
          <cell r="K595">
            <v>5063893.3271331377</v>
          </cell>
        </row>
        <row r="596">
          <cell r="F596">
            <v>5427.4836083999999</v>
          </cell>
          <cell r="H596">
            <v>4295.2485586257862</v>
          </cell>
          <cell r="K596">
            <v>5064607.4566704715</v>
          </cell>
        </row>
        <row r="597">
          <cell r="F597">
            <v>5449.1142768999998</v>
          </cell>
          <cell r="H597">
            <v>4304.9079788992531</v>
          </cell>
          <cell r="K597">
            <v>5068457.0522693638</v>
          </cell>
        </row>
        <row r="598">
          <cell r="F598">
            <v>5454.1979824000009</v>
          </cell>
          <cell r="H598">
            <v>4307.1734405974412</v>
          </cell>
          <cell r="K598">
            <v>5069351.4489883948</v>
          </cell>
        </row>
        <row r="599">
          <cell r="F599">
            <v>5459.640537700001</v>
          </cell>
          <cell r="H599">
            <v>4309.5937591021348</v>
          </cell>
          <cell r="K599">
            <v>5070297.9022736736</v>
          </cell>
        </row>
        <row r="600">
          <cell r="F600">
            <v>5462.7904415000003</v>
          </cell>
          <cell r="H600">
            <v>4310.9916020988812</v>
          </cell>
          <cell r="K600">
            <v>5070839.2553965487</v>
          </cell>
        </row>
        <row r="601">
          <cell r="F601">
            <v>5464.6046265999994</v>
          </cell>
          <cell r="H601">
            <v>4311.7950028425148</v>
          </cell>
          <cell r="K601">
            <v>5071147.3549451083</v>
          </cell>
        </row>
        <row r="602">
          <cell r="F602">
            <v>5474.5527405000003</v>
          </cell>
          <cell r="H602">
            <v>4316.1912186040854</v>
          </cell>
          <cell r="K602">
            <v>5072816.5763429459</v>
          </cell>
        </row>
        <row r="603">
          <cell r="F603">
            <v>5477.443475</v>
          </cell>
          <cell r="H603">
            <v>4317.4659895336854</v>
          </cell>
          <cell r="K603">
            <v>5073295.7370787729</v>
          </cell>
        </row>
        <row r="604">
          <cell r="F604">
            <v>5480.2544651000007</v>
          </cell>
          <cell r="H604">
            <v>4318.7029819243453</v>
          </cell>
          <cell r="K604">
            <v>5073755.9583343156</v>
          </cell>
        </row>
        <row r="605">
          <cell r="F605">
            <v>5482.2879473000003</v>
          </cell>
          <cell r="H605">
            <v>4319.5959376301998</v>
          </cell>
          <cell r="K605">
            <v>5074084.7455701372</v>
          </cell>
        </row>
        <row r="606">
          <cell r="F606">
            <v>5483.8230270000004</v>
          </cell>
          <cell r="H606">
            <v>4320.2686049894473</v>
          </cell>
          <cell r="K606">
            <v>5074329.8233268904</v>
          </cell>
        </row>
        <row r="607">
          <cell r="F607">
            <v>5487.8501192000003</v>
          </cell>
          <cell r="H607">
            <v>4322.0295221642618</v>
          </cell>
          <cell r="K607">
            <v>5074964.5581797324</v>
          </cell>
        </row>
        <row r="608">
          <cell r="F608">
            <v>5496.5023866000001</v>
          </cell>
          <cell r="H608">
            <v>4325.8048377258792</v>
          </cell>
          <cell r="K608">
            <v>5076310.6853396762</v>
          </cell>
        </row>
        <row r="609">
          <cell r="F609">
            <v>5503.3404688999999</v>
          </cell>
          <cell r="H609">
            <v>4328.7821997682122</v>
          </cell>
          <cell r="K609">
            <v>5077360.6423723865</v>
          </cell>
        </row>
        <row r="610">
          <cell r="F610">
            <v>5510.1386789999997</v>
          </cell>
          <cell r="H610">
            <v>4331.7358830598014</v>
          </cell>
          <cell r="K610">
            <v>5078390.6407009652</v>
          </cell>
        </row>
        <row r="611">
          <cell r="F611">
            <v>5519.8276236000002</v>
          </cell>
          <cell r="H611">
            <v>4335.9365267920502</v>
          </cell>
          <cell r="K611">
            <v>5079838.8947945889</v>
          </cell>
        </row>
        <row r="612">
          <cell r="F612">
            <v>5529.5963125999997</v>
          </cell>
          <cell r="H612">
            <v>4340.1626650164926</v>
          </cell>
          <cell r="K612">
            <v>5081279.186306119</v>
          </cell>
        </row>
        <row r="613">
          <cell r="F613">
            <v>5540.3019983000004</v>
          </cell>
          <cell r="H613">
            <v>4344.7842179975805</v>
          </cell>
          <cell r="K613">
            <v>5082835.8387747016</v>
          </cell>
        </row>
        <row r="614">
          <cell r="F614">
            <v>5557.5666609000009</v>
          </cell>
          <cell r="H614">
            <v>4352.2211800004616</v>
          </cell>
          <cell r="K614">
            <v>5085311.055481011</v>
          </cell>
        </row>
        <row r="615">
          <cell r="F615">
            <v>5558.9223157000015</v>
          </cell>
          <cell r="H615">
            <v>4352.8038847820608</v>
          </cell>
          <cell r="K615">
            <v>5085502.6551127117</v>
          </cell>
        </row>
        <row r="616">
          <cell r="F616">
            <v>5570.1463400000021</v>
          </cell>
          <cell r="H616">
            <v>4357.6179063568288</v>
          </cell>
          <cell r="K616">
            <v>5087066.1429214552</v>
          </cell>
        </row>
        <row r="617">
          <cell r="F617">
            <v>5589.8830790000011</v>
          </cell>
          <cell r="H617">
            <v>4366.0647170533894</v>
          </cell>
          <cell r="K617">
            <v>5089775.2671469226</v>
          </cell>
        </row>
        <row r="618">
          <cell r="F618">
            <v>5600.7681896000004</v>
          </cell>
          <cell r="H618">
            <v>4370.7131448607306</v>
          </cell>
          <cell r="K618">
            <v>5091247.2355650002</v>
          </cell>
        </row>
        <row r="619">
          <cell r="F619">
            <v>5607.2872943000002</v>
          </cell>
          <cell r="H619">
            <v>4373.4910347352197</v>
          </cell>
          <cell r="K619">
            <v>5092115.5306301313</v>
          </cell>
        </row>
        <row r="620">
          <cell r="F620">
            <v>5615.3215425999997</v>
          </cell>
          <cell r="H620">
            <v>4376.9070836174224</v>
          </cell>
          <cell r="K620">
            <v>5093169.2790421564</v>
          </cell>
        </row>
        <row r="621">
          <cell r="F621">
            <v>5646.5215391000002</v>
          </cell>
          <cell r="H621">
            <v>4390.1438851065022</v>
          </cell>
          <cell r="K621">
            <v>5097197.8771032384</v>
          </cell>
        </row>
        <row r="622">
          <cell r="F622">
            <v>5696.6010222999994</v>
          </cell>
          <cell r="H622">
            <v>4411.3438893793646</v>
          </cell>
          <cell r="K622">
            <v>5103562.2999008074</v>
          </cell>
        </row>
        <row r="623">
          <cell r="F623">
            <v>5725.1694536000005</v>
          </cell>
          <cell r="H623">
            <v>4423.4111310390772</v>
          </cell>
          <cell r="K623">
            <v>5107134.8140955791</v>
          </cell>
        </row>
        <row r="624">
          <cell r="F624">
            <v>5740.9189726000004</v>
          </cell>
          <cell r="H624">
            <v>4430.0490556361965</v>
          </cell>
          <cell r="K624">
            <v>5109072.2537632696</v>
          </cell>
        </row>
        <row r="625">
          <cell r="F625">
            <v>5750.8272143000004</v>
          </cell>
          <cell r="H625">
            <v>4434.2158580239757</v>
          </cell>
          <cell r="K625">
            <v>5110270.9576325072</v>
          </cell>
        </row>
        <row r="626">
          <cell r="F626">
            <v>5756.8479164999999</v>
          </cell>
          <cell r="H626">
            <v>4436.7422028597557</v>
          </cell>
          <cell r="K626">
            <v>5110987.0910628652</v>
          </cell>
        </row>
        <row r="627">
          <cell r="F627">
            <v>5775.1293202000006</v>
          </cell>
          <cell r="H627">
            <v>4444.3962663977209</v>
          </cell>
          <cell r="K627">
            <v>5113124.3672510087</v>
          </cell>
        </row>
        <row r="628">
          <cell r="F628">
            <v>5800.1889979000016</v>
          </cell>
          <cell r="H628">
            <v>4454.8649700465594</v>
          </cell>
          <cell r="K628">
            <v>5116003.086081963</v>
          </cell>
        </row>
        <row r="629">
          <cell r="F629">
            <v>5811.0940446000004</v>
          </cell>
          <cell r="H629">
            <v>4459.41042863852</v>
          </cell>
          <cell r="K629">
            <v>5117233.6030383594</v>
          </cell>
        </row>
        <row r="630">
          <cell r="F630">
            <v>5818.2710406000006</v>
          </cell>
          <cell r="H630">
            <v>4462.3952852463271</v>
          </cell>
          <cell r="K630">
            <v>5118028.8422094565</v>
          </cell>
        </row>
        <row r="631">
          <cell r="F631">
            <v>5829.1362151000003</v>
          </cell>
          <cell r="H631">
            <v>4466.9039287539945</v>
          </cell>
          <cell r="K631">
            <v>5119210.6318912487</v>
          </cell>
        </row>
        <row r="632">
          <cell r="F632">
            <v>5831.7279080999997</v>
          </cell>
          <cell r="H632">
            <v>4467.9769763669128</v>
          </cell>
          <cell r="K632">
            <v>5119487.2517635394</v>
          </cell>
        </row>
        <row r="633">
          <cell r="F633">
            <v>5833.0038185000012</v>
          </cell>
          <cell r="H633">
            <v>4468.5040601706305</v>
          </cell>
          <cell r="K633">
            <v>5119620.8369736802</v>
          </cell>
        </row>
        <row r="634">
          <cell r="F634">
            <v>5844.2477789000013</v>
          </cell>
          <cell r="H634">
            <v>4473.1385364135676</v>
          </cell>
          <cell r="K634">
            <v>5120775.1716257129</v>
          </cell>
        </row>
        <row r="635">
          <cell r="F635">
            <v>5844.8657979999998</v>
          </cell>
          <cell r="H635">
            <v>4473.392693896606</v>
          </cell>
          <cell r="K635">
            <v>5120837.3612335688</v>
          </cell>
        </row>
        <row r="636">
          <cell r="F636">
            <v>5849.5707176000014</v>
          </cell>
          <cell r="H636">
            <v>4475.3231976172383</v>
          </cell>
          <cell r="K636">
            <v>5121301.2287017498</v>
          </cell>
        </row>
        <row r="637">
          <cell r="F637">
            <v>5851.3849027000006</v>
          </cell>
          <cell r="H637">
            <v>4476.0659007181212</v>
          </cell>
          <cell r="K637">
            <v>5121476.4004126862</v>
          </cell>
        </row>
        <row r="638">
          <cell r="F638">
            <v>5862.7883518999997</v>
          </cell>
          <cell r="H638">
            <v>4480.7237222082695</v>
          </cell>
          <cell r="K638">
            <v>5122554.2701161103</v>
          </cell>
        </row>
        <row r="639">
          <cell r="F639">
            <v>5866.7157636000002</v>
          </cell>
          <cell r="H639">
            <v>4482.3242519763462</v>
          </cell>
          <cell r="K639">
            <v>5122917.5009481981</v>
          </cell>
        </row>
        <row r="640">
          <cell r="F640">
            <v>5872.6965936000006</v>
          </cell>
          <cell r="H640">
            <v>4484.7560485609192</v>
          </cell>
          <cell r="K640">
            <v>5123458.4714684123</v>
          </cell>
        </row>
        <row r="641">
          <cell r="F641">
            <v>5875.6471363999999</v>
          </cell>
          <cell r="H641">
            <v>4485.9529927358262</v>
          </cell>
          <cell r="K641">
            <v>5123719.3449714584</v>
          </cell>
        </row>
        <row r="642">
          <cell r="F642">
            <v>5882.4453465000006</v>
          </cell>
          <cell r="H642">
            <v>4488.7044987753707</v>
          </cell>
          <cell r="K642">
            <v>5124306.5751180612</v>
          </cell>
        </row>
        <row r="643">
          <cell r="F643">
            <v>5884.4389565000001</v>
          </cell>
          <cell r="H643">
            <v>4489.509539244701</v>
          </cell>
          <cell r="K643">
            <v>5124474.7257458959</v>
          </cell>
        </row>
        <row r="644">
          <cell r="F644">
            <v>5906.5281553000004</v>
          </cell>
          <cell r="H644">
            <v>4498.4088586497201</v>
          </cell>
          <cell r="K644">
            <v>5126292.8762028869</v>
          </cell>
        </row>
        <row r="645">
          <cell r="F645">
            <v>5922.4371631000013</v>
          </cell>
          <cell r="H645">
            <v>4504.8035109485127</v>
          </cell>
          <cell r="K645">
            <v>5127569.9584972411</v>
          </cell>
        </row>
        <row r="646">
          <cell r="F646">
            <v>5927.2218271000002</v>
          </cell>
          <cell r="H646">
            <v>4506.7222679336419</v>
          </cell>
          <cell r="K646">
            <v>5127944.3050946761</v>
          </cell>
        </row>
        <row r="647">
          <cell r="F647">
            <v>5947.1778631999996</v>
          </cell>
          <cell r="H647">
            <v>4514.706537023837</v>
          </cell>
          <cell r="K647">
            <v>5129465.0255222013</v>
          </cell>
        </row>
        <row r="648">
          <cell r="F648">
            <v>5949.8094284000008</v>
          </cell>
          <cell r="H648">
            <v>4515.756961980529</v>
          </cell>
          <cell r="K648">
            <v>5129660.2040173579</v>
          </cell>
        </row>
        <row r="649">
          <cell r="F649">
            <v>5950.3676392000007</v>
          </cell>
          <cell r="H649">
            <v>4515.9792606123137</v>
          </cell>
          <cell r="K649">
            <v>5129700.4693809673</v>
          </cell>
        </row>
        <row r="650">
          <cell r="F650">
            <v>5951.8030383999994</v>
          </cell>
          <cell r="H650">
            <v>4516.5495516513465</v>
          </cell>
          <cell r="K650">
            <v>5129801.0873964494</v>
          </cell>
        </row>
        <row r="651">
          <cell r="F651">
            <v>5975.7462944999997</v>
          </cell>
          <cell r="H651">
            <v>4526.0400709140322</v>
          </cell>
          <cell r="K651">
            <v>5131430.7197017306</v>
          </cell>
        </row>
        <row r="652">
          <cell r="F652">
            <v>6004.5938311999998</v>
          </cell>
          <cell r="H652">
            <v>4537.4477167001378</v>
          </cell>
          <cell r="K652">
            <v>5133335.4346133024</v>
          </cell>
        </row>
        <row r="653">
          <cell r="F653">
            <v>6014.7811783000006</v>
          </cell>
          <cell r="H653">
            <v>4541.4667955513924</v>
          </cell>
          <cell r="K653">
            <v>5133987.3396175504</v>
          </cell>
        </row>
        <row r="654">
          <cell r="F654">
            <v>6017.1137019999996</v>
          </cell>
          <cell r="H654">
            <v>4542.3848473979997</v>
          </cell>
          <cell r="K654">
            <v>5134131.8542016186</v>
          </cell>
        </row>
        <row r="655">
          <cell r="F655">
            <v>6019.4063534999996</v>
          </cell>
          <cell r="H655">
            <v>4543.2850753336406</v>
          </cell>
          <cell r="K655">
            <v>5134269.2321806736</v>
          </cell>
        </row>
        <row r="656">
          <cell r="F656">
            <v>6041.1167663999995</v>
          </cell>
          <cell r="H656">
            <v>4551.7896655170516</v>
          </cell>
          <cell r="K656">
            <v>5135525.954362344</v>
          </cell>
        </row>
        <row r="657">
          <cell r="F657">
            <v>6042.8512071000005</v>
          </cell>
          <cell r="H657">
            <v>4552.4674836530648</v>
          </cell>
          <cell r="K657">
            <v>5135622.8235202134</v>
          </cell>
        </row>
        <row r="658">
          <cell r="F658">
            <v>6045.9413026000002</v>
          </cell>
          <cell r="H658">
            <v>4553.6722188410295</v>
          </cell>
          <cell r="K658">
            <v>5135789.1171818553</v>
          </cell>
        </row>
        <row r="659">
          <cell r="F659">
            <v>6075.8853248000014</v>
          </cell>
          <cell r="H659">
            <v>4565.3186624197479</v>
          </cell>
          <cell r="K659">
            <v>5137339.6108592469</v>
          </cell>
        </row>
        <row r="660">
          <cell r="F660">
            <v>6103.1379735</v>
          </cell>
          <cell r="H660">
            <v>4575.8929940482321</v>
          </cell>
          <cell r="K660">
            <v>5138695.2781656282</v>
          </cell>
        </row>
        <row r="661">
          <cell r="F661">
            <v>6121.2200162000017</v>
          </cell>
          <cell r="H661">
            <v>4582.8922234019037</v>
          </cell>
          <cell r="K661">
            <v>5139557.9562901678</v>
          </cell>
        </row>
        <row r="662">
          <cell r="F662">
            <v>6121.8579714000016</v>
          </cell>
          <cell r="H662">
            <v>4583.1385713439113</v>
          </cell>
          <cell r="K662">
            <v>5139587.0941231642</v>
          </cell>
        </row>
        <row r="663">
          <cell r="F663">
            <v>6130.051708500002</v>
          </cell>
          <cell r="H663">
            <v>4586.2949877267647</v>
          </cell>
          <cell r="K663">
            <v>5139944.656321615</v>
          </cell>
        </row>
        <row r="664">
          <cell r="F664">
            <v>6162.9462735000006</v>
          </cell>
          <cell r="H664">
            <v>4598.9361611723962</v>
          </cell>
          <cell r="K664">
            <v>5141313.1741675455</v>
          </cell>
        </row>
        <row r="665">
          <cell r="F665">
            <v>6165.1392445000001</v>
          </cell>
          <cell r="H665">
            <v>4599.7768679916335</v>
          </cell>
          <cell r="K665">
            <v>5141399.945301678</v>
          </cell>
        </row>
        <row r="666">
          <cell r="F666">
            <v>6167.2923433000005</v>
          </cell>
          <cell r="H666">
            <v>4600.6002882111507</v>
          </cell>
          <cell r="K666">
            <v>5141480.7565424209</v>
          </cell>
        </row>
        <row r="667">
          <cell r="F667">
            <v>6194.6048003000005</v>
          </cell>
          <cell r="H667">
            <v>4611.020142856597</v>
          </cell>
          <cell r="K667">
            <v>5142450.2726159487</v>
          </cell>
        </row>
        <row r="668">
          <cell r="F668">
            <v>6198.9508701000004</v>
          </cell>
          <cell r="H668">
            <v>4612.6741536215595</v>
          </cell>
          <cell r="K668">
            <v>5142595.7003512159</v>
          </cell>
        </row>
        <row r="669">
          <cell r="F669">
            <v>6203.8750868000006</v>
          </cell>
          <cell r="H669">
            <v>4614.5436169319219</v>
          </cell>
          <cell r="K669">
            <v>5142750.4516409086</v>
          </cell>
        </row>
        <row r="670">
          <cell r="F670">
            <v>6212.0488878000006</v>
          </cell>
          <cell r="H670">
            <v>4617.6391781842449</v>
          </cell>
          <cell r="K670">
            <v>5142990.6899834946</v>
          </cell>
        </row>
        <row r="671">
          <cell r="F671">
            <v>6219.1062672000007</v>
          </cell>
          <cell r="H671">
            <v>4620.3053721676097</v>
          </cell>
          <cell r="K671">
            <v>5143183.7512870664</v>
          </cell>
        </row>
        <row r="672">
          <cell r="F672">
            <v>6238.2847953999999</v>
          </cell>
          <cell r="H672">
            <v>4627.5329680645427</v>
          </cell>
          <cell r="K672">
            <v>5143669.3637413485</v>
          </cell>
        </row>
        <row r="673">
          <cell r="F673">
            <v>6248.9506089000006</v>
          </cell>
          <cell r="H673">
            <v>4631.5425605931214</v>
          </cell>
          <cell r="K673">
            <v>5143917.720578935</v>
          </cell>
        </row>
        <row r="674">
          <cell r="F674">
            <v>6265.0789138</v>
          </cell>
          <cell r="H674">
            <v>4637.5906749306214</v>
          </cell>
          <cell r="K674">
            <v>5144260.4470580602</v>
          </cell>
        </row>
        <row r="675">
          <cell r="F675">
            <v>6269.8835139000003</v>
          </cell>
          <cell r="H675">
            <v>4639.3879347263928</v>
          </cell>
          <cell r="K675">
            <v>5144352.7659307988</v>
          </cell>
        </row>
        <row r="676">
          <cell r="F676">
            <v>6273.8906700000007</v>
          </cell>
          <cell r="H676">
            <v>4640.8831700183537</v>
          </cell>
          <cell r="K676">
            <v>5144421.6063401941</v>
          </cell>
        </row>
        <row r="677">
          <cell r="F677">
            <v>6288.9623616000008</v>
          </cell>
          <cell r="H677">
            <v>4646.4930329233721</v>
          </cell>
          <cell r="K677">
            <v>5144649.8528221855</v>
          </cell>
        </row>
        <row r="678">
          <cell r="F678">
            <v>6324.2093863999999</v>
          </cell>
          <cell r="H678">
            <v>4659.5796373914018</v>
          </cell>
          <cell r="K678">
            <v>5145111.8967671702</v>
          </cell>
        </row>
        <row r="679">
          <cell r="F679">
            <v>6328.0969259000012</v>
          </cell>
          <cell r="H679">
            <v>4661.0193999292742</v>
          </cell>
          <cell r="K679">
            <v>5145154.9451251095</v>
          </cell>
        </row>
        <row r="680">
          <cell r="F680">
            <v>6348.9899587</v>
          </cell>
          <cell r="H680">
            <v>4668.737783328902</v>
          </cell>
          <cell r="K680">
            <v>5145343.7785302941</v>
          </cell>
        </row>
        <row r="681">
          <cell r="F681">
            <v>6357.2036319000008</v>
          </cell>
          <cell r="H681">
            <v>4671.764476101951</v>
          </cell>
          <cell r="K681">
            <v>5145401.2971432731</v>
          </cell>
        </row>
        <row r="682">
          <cell r="F682">
            <v>6383.4993478000006</v>
          </cell>
          <cell r="H682">
            <v>4681.4298623830382</v>
          </cell>
          <cell r="K682">
            <v>5145531.9203788545</v>
          </cell>
        </row>
        <row r="683">
          <cell r="F683">
            <v>6398.4912950000007</v>
          </cell>
          <cell r="H683">
            <v>4686.926445255157</v>
          </cell>
          <cell r="K683">
            <v>5145575.8791087922</v>
          </cell>
        </row>
        <row r="684">
          <cell r="F684">
            <v>6431.8443902999998</v>
          </cell>
          <cell r="H684">
            <v>4699.1238829880094</v>
          </cell>
          <cell r="K684">
            <v>5145605.7915037395</v>
          </cell>
        </row>
        <row r="685">
          <cell r="F685">
            <v>6442.3507149999987</v>
          </cell>
          <cell r="H685">
            <v>4702.9563480853603</v>
          </cell>
          <cell r="K685">
            <v>5145593.8303069398</v>
          </cell>
        </row>
        <row r="686">
          <cell r="F686">
            <v>6458.7182531000008</v>
          </cell>
          <cell r="H686">
            <v>4708.9116372732333</v>
          </cell>
          <cell r="K686">
            <v>5145541.8831483806</v>
          </cell>
        </row>
        <row r="687">
          <cell r="F687">
            <v>6477.4183149</v>
          </cell>
          <cell r="H687">
            <v>4715.698230333549</v>
          </cell>
          <cell r="K687">
            <v>5145444.4725104729</v>
          </cell>
        </row>
        <row r="688">
          <cell r="F688">
            <v>6522.2944760000009</v>
          </cell>
          <cell r="H688">
            <v>4731.9429001741164</v>
          </cell>
          <cell r="K688">
            <v>5145119.3705813149</v>
          </cell>
        </row>
        <row r="689">
          <cell r="F689">
            <v>6540.5160713999985</v>
          </cell>
          <cell r="H689">
            <v>4738.5219799258812</v>
          </cell>
          <cell r="K689">
            <v>5144950.2789176805</v>
          </cell>
        </row>
        <row r="690">
          <cell r="F690">
            <v>6546.0782432999995</v>
          </cell>
          <cell r="H690">
            <v>4740.525085512545</v>
          </cell>
          <cell r="K690">
            <v>5144887.3426324753</v>
          </cell>
        </row>
        <row r="691">
          <cell r="F691">
            <v>6555.1092966000006</v>
          </cell>
          <cell r="H691">
            <v>4743.7690465724436</v>
          </cell>
          <cell r="K691">
            <v>5144766.7747136503</v>
          </cell>
        </row>
        <row r="692">
          <cell r="F692">
            <v>6580.308527000001</v>
          </cell>
          <cell r="H692">
            <v>4752.7972095085033</v>
          </cell>
          <cell r="K692">
            <v>5144379.0672236234</v>
          </cell>
        </row>
        <row r="693">
          <cell r="F693">
            <v>6603.7733166999997</v>
          </cell>
          <cell r="H693">
            <v>4761.1821645639393</v>
          </cell>
          <cell r="K693">
            <v>5143970.2870350275</v>
          </cell>
        </row>
        <row r="694">
          <cell r="F694">
            <v>6625.3641129999996</v>
          </cell>
          <cell r="H694">
            <v>4768.877397260082</v>
          </cell>
          <cell r="K694">
            <v>5143550.2095995806</v>
          </cell>
        </row>
        <row r="695">
          <cell r="F695">
            <v>6632.8800227000002</v>
          </cell>
          <cell r="H695">
            <v>4771.5491774276006</v>
          </cell>
          <cell r="K695">
            <v>5143388.6804064447</v>
          </cell>
        </row>
        <row r="696">
          <cell r="F696">
            <v>6652.7563143999996</v>
          </cell>
          <cell r="H696">
            <v>4778.596394233874</v>
          </cell>
          <cell r="K696">
            <v>5142921.0518521834</v>
          </cell>
        </row>
        <row r="697">
          <cell r="F697">
            <v>6672.4531812000005</v>
          </cell>
          <cell r="H697">
            <v>4785.5616896032052</v>
          </cell>
          <cell r="K697">
            <v>5142417.5552710192</v>
          </cell>
        </row>
        <row r="698">
          <cell r="F698">
            <v>6696.1771402000004</v>
          </cell>
          <cell r="H698">
            <v>4793.9290152914018</v>
          </cell>
          <cell r="K698">
            <v>5141762.8313281694</v>
          </cell>
        </row>
        <row r="699">
          <cell r="F699">
            <v>6701.8190565000023</v>
          </cell>
          <cell r="H699">
            <v>4795.91364848801</v>
          </cell>
          <cell r="K699">
            <v>5141595.6449887389</v>
          </cell>
        </row>
        <row r="700">
          <cell r="F700">
            <v>6725.2838462</v>
          </cell>
          <cell r="H700">
            <v>4804.1459515658435</v>
          </cell>
          <cell r="K700">
            <v>5140852.5569691993</v>
          </cell>
        </row>
        <row r="701">
          <cell r="F701">
            <v>6736.0892123999993</v>
          </cell>
          <cell r="H701">
            <v>4807.9268255196539</v>
          </cell>
          <cell r="K701">
            <v>5140488.3779680422</v>
          </cell>
        </row>
        <row r="702">
          <cell r="F702">
            <v>6742.8276142000004</v>
          </cell>
          <cell r="H702">
            <v>4810.2783774489289</v>
          </cell>
          <cell r="K702">
            <v>5140247.5552531546</v>
          </cell>
        </row>
        <row r="703">
          <cell r="F703">
            <v>6774.1272911999995</v>
          </cell>
          <cell r="H703">
            <v>4821.1721776687245</v>
          </cell>
          <cell r="K703">
            <v>5139065.2361345068</v>
          </cell>
        </row>
        <row r="704">
          <cell r="F704">
            <v>6782.2612200000003</v>
          </cell>
          <cell r="H704">
            <v>4823.9956185672381</v>
          </cell>
          <cell r="K704">
            <v>5138741.4286622507</v>
          </cell>
        </row>
        <row r="705">
          <cell r="F705">
            <v>6802.0178951000016</v>
          </cell>
          <cell r="H705">
            <v>4830.8351738411702</v>
          </cell>
          <cell r="K705">
            <v>5137914.7146321619</v>
          </cell>
        </row>
        <row r="706">
          <cell r="F706">
            <v>6808.6566164000014</v>
          </cell>
          <cell r="H706">
            <v>4833.127260237964</v>
          </cell>
          <cell r="K706">
            <v>5137623.4068011399</v>
          </cell>
        </row>
        <row r="707">
          <cell r="F707">
            <v>6816.0927817000011</v>
          </cell>
          <cell r="H707">
            <v>4835.6877613937722</v>
          </cell>
          <cell r="K707">
            <v>5137281.9720923593</v>
          </cell>
        </row>
        <row r="708">
          <cell r="F708">
            <v>6817.2291393999994</v>
          </cell>
          <cell r="H708">
            <v>4836.0779883177029</v>
          </cell>
          <cell r="K708">
            <v>5137227.482895771</v>
          </cell>
        </row>
        <row r="709">
          <cell r="F709">
            <v>6818.9835161999999</v>
          </cell>
          <cell r="H709">
            <v>4836.6788134578519</v>
          </cell>
          <cell r="K709">
            <v>5137139.7885126946</v>
          </cell>
        </row>
        <row r="710">
          <cell r="F710">
            <v>6828.3136109999987</v>
          </cell>
          <cell r="H710">
            <v>4839.8654397022756</v>
          </cell>
          <cell r="K710">
            <v>5136654.4241479831</v>
          </cell>
        </row>
        <row r="711">
          <cell r="F711">
            <v>6849.2863882000001</v>
          </cell>
          <cell r="H711">
            <v>4847.0090482931682</v>
          </cell>
          <cell r="K711">
            <v>5135520.7052020384</v>
          </cell>
        </row>
        <row r="712">
          <cell r="F712">
            <v>6854.9283045000011</v>
          </cell>
          <cell r="H712">
            <v>4848.9255170735123</v>
          </cell>
          <cell r="K712">
            <v>5135204.2387909926</v>
          </cell>
        </row>
        <row r="713">
          <cell r="F713">
            <v>6858.018399999999</v>
          </cell>
          <cell r="H713">
            <v>4849.9723012833165</v>
          </cell>
          <cell r="K713">
            <v>5135024.6198104639</v>
          </cell>
        </row>
        <row r="714">
          <cell r="F714">
            <v>6887.0652977</v>
          </cell>
          <cell r="H714">
            <v>4859.7850775973966</v>
          </cell>
          <cell r="K714">
            <v>5133277.0817782981</v>
          </cell>
        </row>
        <row r="715">
          <cell r="F715">
            <v>6897.3523252999976</v>
          </cell>
          <cell r="H715">
            <v>4863.2507351299237</v>
          </cell>
          <cell r="K715">
            <v>5132637.2496945355</v>
          </cell>
        </row>
        <row r="716">
          <cell r="F716">
            <v>6899.5253602000003</v>
          </cell>
          <cell r="H716">
            <v>4863.980802152555</v>
          </cell>
          <cell r="K716">
            <v>5132497.6685540965</v>
          </cell>
        </row>
        <row r="717">
          <cell r="F717">
            <v>6902.8546889000008</v>
          </cell>
          <cell r="H717">
            <v>4865.0962510339214</v>
          </cell>
          <cell r="K717">
            <v>5132277.0386442859</v>
          </cell>
        </row>
        <row r="718">
          <cell r="F718">
            <v>6911.3674036000002</v>
          </cell>
          <cell r="H718">
            <v>4867.9404154713284</v>
          </cell>
          <cell r="K718">
            <v>5131695.5870022103</v>
          </cell>
        </row>
        <row r="719">
          <cell r="F719">
            <v>6918.0459970999991</v>
          </cell>
          <cell r="H719">
            <v>4870.1655788261141</v>
          </cell>
          <cell r="K719">
            <v>5131225.8199491901</v>
          </cell>
        </row>
        <row r="720">
          <cell r="F720">
            <v>6926.8178811000016</v>
          </cell>
          <cell r="H720">
            <v>4873.080029132806</v>
          </cell>
          <cell r="K720">
            <v>5130590.9589208458</v>
          </cell>
        </row>
        <row r="721">
          <cell r="F721">
            <v>6935.8489344000009</v>
          </cell>
          <cell r="H721">
            <v>4876.0721950263469</v>
          </cell>
          <cell r="K721">
            <v>5129918.9595876997</v>
          </cell>
        </row>
        <row r="722">
          <cell r="F722">
            <v>6944.8002432999992</v>
          </cell>
          <cell r="H722">
            <v>4879.0296209686794</v>
          </cell>
          <cell r="K722">
            <v>5129234.6752814101</v>
          </cell>
        </row>
        <row r="723">
          <cell r="F723">
            <v>7025.2424067999991</v>
          </cell>
          <cell r="H723">
            <v>4905.5321739061792</v>
          </cell>
          <cell r="K723">
            <v>5122921.5354145337</v>
          </cell>
        </row>
        <row r="724">
          <cell r="F724">
            <v>7048.1888579000006</v>
          </cell>
          <cell r="H724">
            <v>4913.0708081662633</v>
          </cell>
          <cell r="K724">
            <v>5121073.9835641161</v>
          </cell>
        </row>
        <row r="725">
          <cell r="F725">
            <v>7064.8355013999999</v>
          </cell>
          <cell r="H725">
            <v>4918.5242857069234</v>
          </cell>
          <cell r="K725">
            <v>5119699.7845781604</v>
          </cell>
        </row>
        <row r="726">
          <cell r="F726">
            <v>7068.2246384000018</v>
          </cell>
          <cell r="H726">
            <v>4919.6314247919609</v>
          </cell>
          <cell r="K726">
            <v>5119413.1095743924</v>
          </cell>
        </row>
        <row r="727">
          <cell r="F727">
            <v>7076.4981198999985</v>
          </cell>
          <cell r="H727">
            <v>4922.32645756682</v>
          </cell>
          <cell r="K727">
            <v>5118696.4461513367</v>
          </cell>
        </row>
        <row r="728">
          <cell r="F728">
            <v>7088.1408023000013</v>
          </cell>
          <cell r="H728">
            <v>4926.1081652794601</v>
          </cell>
          <cell r="K728">
            <v>5117664.2401220175</v>
          </cell>
        </row>
        <row r="729">
          <cell r="F729">
            <v>7094.8393319000006</v>
          </cell>
          <cell r="H729">
            <v>4928.2777169203518</v>
          </cell>
          <cell r="K729">
            <v>5117056.7345355712</v>
          </cell>
        </row>
        <row r="730">
          <cell r="F730">
            <v>7124.2849515999997</v>
          </cell>
          <cell r="H730">
            <v>4937.7873385242083</v>
          </cell>
          <cell r="K730">
            <v>5114326.310088017</v>
          </cell>
        </row>
        <row r="731">
          <cell r="F731">
            <v>7132.7976663000009</v>
          </cell>
          <cell r="H731">
            <v>4940.5286541780652</v>
          </cell>
          <cell r="K731">
            <v>5113519.6196099631</v>
          </cell>
        </row>
        <row r="732">
          <cell r="F732">
            <v>7152.8334468000003</v>
          </cell>
          <cell r="H732">
            <v>4946.9620762624054</v>
          </cell>
          <cell r="K732">
            <v>5111580.1895746663</v>
          </cell>
        </row>
        <row r="733">
          <cell r="F733">
            <v>7167.6659052000014</v>
          </cell>
          <cell r="H733">
            <v>4951.7109442166811</v>
          </cell>
          <cell r="K733">
            <v>5110114.2436745316</v>
          </cell>
        </row>
        <row r="734">
          <cell r="F734">
            <v>7177.2152971000014</v>
          </cell>
          <cell r="H734">
            <v>4954.7594722070626</v>
          </cell>
          <cell r="K734">
            <v>5109151.0064534666</v>
          </cell>
        </row>
        <row r="735">
          <cell r="F735">
            <v>7179.7073095999986</v>
          </cell>
          <cell r="H735">
            <v>4955.5527010929818</v>
          </cell>
          <cell r="K735">
            <v>5108894.5677136322</v>
          </cell>
        </row>
        <row r="736">
          <cell r="F736">
            <v>7206.5811724000005</v>
          </cell>
          <cell r="H736">
            <v>4964.0819056898226</v>
          </cell>
          <cell r="K736">
            <v>5106074.4355407124</v>
          </cell>
        </row>
        <row r="737">
          <cell r="F737">
            <v>7223.1680076000011</v>
          </cell>
          <cell r="H737">
            <v>4969.330806605808</v>
          </cell>
          <cell r="K737">
            <v>5104300.0603867183</v>
          </cell>
        </row>
        <row r="738">
          <cell r="F738">
            <v>7229.8665371999996</v>
          </cell>
          <cell r="H738">
            <v>4971.4443296533909</v>
          </cell>
          <cell r="K738">
            <v>5103569.8521809271</v>
          </cell>
        </row>
        <row r="739">
          <cell r="F739">
            <v>7252.7930522000024</v>
          </cell>
          <cell r="H739">
            <v>4978.6568067235594</v>
          </cell>
          <cell r="K739">
            <v>5101023.9649645928</v>
          </cell>
        </row>
        <row r="740">
          <cell r="F740">
            <v>7263.5784823000013</v>
          </cell>
          <cell r="H740">
            <v>4982.0397831722112</v>
          </cell>
          <cell r="K740">
            <v>5099804.3393071434</v>
          </cell>
        </row>
        <row r="741">
          <cell r="F741">
            <v>7295.0177119999989</v>
          </cell>
          <cell r="H741">
            <v>4991.8718471072016</v>
          </cell>
          <cell r="K741">
            <v>5096185.1755647715</v>
          </cell>
        </row>
        <row r="742">
          <cell r="F742">
            <v>7297.7489577000015</v>
          </cell>
          <cell r="H742">
            <v>4992.7234576391265</v>
          </cell>
          <cell r="K742">
            <v>5095865.2060696855</v>
          </cell>
        </row>
        <row r="743">
          <cell r="F743">
            <v>7309.5710650000001</v>
          </cell>
          <cell r="H743">
            <v>4996.3986387653804</v>
          </cell>
          <cell r="K743">
            <v>5094456.166896183</v>
          </cell>
        </row>
        <row r="744">
          <cell r="F744">
            <v>7321.5127889000014</v>
          </cell>
          <cell r="H744">
            <v>5000.0999072789964</v>
          </cell>
          <cell r="K744">
            <v>5093008.5658210013</v>
          </cell>
        </row>
        <row r="745">
          <cell r="F745">
            <v>7327.7527882000004</v>
          </cell>
          <cell r="H745">
            <v>5002.02815985079</v>
          </cell>
          <cell r="K745">
            <v>5092239.4395132298</v>
          </cell>
        </row>
        <row r="746">
          <cell r="F746">
            <v>7343.6019877000017</v>
          </cell>
          <cell r="H746">
            <v>5006.911068432807</v>
          </cell>
          <cell r="K746">
            <v>5090253.6497078463</v>
          </cell>
        </row>
        <row r="747">
          <cell r="F747">
            <v>7367.6249882000011</v>
          </cell>
          <cell r="H747">
            <v>5014.2898803893586</v>
          </cell>
          <cell r="K747">
            <v>5087194.8474926949</v>
          </cell>
        </row>
        <row r="748">
          <cell r="F748">
            <v>7372.1106107000014</v>
          </cell>
          <cell r="H748">
            <v>5015.6634980601302</v>
          </cell>
          <cell r="K748">
            <v>5086614.5721916854</v>
          </cell>
        </row>
        <row r="749">
          <cell r="F749">
            <v>7405.6231947999995</v>
          </cell>
          <cell r="H749">
            <v>5025.8948027783917</v>
          </cell>
          <cell r="K749">
            <v>5082211.0622446798</v>
          </cell>
        </row>
        <row r="750">
          <cell r="F750">
            <v>7441.6277913999993</v>
          </cell>
          <cell r="H750">
            <v>5036.8534509071087</v>
          </cell>
          <cell r="K750">
            <v>5077406.8243665686</v>
          </cell>
        </row>
        <row r="751">
          <cell r="F751">
            <v>7444.9172478999999</v>
          </cell>
          <cell r="H751">
            <v>5037.8515991852219</v>
          </cell>
          <cell r="K751">
            <v>5076961.2038956359</v>
          </cell>
        </row>
        <row r="752">
          <cell r="F752">
            <v>7465.4713670000001</v>
          </cell>
          <cell r="H752">
            <v>5044.0694112363835</v>
          </cell>
          <cell r="K752">
            <v>5074134.9170076801</v>
          </cell>
        </row>
        <row r="753">
          <cell r="F753">
            <v>7504.8850367000005</v>
          </cell>
          <cell r="H753">
            <v>5055.9557828141251</v>
          </cell>
          <cell r="K753">
            <v>5068635.1350029325</v>
          </cell>
        </row>
        <row r="754">
          <cell r="F754">
            <v>7540.1121253999981</v>
          </cell>
          <cell r="H754">
            <v>5066.5468266751377</v>
          </cell>
          <cell r="K754">
            <v>5063647.850098554</v>
          </cell>
        </row>
        <row r="755">
          <cell r="F755">
            <v>7546.3321886000022</v>
          </cell>
          <cell r="H755">
            <v>5068.4111114167745</v>
          </cell>
          <cell r="K755">
            <v>5062754.583122734</v>
          </cell>
        </row>
        <row r="756">
          <cell r="F756">
            <v>7555.7818999999981</v>
          </cell>
          <cell r="H756">
            <v>5071.2346078992086</v>
          </cell>
          <cell r="K756">
            <v>5061378.2712992691</v>
          </cell>
        </row>
        <row r="757">
          <cell r="F757">
            <v>7578.7084150000001</v>
          </cell>
          <cell r="H757">
            <v>5078.0635559080383</v>
          </cell>
          <cell r="K757">
            <v>5057992.4554386036</v>
          </cell>
        </row>
        <row r="758">
          <cell r="F758">
            <v>7585.1079031000008</v>
          </cell>
          <cell r="H758">
            <v>5079.9637756552038</v>
          </cell>
          <cell r="K758">
            <v>5057034.3462048965</v>
          </cell>
        </row>
        <row r="759">
          <cell r="F759">
            <v>7588.6565289</v>
          </cell>
          <cell r="H759">
            <v>5081.0141820839208</v>
          </cell>
          <cell r="K759">
            <v>5056495.8356437869</v>
          </cell>
        </row>
        <row r="760">
          <cell r="F760">
            <v>7601.6149938999988</v>
          </cell>
          <cell r="H760">
            <v>5084.8378927135673</v>
          </cell>
          <cell r="K760">
            <v>5054502.9899227135</v>
          </cell>
        </row>
        <row r="761">
          <cell r="F761">
            <v>7614.2943535000022</v>
          </cell>
          <cell r="H761">
            <v>5088.5674627074341</v>
          </cell>
          <cell r="K761">
            <v>5052527.2605292788</v>
          </cell>
        </row>
        <row r="762">
          <cell r="F762">
            <v>7620.8533304000002</v>
          </cell>
          <cell r="H762">
            <v>5090.4906571423317</v>
          </cell>
          <cell r="K762">
            <v>5051491.8748217067</v>
          </cell>
        </row>
        <row r="763">
          <cell r="F763">
            <v>7624.023170299999</v>
          </cell>
          <cell r="H763">
            <v>5091.4171577450734</v>
          </cell>
          <cell r="K763">
            <v>5050985.0392217133</v>
          </cell>
        </row>
        <row r="764">
          <cell r="F764">
            <v>7624.3222117999994</v>
          </cell>
          <cell r="H764">
            <v>5091.5042855427037</v>
          </cell>
          <cell r="K764">
            <v>5050936.6158985207</v>
          </cell>
        </row>
        <row r="765">
          <cell r="F765">
            <v>7638.5167149999988</v>
          </cell>
          <cell r="H765">
            <v>5095.6267597527403</v>
          </cell>
          <cell r="K765">
            <v>5048609.2318585012</v>
          </cell>
        </row>
        <row r="766">
          <cell r="F766">
            <v>7647.1689824000023</v>
          </cell>
          <cell r="H766">
            <v>5098.1315750827598</v>
          </cell>
          <cell r="K766">
            <v>5047172.9635112425</v>
          </cell>
        </row>
        <row r="767">
          <cell r="F767">
            <v>7708.7117230999993</v>
          </cell>
          <cell r="H767">
            <v>5115.8908882680289</v>
          </cell>
          <cell r="K767">
            <v>5036831.6668269839</v>
          </cell>
        </row>
        <row r="768">
          <cell r="F768">
            <v>7775.497658100001</v>
          </cell>
          <cell r="H768">
            <v>5135.101154887453</v>
          </cell>
          <cell r="K768">
            <v>5025473.4027235229</v>
          </cell>
        </row>
        <row r="769">
          <cell r="F769">
            <v>7808.1131177000007</v>
          </cell>
          <cell r="H769">
            <v>5144.4523345218395</v>
          </cell>
          <cell r="K769">
            <v>5019860.1184428278</v>
          </cell>
        </row>
        <row r="770">
          <cell r="F770">
            <v>7809.2893475999999</v>
          </cell>
          <cell r="H770">
            <v>5144.7884782897299</v>
          </cell>
          <cell r="K770">
            <v>5019655.2893745089</v>
          </cell>
        </row>
        <row r="771">
          <cell r="F771">
            <v>7863.4357952</v>
          </cell>
          <cell r="H771">
            <v>5160.2121643393584</v>
          </cell>
          <cell r="K771">
            <v>5010116.003743195</v>
          </cell>
        </row>
        <row r="772">
          <cell r="F772">
            <v>7886.7012238999996</v>
          </cell>
          <cell r="H772">
            <v>5166.8177298299252</v>
          </cell>
          <cell r="K772">
            <v>5005969.8492075363</v>
          </cell>
        </row>
        <row r="773">
          <cell r="F773">
            <v>7894.8351527000013</v>
          </cell>
          <cell r="H773">
            <v>5169.1195712050185</v>
          </cell>
          <cell r="K773">
            <v>5004503.7387789888</v>
          </cell>
        </row>
        <row r="774">
          <cell r="F774">
            <v>7897.3670373999994</v>
          </cell>
          <cell r="H774">
            <v>5169.8337226980011</v>
          </cell>
          <cell r="K774">
            <v>5004042.2227886235</v>
          </cell>
        </row>
        <row r="775">
          <cell r="F775">
            <v>7910.4650550999995</v>
          </cell>
          <cell r="H775">
            <v>5173.5160185662635</v>
          </cell>
          <cell r="K775">
            <v>5001628.0365801174</v>
          </cell>
        </row>
        <row r="776">
          <cell r="F776">
            <v>7922.2672263000022</v>
          </cell>
          <cell r="H776">
            <v>5176.8230395855953</v>
          </cell>
          <cell r="K776">
            <v>4999428.6756524527</v>
          </cell>
        </row>
        <row r="777">
          <cell r="F777">
            <v>7937.9968092000017</v>
          </cell>
          <cell r="H777">
            <v>5181.2159203118499</v>
          </cell>
          <cell r="K777">
            <v>4996465.4181229481</v>
          </cell>
        </row>
        <row r="778">
          <cell r="F778">
            <v>7947.7455621000026</v>
          </cell>
          <cell r="H778">
            <v>5183.9294440047406</v>
          </cell>
          <cell r="K778">
            <v>4994609.0326903798</v>
          </cell>
        </row>
        <row r="779">
          <cell r="F779">
            <v>7973.4631311000003</v>
          </cell>
          <cell r="H779">
            <v>5191.0639183044614</v>
          </cell>
          <cell r="K779">
            <v>4989659.4762067692</v>
          </cell>
        </row>
        <row r="780">
          <cell r="F780">
            <v>7981.6169960000016</v>
          </cell>
          <cell r="H780">
            <v>5193.3183558581331</v>
          </cell>
          <cell r="K780">
            <v>4988073.6025293097</v>
          </cell>
        </row>
        <row r="781">
          <cell r="F781">
            <v>7984.7270276000008</v>
          </cell>
          <cell r="H781">
            <v>5194.1753487664973</v>
          </cell>
          <cell r="K781">
            <v>4987462.3917186297</v>
          </cell>
        </row>
        <row r="782">
          <cell r="F782">
            <v>8007.2348844999997</v>
          </cell>
          <cell r="H782">
            <v>5200.3566421809483</v>
          </cell>
          <cell r="K782">
            <v>4982993.1387762781</v>
          </cell>
        </row>
        <row r="783">
          <cell r="F783">
            <v>8013.8536697</v>
          </cell>
          <cell r="H783">
            <v>5202.1681963086439</v>
          </cell>
          <cell r="K783">
            <v>4981665.4141559293</v>
          </cell>
        </row>
        <row r="784">
          <cell r="F784">
            <v>8020.6120076000007</v>
          </cell>
          <cell r="H784">
            <v>5204.0116648715157</v>
          </cell>
          <cell r="K784">
            <v>4980295.9399886196</v>
          </cell>
        </row>
        <row r="785">
          <cell r="F785">
            <v>8033.5904087000008</v>
          </cell>
          <cell r="H785">
            <v>5207.5397153564136</v>
          </cell>
          <cell r="K785">
            <v>4977639.6496705459</v>
          </cell>
        </row>
        <row r="786">
          <cell r="F786">
            <v>8037.5975647999994</v>
          </cell>
          <cell r="H786">
            <v>5208.625297143727</v>
          </cell>
          <cell r="K786">
            <v>4976811.3489047633</v>
          </cell>
        </row>
        <row r="787">
          <cell r="F787">
            <v>8037.7171813999994</v>
          </cell>
          <cell r="H787">
            <v>5208.6575914023706</v>
          </cell>
          <cell r="K787">
            <v>4976786.3800511928</v>
          </cell>
        </row>
        <row r="788">
          <cell r="F788">
            <v>8079.6627357999996</v>
          </cell>
          <cell r="H788">
            <v>5219.9431285759765</v>
          </cell>
          <cell r="K788">
            <v>4967945.2629413884</v>
          </cell>
        </row>
        <row r="789">
          <cell r="F789">
            <v>8084.0486777999995</v>
          </cell>
          <cell r="H789">
            <v>5221.1190990843406</v>
          </cell>
          <cell r="K789">
            <v>4967011.8847547071</v>
          </cell>
        </row>
        <row r="790">
          <cell r="F790">
            <v>8123.9208778000011</v>
          </cell>
          <cell r="H790">
            <v>5231.7726841215153</v>
          </cell>
          <cell r="K790">
            <v>4958445.4759861184</v>
          </cell>
        </row>
        <row r="791">
          <cell r="F791">
            <v>8133.9686721999979</v>
          </cell>
          <cell r="H791">
            <v>5234.4480494519976</v>
          </cell>
          <cell r="K791">
            <v>4956266.2905398775</v>
          </cell>
        </row>
        <row r="792">
          <cell r="F792">
            <v>8134.6265635000009</v>
          </cell>
          <cell r="H792">
            <v>5234.6226107588291</v>
          </cell>
          <cell r="K792">
            <v>4956122.2667618329</v>
          </cell>
        </row>
        <row r="793">
          <cell r="F793">
            <v>8139.1919303999994</v>
          </cell>
          <cell r="H793">
            <v>5235.8297175274629</v>
          </cell>
          <cell r="K793">
            <v>4955113.5370651446</v>
          </cell>
        </row>
        <row r="794">
          <cell r="F794">
            <v>8195.9699431999998</v>
          </cell>
          <cell r="H794">
            <v>5250.7893519408462</v>
          </cell>
          <cell r="K794">
            <v>4942452.7261904543</v>
          </cell>
        </row>
        <row r="795">
          <cell r="F795">
            <v>8196.0297515000002</v>
          </cell>
          <cell r="H795">
            <v>5250.8050543987929</v>
          </cell>
          <cell r="K795">
            <v>4942439.2679333566</v>
          </cell>
        </row>
        <row r="796">
          <cell r="F796">
            <v>8200.0169715000011</v>
          </cell>
          <cell r="H796">
            <v>5251.8481793337378</v>
          </cell>
          <cell r="K796">
            <v>4941533.9355408847</v>
          </cell>
        </row>
        <row r="797">
          <cell r="F797">
            <v>8224.3190774000013</v>
          </cell>
          <cell r="H797">
            <v>5258.1834402119439</v>
          </cell>
          <cell r="K797">
            <v>4935966.4721441548</v>
          </cell>
        </row>
        <row r="798">
          <cell r="F798">
            <v>8232.0343481000018</v>
          </cell>
          <cell r="H798">
            <v>5260.1875463092019</v>
          </cell>
          <cell r="K798">
            <v>4934183.2479371503</v>
          </cell>
        </row>
        <row r="799">
          <cell r="F799">
            <v>8242.7400337999989</v>
          </cell>
          <cell r="H799">
            <v>5262.9584881934488</v>
          </cell>
          <cell r="K799">
            <v>4931687.0621036543</v>
          </cell>
        </row>
        <row r="800">
          <cell r="F800">
            <v>8255.0804797000001</v>
          </cell>
          <cell r="H800">
            <v>5266.1410846035324</v>
          </cell>
          <cell r="K800">
            <v>4928784.5915217362</v>
          </cell>
        </row>
        <row r="801">
          <cell r="F801">
            <v>8278.4455888999983</v>
          </cell>
          <cell r="H801">
            <v>5272.1452227947957</v>
          </cell>
          <cell r="K801">
            <v>4923241.5668006027</v>
          </cell>
        </row>
        <row r="802">
          <cell r="F802">
            <v>8325.5147210000014</v>
          </cell>
          <cell r="H802">
            <v>5284.1968453724448</v>
          </cell>
          <cell r="K802">
            <v>4911979.3145656521</v>
          </cell>
        </row>
        <row r="803">
          <cell r="F803">
            <v>8346.9260924000009</v>
          </cell>
          <cell r="H803">
            <v>5289.6591329647308</v>
          </cell>
          <cell r="K803">
            <v>4906812.6272727586</v>
          </cell>
        </row>
        <row r="804">
          <cell r="F804">
            <v>8370.3111377000005</v>
          </cell>
          <cell r="H804">
            <v>5295.6031942003719</v>
          </cell>
          <cell r="K804">
            <v>4901122.0851388127</v>
          </cell>
        </row>
        <row r="805">
          <cell r="F805">
            <v>8385.1236599999993</v>
          </cell>
          <cell r="H805">
            <v>5299.3545067717005</v>
          </cell>
          <cell r="K805">
            <v>4897487.4418300251</v>
          </cell>
        </row>
        <row r="806">
          <cell r="F806">
            <v>8388.7719663000007</v>
          </cell>
          <cell r="H806">
            <v>5300.275059894796</v>
          </cell>
          <cell r="K806">
            <v>4896584.8081296021</v>
          </cell>
        </row>
        <row r="807">
          <cell r="F807">
            <v>8390.0080045000013</v>
          </cell>
          <cell r="H807">
            <v>5300.5857925463761</v>
          </cell>
          <cell r="K807">
            <v>4896276.4820765639</v>
          </cell>
        </row>
        <row r="808">
          <cell r="F808">
            <v>8404.9002712000001</v>
          </cell>
          <cell r="H808">
            <v>5304.3157794196568</v>
          </cell>
          <cell r="K808">
            <v>4892531.3399690492</v>
          </cell>
        </row>
        <row r="809">
          <cell r="F809">
            <v>8424.2582243000015</v>
          </cell>
          <cell r="H809">
            <v>5309.1462723632912</v>
          </cell>
          <cell r="K809">
            <v>4887623.7570356093</v>
          </cell>
        </row>
        <row r="810">
          <cell r="F810">
            <v>8424.3180326000002</v>
          </cell>
          <cell r="H810">
            <v>5309.1611410624082</v>
          </cell>
          <cell r="K810">
            <v>4887608.4728466729</v>
          </cell>
        </row>
        <row r="811">
          <cell r="F811">
            <v>8425.2350932000027</v>
          </cell>
          <cell r="H811">
            <v>5309.3882754954011</v>
          </cell>
          <cell r="K811">
            <v>4887372.248774928</v>
          </cell>
        </row>
        <row r="812">
          <cell r="F812">
            <v>8432.6712585000005</v>
          </cell>
          <cell r="H812">
            <v>5311.2231285503731</v>
          </cell>
          <cell r="K812">
            <v>4885441.6447253162</v>
          </cell>
        </row>
        <row r="813">
          <cell r="F813">
            <v>8440.6456985000004</v>
          </cell>
          <cell r="H813">
            <v>5313.1833881972134</v>
          </cell>
          <cell r="K813">
            <v>4883355.0613518981</v>
          </cell>
        </row>
        <row r="814">
          <cell r="F814">
            <v>8440.6456985000004</v>
          </cell>
          <cell r="H814">
            <v>5313.1833881972134</v>
          </cell>
          <cell r="K814">
            <v>4883355.0613518981</v>
          </cell>
        </row>
        <row r="815">
          <cell r="F815">
            <v>8469.6327878999982</v>
          </cell>
          <cell r="H815">
            <v>5320.2550526651494</v>
          </cell>
          <cell r="K815">
            <v>4875652.3350166772</v>
          </cell>
        </row>
        <row r="816">
          <cell r="F816">
            <v>8574.9153320000005</v>
          </cell>
          <cell r="H816">
            <v>5345.8418419608288</v>
          </cell>
          <cell r="K816">
            <v>4847461.3682942158</v>
          </cell>
        </row>
        <row r="817">
          <cell r="F817">
            <v>8628.6032492999984</v>
          </cell>
          <cell r="H817">
            <v>5358.8397066974921</v>
          </cell>
          <cell r="K817">
            <v>4832976.3582275081</v>
          </cell>
        </row>
        <row r="818">
          <cell r="F818">
            <v>8635.7005008999986</v>
          </cell>
          <cell r="H818">
            <v>5360.5513579894996</v>
          </cell>
          <cell r="K818">
            <v>4831047.0732770059</v>
          </cell>
        </row>
        <row r="819">
          <cell r="F819">
            <v>8663.5512326000007</v>
          </cell>
          <cell r="H819">
            <v>5367.2422633282085</v>
          </cell>
          <cell r="K819">
            <v>4823419.570608777</v>
          </cell>
        </row>
        <row r="820">
          <cell r="F820">
            <v>8666.7609447000032</v>
          </cell>
          <cell r="H820">
            <v>5368.0103868093893</v>
          </cell>
          <cell r="K820">
            <v>4822533.9913525591</v>
          </cell>
        </row>
        <row r="821">
          <cell r="F821">
            <v>8688.7105908000012</v>
          </cell>
          <cell r="H821">
            <v>5373.2428070925207</v>
          </cell>
          <cell r="K821">
            <v>4816433.2748926217</v>
          </cell>
        </row>
        <row r="822">
          <cell r="F822">
            <v>8691.1826671999988</v>
          </cell>
          <cell r="H822">
            <v>5373.8298103640818</v>
          </cell>
          <cell r="K822">
            <v>4815741.1509373412</v>
          </cell>
        </row>
        <row r="823">
          <cell r="F823">
            <v>8702.3468832000017</v>
          </cell>
          <cell r="H823">
            <v>5376.4704172153833</v>
          </cell>
          <cell r="K823">
            <v>4812592.70714169</v>
          </cell>
        </row>
        <row r="824">
          <cell r="F824">
            <v>8721.7447085000022</v>
          </cell>
          <cell r="H824">
            <v>5381.0404439008389</v>
          </cell>
          <cell r="K824">
            <v>4807082.8053428354</v>
          </cell>
        </row>
        <row r="825">
          <cell r="F825">
            <v>8757.948666100001</v>
          </cell>
          <cell r="H825">
            <v>5389.5362610885713</v>
          </cell>
          <cell r="K825">
            <v>4796725.4789039707</v>
          </cell>
        </row>
        <row r="826">
          <cell r="F826">
            <v>8762.3146720000022</v>
          </cell>
          <cell r="H826">
            <v>5390.5567541033024</v>
          </cell>
          <cell r="K826">
            <v>4795467.553886232</v>
          </cell>
        </row>
        <row r="827">
          <cell r="F827">
            <v>8769.1726904000006</v>
          </cell>
          <cell r="H827">
            <v>5392.1533466769079</v>
          </cell>
          <cell r="K827">
            <v>4793477.6769024301</v>
          </cell>
        </row>
        <row r="828">
          <cell r="F828">
            <v>8791.3615697000005</v>
          </cell>
          <cell r="H828">
            <v>5397.2984446186829</v>
          </cell>
          <cell r="K828">
            <v>4786994.337954917</v>
          </cell>
        </row>
        <row r="829">
          <cell r="F829">
            <v>8800.0138371000012</v>
          </cell>
          <cell r="H829">
            <v>5399.2966680842037</v>
          </cell>
          <cell r="K829">
            <v>4784448.6334244059</v>
          </cell>
        </row>
        <row r="830">
          <cell r="F830">
            <v>8803.6222711999999</v>
          </cell>
          <cell r="H830">
            <v>5400.1266749984688</v>
          </cell>
          <cell r="K830">
            <v>4783379.6012866488</v>
          </cell>
        </row>
        <row r="831">
          <cell r="F831">
            <v>8838.2911491000013</v>
          </cell>
          <cell r="H831">
            <v>5408.0689411716567</v>
          </cell>
          <cell r="K831">
            <v>4773038.0618859269</v>
          </cell>
        </row>
        <row r="832">
          <cell r="F832">
            <v>8847.621243900001</v>
          </cell>
          <cell r="H832">
            <v>5410.1976942138499</v>
          </cell>
          <cell r="K832">
            <v>4770235.9552083313</v>
          </cell>
        </row>
        <row r="833">
          <cell r="F833">
            <v>8853.5223294999996</v>
          </cell>
          <cell r="H833">
            <v>5411.5386007465631</v>
          </cell>
          <cell r="K833">
            <v>4768451.6720349733</v>
          </cell>
        </row>
        <row r="834">
          <cell r="F834">
            <v>8890.5835394000023</v>
          </cell>
          <cell r="H834">
            <v>5419.9255938791384</v>
          </cell>
          <cell r="K834">
            <v>4757170.2190753128</v>
          </cell>
        </row>
        <row r="835">
          <cell r="F835">
            <v>8895.1289702000031</v>
          </cell>
          <cell r="H835">
            <v>5420.9500055603658</v>
          </cell>
          <cell r="K835">
            <v>4755777.3360171989</v>
          </cell>
        </row>
        <row r="836">
          <cell r="F836">
            <v>8900.9503113999999</v>
          </cell>
          <cell r="H836">
            <v>5422.2565612293238</v>
          </cell>
          <cell r="K836">
            <v>4753981.6199722188</v>
          </cell>
        </row>
        <row r="837">
          <cell r="F837">
            <v>8921.1057084999993</v>
          </cell>
          <cell r="H837">
            <v>5426.7615547261175</v>
          </cell>
          <cell r="K837">
            <v>4747723.2380501991</v>
          </cell>
        </row>
        <row r="838">
          <cell r="F838">
            <v>8961.6357997999985</v>
          </cell>
          <cell r="H838">
            <v>5435.7828901037665</v>
          </cell>
          <cell r="K838">
            <v>4735055.8894872498</v>
          </cell>
        </row>
        <row r="839">
          <cell r="F839">
            <v>8966.0018057000016</v>
          </cell>
          <cell r="H839">
            <v>5436.7506339765832</v>
          </cell>
          <cell r="K839">
            <v>4733682.4438487161</v>
          </cell>
        </row>
        <row r="840">
          <cell r="F840">
            <v>9024.8133007000015</v>
          </cell>
          <cell r="H840">
            <v>5449.7317957447058</v>
          </cell>
          <cell r="K840">
            <v>4715061.9921209058</v>
          </cell>
        </row>
        <row r="841">
          <cell r="F841">
            <v>9050.4311891999987</v>
          </cell>
          <cell r="H841">
            <v>5455.3624933564615</v>
          </cell>
          <cell r="K841">
            <v>4706898.9090906521</v>
          </cell>
        </row>
        <row r="842">
          <cell r="F842">
            <v>9058.4056292000005</v>
          </cell>
          <cell r="H842">
            <v>5457.1078285051608</v>
          </cell>
          <cell r="K842">
            <v>4704341.6410663035</v>
          </cell>
        </row>
        <row r="843">
          <cell r="F843">
            <v>9130.5743112</v>
          </cell>
          <cell r="H843">
            <v>5472.8360403350862</v>
          </cell>
          <cell r="K843">
            <v>4681051.4793738397</v>
          </cell>
        </row>
        <row r="844">
          <cell r="F844">
            <v>9147.2408908000016</v>
          </cell>
          <cell r="H844">
            <v>5476.4528120233763</v>
          </cell>
          <cell r="K844">
            <v>4675638.9456911925</v>
          </cell>
        </row>
        <row r="845">
          <cell r="F845">
            <v>9182.9265097999996</v>
          </cell>
          <cell r="H845">
            <v>5484.1636915935433</v>
          </cell>
          <cell r="K845">
            <v>4663977.2767498586</v>
          </cell>
        </row>
        <row r="846">
          <cell r="F846">
            <v>9212.9303403000013</v>
          </cell>
          <cell r="H846">
            <v>5490.6189766871776</v>
          </cell>
          <cell r="K846">
            <v>4654111.2867049184</v>
          </cell>
        </row>
        <row r="847">
          <cell r="F847">
            <v>9233.4246510999983</v>
          </cell>
          <cell r="H847">
            <v>5495.0092542330876</v>
          </cell>
          <cell r="K847">
            <v>4647330.5458904617</v>
          </cell>
        </row>
        <row r="848">
          <cell r="F848">
            <v>9234.8002420000012</v>
          </cell>
          <cell r="H848">
            <v>5495.3026539650118</v>
          </cell>
          <cell r="K848">
            <v>4646872.6185833737</v>
          </cell>
        </row>
        <row r="849">
          <cell r="F849">
            <v>9283.0456040000026</v>
          </cell>
          <cell r="H849">
            <v>5505.5480677354581</v>
          </cell>
          <cell r="K849">
            <v>4630713.7851406531</v>
          </cell>
        </row>
        <row r="850">
          <cell r="F850">
            <v>9314.9433640000007</v>
          </cell>
          <cell r="H850">
            <v>5512.2922502633382</v>
          </cell>
          <cell r="K850">
            <v>4619965.3368767127</v>
          </cell>
        </row>
        <row r="851">
          <cell r="F851">
            <v>9316.2192744000022</v>
          </cell>
          <cell r="H851">
            <v>5512.5608317741189</v>
          </cell>
          <cell r="K851">
            <v>4619532.8020653166</v>
          </cell>
        </row>
        <row r="852">
          <cell r="F852">
            <v>9365.2820164999994</v>
          </cell>
          <cell r="H852">
            <v>5522.8430328368968</v>
          </cell>
          <cell r="K852">
            <v>4602800.6287128059</v>
          </cell>
        </row>
        <row r="853">
          <cell r="F853">
            <v>9379.8353695000023</v>
          </cell>
          <cell r="H853">
            <v>5525.8794898522319</v>
          </cell>
          <cell r="K853">
            <v>4597807.7871763865</v>
          </cell>
        </row>
        <row r="854">
          <cell r="F854">
            <v>9395.9636744000018</v>
          </cell>
          <cell r="H854">
            <v>5529.2295606191001</v>
          </cell>
          <cell r="K854">
            <v>4592241.7982358281</v>
          </cell>
        </row>
        <row r="855">
          <cell r="F855">
            <v>9441.5375990000011</v>
          </cell>
          <cell r="H855">
            <v>5538.6535366632452</v>
          </cell>
          <cell r="K855">
            <v>4576421.1660925057</v>
          </cell>
        </row>
        <row r="856">
          <cell r="F856">
            <v>9450.4490356999995</v>
          </cell>
          <cell r="H856">
            <v>5540.4880006307631</v>
          </cell>
          <cell r="K856">
            <v>4573309.4928213721</v>
          </cell>
        </row>
        <row r="857">
          <cell r="F857">
            <v>9519.8665359000006</v>
          </cell>
          <cell r="H857">
            <v>5554.7134270193319</v>
          </cell>
          <cell r="K857">
            <v>4548929.1764523368</v>
          </cell>
        </row>
        <row r="858">
          <cell r="F858">
            <v>9534.6192499000008</v>
          </cell>
          <cell r="H858">
            <v>5557.7229258325287</v>
          </cell>
          <cell r="K858">
            <v>4543717.8076532381</v>
          </cell>
        </row>
        <row r="859">
          <cell r="F859">
            <v>9558.7818030999988</v>
          </cell>
          <cell r="H859">
            <v>5562.6295409572494</v>
          </cell>
          <cell r="K859">
            <v>4535133.2522163773</v>
          </cell>
        </row>
        <row r="860">
          <cell r="F860">
            <v>9606.409146</v>
          </cell>
          <cell r="H860">
            <v>5572.2568151958649</v>
          </cell>
          <cell r="K860">
            <v>4518115.1084789429</v>
          </cell>
        </row>
        <row r="861">
          <cell r="F861">
            <v>9644.5668414000011</v>
          </cell>
          <cell r="H861">
            <v>5579.9344555807165</v>
          </cell>
          <cell r="K861">
            <v>4504402.9846017677</v>
          </cell>
        </row>
        <row r="862">
          <cell r="F862">
            <v>9671.4606402999998</v>
          </cell>
          <cell r="H862">
            <v>5585.3207136317851</v>
          </cell>
          <cell r="K862">
            <v>4494683.850613608</v>
          </cell>
        </row>
        <row r="863">
          <cell r="F863">
            <v>9675.3880519999984</v>
          </cell>
          <cell r="H863">
            <v>5586.1036409641729</v>
          </cell>
          <cell r="K863">
            <v>4493256.5321115386</v>
          </cell>
        </row>
        <row r="864">
          <cell r="F864">
            <v>9702.5410201999985</v>
          </cell>
          <cell r="H864">
            <v>5591.4913349332246</v>
          </cell>
          <cell r="K864">
            <v>4483333.2073437618</v>
          </cell>
        </row>
        <row r="865">
          <cell r="F865">
            <v>9734.3789719000015</v>
          </cell>
          <cell r="H865">
            <v>5597.7790345022304</v>
          </cell>
          <cell r="K865">
            <v>4471632.9080398856</v>
          </cell>
        </row>
        <row r="866">
          <cell r="F866">
            <v>9744.9251688000004</v>
          </cell>
          <cell r="H866">
            <v>5599.8520090787633</v>
          </cell>
          <cell r="K866">
            <v>4467735.7648424916</v>
          </cell>
        </row>
        <row r="867">
          <cell r="F867">
            <v>9787.1099563999996</v>
          </cell>
          <cell r="H867">
            <v>5608.1047021919603</v>
          </cell>
          <cell r="K867">
            <v>4452061.3326803939</v>
          </cell>
        </row>
        <row r="868">
          <cell r="F868">
            <v>9851.5833038000001</v>
          </cell>
          <cell r="H868">
            <v>5620.6578307052505</v>
          </cell>
          <cell r="K868">
            <v>4427974.0062044999</v>
          </cell>
        </row>
        <row r="869">
          <cell r="F869">
            <v>9896.7385703</v>
          </cell>
          <cell r="H869">
            <v>5629.4077127361516</v>
          </cell>
          <cell r="K869">
            <v>4411012.0346521707</v>
          </cell>
        </row>
        <row r="870">
          <cell r="F870">
            <v>9902.3206783000005</v>
          </cell>
          <cell r="H870">
            <v>5630.4841880242557</v>
          </cell>
          <cell r="K870">
            <v>4408903.8291331204</v>
          </cell>
        </row>
        <row r="871">
          <cell r="F871">
            <v>9947.8547307000008</v>
          </cell>
          <cell r="H871">
            <v>5639.2228328389401</v>
          </cell>
          <cell r="K871">
            <v>4391614.2193572782</v>
          </cell>
        </row>
        <row r="872">
          <cell r="F872">
            <v>9965.5579874999985</v>
          </cell>
          <cell r="H872">
            <v>5642.6038916422858</v>
          </cell>
          <cell r="K872">
            <v>4384856.1326966072</v>
          </cell>
        </row>
        <row r="873">
          <cell r="F873">
            <v>9976.3035454000019</v>
          </cell>
          <cell r="H873">
            <v>5644.6461468379648</v>
          </cell>
          <cell r="K873">
            <v>4380732.225255141</v>
          </cell>
        </row>
        <row r="874">
          <cell r="F874">
            <v>9986.690253499999</v>
          </cell>
          <cell r="H874">
            <v>5646.6105474869883</v>
          </cell>
          <cell r="K874">
            <v>4376724.8961965069</v>
          </cell>
        </row>
        <row r="875">
          <cell r="F875">
            <v>10013.364755300001</v>
          </cell>
          <cell r="H875">
            <v>5651.6306093963749</v>
          </cell>
          <cell r="K875">
            <v>4366379.2303380612</v>
          </cell>
        </row>
        <row r="876">
          <cell r="F876">
            <v>10017.890249999999</v>
          </cell>
          <cell r="H876">
            <v>5652.4780881901015</v>
          </cell>
          <cell r="K876">
            <v>4364614.8131363224</v>
          </cell>
        </row>
        <row r="877">
          <cell r="F877">
            <v>10044.684368400001</v>
          </cell>
          <cell r="H877">
            <v>5657.4708583938191</v>
          </cell>
          <cell r="K877">
            <v>4354113.6851624623</v>
          </cell>
        </row>
        <row r="878">
          <cell r="F878">
            <v>10063.763216100002</v>
          </cell>
          <cell r="H878">
            <v>5661.0082469776016</v>
          </cell>
          <cell r="K878">
            <v>4346597.4880009443</v>
          </cell>
        </row>
        <row r="879">
          <cell r="F879">
            <v>10186.330358900001</v>
          </cell>
          <cell r="H879">
            <v>5683.619378804553</v>
          </cell>
          <cell r="K879">
            <v>4298062.1524619721</v>
          </cell>
        </row>
        <row r="880">
          <cell r="F880">
            <v>10206.984158500003</v>
          </cell>
          <cell r="H880">
            <v>5687.4103875601295</v>
          </cell>
          <cell r="K880">
            <v>4289841.4219566826</v>
          </cell>
        </row>
        <row r="881">
          <cell r="F881">
            <v>10222.554252600001</v>
          </cell>
          <cell r="H881">
            <v>5690.2538108785766</v>
          </cell>
          <cell r="K881">
            <v>4283612.4437440811</v>
          </cell>
        </row>
        <row r="882">
          <cell r="F882">
            <v>10253.734313000001</v>
          </cell>
          <cell r="H882">
            <v>5695.9189612579448</v>
          </cell>
          <cell r="K882">
            <v>4271075.0747549003</v>
          </cell>
        </row>
        <row r="883">
          <cell r="F883">
            <v>10257.8810218</v>
          </cell>
          <cell r="H883">
            <v>5696.6685289731859</v>
          </cell>
          <cell r="K883">
            <v>4269399.2610112755</v>
          </cell>
        </row>
        <row r="884">
          <cell r="F884">
            <v>10294.643190199999</v>
          </cell>
          <cell r="H884">
            <v>5703.2795694800625</v>
          </cell>
          <cell r="K884">
            <v>4254467.7050013375</v>
          </cell>
        </row>
        <row r="885">
          <cell r="F885">
            <v>10335.631811800002</v>
          </cell>
          <cell r="H885">
            <v>5710.6125710209553</v>
          </cell>
          <cell r="K885">
            <v>4237736.081095892</v>
          </cell>
        </row>
        <row r="886">
          <cell r="F886">
            <v>10337.685230100002</v>
          </cell>
          <cell r="H886">
            <v>5710.9780260436783</v>
          </cell>
          <cell r="K886">
            <v>4236893.6929556541</v>
          </cell>
        </row>
        <row r="887">
          <cell r="F887">
            <v>10350.8031839</v>
          </cell>
          <cell r="H887">
            <v>5713.3004890538077</v>
          </cell>
          <cell r="K887">
            <v>4231485.5239078403</v>
          </cell>
        </row>
        <row r="888">
          <cell r="F888">
            <v>10386.0701448</v>
          </cell>
          <cell r="H888">
            <v>5719.5115383944676</v>
          </cell>
          <cell r="K888">
            <v>4216874.1532438835</v>
          </cell>
        </row>
        <row r="889">
          <cell r="F889">
            <v>10421.975060899998</v>
          </cell>
          <cell r="H889">
            <v>5725.8015724881943</v>
          </cell>
          <cell r="K889">
            <v>4201925.3950291462</v>
          </cell>
        </row>
        <row r="890">
          <cell r="F890">
            <v>10438.801129300002</v>
          </cell>
          <cell r="H890">
            <v>5728.7336243701648</v>
          </cell>
          <cell r="K890">
            <v>4194885.7339306595</v>
          </cell>
        </row>
        <row r="891">
          <cell r="F891">
            <v>10438.960618099998</v>
          </cell>
          <cell r="H891">
            <v>5728.7612681073388</v>
          </cell>
          <cell r="K891">
            <v>4194818.6826750757</v>
          </cell>
        </row>
        <row r="892">
          <cell r="F892">
            <v>10459.494801100001</v>
          </cell>
          <cell r="H892">
            <v>5732.3013154553873</v>
          </cell>
          <cell r="K892">
            <v>4186144.0399672976</v>
          </cell>
        </row>
        <row r="893">
          <cell r="F893">
            <v>10595.339386500002</v>
          </cell>
          <cell r="H893">
            <v>5755.5943693645877</v>
          </cell>
          <cell r="K893">
            <v>4128480.159708445</v>
          </cell>
        </row>
        <row r="894">
          <cell r="F894">
            <v>10602.635999100001</v>
          </cell>
          <cell r="H894">
            <v>5756.8387266249038</v>
          </cell>
          <cell r="K894">
            <v>4125368.0120285377</v>
          </cell>
        </row>
        <row r="895">
          <cell r="F895">
            <v>10603.533123600002</v>
          </cell>
          <cell r="H895">
            <v>5756.9908876111958</v>
          </cell>
          <cell r="K895">
            <v>4124983.5449885186</v>
          </cell>
        </row>
        <row r="896">
          <cell r="F896">
            <v>10641.810435600002</v>
          </cell>
          <cell r="H896">
            <v>5763.4475159829435</v>
          </cell>
          <cell r="K896">
            <v>4108501.7115226453</v>
          </cell>
        </row>
        <row r="897">
          <cell r="F897">
            <v>10641.9898605</v>
          </cell>
          <cell r="H897">
            <v>5763.4776146766699</v>
          </cell>
          <cell r="K897">
            <v>4108424.0877419077</v>
          </cell>
        </row>
        <row r="898">
          <cell r="F898">
            <v>10678.492859600001</v>
          </cell>
          <cell r="H898">
            <v>5769.567101980062</v>
          </cell>
          <cell r="K898">
            <v>4092557.6656563366</v>
          </cell>
        </row>
        <row r="899">
          <cell r="F899">
            <v>10682.081357600004</v>
          </cell>
          <cell r="H899">
            <v>5770.1624057839663</v>
          </cell>
          <cell r="K899">
            <v>4090990.5825868836</v>
          </cell>
        </row>
        <row r="900">
          <cell r="F900">
            <v>10743.584226099998</v>
          </cell>
          <cell r="H900">
            <v>5780.3080927344763</v>
          </cell>
          <cell r="K900">
            <v>4064007.3422085028</v>
          </cell>
        </row>
        <row r="901">
          <cell r="F901">
            <v>10769.580900500001</v>
          </cell>
          <cell r="H901">
            <v>5784.572417113287</v>
          </cell>
          <cell r="K901">
            <v>4052548.8730780985</v>
          </cell>
        </row>
        <row r="902">
          <cell r="F902">
            <v>10793.962750799999</v>
          </cell>
          <cell r="H902">
            <v>5788.5491965999499</v>
          </cell>
          <cell r="K902">
            <v>4041752.5399138927</v>
          </cell>
        </row>
        <row r="903">
          <cell r="F903">
            <v>10811.984985200001</v>
          </cell>
          <cell r="H903">
            <v>5791.471947438984</v>
          </cell>
          <cell r="K903">
            <v>4033735.5767313726</v>
          </cell>
        </row>
        <row r="904">
          <cell r="F904">
            <v>10815.7927803</v>
          </cell>
          <cell r="H904">
            <v>5792.0859367046442</v>
          </cell>
          <cell r="K904">
            <v>4032033.9771431712</v>
          </cell>
        </row>
        <row r="905">
          <cell r="F905">
            <v>10858.077248399999</v>
          </cell>
          <cell r="H905">
            <v>5798.8648128637979</v>
          </cell>
          <cell r="K905">
            <v>4013052.1414517174</v>
          </cell>
        </row>
        <row r="906">
          <cell r="F906">
            <v>10868.244659399999</v>
          </cell>
          <cell r="H906">
            <v>5800.4853621077573</v>
          </cell>
          <cell r="K906">
            <v>4008467.2154959887</v>
          </cell>
        </row>
        <row r="907">
          <cell r="F907">
            <v>10890.413602600001</v>
          </cell>
          <cell r="H907">
            <v>5803.9981918620324</v>
          </cell>
          <cell r="K907">
            <v>3998425.1580978502</v>
          </cell>
        </row>
        <row r="908">
          <cell r="F908">
            <v>10901.338585400001</v>
          </cell>
          <cell r="H908">
            <v>5805.7191812529245</v>
          </cell>
          <cell r="K908">
            <v>3993454.1386239063</v>
          </cell>
        </row>
        <row r="909">
          <cell r="F909">
            <v>10935.509060800001</v>
          </cell>
          <cell r="H909">
            <v>5811.0702268894483</v>
          </cell>
          <cell r="K909">
            <v>3977836.5482478905</v>
          </cell>
        </row>
        <row r="910">
          <cell r="F910">
            <v>10991.928223800003</v>
          </cell>
          <cell r="H910">
            <v>5819.8529497542258</v>
          </cell>
          <cell r="K910">
            <v>3951935.3809217522</v>
          </cell>
        </row>
        <row r="911">
          <cell r="F911">
            <v>10993.343686900002</v>
          </cell>
          <cell r="H911">
            <v>5820.0719781986027</v>
          </cell>
          <cell r="K911">
            <v>3951282.6827349365</v>
          </cell>
        </row>
        <row r="912">
          <cell r="F912">
            <v>11028.112245300001</v>
          </cell>
          <cell r="H912">
            <v>5825.4197443837329</v>
          </cell>
          <cell r="K912">
            <v>3935179.4439603752</v>
          </cell>
        </row>
        <row r="913">
          <cell r="F913">
            <v>11067.984445300002</v>
          </cell>
          <cell r="H913">
            <v>5831.5154478223949</v>
          </cell>
          <cell r="K913">
            <v>3916631.2744910428</v>
          </cell>
        </row>
        <row r="914">
          <cell r="F914">
            <v>11141.1100601</v>
          </cell>
          <cell r="H914">
            <v>5842.6270073203495</v>
          </cell>
          <cell r="K914">
            <v>3882465.0979515659</v>
          </cell>
        </row>
        <row r="915">
          <cell r="F915">
            <v>11144.519133200001</v>
          </cell>
          <cell r="H915">
            <v>5843.1418533972546</v>
          </cell>
          <cell r="K915">
            <v>3880865.3523799861</v>
          </cell>
        </row>
        <row r="916">
          <cell r="F916">
            <v>11151.237598899999</v>
          </cell>
          <cell r="H916">
            <v>5844.1502476449778</v>
          </cell>
          <cell r="K916">
            <v>3877698.9632225009</v>
          </cell>
        </row>
        <row r="917">
          <cell r="F917">
            <v>11165.192868900001</v>
          </cell>
          <cell r="H917">
            <v>5846.2318655213721</v>
          </cell>
          <cell r="K917">
            <v>3871093.4903718056</v>
          </cell>
        </row>
        <row r="918">
          <cell r="F918">
            <v>11180.583538099998</v>
          </cell>
          <cell r="H918">
            <v>5848.5132890691411</v>
          </cell>
          <cell r="K918">
            <v>3863777.2725814199</v>
          </cell>
        </row>
        <row r="919">
          <cell r="F919">
            <v>11261.7234651</v>
          </cell>
          <cell r="H919">
            <v>5860.4655924422823</v>
          </cell>
          <cell r="K919">
            <v>3825040.8753685979</v>
          </cell>
        </row>
        <row r="920">
          <cell r="F920">
            <v>11263.896500000001</v>
          </cell>
          <cell r="H920">
            <v>5860.7836714355444</v>
          </cell>
          <cell r="K920">
            <v>3823999.0404438423</v>
          </cell>
        </row>
        <row r="921">
          <cell r="F921">
            <v>11294.2193081</v>
          </cell>
          <cell r="H921">
            <v>5865.1940055132864</v>
          </cell>
          <cell r="K921">
            <v>3809399.4255940951</v>
          </cell>
        </row>
        <row r="922">
          <cell r="F922">
            <v>11327.3730424</v>
          </cell>
          <cell r="H922">
            <v>5869.9852747360092</v>
          </cell>
          <cell r="K922">
            <v>3793369.3177518602</v>
          </cell>
        </row>
        <row r="923">
          <cell r="F923">
            <v>11329.067610900001</v>
          </cell>
          <cell r="H923">
            <v>5870.2285933542717</v>
          </cell>
          <cell r="K923">
            <v>3792546.5307258517</v>
          </cell>
        </row>
        <row r="924">
          <cell r="F924">
            <v>11355.363326799999</v>
          </cell>
          <cell r="H924">
            <v>5873.979887397626</v>
          </cell>
          <cell r="K924">
            <v>3779725.2919608019</v>
          </cell>
        </row>
        <row r="925">
          <cell r="F925">
            <v>11358.792336</v>
          </cell>
          <cell r="H925">
            <v>5874.4658761550609</v>
          </cell>
          <cell r="K925">
            <v>3778046.3999795839</v>
          </cell>
        </row>
        <row r="926">
          <cell r="F926">
            <v>11425.837440300002</v>
          </cell>
          <cell r="H926">
            <v>5883.9057769928395</v>
          </cell>
          <cell r="K926">
            <v>3745083.6993743163</v>
          </cell>
        </row>
        <row r="927">
          <cell r="F927">
            <v>11430.921145800001</v>
          </cell>
          <cell r="H927">
            <v>5884.616834314168</v>
          </cell>
          <cell r="K927">
            <v>3742573.9505080283</v>
          </cell>
        </row>
        <row r="928">
          <cell r="F928">
            <v>11438.7959053</v>
          </cell>
          <cell r="H928">
            <v>5885.7109574974857</v>
          </cell>
          <cell r="K928">
            <v>3738670.2726794956</v>
          </cell>
        </row>
        <row r="929">
          <cell r="F929">
            <v>11513.855321800002</v>
          </cell>
          <cell r="H929">
            <v>5896.0699940683498</v>
          </cell>
          <cell r="K929">
            <v>3701309.0295696873</v>
          </cell>
        </row>
        <row r="930">
          <cell r="F930">
            <v>11521.470912000001</v>
          </cell>
          <cell r="H930">
            <v>5897.1139527621226</v>
          </cell>
          <cell r="K930">
            <v>3697502.8269490479</v>
          </cell>
        </row>
        <row r="931">
          <cell r="F931">
            <v>11538.516277500003</v>
          </cell>
          <cell r="H931">
            <v>5899.4347204626338</v>
          </cell>
          <cell r="K931">
            <v>3688949.0158131681</v>
          </cell>
        </row>
        <row r="932">
          <cell r="F932">
            <v>11585.047134899998</v>
          </cell>
          <cell r="H932">
            <v>5905.7267648415364</v>
          </cell>
          <cell r="K932">
            <v>3665503.9070829656</v>
          </cell>
        </row>
        <row r="933">
          <cell r="F933">
            <v>11601.913075500002</v>
          </cell>
          <cell r="H933">
            <v>5907.9917540763881</v>
          </cell>
          <cell r="K933">
            <v>3656971.4810272865</v>
          </cell>
        </row>
        <row r="934">
          <cell r="F934">
            <v>11605.561381800002</v>
          </cell>
          <cell r="H934">
            <v>5908.4783079370291</v>
          </cell>
          <cell r="K934">
            <v>3655118.3889420936</v>
          </cell>
        </row>
        <row r="935">
          <cell r="F935">
            <v>11618.320485799999</v>
          </cell>
          <cell r="H935">
            <v>5910.1680591637942</v>
          </cell>
          <cell r="K935">
            <v>3648611.6609287122</v>
          </cell>
        </row>
        <row r="936">
          <cell r="F936">
            <v>11627.7701972</v>
          </cell>
          <cell r="H936">
            <v>5911.4107489064527</v>
          </cell>
          <cell r="K936">
            <v>3643773.3823451316</v>
          </cell>
        </row>
        <row r="937">
          <cell r="F937">
            <v>11691.525845</v>
          </cell>
          <cell r="H937">
            <v>5919.7357196461371</v>
          </cell>
          <cell r="K937">
            <v>3611000.5500250384</v>
          </cell>
        </row>
        <row r="938">
          <cell r="F938">
            <v>11697.406994499999</v>
          </cell>
          <cell r="H938">
            <v>5920.4981920952541</v>
          </cell>
          <cell r="K938">
            <v>3607965.4450886063</v>
          </cell>
        </row>
        <row r="939">
          <cell r="F939">
            <v>11736.242517300001</v>
          </cell>
          <cell r="H939">
            <v>5925.4970024184886</v>
          </cell>
          <cell r="K939">
            <v>3587844.4214564916</v>
          </cell>
        </row>
        <row r="940">
          <cell r="F940">
            <v>11883.231382600001</v>
          </cell>
          <cell r="H940">
            <v>5944.2804308374016</v>
          </cell>
          <cell r="K940">
            <v>3511389.0374539066</v>
          </cell>
        </row>
        <row r="941">
          <cell r="F941">
            <v>11901.572594600002</v>
          </cell>
          <cell r="H941">
            <v>5946.6071738095206</v>
          </cell>
          <cell r="K941">
            <v>3501811.6349628493</v>
          </cell>
        </row>
        <row r="942">
          <cell r="F942">
            <v>11927.7088217</v>
          </cell>
          <cell r="H942">
            <v>5949.8984923709049</v>
          </cell>
          <cell r="K942">
            <v>3488110.6409322806</v>
          </cell>
        </row>
        <row r="943">
          <cell r="F943">
            <v>12014.291304000002</v>
          </cell>
          <cell r="H943">
            <v>5960.721302658405</v>
          </cell>
          <cell r="K943">
            <v>3442546.6096219048</v>
          </cell>
        </row>
        <row r="944">
          <cell r="F944">
            <v>12039.091812400002</v>
          </cell>
          <cell r="H944">
            <v>5963.7983174087767</v>
          </cell>
          <cell r="K944">
            <v>3429444.8652052172</v>
          </cell>
        </row>
        <row r="945">
          <cell r="F945">
            <v>12063.194557299999</v>
          </cell>
          <cell r="H945">
            <v>5966.7663598801983</v>
          </cell>
          <cell r="K945">
            <v>3416662.6822976358</v>
          </cell>
        </row>
        <row r="946">
          <cell r="F946">
            <v>12098.321965499999</v>
          </cell>
          <cell r="H946">
            <v>5971.0593470347521</v>
          </cell>
          <cell r="K946">
            <v>3397962.3976061083</v>
          </cell>
        </row>
        <row r="947">
          <cell r="F947">
            <v>12131.4358276</v>
          </cell>
          <cell r="H947">
            <v>5975.0754799381448</v>
          </cell>
          <cell r="K947">
            <v>3380266.6389845368</v>
          </cell>
        </row>
        <row r="948">
          <cell r="F948">
            <v>12166.583171900002</v>
          </cell>
          <cell r="H948">
            <v>5979.3055738850317</v>
          </cell>
          <cell r="K948">
            <v>3361412.669288218</v>
          </cell>
        </row>
        <row r="949">
          <cell r="F949">
            <v>12171.766557900002</v>
          </cell>
          <cell r="H949">
            <v>5979.9245934956261</v>
          </cell>
          <cell r="K949">
            <v>3358621.6134354193</v>
          </cell>
        </row>
        <row r="950">
          <cell r="F950">
            <v>12215.785466700001</v>
          </cell>
          <cell r="H950">
            <v>5985.140588729827</v>
          </cell>
          <cell r="K950">
            <v>3334829.5159583203</v>
          </cell>
        </row>
        <row r="951">
          <cell r="F951">
            <v>12240.566039000001</v>
          </cell>
          <cell r="H951">
            <v>5988.0539180940932</v>
          </cell>
          <cell r="K951">
            <v>3321385.2494260613</v>
          </cell>
        </row>
        <row r="952">
          <cell r="F952">
            <v>12262.914407100001</v>
          </cell>
          <cell r="H952">
            <v>5990.660535377132</v>
          </cell>
          <cell r="K952">
            <v>3309215.0467959195</v>
          </cell>
        </row>
        <row r="953">
          <cell r="F953">
            <v>12291.642327200001</v>
          </cell>
          <cell r="H953">
            <v>5993.984537284613</v>
          </cell>
          <cell r="K953">
            <v>3293512.2748933025</v>
          </cell>
        </row>
        <row r="954">
          <cell r="F954">
            <v>12345.1109474</v>
          </cell>
          <cell r="H954">
            <v>6000.1215025213232</v>
          </cell>
          <cell r="K954">
            <v>3264177.3326016963</v>
          </cell>
        </row>
        <row r="955">
          <cell r="F955">
            <v>12464.0696561</v>
          </cell>
          <cell r="H955">
            <v>6013.6646640601248</v>
          </cell>
          <cell r="K955">
            <v>3198669.8894116729</v>
          </cell>
        </row>
        <row r="956">
          <cell r="F956">
            <v>12469.831188999999</v>
          </cell>
          <cell r="H956">
            <v>6014.3152460743904</v>
          </cell>
          <cell r="K956">
            <v>3195485.4377029147</v>
          </cell>
        </row>
        <row r="957">
          <cell r="F957">
            <v>12507.530354100001</v>
          </cell>
          <cell r="H957">
            <v>6018.5371321288048</v>
          </cell>
          <cell r="K957">
            <v>3174572.0360820815</v>
          </cell>
        </row>
        <row r="958">
          <cell r="F958">
            <v>12635.799221500001</v>
          </cell>
          <cell r="H958">
            <v>6032.7826057852171</v>
          </cell>
          <cell r="K958">
            <v>3103154.5294696223</v>
          </cell>
        </row>
        <row r="959">
          <cell r="F959">
            <v>12659.224139</v>
          </cell>
          <cell r="H959">
            <v>6035.3623945619365</v>
          </cell>
          <cell r="K959">
            <v>3090064.3328906409</v>
          </cell>
        </row>
        <row r="960">
          <cell r="F960">
            <v>12823.776708400002</v>
          </cell>
          <cell r="H960">
            <v>6053.3316574843348</v>
          </cell>
          <cell r="K960">
            <v>2997774.9631706942</v>
          </cell>
        </row>
        <row r="961">
          <cell r="F961">
            <v>12847.201625900003</v>
          </cell>
          <cell r="H961">
            <v>6055.8679055222065</v>
          </cell>
          <cell r="K961">
            <v>2984589.4123736322</v>
          </cell>
        </row>
        <row r="962">
          <cell r="F962">
            <v>12855.694404500002</v>
          </cell>
          <cell r="H962">
            <v>6056.7795374258312</v>
          </cell>
          <cell r="K962">
            <v>2979791.6633625701</v>
          </cell>
        </row>
        <row r="963">
          <cell r="F963">
            <v>12879.896829900004</v>
          </cell>
          <cell r="H963">
            <v>6059.3549813926529</v>
          </cell>
          <cell r="K963">
            <v>2966069.9453299083</v>
          </cell>
        </row>
        <row r="964">
          <cell r="F964">
            <v>12900.590501700002</v>
          </cell>
          <cell r="H964">
            <v>6061.5378175908872</v>
          </cell>
          <cell r="K964">
            <v>2954295.4191640411</v>
          </cell>
        </row>
        <row r="965">
          <cell r="F965">
            <v>12929.0193803</v>
          </cell>
          <cell r="H965">
            <v>6064.5101678162591</v>
          </cell>
          <cell r="K965">
            <v>2938061.7632776052</v>
          </cell>
        </row>
        <row r="966">
          <cell r="F966">
            <v>12943.253755699996</v>
          </cell>
          <cell r="H966">
            <v>6065.9851983525969</v>
          </cell>
          <cell r="K966">
            <v>2929904.5798321906</v>
          </cell>
        </row>
        <row r="967">
          <cell r="F967">
            <v>12972.500014400001</v>
          </cell>
          <cell r="H967">
            <v>6068.9886477822911</v>
          </cell>
          <cell r="K967">
            <v>2913085.1271232199</v>
          </cell>
        </row>
        <row r="968">
          <cell r="F968">
            <v>13076.486712</v>
          </cell>
          <cell r="H968">
            <v>6079.5709371755993</v>
          </cell>
          <cell r="K968">
            <v>2853070.9828145634</v>
          </cell>
        </row>
        <row r="969">
          <cell r="F969">
            <v>13136.354820300003</v>
          </cell>
          <cell r="H969">
            <v>6085.6078235608693</v>
          </cell>
          <cell r="K969">
            <v>2818397.277358301</v>
          </cell>
        </row>
        <row r="970">
          <cell r="F970">
            <v>13228.240305199999</v>
          </cell>
          <cell r="H970">
            <v>6094.7878325076626</v>
          </cell>
          <cell r="K970">
            <v>2764993.1090317797</v>
          </cell>
        </row>
        <row r="971">
          <cell r="F971">
            <v>13233.862285399999</v>
          </cell>
          <cell r="H971">
            <v>6095.3442831501343</v>
          </cell>
          <cell r="K971">
            <v>2761714.1517787948</v>
          </cell>
        </row>
        <row r="972">
          <cell r="F972">
            <v>13367.793005200001</v>
          </cell>
          <cell r="H972">
            <v>6108.4759661788521</v>
          </cell>
          <cell r="K972">
            <v>2683327.9617716856</v>
          </cell>
        </row>
        <row r="973">
          <cell r="F973">
            <v>13372.3184999</v>
          </cell>
          <cell r="H973">
            <v>6108.9154775135639</v>
          </cell>
          <cell r="K973">
            <v>2680670.0958347041</v>
          </cell>
        </row>
        <row r="974">
          <cell r="F974">
            <v>13390.779328500001</v>
          </cell>
          <cell r="H974">
            <v>6110.6912170675605</v>
          </cell>
          <cell r="K974">
            <v>2669790.3025779556</v>
          </cell>
        </row>
        <row r="975">
          <cell r="F975">
            <v>13424.969739999999</v>
          </cell>
          <cell r="H975">
            <v>6113.9482032931646</v>
          </cell>
          <cell r="K975">
            <v>2649570.7732120343</v>
          </cell>
        </row>
        <row r="976">
          <cell r="F976">
            <v>13430.850889500003</v>
          </cell>
          <cell r="H976">
            <v>6114.5029771539921</v>
          </cell>
          <cell r="K976">
            <v>2646080.8083672412</v>
          </cell>
        </row>
        <row r="977">
          <cell r="F977">
            <v>13456.0102477</v>
          </cell>
          <cell r="H977">
            <v>6116.852898621557</v>
          </cell>
          <cell r="K977">
            <v>2631099.6498212088</v>
          </cell>
        </row>
        <row r="978">
          <cell r="F978">
            <v>13484.478998500001</v>
          </cell>
          <cell r="H978">
            <v>6119.4854643321514</v>
          </cell>
          <cell r="K978">
            <v>2614089.9680874124</v>
          </cell>
        </row>
        <row r="979">
          <cell r="F979">
            <v>13497.716568900003</v>
          </cell>
          <cell r="H979">
            <v>6120.6972679421888</v>
          </cell>
          <cell r="K979">
            <v>2606153.7616733927</v>
          </cell>
        </row>
        <row r="980">
          <cell r="F980">
            <v>13516.336886299998</v>
          </cell>
          <cell r="H980">
            <v>6122.3845178924676</v>
          </cell>
          <cell r="K980">
            <v>2594952.5851445068</v>
          </cell>
        </row>
        <row r="981">
          <cell r="F981">
            <v>13539.024168100001</v>
          </cell>
          <cell r="H981">
            <v>6124.4192044107767</v>
          </cell>
          <cell r="K981">
            <v>2581258.7231796011</v>
          </cell>
        </row>
        <row r="982">
          <cell r="F982">
            <v>13577.381224499999</v>
          </cell>
          <cell r="H982">
            <v>6127.8235714053862</v>
          </cell>
          <cell r="K982">
            <v>2558028.6417777967</v>
          </cell>
        </row>
        <row r="983">
          <cell r="F983">
            <v>13596.798985899997</v>
          </cell>
          <cell r="H983">
            <v>6129.5289417142149</v>
          </cell>
          <cell r="K983">
            <v>2546229.1936341301</v>
          </cell>
        </row>
        <row r="984">
          <cell r="F984">
            <v>13684.677314700002</v>
          </cell>
          <cell r="H984">
            <v>6137.1652091331744</v>
          </cell>
          <cell r="K984">
            <v>2492649.9562416505</v>
          </cell>
        </row>
        <row r="985">
          <cell r="F985">
            <v>13720.701847400001</v>
          </cell>
          <cell r="H985">
            <v>6140.2621136636108</v>
          </cell>
          <cell r="K985">
            <v>2470612.5510033052</v>
          </cell>
        </row>
        <row r="986">
          <cell r="F986">
            <v>13833.540173400001</v>
          </cell>
          <cell r="H986">
            <v>6149.857566106919</v>
          </cell>
          <cell r="K986">
            <v>2401355.9310541525</v>
          </cell>
        </row>
        <row r="987">
          <cell r="F987">
            <v>13851.941193699999</v>
          </cell>
          <cell r="H987">
            <v>6151.4052355652366</v>
          </cell>
          <cell r="K987">
            <v>2390024.510927869</v>
          </cell>
        </row>
        <row r="988">
          <cell r="F988">
            <v>13960.453385999999</v>
          </cell>
          <cell r="H988">
            <v>6160.4311102965103</v>
          </cell>
          <cell r="K988">
            <v>2322981.4227493554</v>
          </cell>
        </row>
        <row r="989">
          <cell r="F989">
            <v>13991.473957599999</v>
          </cell>
          <cell r="H989">
            <v>6162.9825234810824</v>
          </cell>
          <cell r="K989">
            <v>2303752.560343571</v>
          </cell>
        </row>
        <row r="990">
          <cell r="F990">
            <v>14136.409404599999</v>
          </cell>
          <cell r="H990">
            <v>6174.7686309276432</v>
          </cell>
          <cell r="K990">
            <v>2213615.7780515384</v>
          </cell>
        </row>
        <row r="991">
          <cell r="F991">
            <v>14213.841217000001</v>
          </cell>
          <cell r="H991">
            <v>6180.9934002330338</v>
          </cell>
          <cell r="K991">
            <v>2165302.5729103461</v>
          </cell>
        </row>
        <row r="992">
          <cell r="F992">
            <v>14239.3793611</v>
          </cell>
          <cell r="H992">
            <v>6183.0226858469277</v>
          </cell>
          <cell r="K992">
            <v>2149316.1931247711</v>
          </cell>
        </row>
        <row r="993">
          <cell r="F993">
            <v>14376.141007099999</v>
          </cell>
          <cell r="H993">
            <v>6193.7627965225784</v>
          </cell>
          <cell r="K993">
            <v>2063427.718704449</v>
          </cell>
        </row>
        <row r="994">
          <cell r="F994">
            <v>14514.397860599998</v>
          </cell>
          <cell r="H994">
            <v>6204.4918367337768</v>
          </cell>
          <cell r="K994">
            <v>1976318.8339669723</v>
          </cell>
        </row>
        <row r="995">
          <cell r="F995">
            <v>14563.081816800002</v>
          </cell>
          <cell r="H995">
            <v>6208.2245750111933</v>
          </cell>
          <cell r="K995">
            <v>1945546.3658345118</v>
          </cell>
        </row>
        <row r="996">
          <cell r="F996">
            <v>14575.8209847</v>
          </cell>
          <cell r="H996">
            <v>6209.1894841039903</v>
          </cell>
          <cell r="K996">
            <v>1937468.1824277397</v>
          </cell>
        </row>
        <row r="997">
          <cell r="F997">
            <v>14585.190951700002</v>
          </cell>
          <cell r="H997">
            <v>6209.8904899994368</v>
          </cell>
          <cell r="K997">
            <v>1931507.4117387645</v>
          </cell>
        </row>
        <row r="998">
          <cell r="F998">
            <v>14593.723602499998</v>
          </cell>
          <cell r="H998">
            <v>6210.5209228420017</v>
          </cell>
          <cell r="K998">
            <v>1926061.9390239846</v>
          </cell>
        </row>
        <row r="999">
          <cell r="F999">
            <v>14603.671716400002</v>
          </cell>
          <cell r="H999">
            <v>6211.2466913746694</v>
          </cell>
          <cell r="K999">
            <v>1919692.8809905257</v>
          </cell>
        </row>
        <row r="1000">
          <cell r="F1000">
            <v>14614.357466000001</v>
          </cell>
          <cell r="H1000">
            <v>6212.016343413703</v>
          </cell>
          <cell r="K1000">
            <v>1912829.8192760106</v>
          </cell>
        </row>
        <row r="1001">
          <cell r="F1001">
            <v>14649.9234684</v>
          </cell>
          <cell r="H1001">
            <v>6214.5449671902825</v>
          </cell>
          <cell r="K1001">
            <v>1889914.7034267187</v>
          </cell>
        </row>
        <row r="1002">
          <cell r="F1002">
            <v>14693.025316600002</v>
          </cell>
          <cell r="H1002">
            <v>6217.5693069106355</v>
          </cell>
          <cell r="K1002">
            <v>1862056.52885429</v>
          </cell>
        </row>
        <row r="1003">
          <cell r="F1003">
            <v>14823.806132600002</v>
          </cell>
          <cell r="H1003">
            <v>6226.6242983530146</v>
          </cell>
          <cell r="K1003">
            <v>1777262.3073131032</v>
          </cell>
        </row>
        <row r="1004">
          <cell r="F1004">
            <v>14836.5453005</v>
          </cell>
          <cell r="H1004">
            <v>6227.4944924428382</v>
          </cell>
          <cell r="K1004">
            <v>1768976.6980498154</v>
          </cell>
        </row>
        <row r="1005">
          <cell r="F1005">
            <v>14848.506960500001</v>
          </cell>
          <cell r="H1005">
            <v>6228.3004593108681</v>
          </cell>
          <cell r="K1005">
            <v>1761172.4374908004</v>
          </cell>
        </row>
        <row r="1006">
          <cell r="F1006">
            <v>14951.437044799999</v>
          </cell>
          <cell r="H1006">
            <v>6235.1401442806173</v>
          </cell>
          <cell r="K1006">
            <v>1693807.2801345531</v>
          </cell>
        </row>
        <row r="1007">
          <cell r="F1007">
            <v>14979.108351600002</v>
          </cell>
          <cell r="H1007">
            <v>6236.953180646231</v>
          </cell>
          <cell r="K1007">
            <v>1675640.7843352426</v>
          </cell>
        </row>
        <row r="1008">
          <cell r="F1008">
            <v>15005.424003600003</v>
          </cell>
          <cell r="H1008">
            <v>6238.652936978945</v>
          </cell>
          <cell r="K1008">
            <v>1658310.7291038856</v>
          </cell>
        </row>
        <row r="1009">
          <cell r="F1009">
            <v>15139.354723400002</v>
          </cell>
          <cell r="H1009">
            <v>6247.179195627923</v>
          </cell>
          <cell r="K1009">
            <v>1569838.6597051509</v>
          </cell>
        </row>
        <row r="1010">
          <cell r="F1010">
            <v>15239.493753700001</v>
          </cell>
          <cell r="H1010">
            <v>6253.4611515249953</v>
          </cell>
          <cell r="K1010">
            <v>1503484.9188797381</v>
          </cell>
        </row>
        <row r="1011">
          <cell r="F1011">
            <v>15376.933227100004</v>
          </cell>
          <cell r="H1011">
            <v>6261.9553197230434</v>
          </cell>
          <cell r="K1011">
            <v>1412135.5685134623</v>
          </cell>
        </row>
        <row r="1012">
          <cell r="F1012">
            <v>15423.523892800002</v>
          </cell>
          <cell r="H1012">
            <v>6264.7914615477184</v>
          </cell>
          <cell r="K1012">
            <v>1381074.1865495015</v>
          </cell>
        </row>
        <row r="1013">
          <cell r="F1013">
            <v>15467.981395800001</v>
          </cell>
          <cell r="H1013">
            <v>6267.4564326848003</v>
          </cell>
          <cell r="K1013">
            <v>1351344.4709397126</v>
          </cell>
        </row>
        <row r="1014">
          <cell r="F1014">
            <v>15564.392375399999</v>
          </cell>
          <cell r="H1014">
            <v>6273.1461141017144</v>
          </cell>
          <cell r="K1014">
            <v>1286676.0895627569</v>
          </cell>
        </row>
        <row r="1015">
          <cell r="F1015">
            <v>15822.604742599997</v>
          </cell>
          <cell r="H1015">
            <v>6288.1445090366587</v>
          </cell>
          <cell r="K1015">
            <v>1112952.680710284</v>
          </cell>
        </row>
        <row r="1016">
          <cell r="F1016">
            <v>15861.041543400001</v>
          </cell>
          <cell r="H1016">
            <v>6290.341407967142</v>
          </cell>
          <cell r="K1016">
            <v>1087014.4487280399</v>
          </cell>
        </row>
        <row r="1017">
          <cell r="F1017">
            <v>15864.889210699999</v>
          </cell>
          <cell r="H1017">
            <v>6290.5577498552921</v>
          </cell>
          <cell r="K1017">
            <v>1084410.1036230903</v>
          </cell>
        </row>
        <row r="1018">
          <cell r="F1018">
            <v>15905.379429799999</v>
          </cell>
          <cell r="H1018">
            <v>6292.7967536066399</v>
          </cell>
          <cell r="K1018">
            <v>1056921.3465585429</v>
          </cell>
        </row>
        <row r="1019">
          <cell r="F1019">
            <v>16016.443442900001</v>
          </cell>
          <cell r="H1019">
            <v>6298.8350851738796</v>
          </cell>
          <cell r="K1019">
            <v>981294.08221079595</v>
          </cell>
        </row>
        <row r="1020">
          <cell r="F1020">
            <v>16085.641646000004</v>
          </cell>
          <cell r="H1020">
            <v>6302.5329445402831</v>
          </cell>
          <cell r="K1020">
            <v>934033.831743218</v>
          </cell>
        </row>
        <row r="1021">
          <cell r="F1021">
            <v>16090.246885100001</v>
          </cell>
          <cell r="H1021">
            <v>6302.7747623926525</v>
          </cell>
          <cell r="K1021">
            <v>930879.22155990824</v>
          </cell>
        </row>
        <row r="1022">
          <cell r="F1022">
            <v>16183.747194100002</v>
          </cell>
          <cell r="H1022">
            <v>6307.5975013791767</v>
          </cell>
          <cell r="K1022">
            <v>866640.77274039574</v>
          </cell>
        </row>
        <row r="1023">
          <cell r="F1023">
            <v>16191.781442400001</v>
          </cell>
          <cell r="H1023">
            <v>6308.0044405356357</v>
          </cell>
          <cell r="K1023">
            <v>861104.57085304148</v>
          </cell>
        </row>
        <row r="1024">
          <cell r="F1024">
            <v>16221.665656300002</v>
          </cell>
          <cell r="H1024">
            <v>6309.4903192007378</v>
          </cell>
          <cell r="K1024">
            <v>840451.27400961518</v>
          </cell>
        </row>
        <row r="1025">
          <cell r="F1025">
            <v>16233.846613400003</v>
          </cell>
          <cell r="H1025">
            <v>6310.0846502860077</v>
          </cell>
          <cell r="K1025">
            <v>832008.09340635501</v>
          </cell>
        </row>
        <row r="1026">
          <cell r="F1026">
            <v>16286.278556400001</v>
          </cell>
          <cell r="H1026">
            <v>6312.5941717214164</v>
          </cell>
          <cell r="K1026">
            <v>795558.39094990306</v>
          </cell>
        </row>
        <row r="1027">
          <cell r="F1027">
            <v>16324.456187900001</v>
          </cell>
          <cell r="H1027">
            <v>6314.3859657648645</v>
          </cell>
          <cell r="K1027">
            <v>768940.31470505334</v>
          </cell>
        </row>
        <row r="1028">
          <cell r="F1028">
            <v>16328.3835996</v>
          </cell>
          <cell r="H1028">
            <v>6314.5666413031076</v>
          </cell>
          <cell r="K1028">
            <v>766194.06477380544</v>
          </cell>
        </row>
        <row r="1029">
          <cell r="F1029">
            <v>16412.474069400007</v>
          </cell>
          <cell r="H1029">
            <v>6318.3569645236466</v>
          </cell>
          <cell r="K1029">
            <v>707222.49678678066</v>
          </cell>
        </row>
        <row r="1030">
          <cell r="F1030">
            <v>16451.449144900005</v>
          </cell>
          <cell r="H1030">
            <v>6320.0775185071507</v>
          </cell>
          <cell r="K1030">
            <v>679810.44961065613</v>
          </cell>
        </row>
        <row r="1031">
          <cell r="F1031">
            <v>16482.6292053</v>
          </cell>
          <cell r="H1031">
            <v>6321.424983942652</v>
          </cell>
          <cell r="K1031">
            <v>657817.35059440881</v>
          </cell>
        </row>
        <row r="1032">
          <cell r="F1032">
            <v>16545.288367600002</v>
          </cell>
          <cell r="H1032">
            <v>6324.0746046532931</v>
          </cell>
          <cell r="K1032">
            <v>613492.69011070952</v>
          </cell>
        </row>
        <row r="1033">
          <cell r="F1033">
            <v>16736.296141700004</v>
          </cell>
          <cell r="H1033">
            <v>6331.9740897345664</v>
          </cell>
          <cell r="K1033">
            <v>477986.34315869957</v>
          </cell>
        </row>
        <row r="1034">
          <cell r="F1034">
            <v>16815.821244600003</v>
          </cell>
          <cell r="H1034">
            <v>6335.1890915711374</v>
          </cell>
          <cell r="K1034">
            <v>421407.11486078985</v>
          </cell>
        </row>
        <row r="1035">
          <cell r="F1035">
            <v>16833.404884800002</v>
          </cell>
          <cell r="H1035">
            <v>6335.8836126756914</v>
          </cell>
          <cell r="K1035">
            <v>408861.20391976275</v>
          </cell>
        </row>
        <row r="1036">
          <cell r="F1036">
            <v>16947.3795685</v>
          </cell>
          <cell r="H1036">
            <v>6340.2794764057562</v>
          </cell>
          <cell r="K1036">
            <v>327308.39852860756</v>
          </cell>
        </row>
        <row r="1037">
          <cell r="F1037">
            <v>16957.686532200001</v>
          </cell>
          <cell r="H1037">
            <v>6340.6674243888883</v>
          </cell>
          <cell r="K1037">
            <v>319912.43365166336</v>
          </cell>
        </row>
        <row r="1038">
          <cell r="F1038">
            <v>17159.220567100001</v>
          </cell>
          <cell r="H1038">
            <v>6348.0657463020389</v>
          </cell>
          <cell r="K1038">
            <v>174887.53072146513</v>
          </cell>
        </row>
        <row r="1039">
          <cell r="F1039">
            <v>17439.262963800003</v>
          </cell>
          <cell r="H1039">
            <v>6358.0858506449295</v>
          </cell>
          <cell r="K1039">
            <v>-27202.358127603307</v>
          </cell>
        </row>
        <row r="1040">
          <cell r="F1040">
            <v>17555.311001900001</v>
          </cell>
          <cell r="H1040">
            <v>6362.1302757645853</v>
          </cell>
          <cell r="K1040">
            <v>-111183.49759555981</v>
          </cell>
        </row>
        <row r="1041">
          <cell r="F1041">
            <v>17590.877004299997</v>
          </cell>
          <cell r="H1041">
            <v>6363.3367433181165</v>
          </cell>
          <cell r="K1041">
            <v>-136994.13557332195</v>
          </cell>
        </row>
        <row r="1042">
          <cell r="F1042">
            <v>17704.991240700001</v>
          </cell>
          <cell r="H1042">
            <v>6367.1016646863327</v>
          </cell>
          <cell r="K1042">
            <v>-220040.34689693339</v>
          </cell>
        </row>
        <row r="1043">
          <cell r="F1043">
            <v>17730.9081707</v>
          </cell>
          <cell r="H1043">
            <v>6367.9326443192322</v>
          </cell>
          <cell r="K1043">
            <v>-238954.04550088197</v>
          </cell>
        </row>
        <row r="1044">
          <cell r="F1044">
            <v>17930.3090429</v>
          </cell>
          <cell r="H1044">
            <v>6374.1407569760167</v>
          </cell>
          <cell r="K1044">
            <v>-384878.97654252313</v>
          </cell>
        </row>
        <row r="1045">
          <cell r="F1045">
            <v>18505.545272300002</v>
          </cell>
          <cell r="H1045">
            <v>6391.5154572134707</v>
          </cell>
          <cell r="K1045">
            <v>-807017.36654249951</v>
          </cell>
        </row>
        <row r="1046">
          <cell r="F1046">
            <v>19032.057673300002</v>
          </cell>
          <cell r="H1046">
            <v>6406.9291566851252</v>
          </cell>
          <cell r="K1046">
            <v>-1194471.2854995765</v>
          </cell>
        </row>
        <row r="1047">
          <cell r="F1047">
            <v>19032.99467</v>
          </cell>
          <cell r="H1047">
            <v>6406.9557165358219</v>
          </cell>
          <cell r="K1047">
            <v>-1195162.7167865504</v>
          </cell>
        </row>
        <row r="1048">
          <cell r="F1048">
            <v>19204.485002199999</v>
          </cell>
          <cell r="H1048">
            <v>6411.6573566844281</v>
          </cell>
          <cell r="K1048">
            <v>-1322058.3906211015</v>
          </cell>
        </row>
        <row r="1049">
          <cell r="F1049">
            <v>19248.783016400004</v>
          </cell>
          <cell r="H1049">
            <v>6412.8306776925137</v>
          </cell>
          <cell r="K1049">
            <v>-1354927.2289733998</v>
          </cell>
        </row>
        <row r="1050">
          <cell r="F1050">
            <v>19289.990935099999</v>
          </cell>
          <cell r="H1050">
            <v>6413.8838540533407</v>
          </cell>
          <cell r="K1050">
            <v>-1385587.1077031828</v>
          </cell>
        </row>
        <row r="1051">
          <cell r="F1051">
            <v>19672.425141400003</v>
          </cell>
          <cell r="H1051">
            <v>6423.3025403609154</v>
          </cell>
          <cell r="K1051">
            <v>-1670907.549729595</v>
          </cell>
        </row>
        <row r="1052">
          <cell r="F1052">
            <v>19856.574897100003</v>
          </cell>
          <cell r="H1052">
            <v>6427.6666841995302</v>
          </cell>
          <cell r="K1052">
            <v>-1808669.8792830314</v>
          </cell>
        </row>
        <row r="1053">
          <cell r="F1053">
            <v>19860.861158599997</v>
          </cell>
          <cell r="H1053">
            <v>6427.7642803024573</v>
          </cell>
          <cell r="K1053">
            <v>-1811885.1530176159</v>
          </cell>
        </row>
        <row r="1054">
          <cell r="F1054">
            <v>19891.502944300002</v>
          </cell>
          <cell r="H1054">
            <v>6428.4335014585449</v>
          </cell>
          <cell r="K1054">
            <v>-1834932.9872457888</v>
          </cell>
        </row>
        <row r="1055">
          <cell r="F1055">
            <v>20087.414999000001</v>
          </cell>
          <cell r="H1055">
            <v>6432.5301754648181</v>
          </cell>
          <cell r="K1055">
            <v>-1982690.9149320498</v>
          </cell>
        </row>
        <row r="1056">
          <cell r="F1056">
            <v>20281.2138271</v>
          </cell>
          <cell r="H1056">
            <v>6436.4025498181172</v>
          </cell>
          <cell r="K1056">
            <v>-2129249.4775783233</v>
          </cell>
        </row>
        <row r="1057">
          <cell r="F1057">
            <v>20378.1431453</v>
          </cell>
          <cell r="H1057">
            <v>6438.2492515124477</v>
          </cell>
          <cell r="K1057">
            <v>-2202748.655427739</v>
          </cell>
        </row>
        <row r="1058">
          <cell r="F1058">
            <v>20444.789527600002</v>
          </cell>
          <cell r="H1058">
            <v>6439.4570623440923</v>
          </cell>
          <cell r="K1058">
            <v>-2253420.6555464379</v>
          </cell>
        </row>
        <row r="1059">
          <cell r="F1059">
            <v>20602.444206400003</v>
          </cell>
          <cell r="H1059">
            <v>6442.1676678810809</v>
          </cell>
          <cell r="K1059">
            <v>-2373608.172460435</v>
          </cell>
        </row>
        <row r="1060">
          <cell r="F1060">
            <v>21127.361719399996</v>
          </cell>
          <cell r="H1060">
            <v>6450.7048950906528</v>
          </cell>
          <cell r="K1060">
            <v>-2774845.6552714668</v>
          </cell>
        </row>
        <row r="1061">
          <cell r="F1061">
            <v>21681.844468699994</v>
          </cell>
          <cell r="H1061">
            <v>6459.20765100464</v>
          </cell>
          <cell r="K1061">
            <v>-3199810.8192598354</v>
          </cell>
        </row>
        <row r="1062">
          <cell r="F1062">
            <v>21977.197790200004</v>
          </cell>
          <cell r="H1062">
            <v>6463.4622759890735</v>
          </cell>
          <cell r="K1062">
            <v>-3426775.8477439303</v>
          </cell>
        </row>
        <row r="1063">
          <cell r="F1063">
            <v>22566.508906200001</v>
          </cell>
          <cell r="H1063">
            <v>6471.4037361953933</v>
          </cell>
          <cell r="K1063">
            <v>-3880832.9426920861</v>
          </cell>
        </row>
        <row r="1064">
          <cell r="F1064">
            <v>22759.5501625</v>
          </cell>
          <cell r="H1064">
            <v>6473.8257222177444</v>
          </cell>
          <cell r="K1064">
            <v>-4029961.7983431406</v>
          </cell>
        </row>
        <row r="1065">
          <cell r="F1065">
            <v>22969.317806699997</v>
          </cell>
          <cell r="H1065">
            <v>6476.2626139951608</v>
          </cell>
          <cell r="K1065">
            <v>-4192439.1207105983</v>
          </cell>
        </row>
        <row r="1066">
          <cell r="F1066">
            <v>23063.336454300003</v>
          </cell>
          <cell r="H1066">
            <v>6477.2674601358667</v>
          </cell>
          <cell r="K1066">
            <v>-4265453.425742453</v>
          </cell>
        </row>
        <row r="1067">
          <cell r="F1067">
            <v>24114.846112700005</v>
          </cell>
          <cell r="H1067">
            <v>6487.5284744604023</v>
          </cell>
          <cell r="K1067">
            <v>-5084189.5310917236</v>
          </cell>
        </row>
        <row r="1068">
          <cell r="F1068">
            <v>25060.196038600003</v>
          </cell>
          <cell r="H1068">
            <v>6495.8749654418616</v>
          </cell>
          <cell r="K1068">
            <v>-5822190.6565623228</v>
          </cell>
        </row>
        <row r="1069">
          <cell r="F1069">
            <v>25760.491423300002</v>
          </cell>
          <cell r="H1069">
            <v>6501.4070386481344</v>
          </cell>
          <cell r="K1069">
            <v>-6370311.7240005862</v>
          </cell>
        </row>
        <row r="1070">
          <cell r="F1070">
            <v>26126.259050000004</v>
          </cell>
          <cell r="H1070">
            <v>6503.9565341874004</v>
          </cell>
          <cell r="K1070">
            <v>-6657342.4301295951</v>
          </cell>
        </row>
        <row r="1071">
          <cell r="F1071">
            <v>26724.322113900009</v>
          </cell>
          <cell r="H1071">
            <v>6507.5693686812201</v>
          </cell>
          <cell r="K1071">
            <v>-7127880.7737081349</v>
          </cell>
        </row>
        <row r="1072">
          <cell r="F1072">
            <v>27179.403468600005</v>
          </cell>
          <cell r="H1072">
            <v>6509.8955280221589</v>
          </cell>
          <cell r="K1072">
            <v>-7486851.5685114749</v>
          </cell>
        </row>
        <row r="1073">
          <cell r="F1073">
            <v>27333.469649399995</v>
          </cell>
          <cell r="H1073">
            <v>6510.5398568452074</v>
          </cell>
          <cell r="K1073">
            <v>-7608693.4330289904</v>
          </cell>
        </row>
        <row r="1074">
          <cell r="F1074">
            <v>27583.568023900007</v>
          </cell>
          <cell r="H1074">
            <v>6511.3533738626329</v>
          </cell>
          <cell r="K1074">
            <v>-7806990.5303608384</v>
          </cell>
        </row>
        <row r="1075">
          <cell r="F1075">
            <v>27782.889151700001</v>
          </cell>
          <cell r="H1075">
            <v>6511.8164805722054</v>
          </cell>
          <cell r="K1075">
            <v>-7965433.2289068718</v>
          </cell>
        </row>
        <row r="1076">
          <cell r="F1076">
            <v>28530.7121988</v>
          </cell>
          <cell r="H1076">
            <v>6512.8589848200218</v>
          </cell>
          <cell r="K1076">
            <v>-8561408.5822841525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va de Permanência"/>
      <sheetName val="Vazão Ótima"/>
      <sheetName val="Planilha1"/>
      <sheetName val="Benefício Econômico (PCH)"/>
      <sheetName val="Solar"/>
      <sheetName val="Total"/>
      <sheetName val="Cálculos Energéticos 2 (Aula)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PH kW</v>
          </cell>
        </row>
        <row r="3">
          <cell r="C3">
            <v>0.99907063197026025</v>
          </cell>
          <cell r="D3">
            <v>27633.138396938197</v>
          </cell>
        </row>
        <row r="4">
          <cell r="C4">
            <v>0.9981412639405205</v>
          </cell>
          <cell r="D4">
            <v>26908.841799890655</v>
          </cell>
        </row>
        <row r="5">
          <cell r="C5">
            <v>0.99721189591078063</v>
          </cell>
          <cell r="D5">
            <v>26715.791297977041</v>
          </cell>
        </row>
        <row r="6">
          <cell r="C6">
            <v>0.99628252788104088</v>
          </cell>
          <cell r="D6">
            <v>26473.560997266268</v>
          </cell>
        </row>
        <row r="7">
          <cell r="C7">
            <v>0.99535315985130113</v>
          </cell>
          <cell r="D7">
            <v>26324.341725533079</v>
          </cell>
        </row>
        <row r="8">
          <cell r="C8">
            <v>0.99442379182156138</v>
          </cell>
          <cell r="D8">
            <v>25883.577191908142</v>
          </cell>
        </row>
        <row r="9">
          <cell r="C9">
            <v>0.99349442379182151</v>
          </cell>
          <cell r="D9">
            <v>25304.329141607439</v>
          </cell>
        </row>
        <row r="10">
          <cell r="C10">
            <v>0.99256505576208176</v>
          </cell>
          <cell r="D10">
            <v>24950.068533624937</v>
          </cell>
        </row>
        <row r="11">
          <cell r="C11">
            <v>0.99163568773234201</v>
          </cell>
          <cell r="D11">
            <v>24271.804382722799</v>
          </cell>
        </row>
        <row r="12">
          <cell r="C12">
            <v>0.99070631970260226</v>
          </cell>
          <cell r="D12">
            <v>23356.195085839256</v>
          </cell>
        </row>
        <row r="13">
          <cell r="C13">
            <v>0.9897769516728625</v>
          </cell>
          <cell r="D13">
            <v>22337.765832695466</v>
          </cell>
        </row>
        <row r="14">
          <cell r="C14">
            <v>0.98884758364312264</v>
          </cell>
          <cell r="D14">
            <v>22246.705003827228</v>
          </cell>
        </row>
        <row r="15">
          <cell r="C15">
            <v>0.98791821561338289</v>
          </cell>
          <cell r="D15">
            <v>22043.536632039366</v>
          </cell>
        </row>
        <row r="16">
          <cell r="C16">
            <v>0.98698884758364314</v>
          </cell>
          <cell r="D16">
            <v>21856.568437397487</v>
          </cell>
        </row>
        <row r="17">
          <cell r="C17">
            <v>0.98605947955390338</v>
          </cell>
          <cell r="D17">
            <v>21285.796999453254</v>
          </cell>
        </row>
        <row r="18">
          <cell r="C18">
            <v>0.98513011152416352</v>
          </cell>
          <cell r="D18">
            <v>20999.735468562056</v>
          </cell>
        </row>
        <row r="19">
          <cell r="C19">
            <v>0.98420074349442377</v>
          </cell>
          <cell r="D19">
            <v>20462.696699835975</v>
          </cell>
        </row>
        <row r="20">
          <cell r="C20">
            <v>0.98327137546468402</v>
          </cell>
          <cell r="D20">
            <v>19954.293047566978</v>
          </cell>
        </row>
        <row r="21">
          <cell r="C21">
            <v>0.98234200743494426</v>
          </cell>
          <cell r="D21">
            <v>19801.598171678514</v>
          </cell>
        </row>
        <row r="22">
          <cell r="C22">
            <v>0.98141263940520451</v>
          </cell>
          <cell r="D22">
            <v>19737.048478950244</v>
          </cell>
        </row>
        <row r="23">
          <cell r="C23">
            <v>0.98048327137546465</v>
          </cell>
          <cell r="D23">
            <v>19643.168548933845</v>
          </cell>
        </row>
        <row r="24">
          <cell r="C24">
            <v>0.9795539033457249</v>
          </cell>
          <cell r="D24">
            <v>19455.466615636964</v>
          </cell>
        </row>
        <row r="25">
          <cell r="C25">
            <v>0.97862453531598514</v>
          </cell>
          <cell r="D25">
            <v>19265.717937670859</v>
          </cell>
        </row>
        <row r="26">
          <cell r="C26">
            <v>0.97769516728624539</v>
          </cell>
          <cell r="D26">
            <v>19236.040139967197</v>
          </cell>
        </row>
        <row r="27">
          <cell r="C27">
            <v>0.97676579925650553</v>
          </cell>
          <cell r="D27">
            <v>19231.88872389284</v>
          </cell>
        </row>
        <row r="28">
          <cell r="C28">
            <v>0.97583643122676578</v>
          </cell>
          <cell r="D28">
            <v>19053.532303991258</v>
          </cell>
        </row>
        <row r="29">
          <cell r="C29">
            <v>0.97490706319702602</v>
          </cell>
          <cell r="D29">
            <v>18683.12944559869</v>
          </cell>
        </row>
        <row r="30">
          <cell r="C30">
            <v>0.97397769516728627</v>
          </cell>
          <cell r="D30">
            <v>18643.217924548935</v>
          </cell>
        </row>
        <row r="31">
          <cell r="C31">
            <v>0.97304832713754652</v>
          </cell>
          <cell r="D31">
            <v>18600.313522143249</v>
          </cell>
        </row>
        <row r="32">
          <cell r="C32">
            <v>0.97211895910780666</v>
          </cell>
          <cell r="D32">
            <v>18434.218261344999</v>
          </cell>
        </row>
        <row r="33">
          <cell r="C33">
            <v>0.97118959107806691</v>
          </cell>
          <cell r="D33">
            <v>18433.31074248223</v>
          </cell>
        </row>
        <row r="34">
          <cell r="C34">
            <v>0.97026022304832715</v>
          </cell>
          <cell r="D34">
            <v>17923.362377255329</v>
          </cell>
        </row>
        <row r="35">
          <cell r="C35">
            <v>0.9693308550185874</v>
          </cell>
          <cell r="D35">
            <v>17366.223031164573</v>
          </cell>
        </row>
        <row r="36">
          <cell r="C36">
            <v>0.96840148698884754</v>
          </cell>
          <cell r="D36">
            <v>17173.095293603063</v>
          </cell>
        </row>
        <row r="37">
          <cell r="C37">
            <v>0.96747211895910779</v>
          </cell>
          <cell r="D37">
            <v>17147.993708037178</v>
          </cell>
        </row>
        <row r="38">
          <cell r="C38">
            <v>0.96654275092936803</v>
          </cell>
          <cell r="D38">
            <v>17037.469495899397</v>
          </cell>
        </row>
        <row r="39">
          <cell r="C39">
            <v>0.96561338289962828</v>
          </cell>
          <cell r="D39">
            <v>17003.022396938217</v>
          </cell>
        </row>
        <row r="40">
          <cell r="C40">
            <v>0.96468401486988853</v>
          </cell>
          <cell r="D40">
            <v>16890.625220338985</v>
          </cell>
        </row>
        <row r="41">
          <cell r="C41">
            <v>0.96375464684014867</v>
          </cell>
          <cell r="D41">
            <v>16619.392933843632</v>
          </cell>
        </row>
        <row r="42">
          <cell r="C42">
            <v>0.96282527881040891</v>
          </cell>
          <cell r="D42">
            <v>16424.199142700931</v>
          </cell>
        </row>
        <row r="43">
          <cell r="C43">
            <v>0.96189591078066916</v>
          </cell>
          <cell r="D43">
            <v>16414.216435210499</v>
          </cell>
        </row>
        <row r="44">
          <cell r="C44">
            <v>0.96096654275092941</v>
          </cell>
          <cell r="D44">
            <v>16303.827385456534</v>
          </cell>
        </row>
        <row r="45">
          <cell r="C45">
            <v>0.96003717472118955</v>
          </cell>
          <cell r="D45">
            <v>16286.796925095685</v>
          </cell>
        </row>
        <row r="46">
          <cell r="C46">
            <v>0.95910780669144979</v>
          </cell>
          <cell r="D46">
            <v>16209.773675232369</v>
          </cell>
        </row>
        <row r="47">
          <cell r="C47">
            <v>0.95817843866171004</v>
          </cell>
          <cell r="D47">
            <v>16024.774989611809</v>
          </cell>
        </row>
        <row r="48">
          <cell r="C48">
            <v>0.95724907063197029</v>
          </cell>
          <cell r="D48">
            <v>15964.087079278292</v>
          </cell>
        </row>
        <row r="49">
          <cell r="C49">
            <v>0.95631970260223054</v>
          </cell>
          <cell r="D49">
            <v>15933.887940951337</v>
          </cell>
        </row>
        <row r="50">
          <cell r="C50">
            <v>0.95539033457249067</v>
          </cell>
          <cell r="D50">
            <v>15896.139018042646</v>
          </cell>
        </row>
        <row r="51">
          <cell r="C51">
            <v>0.95446096654275092</v>
          </cell>
          <cell r="D51">
            <v>15814.694027337344</v>
          </cell>
        </row>
        <row r="52">
          <cell r="C52">
            <v>0.95353159851301117</v>
          </cell>
          <cell r="D52">
            <v>15810.890171678511</v>
          </cell>
        </row>
        <row r="53">
          <cell r="C53">
            <v>0.95260223048327142</v>
          </cell>
          <cell r="D53">
            <v>15773.913605248772</v>
          </cell>
        </row>
        <row r="54">
          <cell r="C54">
            <v>0.95167286245353155</v>
          </cell>
          <cell r="D54">
            <v>15723.131166757792</v>
          </cell>
        </row>
        <row r="55">
          <cell r="C55">
            <v>0.9507434944237918</v>
          </cell>
          <cell r="D55">
            <v>15711.333421541829</v>
          </cell>
        </row>
        <row r="56">
          <cell r="C56">
            <v>0.94981412639405205</v>
          </cell>
          <cell r="D56">
            <v>15682.389362493164</v>
          </cell>
        </row>
        <row r="57">
          <cell r="C57">
            <v>0.9488847583643123</v>
          </cell>
          <cell r="D57">
            <v>15674.607870967744</v>
          </cell>
        </row>
        <row r="58">
          <cell r="C58">
            <v>0.94795539033457255</v>
          </cell>
          <cell r="D58">
            <v>15584.049073810829</v>
          </cell>
        </row>
        <row r="59">
          <cell r="C59">
            <v>0.94702602230483268</v>
          </cell>
          <cell r="D59">
            <v>15579.58871514489</v>
          </cell>
        </row>
        <row r="60">
          <cell r="C60">
            <v>0.94609665427509293</v>
          </cell>
          <cell r="D60">
            <v>15512.567481683978</v>
          </cell>
        </row>
        <row r="61">
          <cell r="C61">
            <v>0.94516728624535318</v>
          </cell>
          <cell r="D61">
            <v>15404.997533078184</v>
          </cell>
        </row>
        <row r="62">
          <cell r="C62">
            <v>0.94423791821561343</v>
          </cell>
          <cell r="D62">
            <v>15365.781132859485</v>
          </cell>
        </row>
        <row r="63">
          <cell r="C63">
            <v>0.94330855018587356</v>
          </cell>
          <cell r="D63">
            <v>15362.05451284855</v>
          </cell>
        </row>
        <row r="64">
          <cell r="C64">
            <v>0.94237918215613381</v>
          </cell>
          <cell r="D64">
            <v>15324.826930563151</v>
          </cell>
        </row>
        <row r="65">
          <cell r="C65">
            <v>0.94144981412639406</v>
          </cell>
          <cell r="D65">
            <v>15074.73790267906</v>
          </cell>
        </row>
        <row r="66">
          <cell r="C66">
            <v>0.94052044609665431</v>
          </cell>
          <cell r="D66">
            <v>14981.360004373977</v>
          </cell>
        </row>
        <row r="67">
          <cell r="C67">
            <v>0.93959107806691455</v>
          </cell>
          <cell r="D67">
            <v>14938.3011306725</v>
          </cell>
        </row>
        <row r="68">
          <cell r="C68">
            <v>0.93866171003717469</v>
          </cell>
          <cell r="D68">
            <v>14893.17620338983</v>
          </cell>
        </row>
        <row r="69">
          <cell r="C69">
            <v>0.93773234200743494</v>
          </cell>
          <cell r="D69">
            <v>14760.060564242753</v>
          </cell>
        </row>
        <row r="70">
          <cell r="C70">
            <v>0.93680297397769519</v>
          </cell>
          <cell r="D70">
            <v>14663.071899398581</v>
          </cell>
        </row>
        <row r="71">
          <cell r="C71">
            <v>0.93587360594795543</v>
          </cell>
          <cell r="D71">
            <v>14533.354628758885</v>
          </cell>
        </row>
        <row r="72">
          <cell r="C72">
            <v>0.93494423791821557</v>
          </cell>
          <cell r="D72">
            <v>14507.866864953527</v>
          </cell>
        </row>
        <row r="73">
          <cell r="C73">
            <v>0.93401486988847582</v>
          </cell>
          <cell r="D73">
            <v>14481.066095133952</v>
          </cell>
        </row>
        <row r="74">
          <cell r="C74">
            <v>0.93308550185873607</v>
          </cell>
          <cell r="D74">
            <v>14381.374182613452</v>
          </cell>
        </row>
        <row r="75">
          <cell r="C75">
            <v>0.93215613382899631</v>
          </cell>
          <cell r="D75">
            <v>14369.788835429195</v>
          </cell>
        </row>
        <row r="76">
          <cell r="C76">
            <v>0.93122676579925645</v>
          </cell>
          <cell r="D76">
            <v>14357.450440677967</v>
          </cell>
        </row>
        <row r="77">
          <cell r="C77">
            <v>0.9302973977695167</v>
          </cell>
          <cell r="D77">
            <v>14230.783978130126</v>
          </cell>
        </row>
        <row r="78">
          <cell r="C78">
            <v>0.92936802973977695</v>
          </cell>
          <cell r="D78">
            <v>14189.038110442863</v>
          </cell>
        </row>
        <row r="79">
          <cell r="C79">
            <v>0.92843866171003719</v>
          </cell>
          <cell r="D79">
            <v>14154.591011481683</v>
          </cell>
        </row>
        <row r="80">
          <cell r="C80">
            <v>0.92750929368029744</v>
          </cell>
          <cell r="D80">
            <v>14144.241434663749</v>
          </cell>
        </row>
        <row r="81">
          <cell r="C81">
            <v>0.92657992565055758</v>
          </cell>
          <cell r="D81">
            <v>14134.606287588847</v>
          </cell>
        </row>
        <row r="82">
          <cell r="C82">
            <v>0.92565055762081783</v>
          </cell>
          <cell r="D82">
            <v>14126.342073264079</v>
          </cell>
        </row>
        <row r="83">
          <cell r="C83">
            <v>0.92472118959107807</v>
          </cell>
          <cell r="D83">
            <v>14117.266884636414</v>
          </cell>
        </row>
        <row r="84">
          <cell r="C84">
            <v>0.92379182156133832</v>
          </cell>
          <cell r="D84">
            <v>14104.928489885186</v>
          </cell>
        </row>
        <row r="85">
          <cell r="C85">
            <v>0.92286245353159846</v>
          </cell>
          <cell r="D85">
            <v>14057.776126845267</v>
          </cell>
        </row>
        <row r="86">
          <cell r="C86">
            <v>0.92193308550185871</v>
          </cell>
          <cell r="D86">
            <v>13923.868822307268</v>
          </cell>
        </row>
        <row r="87">
          <cell r="C87">
            <v>0.92100371747211895</v>
          </cell>
          <cell r="D87">
            <v>13791.409686167304</v>
          </cell>
        </row>
        <row r="88">
          <cell r="C88">
            <v>0.9200743494423792</v>
          </cell>
          <cell r="D88">
            <v>13766.674969928925</v>
          </cell>
        </row>
        <row r="89">
          <cell r="C89">
            <v>0.91914498141263945</v>
          </cell>
          <cell r="D89">
            <v>13691.679155822856</v>
          </cell>
        </row>
        <row r="90">
          <cell r="C90">
            <v>0.91821561338289959</v>
          </cell>
          <cell r="D90">
            <v>13551.303365773647</v>
          </cell>
        </row>
        <row r="91">
          <cell r="C91">
            <v>0.91728624535315983</v>
          </cell>
          <cell r="D91">
            <v>13521.258698742482</v>
          </cell>
        </row>
        <row r="92">
          <cell r="C92">
            <v>0.91635687732342008</v>
          </cell>
          <cell r="D92">
            <v>13416.160290869329</v>
          </cell>
        </row>
        <row r="93">
          <cell r="C93">
            <v>0.91542750929368033</v>
          </cell>
          <cell r="D93">
            <v>13398.338165117551</v>
          </cell>
        </row>
        <row r="94">
          <cell r="C94">
            <v>0.91449814126394047</v>
          </cell>
          <cell r="D94">
            <v>13289.049723346092</v>
          </cell>
        </row>
        <row r="95">
          <cell r="C95">
            <v>0.91356877323420072</v>
          </cell>
          <cell r="D95">
            <v>13254.158519409517</v>
          </cell>
        </row>
        <row r="96">
          <cell r="C96">
            <v>0.91263940520446096</v>
          </cell>
          <cell r="D96">
            <v>13169.044835429195</v>
          </cell>
        </row>
        <row r="97">
          <cell r="C97">
            <v>0.91171003717472121</v>
          </cell>
          <cell r="D97">
            <v>13150.237955166758</v>
          </cell>
        </row>
        <row r="98">
          <cell r="C98">
            <v>0.91078066914498146</v>
          </cell>
          <cell r="D98">
            <v>13113.087608529251</v>
          </cell>
        </row>
        <row r="99">
          <cell r="C99">
            <v>0.9098513011152416</v>
          </cell>
          <cell r="D99">
            <v>13091.114066703116</v>
          </cell>
        </row>
        <row r="100">
          <cell r="C100">
            <v>0.90892193308550184</v>
          </cell>
          <cell r="D100">
            <v>13073.079542919626</v>
          </cell>
        </row>
        <row r="101">
          <cell r="C101">
            <v>0.90799256505576209</v>
          </cell>
          <cell r="D101">
            <v>13060.258425369051</v>
          </cell>
        </row>
        <row r="102">
          <cell r="C102">
            <v>0.90706319702602234</v>
          </cell>
          <cell r="D102">
            <v>13032.68529907053</v>
          </cell>
        </row>
        <row r="103">
          <cell r="C103">
            <v>0.90613382899628248</v>
          </cell>
          <cell r="D103">
            <v>13008.317452159648</v>
          </cell>
        </row>
        <row r="104">
          <cell r="C104">
            <v>0.90520446096654272</v>
          </cell>
          <cell r="D104">
            <v>13002.621323127394</v>
          </cell>
        </row>
        <row r="105">
          <cell r="C105">
            <v>0.90427509293680297</v>
          </cell>
          <cell r="D105">
            <v>12969.506539092396</v>
          </cell>
        </row>
        <row r="106">
          <cell r="C106">
            <v>0.90334572490706322</v>
          </cell>
          <cell r="D106">
            <v>12951.626486604706</v>
          </cell>
        </row>
        <row r="107">
          <cell r="C107">
            <v>0.90241635687732347</v>
          </cell>
          <cell r="D107">
            <v>12947.243363586658</v>
          </cell>
        </row>
        <row r="108">
          <cell r="C108">
            <v>0.9014869888475836</v>
          </cell>
          <cell r="D108">
            <v>12817.526092946968</v>
          </cell>
        </row>
        <row r="109">
          <cell r="C109">
            <v>0.90055762081784385</v>
          </cell>
          <cell r="D109">
            <v>12812.080979770368</v>
          </cell>
        </row>
        <row r="110">
          <cell r="C110">
            <v>0.8996282527881041</v>
          </cell>
          <cell r="D110">
            <v>12723.086204483327</v>
          </cell>
        </row>
        <row r="111">
          <cell r="C111">
            <v>0.89869888475836435</v>
          </cell>
          <cell r="D111">
            <v>12665.101541826134</v>
          </cell>
        </row>
        <row r="112">
          <cell r="C112">
            <v>0.89776951672862448</v>
          </cell>
          <cell r="D112">
            <v>12564.386256971022</v>
          </cell>
        </row>
        <row r="113">
          <cell r="C113">
            <v>0.89684014869888473</v>
          </cell>
          <cell r="D113">
            <v>12536.06008310552</v>
          </cell>
        </row>
        <row r="114">
          <cell r="C114">
            <v>0.89591078066914498</v>
          </cell>
          <cell r="D114">
            <v>12522.273519956259</v>
          </cell>
        </row>
        <row r="115">
          <cell r="C115">
            <v>0.89498141263940523</v>
          </cell>
          <cell r="D115">
            <v>12494.739011481683</v>
          </cell>
        </row>
        <row r="116">
          <cell r="C116">
            <v>0.89405204460966547</v>
          </cell>
          <cell r="D116">
            <v>12474.696360852928</v>
          </cell>
        </row>
        <row r="117">
          <cell r="C117">
            <v>0.89312267657992561</v>
          </cell>
          <cell r="D117">
            <v>12451.255341716787</v>
          </cell>
        </row>
        <row r="118">
          <cell r="C118">
            <v>0.89219330855018586</v>
          </cell>
          <cell r="D118">
            <v>12443.029745215967</v>
          </cell>
        </row>
        <row r="119">
          <cell r="C119">
            <v>0.89126394052044611</v>
          </cell>
          <cell r="D119">
            <v>12420.341773646802</v>
          </cell>
        </row>
        <row r="120">
          <cell r="C120">
            <v>0.89033457249070636</v>
          </cell>
          <cell r="D120">
            <v>12260.966014215419</v>
          </cell>
        </row>
        <row r="121">
          <cell r="C121">
            <v>0.88940520446096649</v>
          </cell>
          <cell r="D121">
            <v>12238.278042646254</v>
          </cell>
        </row>
        <row r="122">
          <cell r="C122">
            <v>0.88847583643122674</v>
          </cell>
          <cell r="D122">
            <v>12114.044503007108</v>
          </cell>
        </row>
        <row r="123">
          <cell r="C123">
            <v>0.88754646840148699</v>
          </cell>
          <cell r="D123">
            <v>12077.531350464735</v>
          </cell>
        </row>
        <row r="124">
          <cell r="C124">
            <v>0.88661710037174724</v>
          </cell>
          <cell r="D124">
            <v>12071.951074904318</v>
          </cell>
        </row>
        <row r="125">
          <cell r="C125">
            <v>0.88568773234200748</v>
          </cell>
          <cell r="D125">
            <v>11956.734797156916</v>
          </cell>
        </row>
        <row r="126">
          <cell r="C126">
            <v>0.88475836431226762</v>
          </cell>
          <cell r="D126">
            <v>11904.948295243303</v>
          </cell>
        </row>
        <row r="127">
          <cell r="C127">
            <v>0.88382899628252787</v>
          </cell>
          <cell r="D127">
            <v>11877.124153089118</v>
          </cell>
        </row>
        <row r="128">
          <cell r="C128">
            <v>0.88289962825278812</v>
          </cell>
          <cell r="D128">
            <v>11855.47886276654</v>
          </cell>
        </row>
        <row r="129">
          <cell r="C129">
            <v>0.88197026022304836</v>
          </cell>
          <cell r="D129">
            <v>11831.477885183162</v>
          </cell>
        </row>
        <row r="130">
          <cell r="C130">
            <v>0.8810408921933085</v>
          </cell>
          <cell r="D130">
            <v>11788.843807545107</v>
          </cell>
        </row>
        <row r="131">
          <cell r="C131">
            <v>0.88011152416356875</v>
          </cell>
          <cell r="D131">
            <v>11783.823490431929</v>
          </cell>
        </row>
        <row r="132">
          <cell r="C132">
            <v>0.879182156133829</v>
          </cell>
          <cell r="D132">
            <v>11749.781878622198</v>
          </cell>
        </row>
        <row r="133">
          <cell r="C133">
            <v>0.87825278810408924</v>
          </cell>
          <cell r="D133">
            <v>11717.70977583379</v>
          </cell>
        </row>
        <row r="134">
          <cell r="C134">
            <v>0.87732342007434949</v>
          </cell>
          <cell r="D134">
            <v>11683.687472936032</v>
          </cell>
        </row>
        <row r="135">
          <cell r="C135">
            <v>0.87639405204460963</v>
          </cell>
          <cell r="D135">
            <v>11660.342998359758</v>
          </cell>
        </row>
        <row r="136">
          <cell r="C136">
            <v>0.87546468401486988</v>
          </cell>
          <cell r="D136">
            <v>11636.322711864408</v>
          </cell>
        </row>
        <row r="137">
          <cell r="C137">
            <v>0.87453531598513012</v>
          </cell>
          <cell r="D137">
            <v>11552.464107162385</v>
          </cell>
        </row>
        <row r="138">
          <cell r="C138">
            <v>0.87360594795539037</v>
          </cell>
          <cell r="D138">
            <v>11527.15012356479</v>
          </cell>
        </row>
        <row r="139">
          <cell r="C139">
            <v>0.87267657992565051</v>
          </cell>
          <cell r="D139">
            <v>11509.385924548933</v>
          </cell>
        </row>
        <row r="140">
          <cell r="C140">
            <v>0.87174721189591076</v>
          </cell>
          <cell r="D140">
            <v>11367.02131656643</v>
          </cell>
        </row>
        <row r="141">
          <cell r="C141">
            <v>0.870817843866171</v>
          </cell>
          <cell r="D141">
            <v>11329.407556041553</v>
          </cell>
        </row>
        <row r="142">
          <cell r="C142">
            <v>0.86988847583643125</v>
          </cell>
          <cell r="D142">
            <v>11323.711427009293</v>
          </cell>
        </row>
        <row r="143">
          <cell r="C143">
            <v>0.8689591078066915</v>
          </cell>
          <cell r="D143">
            <v>11261.961526517222</v>
          </cell>
        </row>
        <row r="144">
          <cell r="C144">
            <v>0.86802973977695164</v>
          </cell>
          <cell r="D144">
            <v>11252.809102241661</v>
          </cell>
        </row>
        <row r="145">
          <cell r="C145">
            <v>0.86710037174721188</v>
          </cell>
          <cell r="D145">
            <v>11240.451398578458</v>
          </cell>
        </row>
        <row r="146">
          <cell r="C146">
            <v>0.86617100371747213</v>
          </cell>
          <cell r="D146">
            <v>11236.917867687262</v>
          </cell>
        </row>
        <row r="147">
          <cell r="C147">
            <v>0.86524163568773238</v>
          </cell>
          <cell r="D147">
            <v>11220.582528157465</v>
          </cell>
        </row>
        <row r="148">
          <cell r="C148">
            <v>0.86431226765799252</v>
          </cell>
          <cell r="D148">
            <v>11175.515527610718</v>
          </cell>
        </row>
        <row r="149">
          <cell r="C149">
            <v>0.86338289962825276</v>
          </cell>
          <cell r="D149">
            <v>11159.006407873156</v>
          </cell>
        </row>
        <row r="150">
          <cell r="C150">
            <v>0.86245353159851301</v>
          </cell>
          <cell r="D150">
            <v>11151.630403499179</v>
          </cell>
        </row>
        <row r="151">
          <cell r="C151">
            <v>0.86152416356877326</v>
          </cell>
          <cell r="D151">
            <v>11078.932349917988</v>
          </cell>
        </row>
        <row r="152">
          <cell r="C152">
            <v>0.86059479553903351</v>
          </cell>
          <cell r="D152">
            <v>11071.305329688354</v>
          </cell>
        </row>
        <row r="153">
          <cell r="C153">
            <v>0.85966542750929364</v>
          </cell>
          <cell r="D153">
            <v>11066.381557135048</v>
          </cell>
        </row>
        <row r="154">
          <cell r="C154">
            <v>0.85873605947955389</v>
          </cell>
          <cell r="D154">
            <v>11001.445686167304</v>
          </cell>
        </row>
        <row r="155">
          <cell r="C155">
            <v>0.85780669144981414</v>
          </cell>
          <cell r="D155">
            <v>10998.124553307818</v>
          </cell>
        </row>
        <row r="156">
          <cell r="C156">
            <v>0.85687732342007439</v>
          </cell>
          <cell r="D156">
            <v>10972.656098414434</v>
          </cell>
        </row>
        <row r="157">
          <cell r="C157">
            <v>0.85594795539033453</v>
          </cell>
          <cell r="D157">
            <v>10971.014840896663</v>
          </cell>
        </row>
        <row r="158">
          <cell r="C158">
            <v>0.85501858736059477</v>
          </cell>
          <cell r="D158">
            <v>10938.904120284305</v>
          </cell>
        </row>
        <row r="159">
          <cell r="C159">
            <v>0.85408921933085502</v>
          </cell>
          <cell r="D159">
            <v>10909.535265172224</v>
          </cell>
        </row>
        <row r="160">
          <cell r="C160">
            <v>0.85315985130111527</v>
          </cell>
          <cell r="D160">
            <v>10907.430593767085</v>
          </cell>
        </row>
        <row r="161">
          <cell r="C161">
            <v>0.85223048327137552</v>
          </cell>
          <cell r="D161">
            <v>10828.843322033899</v>
          </cell>
        </row>
        <row r="162">
          <cell r="C162">
            <v>0.85130111524163565</v>
          </cell>
          <cell r="D162">
            <v>10813.93684199016</v>
          </cell>
        </row>
        <row r="163">
          <cell r="C163">
            <v>0.8503717472118959</v>
          </cell>
          <cell r="D163">
            <v>10800.420603608531</v>
          </cell>
        </row>
        <row r="164">
          <cell r="C164">
            <v>0.84944237918215615</v>
          </cell>
          <cell r="D164">
            <v>10793.913500273375</v>
          </cell>
        </row>
        <row r="165">
          <cell r="C165">
            <v>0.8485130111524164</v>
          </cell>
          <cell r="D165">
            <v>10790.61167632586</v>
          </cell>
        </row>
        <row r="166">
          <cell r="C166">
            <v>0.84758364312267653</v>
          </cell>
          <cell r="D166">
            <v>10719.786587206123</v>
          </cell>
        </row>
        <row r="167">
          <cell r="C167">
            <v>0.84665427509293678</v>
          </cell>
          <cell r="D167">
            <v>10681.168763258613</v>
          </cell>
        </row>
        <row r="168">
          <cell r="C168">
            <v>0.84572490706319703</v>
          </cell>
          <cell r="D168">
            <v>10647.494020776381</v>
          </cell>
        </row>
        <row r="169">
          <cell r="C169">
            <v>0.84479553903345728</v>
          </cell>
          <cell r="D169">
            <v>10646.123088026245</v>
          </cell>
        </row>
        <row r="170">
          <cell r="C170">
            <v>0.84386617100371752</v>
          </cell>
          <cell r="D170">
            <v>10591.478867140515</v>
          </cell>
        </row>
        <row r="171">
          <cell r="C171">
            <v>0.84293680297397766</v>
          </cell>
          <cell r="D171">
            <v>10558.383392017497</v>
          </cell>
        </row>
        <row r="172">
          <cell r="C172">
            <v>0.84200743494423791</v>
          </cell>
          <cell r="D172">
            <v>10547.802108255879</v>
          </cell>
        </row>
        <row r="173">
          <cell r="C173">
            <v>0.84107806691449816</v>
          </cell>
          <cell r="D173">
            <v>10526.330598141063</v>
          </cell>
        </row>
        <row r="174">
          <cell r="C174">
            <v>0.8401486988847584</v>
          </cell>
          <cell r="D174">
            <v>10516.483053034446</v>
          </cell>
        </row>
        <row r="175">
          <cell r="C175">
            <v>0.83921933085501854</v>
          </cell>
          <cell r="D175">
            <v>10475.528850738108</v>
          </cell>
        </row>
        <row r="176">
          <cell r="C176">
            <v>0.83828996282527879</v>
          </cell>
          <cell r="D176">
            <v>10471.840848551121</v>
          </cell>
        </row>
        <row r="177">
          <cell r="C177">
            <v>0.83736059479553904</v>
          </cell>
          <cell r="D177">
            <v>10454.385592126844</v>
          </cell>
        </row>
        <row r="178">
          <cell r="C178">
            <v>0.83643122676579928</v>
          </cell>
          <cell r="D178">
            <v>10430.770792782941</v>
          </cell>
        </row>
        <row r="179">
          <cell r="C179">
            <v>0.83550185873605953</v>
          </cell>
          <cell r="D179">
            <v>10405.591971569162</v>
          </cell>
        </row>
        <row r="180">
          <cell r="C180">
            <v>0.83457249070631967</v>
          </cell>
          <cell r="D180">
            <v>10346.023978130126</v>
          </cell>
        </row>
        <row r="181">
          <cell r="C181">
            <v>0.83364312267657992</v>
          </cell>
          <cell r="D181">
            <v>10342.548373974849</v>
          </cell>
        </row>
        <row r="182">
          <cell r="C182">
            <v>0.83271375464684017</v>
          </cell>
          <cell r="D182">
            <v>10307.193756150904</v>
          </cell>
        </row>
        <row r="183">
          <cell r="C183">
            <v>0.83178438661710041</v>
          </cell>
          <cell r="D183">
            <v>10307.01997594314</v>
          </cell>
        </row>
        <row r="184">
          <cell r="C184">
            <v>0.83085501858736055</v>
          </cell>
          <cell r="D184">
            <v>10269.946864953527</v>
          </cell>
        </row>
        <row r="185">
          <cell r="C185">
            <v>0.8299256505576208</v>
          </cell>
          <cell r="D185">
            <v>10269.077963914708</v>
          </cell>
        </row>
        <row r="186">
          <cell r="C186">
            <v>0.82899628252788105</v>
          </cell>
          <cell r="D186">
            <v>10262.010902132313</v>
          </cell>
        </row>
        <row r="187">
          <cell r="C187">
            <v>0.82806691449814129</v>
          </cell>
          <cell r="D187">
            <v>10130.439975943138</v>
          </cell>
        </row>
        <row r="188">
          <cell r="C188">
            <v>0.82713754646840154</v>
          </cell>
          <cell r="D188">
            <v>10110.551796610169</v>
          </cell>
        </row>
        <row r="189">
          <cell r="C189">
            <v>0.82620817843866168</v>
          </cell>
          <cell r="D189">
            <v>10110.397325314378</v>
          </cell>
        </row>
        <row r="190">
          <cell r="C190">
            <v>0.82527881040892193</v>
          </cell>
          <cell r="D190">
            <v>10094.100603608529</v>
          </cell>
        </row>
        <row r="191">
          <cell r="C191">
            <v>0.82434944237918217</v>
          </cell>
          <cell r="D191">
            <v>10059.325253143796</v>
          </cell>
        </row>
        <row r="192">
          <cell r="C192">
            <v>0.82342007434944242</v>
          </cell>
          <cell r="D192">
            <v>10025.167787862221</v>
          </cell>
        </row>
        <row r="193">
          <cell r="C193">
            <v>0.82249070631970256</v>
          </cell>
          <cell r="D193">
            <v>10012.462523783488</v>
          </cell>
        </row>
        <row r="194">
          <cell r="C194">
            <v>0.82156133828996281</v>
          </cell>
          <cell r="D194">
            <v>10010.473705850191</v>
          </cell>
        </row>
        <row r="195">
          <cell r="C195">
            <v>0.82063197026022305</v>
          </cell>
          <cell r="D195">
            <v>9970.7745828321476</v>
          </cell>
        </row>
        <row r="196">
          <cell r="C196">
            <v>0.8197026022304833</v>
          </cell>
          <cell r="D196">
            <v>9935.1689491525431</v>
          </cell>
        </row>
        <row r="197">
          <cell r="C197">
            <v>0.81877323420074355</v>
          </cell>
          <cell r="D197">
            <v>9931.1526954620022</v>
          </cell>
        </row>
        <row r="198">
          <cell r="C198">
            <v>0.81784386617100369</v>
          </cell>
          <cell r="D198">
            <v>9900.953557135048</v>
          </cell>
        </row>
        <row r="199">
          <cell r="C199">
            <v>0.81691449814126393</v>
          </cell>
          <cell r="D199">
            <v>9885.8732968835448</v>
          </cell>
        </row>
        <row r="200">
          <cell r="C200">
            <v>0.81598513011152418</v>
          </cell>
          <cell r="D200">
            <v>9865.8692640787322</v>
          </cell>
        </row>
        <row r="201">
          <cell r="C201">
            <v>0.81505576208178443</v>
          </cell>
          <cell r="D201">
            <v>9747.1580732640796</v>
          </cell>
        </row>
        <row r="202">
          <cell r="C202">
            <v>0.81412639405204457</v>
          </cell>
          <cell r="D202">
            <v>9728.6794445051946</v>
          </cell>
        </row>
        <row r="203">
          <cell r="C203">
            <v>0.81319702602230481</v>
          </cell>
          <cell r="D203">
            <v>9702.7282668124662</v>
          </cell>
        </row>
        <row r="204">
          <cell r="C204">
            <v>0.81226765799256506</v>
          </cell>
          <cell r="D204">
            <v>9698.3451437944223</v>
          </cell>
        </row>
        <row r="205">
          <cell r="C205">
            <v>0.81133828996282531</v>
          </cell>
          <cell r="D205">
            <v>9672.5098195735372</v>
          </cell>
        </row>
        <row r="206">
          <cell r="C206">
            <v>0.81040892193308545</v>
          </cell>
          <cell r="D206">
            <v>9662.4498764352102</v>
          </cell>
        </row>
        <row r="207">
          <cell r="C207">
            <v>0.80947955390334569</v>
          </cell>
          <cell r="D207">
            <v>9652.0423728813566</v>
          </cell>
        </row>
        <row r="208">
          <cell r="C208">
            <v>0.80855018587360594</v>
          </cell>
          <cell r="D208">
            <v>9634.8960590486604</v>
          </cell>
        </row>
        <row r="209">
          <cell r="C209">
            <v>0.80762081784386619</v>
          </cell>
          <cell r="D209">
            <v>9590.7945041006005</v>
          </cell>
        </row>
        <row r="210">
          <cell r="C210">
            <v>0.80669144981412644</v>
          </cell>
          <cell r="D210">
            <v>9585.3880087479483</v>
          </cell>
        </row>
        <row r="211">
          <cell r="C211">
            <v>0.80576208178438657</v>
          </cell>
          <cell r="D211">
            <v>9541.6533231273934</v>
          </cell>
        </row>
        <row r="212">
          <cell r="C212">
            <v>0.80483271375464682</v>
          </cell>
          <cell r="D212">
            <v>9479.2083018042649</v>
          </cell>
        </row>
        <row r="213">
          <cell r="C213">
            <v>0.80390334572490707</v>
          </cell>
          <cell r="D213">
            <v>9438.3506440677975</v>
          </cell>
        </row>
        <row r="214">
          <cell r="C214">
            <v>0.80297397769516732</v>
          </cell>
          <cell r="D214">
            <v>9428.1362296336811</v>
          </cell>
        </row>
        <row r="215">
          <cell r="C215">
            <v>0.80204460966542745</v>
          </cell>
          <cell r="D215">
            <v>9397.2998972115911</v>
          </cell>
        </row>
        <row r="216">
          <cell r="C216">
            <v>0.8011152416356877</v>
          </cell>
          <cell r="D216">
            <v>9371.0011591033344</v>
          </cell>
        </row>
        <row r="217">
          <cell r="C217">
            <v>0.80018587360594795</v>
          </cell>
          <cell r="D217">
            <v>9367.1973034445055</v>
          </cell>
        </row>
        <row r="218">
          <cell r="C218">
            <v>0.7992565055762082</v>
          </cell>
          <cell r="D218">
            <v>9341.1495811919085</v>
          </cell>
        </row>
        <row r="219">
          <cell r="C219">
            <v>0.79832713754646845</v>
          </cell>
          <cell r="D219">
            <v>9304.1923236741386</v>
          </cell>
        </row>
        <row r="220">
          <cell r="C220">
            <v>0.79739776951672858</v>
          </cell>
          <cell r="D220">
            <v>9258.0633329688353</v>
          </cell>
        </row>
        <row r="221">
          <cell r="C221">
            <v>0.79646840148698883</v>
          </cell>
          <cell r="D221">
            <v>9234.6609316566428</v>
          </cell>
        </row>
        <row r="222">
          <cell r="C222">
            <v>0.79553903345724908</v>
          </cell>
          <cell r="D222">
            <v>9220.3723367960647</v>
          </cell>
        </row>
        <row r="223">
          <cell r="C223">
            <v>0.79460966542750933</v>
          </cell>
          <cell r="D223">
            <v>9153.138705303445</v>
          </cell>
        </row>
        <row r="224">
          <cell r="C224">
            <v>0.79368029739776946</v>
          </cell>
          <cell r="D224">
            <v>9144.507621651177</v>
          </cell>
        </row>
        <row r="225">
          <cell r="C225">
            <v>0.79275092936802971</v>
          </cell>
          <cell r="D225">
            <v>9100.3674488791676</v>
          </cell>
        </row>
        <row r="226">
          <cell r="C226">
            <v>0.79182156133828996</v>
          </cell>
          <cell r="D226">
            <v>9084.7465390924008</v>
          </cell>
        </row>
        <row r="227">
          <cell r="C227">
            <v>0.79089219330855021</v>
          </cell>
          <cell r="D227">
            <v>9070.6510333515598</v>
          </cell>
        </row>
        <row r="228">
          <cell r="C228">
            <v>0.78996282527881045</v>
          </cell>
          <cell r="D228">
            <v>9023.1318009841434</v>
          </cell>
        </row>
        <row r="229">
          <cell r="C229">
            <v>0.78903345724907059</v>
          </cell>
          <cell r="D229">
            <v>9021.8960306178215</v>
          </cell>
        </row>
        <row r="230">
          <cell r="C230">
            <v>0.78810408921933084</v>
          </cell>
          <cell r="D230">
            <v>8991.0017714598143</v>
          </cell>
        </row>
        <row r="231">
          <cell r="C231">
            <v>0.78717472118959109</v>
          </cell>
          <cell r="D231">
            <v>8944.2742044833249</v>
          </cell>
        </row>
        <row r="232">
          <cell r="C232">
            <v>0.78624535315985133</v>
          </cell>
          <cell r="D232">
            <v>8942.9418895571343</v>
          </cell>
        </row>
        <row r="233">
          <cell r="C233">
            <v>0.78531598513011147</v>
          </cell>
          <cell r="D233">
            <v>8923.0923280481111</v>
          </cell>
        </row>
        <row r="234">
          <cell r="C234">
            <v>0.78438661710037172</v>
          </cell>
          <cell r="D234">
            <v>8894.0324155276103</v>
          </cell>
        </row>
        <row r="235">
          <cell r="C235">
            <v>0.78345724907063197</v>
          </cell>
          <cell r="D235">
            <v>8859.4694630945869</v>
          </cell>
        </row>
        <row r="236">
          <cell r="C236">
            <v>0.78252788104089221</v>
          </cell>
          <cell r="D236">
            <v>8843.3272126845277</v>
          </cell>
        </row>
        <row r="237">
          <cell r="C237">
            <v>0.78159851301115246</v>
          </cell>
          <cell r="D237">
            <v>8773.4289513395306</v>
          </cell>
        </row>
        <row r="238">
          <cell r="C238">
            <v>0.7806691449814126</v>
          </cell>
          <cell r="D238">
            <v>8765.7053865500275</v>
          </cell>
        </row>
        <row r="239">
          <cell r="C239">
            <v>0.77973977695167285</v>
          </cell>
          <cell r="D239">
            <v>8740.8934346637507</v>
          </cell>
        </row>
        <row r="240">
          <cell r="C240">
            <v>0.77881040892193309</v>
          </cell>
          <cell r="D240">
            <v>8683.93214434117</v>
          </cell>
        </row>
        <row r="241">
          <cell r="C241">
            <v>0.77788104089219334</v>
          </cell>
          <cell r="D241">
            <v>8679.703492618919</v>
          </cell>
        </row>
        <row r="242">
          <cell r="C242">
            <v>0.77695167286245348</v>
          </cell>
          <cell r="D242">
            <v>8640.4484745762729</v>
          </cell>
        </row>
        <row r="243">
          <cell r="C243">
            <v>0.77602230483271373</v>
          </cell>
          <cell r="D243">
            <v>8620.927164570805</v>
          </cell>
        </row>
        <row r="244">
          <cell r="C244">
            <v>0.77509293680297398</v>
          </cell>
          <cell r="D244">
            <v>8615.2889622744678</v>
          </cell>
        </row>
        <row r="245">
          <cell r="C245">
            <v>0.77416356877323422</v>
          </cell>
          <cell r="D245">
            <v>8610.8865303444509</v>
          </cell>
        </row>
        <row r="246">
          <cell r="C246">
            <v>0.77323420074349447</v>
          </cell>
          <cell r="D246">
            <v>8574.991262985237</v>
          </cell>
        </row>
        <row r="247">
          <cell r="C247">
            <v>0.77230483271375461</v>
          </cell>
          <cell r="D247">
            <v>8569.2758250410061</v>
          </cell>
        </row>
        <row r="248">
          <cell r="C248">
            <v>0.77137546468401486</v>
          </cell>
          <cell r="D248">
            <v>8560.2392542372891</v>
          </cell>
        </row>
        <row r="249">
          <cell r="C249">
            <v>0.7704460966542751</v>
          </cell>
          <cell r="D249">
            <v>8526.6610563149261</v>
          </cell>
        </row>
        <row r="250">
          <cell r="C250">
            <v>0.76951672862453535</v>
          </cell>
          <cell r="D250">
            <v>8523.1661432476776</v>
          </cell>
        </row>
        <row r="251">
          <cell r="C251">
            <v>0.76858736059479549</v>
          </cell>
          <cell r="D251">
            <v>8514.7860754510675</v>
          </cell>
        </row>
        <row r="252">
          <cell r="C252">
            <v>0.76765799256505574</v>
          </cell>
          <cell r="D252">
            <v>8493.2952564242769</v>
          </cell>
        </row>
        <row r="253">
          <cell r="C253">
            <v>0.76672862453531598</v>
          </cell>
          <cell r="D253">
            <v>8486.6529907053027</v>
          </cell>
        </row>
        <row r="254">
          <cell r="C254">
            <v>0.76579925650557623</v>
          </cell>
          <cell r="D254">
            <v>8482.4243389830517</v>
          </cell>
        </row>
        <row r="255">
          <cell r="C255">
            <v>0.76486988847583648</v>
          </cell>
          <cell r="D255">
            <v>8447.3593548387107</v>
          </cell>
        </row>
        <row r="256">
          <cell r="C256">
            <v>0.76394052044609662</v>
          </cell>
          <cell r="D256">
            <v>8428.5717834882453</v>
          </cell>
        </row>
        <row r="257">
          <cell r="C257">
            <v>0.76301115241635686</v>
          </cell>
          <cell r="D257">
            <v>8417.7587927829427</v>
          </cell>
        </row>
        <row r="258">
          <cell r="C258">
            <v>0.76208178438661711</v>
          </cell>
          <cell r="D258">
            <v>8415.3644876981962</v>
          </cell>
        </row>
        <row r="259">
          <cell r="C259">
            <v>0.76115241635687736</v>
          </cell>
          <cell r="D259">
            <v>8394.1053756150905</v>
          </cell>
        </row>
        <row r="260">
          <cell r="C260">
            <v>0.7602230483271375</v>
          </cell>
          <cell r="D260">
            <v>8390.996640787318</v>
          </cell>
        </row>
        <row r="261">
          <cell r="C261">
            <v>0.75929368029739774</v>
          </cell>
          <cell r="D261">
            <v>8364.0220907599778</v>
          </cell>
        </row>
        <row r="262">
          <cell r="C262">
            <v>0.75836431226765799</v>
          </cell>
          <cell r="D262">
            <v>8357.1481180973205</v>
          </cell>
        </row>
        <row r="263">
          <cell r="C263">
            <v>0.75743494423791824</v>
          </cell>
          <cell r="D263">
            <v>8305.1492181519952</v>
          </cell>
        </row>
        <row r="264">
          <cell r="C264">
            <v>0.75650557620817849</v>
          </cell>
          <cell r="D264">
            <v>8203.178854018588</v>
          </cell>
        </row>
        <row r="265">
          <cell r="C265">
            <v>0.75557620817843862</v>
          </cell>
          <cell r="D265">
            <v>8175.1036960087486</v>
          </cell>
        </row>
        <row r="266">
          <cell r="C266">
            <v>0.75464684014869887</v>
          </cell>
          <cell r="D266">
            <v>8175.1036960087486</v>
          </cell>
        </row>
        <row r="267">
          <cell r="C267">
            <v>0.75371747211895912</v>
          </cell>
          <cell r="D267">
            <v>8167.3801312192445</v>
          </cell>
        </row>
        <row r="268">
          <cell r="C268">
            <v>0.75278810408921937</v>
          </cell>
          <cell r="D268">
            <v>8160.1779070530347</v>
          </cell>
        </row>
        <row r="269">
          <cell r="C269">
            <v>0.7518587360594795</v>
          </cell>
          <cell r="D269">
            <v>8159.2896971022419</v>
          </cell>
        </row>
        <row r="270">
          <cell r="C270">
            <v>0.75092936802973975</v>
          </cell>
          <cell r="D270">
            <v>8159.2317703663202</v>
          </cell>
        </row>
        <row r="271">
          <cell r="C271">
            <v>0.75</v>
          </cell>
          <cell r="D271">
            <v>8140.4828168398035</v>
          </cell>
        </row>
        <row r="272">
          <cell r="C272">
            <v>0.74907063197026025</v>
          </cell>
          <cell r="D272">
            <v>8126.0590595954081</v>
          </cell>
        </row>
        <row r="273">
          <cell r="C273">
            <v>0.7481412639405205</v>
          </cell>
          <cell r="D273">
            <v>8124.8619070530349</v>
          </cell>
        </row>
        <row r="274">
          <cell r="C274">
            <v>0.74721189591078063</v>
          </cell>
          <cell r="D274">
            <v>8121.3283761618386</v>
          </cell>
        </row>
        <row r="275">
          <cell r="C275">
            <v>0.74628252788104088</v>
          </cell>
          <cell r="D275">
            <v>8106.9818545653379</v>
          </cell>
        </row>
        <row r="276">
          <cell r="C276">
            <v>0.74535315985130113</v>
          </cell>
          <cell r="D276">
            <v>8084.33250082012</v>
          </cell>
        </row>
        <row r="277">
          <cell r="C277">
            <v>0.74442379182156138</v>
          </cell>
          <cell r="D277">
            <v>8063.5947293603067</v>
          </cell>
        </row>
        <row r="278">
          <cell r="C278">
            <v>0.74349442379182151</v>
          </cell>
          <cell r="D278">
            <v>8018.0063881902697</v>
          </cell>
        </row>
        <row r="279">
          <cell r="C279">
            <v>0.74256505576208176</v>
          </cell>
          <cell r="D279">
            <v>7995.3763433570257</v>
          </cell>
        </row>
        <row r="280">
          <cell r="C280">
            <v>0.74163568773234201</v>
          </cell>
          <cell r="D280">
            <v>7983.4241268452697</v>
          </cell>
        </row>
        <row r="281">
          <cell r="C281">
            <v>0.74070631970260226</v>
          </cell>
          <cell r="D281">
            <v>7973.0552411153649</v>
          </cell>
        </row>
        <row r="282">
          <cell r="C282">
            <v>0.7397769516728625</v>
          </cell>
          <cell r="D282">
            <v>7965.5826921815205</v>
          </cell>
        </row>
        <row r="283">
          <cell r="C283">
            <v>0.73884758364312264</v>
          </cell>
          <cell r="D283">
            <v>7942.0451284855108</v>
          </cell>
        </row>
        <row r="284">
          <cell r="C284">
            <v>0.73791821561338289</v>
          </cell>
          <cell r="D284">
            <v>7938.1833460907601</v>
          </cell>
        </row>
        <row r="285">
          <cell r="C285">
            <v>0.73698884758364314</v>
          </cell>
          <cell r="D285">
            <v>7938.1254193548384</v>
          </cell>
        </row>
        <row r="286">
          <cell r="C286">
            <v>0.73605947955390338</v>
          </cell>
          <cell r="D286">
            <v>7883.1336380535813</v>
          </cell>
        </row>
        <row r="287">
          <cell r="C287">
            <v>0.73513011152416352</v>
          </cell>
          <cell r="D287">
            <v>7878.7118972115904</v>
          </cell>
        </row>
        <row r="288">
          <cell r="C288">
            <v>0.73420074349442377</v>
          </cell>
          <cell r="D288">
            <v>7878.0747031164574</v>
          </cell>
        </row>
        <row r="289">
          <cell r="C289">
            <v>0.73327137546468402</v>
          </cell>
          <cell r="D289">
            <v>7868.3430114816847</v>
          </cell>
        </row>
        <row r="290">
          <cell r="C290">
            <v>0.73234200743494426</v>
          </cell>
          <cell r="D290">
            <v>7829.7251875341699</v>
          </cell>
        </row>
        <row r="291">
          <cell r="C291">
            <v>0.73141263940520451</v>
          </cell>
          <cell r="D291">
            <v>7825.4772268999459</v>
          </cell>
        </row>
        <row r="292">
          <cell r="C292">
            <v>0.73048327137546465</v>
          </cell>
          <cell r="D292">
            <v>7784.8512761071643</v>
          </cell>
        </row>
        <row r="293">
          <cell r="C293">
            <v>0.7295539033457249</v>
          </cell>
          <cell r="D293">
            <v>7784.73542263532</v>
          </cell>
        </row>
        <row r="294">
          <cell r="C294">
            <v>0.72862453531598514</v>
          </cell>
          <cell r="D294">
            <v>7780.8543313285954</v>
          </cell>
        </row>
        <row r="295">
          <cell r="C295">
            <v>0.72769516728624539</v>
          </cell>
          <cell r="D295">
            <v>7768.2842296336803</v>
          </cell>
        </row>
        <row r="296">
          <cell r="C296">
            <v>0.72676579925650553</v>
          </cell>
          <cell r="D296">
            <v>7761.7385084745756</v>
          </cell>
        </row>
        <row r="297">
          <cell r="C297">
            <v>0.72583643122676578</v>
          </cell>
          <cell r="D297">
            <v>7755.3279496992891</v>
          </cell>
        </row>
        <row r="298">
          <cell r="C298">
            <v>0.72490706319702602</v>
          </cell>
          <cell r="D298">
            <v>7733.5281880809198</v>
          </cell>
        </row>
        <row r="299">
          <cell r="C299">
            <v>0.72397769516728627</v>
          </cell>
          <cell r="D299">
            <v>7730.5159978130123</v>
          </cell>
        </row>
        <row r="300">
          <cell r="C300">
            <v>0.72304832713754652</v>
          </cell>
          <cell r="D300">
            <v>7722.6186528157468</v>
          </cell>
        </row>
        <row r="301">
          <cell r="C301">
            <v>0.72211895910780666</v>
          </cell>
          <cell r="D301">
            <v>7697.7101563696015</v>
          </cell>
        </row>
        <row r="302">
          <cell r="C302">
            <v>0.72118959107806691</v>
          </cell>
          <cell r="D302">
            <v>7688.2680984144354</v>
          </cell>
        </row>
        <row r="303">
          <cell r="C303">
            <v>0.72026022304832715</v>
          </cell>
          <cell r="D303">
            <v>7673.0333668671401</v>
          </cell>
        </row>
        <row r="304">
          <cell r="C304">
            <v>0.7193308550185874</v>
          </cell>
          <cell r="D304">
            <v>7661.6024909786756</v>
          </cell>
        </row>
        <row r="305">
          <cell r="C305">
            <v>0.71840148698884754</v>
          </cell>
          <cell r="D305">
            <v>7648.9165358119189</v>
          </cell>
        </row>
        <row r="306">
          <cell r="C306">
            <v>0.71747211895910779</v>
          </cell>
          <cell r="D306">
            <v>7646.4643039912526</v>
          </cell>
        </row>
        <row r="307">
          <cell r="C307">
            <v>0.71654275092936803</v>
          </cell>
          <cell r="D307">
            <v>7638.5862679059601</v>
          </cell>
        </row>
        <row r="308">
          <cell r="C308">
            <v>0.71561338289962828</v>
          </cell>
          <cell r="D308">
            <v>7616.0527676325855</v>
          </cell>
        </row>
        <row r="309">
          <cell r="C309">
            <v>0.71468401486988853</v>
          </cell>
          <cell r="D309">
            <v>7563.6097627118634</v>
          </cell>
        </row>
        <row r="310">
          <cell r="C310">
            <v>0.71375464684014867</v>
          </cell>
          <cell r="D310">
            <v>7562.4705369054145</v>
          </cell>
        </row>
        <row r="311">
          <cell r="C311">
            <v>0.71282527881040891</v>
          </cell>
          <cell r="D311">
            <v>7530.8811569163472</v>
          </cell>
        </row>
        <row r="312">
          <cell r="C312">
            <v>0.71189591078066916</v>
          </cell>
          <cell r="D312">
            <v>7466.1963018042652</v>
          </cell>
        </row>
        <row r="313">
          <cell r="C313">
            <v>0.71096654275092941</v>
          </cell>
          <cell r="D313">
            <v>7406.5896905412792</v>
          </cell>
        </row>
        <row r="314">
          <cell r="C314">
            <v>0.71003717472118955</v>
          </cell>
          <cell r="D314">
            <v>7398.2096227446682</v>
          </cell>
        </row>
        <row r="315">
          <cell r="C315">
            <v>0.70910780669144979</v>
          </cell>
          <cell r="D315">
            <v>7384.4616774193546</v>
          </cell>
        </row>
        <row r="316">
          <cell r="C316">
            <v>0.70817843866171004</v>
          </cell>
          <cell r="D316">
            <v>7384.172043739748</v>
          </cell>
        </row>
        <row r="317">
          <cell r="C317">
            <v>0.70724907063197029</v>
          </cell>
          <cell r="D317">
            <v>7381.1019267359225</v>
          </cell>
        </row>
        <row r="318">
          <cell r="C318">
            <v>0.70631970260223054</v>
          </cell>
          <cell r="D318">
            <v>7374.7492946965558</v>
          </cell>
        </row>
        <row r="319">
          <cell r="C319">
            <v>0.70539033457249067</v>
          </cell>
          <cell r="D319">
            <v>7362.4688266812473</v>
          </cell>
        </row>
        <row r="320">
          <cell r="C320">
            <v>0.70446096654275092</v>
          </cell>
          <cell r="D320">
            <v>7349.9180338983051</v>
          </cell>
        </row>
        <row r="321">
          <cell r="C321">
            <v>0.70353159851301117</v>
          </cell>
          <cell r="D321">
            <v>7346.4810475669765</v>
          </cell>
        </row>
        <row r="322">
          <cell r="C322">
            <v>0.70260223048327142</v>
          </cell>
          <cell r="D322">
            <v>7340.2828868234028</v>
          </cell>
        </row>
        <row r="323">
          <cell r="C323">
            <v>0.70167286245353155</v>
          </cell>
          <cell r="D323">
            <v>7318.0776380535808</v>
          </cell>
        </row>
        <row r="324">
          <cell r="C324">
            <v>0.7007434944237918</v>
          </cell>
          <cell r="D324">
            <v>7308.9252137780204</v>
          </cell>
        </row>
        <row r="325">
          <cell r="C325">
            <v>0.69981412639405205</v>
          </cell>
          <cell r="D325">
            <v>7302.9008332422072</v>
          </cell>
        </row>
        <row r="326">
          <cell r="C326">
            <v>0.6988847583643123</v>
          </cell>
          <cell r="D326">
            <v>7268.7819857845807</v>
          </cell>
        </row>
        <row r="327">
          <cell r="C327">
            <v>0.69795539033457255</v>
          </cell>
          <cell r="D327">
            <v>7230.6082668124673</v>
          </cell>
        </row>
        <row r="328">
          <cell r="C328">
            <v>0.69702602230483268</v>
          </cell>
          <cell r="D328">
            <v>7210.7007785675214</v>
          </cell>
        </row>
        <row r="329">
          <cell r="C329">
            <v>0.69609665427509293</v>
          </cell>
          <cell r="D329">
            <v>7207.5148080918525</v>
          </cell>
        </row>
        <row r="330">
          <cell r="C330">
            <v>0.69516728624535318</v>
          </cell>
          <cell r="D330">
            <v>7172.6429130672504</v>
          </cell>
        </row>
        <row r="331">
          <cell r="C331">
            <v>0.69423791821561343</v>
          </cell>
          <cell r="D331">
            <v>7140.184632039367</v>
          </cell>
        </row>
        <row r="332">
          <cell r="C332">
            <v>0.69330855018587356</v>
          </cell>
          <cell r="D332">
            <v>7135.8401268452708</v>
          </cell>
        </row>
        <row r="333">
          <cell r="C333">
            <v>0.69237918215613381</v>
          </cell>
          <cell r="D333">
            <v>7112.5728879168964</v>
          </cell>
        </row>
        <row r="334">
          <cell r="C334">
            <v>0.69144981412639406</v>
          </cell>
          <cell r="D334">
            <v>7097.2223028977587</v>
          </cell>
        </row>
        <row r="335">
          <cell r="C335">
            <v>0.69052044609665431</v>
          </cell>
          <cell r="D335">
            <v>7091.1786134499725</v>
          </cell>
        </row>
        <row r="336">
          <cell r="C336">
            <v>0.68959107806691455</v>
          </cell>
          <cell r="D336">
            <v>7079.6125751776926</v>
          </cell>
        </row>
        <row r="337">
          <cell r="C337">
            <v>0.68866171003717469</v>
          </cell>
          <cell r="D337">
            <v>7068.1623903772552</v>
          </cell>
        </row>
        <row r="338">
          <cell r="C338">
            <v>0.68773234200743494</v>
          </cell>
          <cell r="D338">
            <v>7065.5170694368499</v>
          </cell>
        </row>
        <row r="339">
          <cell r="C339">
            <v>0.68680297397769519</v>
          </cell>
          <cell r="D339">
            <v>7035.0669152542378</v>
          </cell>
        </row>
        <row r="340">
          <cell r="C340">
            <v>0.68587360594795543</v>
          </cell>
          <cell r="D340">
            <v>7024.6207938764355</v>
          </cell>
        </row>
        <row r="341">
          <cell r="C341">
            <v>0.68494423791821557</v>
          </cell>
          <cell r="D341">
            <v>7002.4155451066163</v>
          </cell>
        </row>
        <row r="342">
          <cell r="C342">
            <v>0.68401486988847582</v>
          </cell>
          <cell r="D342">
            <v>6995.9277506834333</v>
          </cell>
        </row>
        <row r="343">
          <cell r="C343">
            <v>0.68308550185873607</v>
          </cell>
          <cell r="D343">
            <v>6979.8627359212687</v>
          </cell>
        </row>
        <row r="344">
          <cell r="C344">
            <v>0.68215613382899631</v>
          </cell>
          <cell r="D344">
            <v>6953.8343225806448</v>
          </cell>
        </row>
        <row r="345">
          <cell r="C345">
            <v>0.68122676579925645</v>
          </cell>
          <cell r="D345">
            <v>6951.4207085839262</v>
          </cell>
        </row>
        <row r="346">
          <cell r="C346">
            <v>0.6802973977695167</v>
          </cell>
          <cell r="D346">
            <v>6942.1717397484963</v>
          </cell>
        </row>
        <row r="347">
          <cell r="C347">
            <v>0.67936802973977695</v>
          </cell>
          <cell r="D347">
            <v>6927.8059092400217</v>
          </cell>
        </row>
        <row r="348">
          <cell r="C348">
            <v>0.67843866171003719</v>
          </cell>
          <cell r="D348">
            <v>6908.400452706398</v>
          </cell>
        </row>
        <row r="349">
          <cell r="C349">
            <v>0.67750929368029744</v>
          </cell>
          <cell r="D349">
            <v>6900.1555472936034</v>
          </cell>
        </row>
        <row r="350">
          <cell r="C350">
            <v>0.67657992565055758</v>
          </cell>
          <cell r="D350">
            <v>6871.6362843083662</v>
          </cell>
        </row>
        <row r="351">
          <cell r="C351">
            <v>0.67565055762081783</v>
          </cell>
          <cell r="D351">
            <v>6865.1484898851813</v>
          </cell>
        </row>
        <row r="352">
          <cell r="C352">
            <v>0.67472118959107807</v>
          </cell>
          <cell r="D352">
            <v>6853.8720852925098</v>
          </cell>
        </row>
        <row r="353">
          <cell r="C353">
            <v>0.67379182156133832</v>
          </cell>
          <cell r="D353">
            <v>6845.858886823401</v>
          </cell>
        </row>
        <row r="354">
          <cell r="C354">
            <v>0.67286245353159846</v>
          </cell>
          <cell r="D354">
            <v>6842.5763717878608</v>
          </cell>
        </row>
        <row r="355">
          <cell r="C355">
            <v>0.67193308550185871</v>
          </cell>
          <cell r="D355">
            <v>6826.4534302897773</v>
          </cell>
        </row>
        <row r="356">
          <cell r="C356">
            <v>0.67100371747211895</v>
          </cell>
          <cell r="D356">
            <v>6804.2288726079832</v>
          </cell>
        </row>
        <row r="357">
          <cell r="C357">
            <v>0.6700743494423792</v>
          </cell>
          <cell r="D357">
            <v>6726.3174127938773</v>
          </cell>
        </row>
        <row r="358">
          <cell r="C358">
            <v>0.66914498141263945</v>
          </cell>
          <cell r="D358">
            <v>6717.6477113176597</v>
          </cell>
        </row>
        <row r="359">
          <cell r="C359">
            <v>0.66821561338289959</v>
          </cell>
          <cell r="D359">
            <v>6708.9007741935484</v>
          </cell>
        </row>
        <row r="360">
          <cell r="C360">
            <v>0.66728624535315983</v>
          </cell>
          <cell r="D360">
            <v>6700.4048529250949</v>
          </cell>
        </row>
        <row r="361">
          <cell r="C361">
            <v>0.66635687732342008</v>
          </cell>
          <cell r="D361">
            <v>6693.9363674138876</v>
          </cell>
        </row>
        <row r="362">
          <cell r="C362">
            <v>0.66542750929368033</v>
          </cell>
          <cell r="D362">
            <v>6685.691462001093</v>
          </cell>
        </row>
        <row r="363">
          <cell r="C363">
            <v>0.66449814126394047</v>
          </cell>
          <cell r="D363">
            <v>6682.4668737014754</v>
          </cell>
        </row>
        <row r="364">
          <cell r="C364">
            <v>0.66356877323420072</v>
          </cell>
          <cell r="D364">
            <v>6680.3622022963364</v>
          </cell>
        </row>
        <row r="365">
          <cell r="C365">
            <v>0.66263940520446096</v>
          </cell>
          <cell r="D365">
            <v>6670.3988037178769</v>
          </cell>
        </row>
        <row r="366">
          <cell r="C366">
            <v>0.66171003717472121</v>
          </cell>
          <cell r="D366">
            <v>6642.2657189721158</v>
          </cell>
        </row>
        <row r="367">
          <cell r="C367">
            <v>0.66078066914498146</v>
          </cell>
          <cell r="D367">
            <v>6639.2728376161849</v>
          </cell>
        </row>
        <row r="368">
          <cell r="C368">
            <v>0.6598513011152416</v>
          </cell>
          <cell r="D368">
            <v>6633.8084155276101</v>
          </cell>
        </row>
        <row r="369">
          <cell r="C369">
            <v>0.65892193308550184</v>
          </cell>
          <cell r="D369">
            <v>6613.4954401312189</v>
          </cell>
        </row>
        <row r="370">
          <cell r="C370">
            <v>0.65799256505576209</v>
          </cell>
          <cell r="D370">
            <v>6604.4588693275018</v>
          </cell>
        </row>
        <row r="371">
          <cell r="C371">
            <v>0.65706319702602234</v>
          </cell>
          <cell r="D371">
            <v>6602.7596850738109</v>
          </cell>
        </row>
        <row r="372">
          <cell r="C372">
            <v>0.65613382899628248</v>
          </cell>
          <cell r="D372">
            <v>6601.6590770913062</v>
          </cell>
        </row>
        <row r="373">
          <cell r="C373">
            <v>0.65520446096654272</v>
          </cell>
          <cell r="D373">
            <v>6594.4568529250955</v>
          </cell>
        </row>
        <row r="374">
          <cell r="C374">
            <v>0.65427509293680297</v>
          </cell>
          <cell r="D374">
            <v>6588.0269852378369</v>
          </cell>
        </row>
        <row r="375">
          <cell r="C375">
            <v>0.65334572490706322</v>
          </cell>
          <cell r="D375">
            <v>6568.8918534718441</v>
          </cell>
        </row>
        <row r="376">
          <cell r="C376">
            <v>0.65241635687732347</v>
          </cell>
          <cell r="D376">
            <v>6561.0138173865498</v>
          </cell>
        </row>
        <row r="377">
          <cell r="C377">
            <v>0.6514869888475836</v>
          </cell>
          <cell r="D377">
            <v>6530.6988255877541</v>
          </cell>
        </row>
        <row r="378">
          <cell r="C378">
            <v>0.65055762081784385</v>
          </cell>
          <cell r="D378">
            <v>6524.1724133406233</v>
          </cell>
        </row>
        <row r="379">
          <cell r="C379">
            <v>0.6496282527881041</v>
          </cell>
          <cell r="D379">
            <v>6513.706983050849</v>
          </cell>
        </row>
        <row r="380">
          <cell r="C380">
            <v>0.64869888475836435</v>
          </cell>
          <cell r="D380">
            <v>6490.9803936577373</v>
          </cell>
        </row>
        <row r="381">
          <cell r="C381">
            <v>0.64776951672862448</v>
          </cell>
          <cell r="D381">
            <v>6485.5159715691625</v>
          </cell>
        </row>
        <row r="382">
          <cell r="C382">
            <v>0.64684014869888473</v>
          </cell>
          <cell r="D382">
            <v>6462.5383663203938</v>
          </cell>
        </row>
        <row r="383">
          <cell r="C383">
            <v>0.64591078066914498</v>
          </cell>
          <cell r="D383">
            <v>6443.4611612903218</v>
          </cell>
        </row>
        <row r="384">
          <cell r="C384">
            <v>0.64498141263940523</v>
          </cell>
          <cell r="D384">
            <v>6424.2101760524874</v>
          </cell>
        </row>
        <row r="385">
          <cell r="C385">
            <v>0.64405204460966547</v>
          </cell>
          <cell r="D385">
            <v>6416.9307162383811</v>
          </cell>
        </row>
        <row r="386">
          <cell r="C386">
            <v>0.64312267657992561</v>
          </cell>
          <cell r="D386">
            <v>6396.0191645708028</v>
          </cell>
        </row>
        <row r="387">
          <cell r="C387">
            <v>0.64219330855018586</v>
          </cell>
          <cell r="D387">
            <v>6373.292575177692</v>
          </cell>
        </row>
        <row r="388">
          <cell r="C388">
            <v>0.64126394052044611</v>
          </cell>
          <cell r="D388">
            <v>6348.8861104428643</v>
          </cell>
        </row>
        <row r="389">
          <cell r="C389">
            <v>0.64033457249070636</v>
          </cell>
          <cell r="D389">
            <v>6340.139173318752</v>
          </cell>
        </row>
        <row r="390">
          <cell r="C390">
            <v>0.63940520446096649</v>
          </cell>
          <cell r="D390">
            <v>6334.7519868780764</v>
          </cell>
        </row>
        <row r="391">
          <cell r="C391">
            <v>0.63847583643122674</v>
          </cell>
          <cell r="D391">
            <v>6317.1036413340626</v>
          </cell>
        </row>
        <row r="392">
          <cell r="C392">
            <v>0.63754646840148699</v>
          </cell>
          <cell r="D392">
            <v>6273.6392804811385</v>
          </cell>
        </row>
        <row r="393">
          <cell r="C393">
            <v>0.63661710037174724</v>
          </cell>
          <cell r="D393">
            <v>6255.5275210497539</v>
          </cell>
        </row>
        <row r="394">
          <cell r="C394">
            <v>0.63568773234200748</v>
          </cell>
          <cell r="D394">
            <v>6239.6749043193004</v>
          </cell>
        </row>
        <row r="395">
          <cell r="C395">
            <v>0.63475836431226762</v>
          </cell>
          <cell r="D395">
            <v>6229.4991077091299</v>
          </cell>
        </row>
        <row r="396">
          <cell r="C396">
            <v>0.63382899628252787</v>
          </cell>
          <cell r="D396">
            <v>6197.1952979770367</v>
          </cell>
        </row>
        <row r="397">
          <cell r="C397">
            <v>0.63289962825278812</v>
          </cell>
          <cell r="D397">
            <v>6182.674996172771</v>
          </cell>
        </row>
        <row r="398">
          <cell r="C398">
            <v>0.63197026022304836</v>
          </cell>
          <cell r="D398">
            <v>6157.2065412793863</v>
          </cell>
        </row>
        <row r="399">
          <cell r="C399">
            <v>0.6310408921933085</v>
          </cell>
          <cell r="D399">
            <v>6149.2512695462001</v>
          </cell>
        </row>
        <row r="400">
          <cell r="C400">
            <v>0.63011152416356875</v>
          </cell>
          <cell r="D400">
            <v>6129.0155297977044</v>
          </cell>
        </row>
        <row r="401">
          <cell r="C401">
            <v>0.629182156133829</v>
          </cell>
          <cell r="D401">
            <v>6125.2502919628214</v>
          </cell>
        </row>
        <row r="402">
          <cell r="C402">
            <v>0.62825278810408924</v>
          </cell>
          <cell r="D402">
            <v>6091.112135593221</v>
          </cell>
        </row>
        <row r="403">
          <cell r="C403">
            <v>0.62732342007434949</v>
          </cell>
          <cell r="D403">
            <v>6076.5145981410615</v>
          </cell>
        </row>
        <row r="404">
          <cell r="C404">
            <v>0.62639405204460963</v>
          </cell>
          <cell r="D404">
            <v>6072.6335068343369</v>
          </cell>
        </row>
        <row r="405">
          <cell r="C405">
            <v>0.62546468401486988</v>
          </cell>
          <cell r="D405">
            <v>6067.9800590486593</v>
          </cell>
        </row>
        <row r="406">
          <cell r="C406">
            <v>0.62453531598513012</v>
          </cell>
          <cell r="D406">
            <v>6052.3591492618916</v>
          </cell>
        </row>
        <row r="407">
          <cell r="C407">
            <v>0.62360594795539037</v>
          </cell>
          <cell r="D407">
            <v>6042.0288813559318</v>
          </cell>
        </row>
        <row r="408">
          <cell r="C408">
            <v>0.62267657992565051</v>
          </cell>
          <cell r="D408">
            <v>6023.4537080371783</v>
          </cell>
        </row>
        <row r="409">
          <cell r="C409">
            <v>0.62174721189591076</v>
          </cell>
          <cell r="D409">
            <v>6016.6183531984689</v>
          </cell>
        </row>
        <row r="410">
          <cell r="C410">
            <v>0.620817843866171</v>
          </cell>
          <cell r="D410">
            <v>6008.7016992892286</v>
          </cell>
        </row>
        <row r="411">
          <cell r="C411">
            <v>0.61988847583643125</v>
          </cell>
          <cell r="D411">
            <v>6003.9323980317113</v>
          </cell>
        </row>
        <row r="412">
          <cell r="C412">
            <v>0.6189591078066915</v>
          </cell>
          <cell r="D412">
            <v>5999.7230552214323</v>
          </cell>
        </row>
        <row r="413">
          <cell r="C413">
            <v>0.61802973977695164</v>
          </cell>
          <cell r="D413">
            <v>5973.2698458173872</v>
          </cell>
        </row>
        <row r="414">
          <cell r="C414">
            <v>0.61710037174721188</v>
          </cell>
          <cell r="D414">
            <v>5971.1844833242203</v>
          </cell>
        </row>
        <row r="415">
          <cell r="C415">
            <v>0.61617100371747213</v>
          </cell>
          <cell r="D415">
            <v>5969.0605030071074</v>
          </cell>
        </row>
        <row r="416">
          <cell r="C416">
            <v>0.61524163568773238</v>
          </cell>
          <cell r="D416">
            <v>5937.2007982504101</v>
          </cell>
        </row>
        <row r="417">
          <cell r="C417">
            <v>0.61431226765799252</v>
          </cell>
          <cell r="D417">
            <v>5929.264835429196</v>
          </cell>
        </row>
        <row r="418">
          <cell r="C418">
            <v>0.61338289962825276</v>
          </cell>
          <cell r="D418">
            <v>5928.6469502460368</v>
          </cell>
        </row>
        <row r="419">
          <cell r="C419">
            <v>0.61245353159851301</v>
          </cell>
          <cell r="D419">
            <v>5911.1337670858393</v>
          </cell>
        </row>
        <row r="420">
          <cell r="C420">
            <v>0.61152416356877326</v>
          </cell>
          <cell r="D420">
            <v>5884.7384844177141</v>
          </cell>
        </row>
        <row r="421">
          <cell r="C421">
            <v>0.61059479553903351</v>
          </cell>
          <cell r="D421">
            <v>5855.7364986331322</v>
          </cell>
        </row>
        <row r="422">
          <cell r="C422">
            <v>0.60966542750929364</v>
          </cell>
          <cell r="D422">
            <v>5852.7436172772013</v>
          </cell>
        </row>
        <row r="423">
          <cell r="C423">
            <v>0.60873605947955389</v>
          </cell>
          <cell r="D423">
            <v>5851.0637419354834</v>
          </cell>
        </row>
        <row r="424">
          <cell r="C424">
            <v>0.60780669144981414</v>
          </cell>
          <cell r="D424">
            <v>5830.0363367960626</v>
          </cell>
        </row>
        <row r="425">
          <cell r="C425">
            <v>0.60687732342007439</v>
          </cell>
          <cell r="D425">
            <v>5827.8158119190812</v>
          </cell>
        </row>
        <row r="426">
          <cell r="C426">
            <v>0.60594795539033453</v>
          </cell>
          <cell r="D426">
            <v>5825.5566692181519</v>
          </cell>
        </row>
        <row r="427">
          <cell r="C427">
            <v>0.60501858736059477</v>
          </cell>
          <cell r="D427">
            <v>5815.689815199562</v>
          </cell>
        </row>
        <row r="428">
          <cell r="C428">
            <v>0.60408921933085502</v>
          </cell>
          <cell r="D428">
            <v>5787.7498195735379</v>
          </cell>
        </row>
        <row r="429">
          <cell r="C429">
            <v>0.60315985130111527</v>
          </cell>
          <cell r="D429">
            <v>5764.5598162930564</v>
          </cell>
        </row>
        <row r="430">
          <cell r="C430">
            <v>0.60223048327137552</v>
          </cell>
          <cell r="D430">
            <v>5763.169574630946</v>
          </cell>
        </row>
        <row r="431">
          <cell r="C431">
            <v>0.60130111524163565</v>
          </cell>
          <cell r="D431">
            <v>5762.6289250956816</v>
          </cell>
        </row>
        <row r="432">
          <cell r="C432">
            <v>0.6003717472118959</v>
          </cell>
          <cell r="D432">
            <v>5760.0801487151448</v>
          </cell>
        </row>
        <row r="433">
          <cell r="C433">
            <v>0.59944237918215615</v>
          </cell>
          <cell r="D433">
            <v>5740.7519278294149</v>
          </cell>
        </row>
        <row r="434">
          <cell r="C434">
            <v>0.5985130111524164</v>
          </cell>
          <cell r="D434">
            <v>5736.1177889557139</v>
          </cell>
        </row>
        <row r="435">
          <cell r="C435">
            <v>0.59758364312267653</v>
          </cell>
          <cell r="D435">
            <v>5720.7092772006563</v>
          </cell>
        </row>
        <row r="436">
          <cell r="C436">
            <v>0.59665427509293678</v>
          </cell>
          <cell r="D436">
            <v>5699.3150027337351</v>
          </cell>
        </row>
        <row r="437">
          <cell r="C437">
            <v>0.59572490706319703</v>
          </cell>
          <cell r="D437">
            <v>5697.3841115363584</v>
          </cell>
        </row>
        <row r="438">
          <cell r="C438">
            <v>0.59479553903345728</v>
          </cell>
          <cell r="D438">
            <v>5690.7997725533078</v>
          </cell>
        </row>
        <row r="439">
          <cell r="C439">
            <v>0.59386617100371752</v>
          </cell>
          <cell r="D439">
            <v>5687.9420535811923</v>
          </cell>
        </row>
        <row r="440">
          <cell r="C440">
            <v>0.59293680297397766</v>
          </cell>
          <cell r="D440">
            <v>5682.149379989065</v>
          </cell>
        </row>
        <row r="441">
          <cell r="C441">
            <v>0.59200743494423791</v>
          </cell>
          <cell r="D441">
            <v>5678.3455243302342</v>
          </cell>
        </row>
        <row r="442">
          <cell r="C442">
            <v>0.59107806691449816</v>
          </cell>
          <cell r="D442">
            <v>5667.3008266812458</v>
          </cell>
        </row>
        <row r="443">
          <cell r="C443">
            <v>0.5901486988847584</v>
          </cell>
          <cell r="D443">
            <v>5665.5437156916341</v>
          </cell>
        </row>
        <row r="444">
          <cell r="C444">
            <v>0.58921933085501854</v>
          </cell>
          <cell r="D444">
            <v>5660.9868124658287</v>
          </cell>
        </row>
        <row r="445">
          <cell r="C445">
            <v>0.58828996282527879</v>
          </cell>
          <cell r="D445">
            <v>5660.3882361946426</v>
          </cell>
        </row>
        <row r="446">
          <cell r="C446">
            <v>0.58736059479553904</v>
          </cell>
          <cell r="D446">
            <v>5649.4980098414444</v>
          </cell>
        </row>
        <row r="447">
          <cell r="C447">
            <v>0.58643122676579928</v>
          </cell>
          <cell r="D447">
            <v>5648.2622394751224</v>
          </cell>
        </row>
        <row r="448">
          <cell r="C448">
            <v>0.58550185873605953</v>
          </cell>
          <cell r="D448">
            <v>5645.7520809185353</v>
          </cell>
        </row>
        <row r="449">
          <cell r="C449">
            <v>0.58457249070631967</v>
          </cell>
          <cell r="D449">
            <v>5635.2287238928366</v>
          </cell>
        </row>
        <row r="450">
          <cell r="C450">
            <v>0.58364312267657992</v>
          </cell>
          <cell r="D450">
            <v>5628.2775155822847</v>
          </cell>
        </row>
        <row r="451">
          <cell r="C451">
            <v>0.58271375464684017</v>
          </cell>
          <cell r="D451">
            <v>5617.7155407326418</v>
          </cell>
        </row>
        <row r="452">
          <cell r="C452">
            <v>0.58178438661710041</v>
          </cell>
          <cell r="D452">
            <v>5593.4442383816286</v>
          </cell>
        </row>
        <row r="453">
          <cell r="C453">
            <v>0.58085501858736055</v>
          </cell>
          <cell r="D453">
            <v>5575.7379661016948</v>
          </cell>
        </row>
        <row r="454">
          <cell r="C454">
            <v>0.5799256505576208</v>
          </cell>
          <cell r="D454">
            <v>5569.9066746856206</v>
          </cell>
        </row>
        <row r="455">
          <cell r="C455">
            <v>0.57899628252788105</v>
          </cell>
          <cell r="D455">
            <v>5560.3101454346643</v>
          </cell>
        </row>
        <row r="456">
          <cell r="C456">
            <v>0.57806691449814129</v>
          </cell>
          <cell r="D456">
            <v>5545.0561049753969</v>
          </cell>
        </row>
        <row r="457">
          <cell r="C457">
            <v>0.57713754646840154</v>
          </cell>
          <cell r="D457">
            <v>5517.3864341170047</v>
          </cell>
        </row>
        <row r="458">
          <cell r="C458">
            <v>0.57620817843866168</v>
          </cell>
          <cell r="D458">
            <v>5468.8824472389279</v>
          </cell>
        </row>
        <row r="459">
          <cell r="C459">
            <v>0.57527881040892193</v>
          </cell>
          <cell r="D459">
            <v>5438.6639999999998</v>
          </cell>
        </row>
        <row r="460">
          <cell r="C460">
            <v>0.57434944237918217</v>
          </cell>
          <cell r="D460">
            <v>5430.8825084745777</v>
          </cell>
        </row>
        <row r="461">
          <cell r="C461">
            <v>0.57342007434944242</v>
          </cell>
          <cell r="D461">
            <v>5424.568494259157</v>
          </cell>
        </row>
        <row r="462">
          <cell r="C462">
            <v>0.57249070631970256</v>
          </cell>
          <cell r="D462">
            <v>5414.0258283214871</v>
          </cell>
        </row>
        <row r="463">
          <cell r="C463">
            <v>0.57156133828996281</v>
          </cell>
          <cell r="D463">
            <v>5394.9100054674691</v>
          </cell>
        </row>
        <row r="464">
          <cell r="C464">
            <v>0.57063197026022305</v>
          </cell>
          <cell r="D464">
            <v>5384.0390880262439</v>
          </cell>
        </row>
        <row r="465">
          <cell r="C465">
            <v>0.5697026022304833</v>
          </cell>
          <cell r="D465">
            <v>5382.7260820120291</v>
          </cell>
        </row>
        <row r="466">
          <cell r="C466">
            <v>0.56877323420074355</v>
          </cell>
          <cell r="D466">
            <v>5366.0045642427549</v>
          </cell>
        </row>
        <row r="467">
          <cell r="C467">
            <v>0.56784386617100369</v>
          </cell>
          <cell r="D467">
            <v>5355.6356785128492</v>
          </cell>
        </row>
        <row r="468">
          <cell r="C468">
            <v>0.56691449814126393</v>
          </cell>
          <cell r="D468">
            <v>5346.1743116457083</v>
          </cell>
        </row>
        <row r="469">
          <cell r="C469">
            <v>0.56598513011152418</v>
          </cell>
          <cell r="D469">
            <v>5336.7901804264629</v>
          </cell>
        </row>
        <row r="470">
          <cell r="C470">
            <v>0.56505576208178443</v>
          </cell>
          <cell r="D470">
            <v>5330.2058414434123</v>
          </cell>
        </row>
        <row r="471">
          <cell r="C471">
            <v>0.56412639405204457</v>
          </cell>
          <cell r="D471">
            <v>5323.5828846364129</v>
          </cell>
        </row>
        <row r="472">
          <cell r="C472">
            <v>0.56319702602230481</v>
          </cell>
          <cell r="D472">
            <v>5315.2028168398028</v>
          </cell>
        </row>
        <row r="473">
          <cell r="C473">
            <v>0.56226765799256506</v>
          </cell>
          <cell r="D473">
            <v>5311.3024166211044</v>
          </cell>
        </row>
        <row r="474">
          <cell r="C474">
            <v>0.56133828996282531</v>
          </cell>
          <cell r="D474">
            <v>5309.8156303991245</v>
          </cell>
        </row>
        <row r="475">
          <cell r="C475">
            <v>0.56040892193308545</v>
          </cell>
          <cell r="D475">
            <v>5307.8461213778028</v>
          </cell>
        </row>
        <row r="476">
          <cell r="C476">
            <v>0.55947955390334569</v>
          </cell>
          <cell r="D476">
            <v>5305.1235647895037</v>
          </cell>
        </row>
        <row r="477">
          <cell r="C477">
            <v>0.55855018587360594</v>
          </cell>
          <cell r="D477">
            <v>5302.3237725533081</v>
          </cell>
        </row>
        <row r="478">
          <cell r="C478">
            <v>0.55762081784386619</v>
          </cell>
          <cell r="D478">
            <v>5292.688625478404</v>
          </cell>
        </row>
        <row r="479">
          <cell r="C479">
            <v>0.55669144981412644</v>
          </cell>
          <cell r="D479">
            <v>5290.9315144887923</v>
          </cell>
        </row>
        <row r="480">
          <cell r="C480">
            <v>0.55576208178438657</v>
          </cell>
          <cell r="D480">
            <v>5287.880706396938</v>
          </cell>
        </row>
        <row r="481">
          <cell r="C481">
            <v>0.55483271375464682</v>
          </cell>
          <cell r="D481">
            <v>5282.609373428103</v>
          </cell>
        </row>
        <row r="482">
          <cell r="C482">
            <v>0.55390334572490707</v>
          </cell>
          <cell r="D482">
            <v>5277.6856008747955</v>
          </cell>
        </row>
        <row r="483">
          <cell r="C483">
            <v>0.55297397769516732</v>
          </cell>
          <cell r="D483">
            <v>5256.7354313832693</v>
          </cell>
        </row>
        <row r="484">
          <cell r="C484">
            <v>0.55204460966542745</v>
          </cell>
          <cell r="D484">
            <v>5252.8929579004916</v>
          </cell>
        </row>
        <row r="485">
          <cell r="C485">
            <v>0.5511152416356877</v>
          </cell>
          <cell r="D485">
            <v>5252.6419420448328</v>
          </cell>
        </row>
        <row r="486">
          <cell r="C486">
            <v>0.55018587360594795</v>
          </cell>
          <cell r="D486">
            <v>5248.8380863860029</v>
          </cell>
        </row>
        <row r="487">
          <cell r="C487">
            <v>0.5492565055762082</v>
          </cell>
          <cell r="D487">
            <v>5242.9681771459809</v>
          </cell>
        </row>
        <row r="488">
          <cell r="C488">
            <v>0.54832713754646845</v>
          </cell>
          <cell r="D488">
            <v>5238.6236719518874</v>
          </cell>
        </row>
        <row r="489">
          <cell r="C489">
            <v>0.54739776951672858</v>
          </cell>
          <cell r="D489">
            <v>5218.3300054674683</v>
          </cell>
        </row>
        <row r="490">
          <cell r="C490">
            <v>0.54646840148698883</v>
          </cell>
          <cell r="D490">
            <v>5215.2791973756148</v>
          </cell>
        </row>
        <row r="491">
          <cell r="C491">
            <v>0.54553903345724908</v>
          </cell>
          <cell r="D491">
            <v>5202.2649907053037</v>
          </cell>
        </row>
        <row r="492">
          <cell r="C492">
            <v>0.54460966542750933</v>
          </cell>
          <cell r="D492">
            <v>5193.4408179332968</v>
          </cell>
        </row>
        <row r="493">
          <cell r="C493">
            <v>0.54368029739776946</v>
          </cell>
          <cell r="D493">
            <v>5177.8199081465282</v>
          </cell>
        </row>
        <row r="494">
          <cell r="C494">
            <v>0.54275092936802971</v>
          </cell>
          <cell r="D494">
            <v>5175.3290585019131</v>
          </cell>
        </row>
        <row r="495">
          <cell r="C495">
            <v>0.54182156133828996</v>
          </cell>
          <cell r="D495">
            <v>5170.3666681246577</v>
          </cell>
        </row>
        <row r="496">
          <cell r="C496">
            <v>0.54089219330855021</v>
          </cell>
          <cell r="D496">
            <v>5161.8321290322583</v>
          </cell>
        </row>
        <row r="497">
          <cell r="C497">
            <v>0.53996282527881045</v>
          </cell>
          <cell r="D497">
            <v>5155.6725861126297</v>
          </cell>
        </row>
        <row r="498">
          <cell r="C498">
            <v>0.53903345724907059</v>
          </cell>
          <cell r="D498">
            <v>5145.8443499179875</v>
          </cell>
        </row>
        <row r="499">
          <cell r="C499">
            <v>0.53810408921933084</v>
          </cell>
          <cell r="D499">
            <v>5144.9754488791705</v>
          </cell>
        </row>
        <row r="500">
          <cell r="C500">
            <v>0.53717472118959109</v>
          </cell>
          <cell r="D500">
            <v>5104.8129119737559</v>
          </cell>
        </row>
        <row r="501">
          <cell r="C501">
            <v>0.53624535315985133</v>
          </cell>
          <cell r="D501">
            <v>5095.0426025150355</v>
          </cell>
        </row>
        <row r="502">
          <cell r="C502">
            <v>0.53531598513011147</v>
          </cell>
          <cell r="D502">
            <v>5088.632043739749</v>
          </cell>
        </row>
        <row r="503">
          <cell r="C503">
            <v>0.53438661710037172</v>
          </cell>
          <cell r="D503">
            <v>5079.9044155276115</v>
          </cell>
        </row>
        <row r="504">
          <cell r="C504">
            <v>0.53345724907063197</v>
          </cell>
          <cell r="D504">
            <v>5063.4725314379448</v>
          </cell>
        </row>
        <row r="505">
          <cell r="C505">
            <v>0.53252788104089221</v>
          </cell>
          <cell r="D505">
            <v>5036.6717616183714</v>
          </cell>
        </row>
        <row r="506">
          <cell r="C506">
            <v>0.53159851301115246</v>
          </cell>
          <cell r="D506">
            <v>5018.9461804264629</v>
          </cell>
        </row>
        <row r="507">
          <cell r="C507">
            <v>0.5306691449814126</v>
          </cell>
          <cell r="D507">
            <v>5017.0152892290871</v>
          </cell>
        </row>
        <row r="508">
          <cell r="C508">
            <v>0.52973977695167285</v>
          </cell>
          <cell r="D508">
            <v>5015.3740317113179</v>
          </cell>
        </row>
        <row r="509">
          <cell r="C509">
            <v>0.52881040892193309</v>
          </cell>
          <cell r="D509">
            <v>5011.1839978130138</v>
          </cell>
        </row>
        <row r="510">
          <cell r="C510">
            <v>0.52788104089219334</v>
          </cell>
          <cell r="D510">
            <v>4989.4807807545103</v>
          </cell>
        </row>
        <row r="511">
          <cell r="C511">
            <v>0.52695167286245348</v>
          </cell>
          <cell r="D511">
            <v>4984.1901388737015</v>
          </cell>
        </row>
        <row r="512">
          <cell r="C512">
            <v>0.52602230483271373</v>
          </cell>
          <cell r="D512">
            <v>4983.8425784581732</v>
          </cell>
        </row>
        <row r="513">
          <cell r="C513">
            <v>0.52509293680297398</v>
          </cell>
          <cell r="D513">
            <v>4982.6454259158008</v>
          </cell>
        </row>
        <row r="514">
          <cell r="C514">
            <v>0.52416356877323422</v>
          </cell>
          <cell r="D514">
            <v>4968.1830508474577</v>
          </cell>
        </row>
        <row r="515">
          <cell r="C515">
            <v>0.52323420074349447</v>
          </cell>
          <cell r="D515">
            <v>4952.4849054127944</v>
          </cell>
        </row>
        <row r="516">
          <cell r="C516">
            <v>0.52230483271375461</v>
          </cell>
          <cell r="D516">
            <v>4940.8802493165667</v>
          </cell>
        </row>
        <row r="517">
          <cell r="C517">
            <v>0.52137546468401486</v>
          </cell>
          <cell r="D517">
            <v>4939.7217145981404</v>
          </cell>
        </row>
        <row r="518">
          <cell r="C518">
            <v>0.5204460966542751</v>
          </cell>
          <cell r="D518">
            <v>4937.2887916894479</v>
          </cell>
        </row>
        <row r="519">
          <cell r="C519">
            <v>0.51951672862453535</v>
          </cell>
          <cell r="D519">
            <v>4931.380264625479</v>
          </cell>
        </row>
        <row r="520">
          <cell r="C520">
            <v>0.51858736059479549</v>
          </cell>
          <cell r="D520">
            <v>4925.6841355932193</v>
          </cell>
        </row>
        <row r="521">
          <cell r="C521">
            <v>0.51765799256505574</v>
          </cell>
          <cell r="D521">
            <v>4919.8721530891198</v>
          </cell>
        </row>
        <row r="522">
          <cell r="C522">
            <v>0.51672862453531598</v>
          </cell>
          <cell r="D522">
            <v>4904.1933165664295</v>
          </cell>
        </row>
        <row r="523">
          <cell r="C523">
            <v>0.51579925650557623</v>
          </cell>
          <cell r="D523">
            <v>4896.8366211044286</v>
          </cell>
        </row>
        <row r="524">
          <cell r="C524">
            <v>0.51486988847583648</v>
          </cell>
          <cell r="D524">
            <v>4896.0642646254782</v>
          </cell>
        </row>
        <row r="525">
          <cell r="C525">
            <v>0.51394052044609662</v>
          </cell>
          <cell r="D525">
            <v>4894.9057299070537</v>
          </cell>
        </row>
        <row r="526">
          <cell r="C526">
            <v>0.51301115241635686</v>
          </cell>
          <cell r="D526">
            <v>4883.8803411700383</v>
          </cell>
        </row>
        <row r="527">
          <cell r="C527">
            <v>0.51208178438661711</v>
          </cell>
          <cell r="D527">
            <v>4877.431164570804</v>
          </cell>
        </row>
        <row r="528">
          <cell r="C528">
            <v>0.51115241635687736</v>
          </cell>
          <cell r="D528">
            <v>4871.0206057955174</v>
          </cell>
        </row>
        <row r="529">
          <cell r="C529">
            <v>0.5102230483271375</v>
          </cell>
          <cell r="D529">
            <v>4870.6344275560414</v>
          </cell>
        </row>
        <row r="530">
          <cell r="C530">
            <v>0.50929368029739774</v>
          </cell>
          <cell r="D530">
            <v>4858.7787556041549</v>
          </cell>
        </row>
        <row r="531">
          <cell r="C531">
            <v>0.50836431226765799</v>
          </cell>
          <cell r="D531">
            <v>4856.7320109349366</v>
          </cell>
        </row>
        <row r="532">
          <cell r="C532">
            <v>0.50743494423791824</v>
          </cell>
          <cell r="D532">
            <v>4842.3468715144891</v>
          </cell>
        </row>
        <row r="533">
          <cell r="C533">
            <v>0.50650557620817849</v>
          </cell>
          <cell r="D533">
            <v>4840.3966714051394</v>
          </cell>
        </row>
        <row r="534">
          <cell r="C534">
            <v>0.50557620817843862</v>
          </cell>
          <cell r="D534">
            <v>4832.0552214324771</v>
          </cell>
        </row>
        <row r="535">
          <cell r="C535">
            <v>0.50464684014869887</v>
          </cell>
          <cell r="D535">
            <v>4819.3499573537447</v>
          </cell>
        </row>
        <row r="536">
          <cell r="C536">
            <v>0.50371747211895912</v>
          </cell>
          <cell r="D536">
            <v>4816.2991492618921</v>
          </cell>
        </row>
        <row r="537">
          <cell r="C537">
            <v>0.50278810408921937</v>
          </cell>
          <cell r="D537">
            <v>4814.8509808638601</v>
          </cell>
        </row>
        <row r="538">
          <cell r="C538">
            <v>0.5018587360594795</v>
          </cell>
          <cell r="D538">
            <v>4803.0725445598691</v>
          </cell>
        </row>
        <row r="539">
          <cell r="C539">
            <v>0.50092936802973975</v>
          </cell>
          <cell r="D539">
            <v>4802.5705128485506</v>
          </cell>
        </row>
        <row r="540">
          <cell r="C540">
            <v>0.5</v>
          </cell>
          <cell r="D540">
            <v>4795.2524352104974</v>
          </cell>
        </row>
        <row r="541">
          <cell r="C541">
            <v>0.49907063197026025</v>
          </cell>
          <cell r="D541">
            <v>4792.0664647348285</v>
          </cell>
        </row>
        <row r="542">
          <cell r="C542">
            <v>0.49814126394052044</v>
          </cell>
          <cell r="D542">
            <v>4786.3510267905967</v>
          </cell>
        </row>
        <row r="543">
          <cell r="C543">
            <v>0.49721189591078069</v>
          </cell>
          <cell r="D543">
            <v>4779.3225828321483</v>
          </cell>
        </row>
        <row r="544">
          <cell r="C544">
            <v>0.49628252788104088</v>
          </cell>
          <cell r="D544">
            <v>4764.5705740841986</v>
          </cell>
        </row>
        <row r="545">
          <cell r="C545">
            <v>0.49535315985130113</v>
          </cell>
          <cell r="D545">
            <v>4761.8093996719526</v>
          </cell>
        </row>
        <row r="546">
          <cell r="C546">
            <v>0.49442379182156132</v>
          </cell>
          <cell r="D546">
            <v>4739.4496796063431</v>
          </cell>
        </row>
        <row r="547">
          <cell r="C547">
            <v>0.49349442379182157</v>
          </cell>
          <cell r="D547">
            <v>4735.3175724439579</v>
          </cell>
        </row>
        <row r="548">
          <cell r="C548">
            <v>0.49256505576208176</v>
          </cell>
          <cell r="D548">
            <v>4735.0086298523784</v>
          </cell>
        </row>
        <row r="549">
          <cell r="C549">
            <v>0.49163568773234201</v>
          </cell>
          <cell r="D549">
            <v>4722.071658829962</v>
          </cell>
        </row>
        <row r="550">
          <cell r="C550">
            <v>0.49070631970260226</v>
          </cell>
          <cell r="D550">
            <v>4721.0675954073258</v>
          </cell>
        </row>
        <row r="551">
          <cell r="C551">
            <v>0.48977695167286245</v>
          </cell>
          <cell r="D551">
            <v>4713.3247217058506</v>
          </cell>
        </row>
        <row r="552">
          <cell r="C552">
            <v>0.4888475836431227</v>
          </cell>
          <cell r="D552">
            <v>4712.8033810825582</v>
          </cell>
        </row>
        <row r="553">
          <cell r="C553">
            <v>0.48791821561338289</v>
          </cell>
          <cell r="D553">
            <v>4693.7454849644619</v>
          </cell>
        </row>
        <row r="554">
          <cell r="C554">
            <v>0.48698884758364314</v>
          </cell>
          <cell r="D554">
            <v>4692.5869502460364</v>
          </cell>
        </row>
        <row r="555">
          <cell r="C555">
            <v>0.48605947955390333</v>
          </cell>
          <cell r="D555">
            <v>4692.3938611262984</v>
          </cell>
        </row>
        <row r="556">
          <cell r="C556">
            <v>0.48513011152416358</v>
          </cell>
          <cell r="D556">
            <v>4688.9761837069427</v>
          </cell>
        </row>
        <row r="557">
          <cell r="C557">
            <v>0.48420074349442377</v>
          </cell>
          <cell r="D557">
            <v>4676.9660404592678</v>
          </cell>
        </row>
        <row r="558">
          <cell r="C558">
            <v>0.48327137546468402</v>
          </cell>
          <cell r="D558">
            <v>4652.9457539639143</v>
          </cell>
        </row>
        <row r="559">
          <cell r="C559">
            <v>0.48234200743494426</v>
          </cell>
          <cell r="D559">
            <v>4626.4153089119745</v>
          </cell>
        </row>
        <row r="560">
          <cell r="C560">
            <v>0.48141263940520446</v>
          </cell>
          <cell r="D560">
            <v>4621.3563739748506</v>
          </cell>
        </row>
        <row r="561">
          <cell r="C561">
            <v>0.4804832713754647</v>
          </cell>
          <cell r="D561">
            <v>4616.7994707490425</v>
          </cell>
        </row>
        <row r="562">
          <cell r="C562">
            <v>0.4795539033457249</v>
          </cell>
          <cell r="D562">
            <v>4602.1633154729352</v>
          </cell>
        </row>
        <row r="563">
          <cell r="C563">
            <v>0.47862453531598514</v>
          </cell>
          <cell r="D563">
            <v>4589.2456533624927</v>
          </cell>
        </row>
        <row r="564">
          <cell r="C564">
            <v>0.47769516728624534</v>
          </cell>
          <cell r="D564">
            <v>4583.2019639147074</v>
          </cell>
        </row>
        <row r="565">
          <cell r="C565">
            <v>0.47676579925650558</v>
          </cell>
          <cell r="D565">
            <v>4579.2243280481134</v>
          </cell>
        </row>
        <row r="566">
          <cell r="C566">
            <v>0.47583643122676578</v>
          </cell>
          <cell r="D566">
            <v>4577.9692487698185</v>
          </cell>
        </row>
        <row r="567">
          <cell r="C567">
            <v>0.47490706319702602</v>
          </cell>
          <cell r="D567">
            <v>4575.3818545653357</v>
          </cell>
        </row>
        <row r="568">
          <cell r="C568">
            <v>0.47397769516728627</v>
          </cell>
          <cell r="D568">
            <v>4569.3960918534722</v>
          </cell>
        </row>
        <row r="569">
          <cell r="C569">
            <v>0.47304832713754646</v>
          </cell>
          <cell r="D569">
            <v>4566.7700798250407</v>
          </cell>
        </row>
        <row r="570">
          <cell r="C570">
            <v>0.47211895910780671</v>
          </cell>
          <cell r="D570">
            <v>4564.5302460360863</v>
          </cell>
        </row>
        <row r="571">
          <cell r="C571">
            <v>0.47118959107806691</v>
          </cell>
          <cell r="D571">
            <v>4558.7375724439589</v>
          </cell>
        </row>
        <row r="572">
          <cell r="C572">
            <v>0.47026022304832715</v>
          </cell>
          <cell r="D572">
            <v>4550.9946987424828</v>
          </cell>
        </row>
        <row r="573">
          <cell r="C573">
            <v>0.46933085501858735</v>
          </cell>
          <cell r="D573">
            <v>4537.1888266812466</v>
          </cell>
        </row>
        <row r="574">
          <cell r="C574">
            <v>0.46840148698884759</v>
          </cell>
          <cell r="D574">
            <v>4531.5313154729356</v>
          </cell>
        </row>
        <row r="575">
          <cell r="C575">
            <v>0.46747211895910779</v>
          </cell>
          <cell r="D575">
            <v>4521.355518862767</v>
          </cell>
        </row>
        <row r="576">
          <cell r="C576">
            <v>0.46654275092936803</v>
          </cell>
          <cell r="D576">
            <v>4513.0913045379993</v>
          </cell>
        </row>
        <row r="577">
          <cell r="C577">
            <v>0.46561338289962823</v>
          </cell>
          <cell r="D577">
            <v>4509.0943597594314</v>
          </cell>
        </row>
        <row r="578">
          <cell r="C578">
            <v>0.46468401486988847</v>
          </cell>
          <cell r="D578">
            <v>4496.9683630399122</v>
          </cell>
        </row>
        <row r="579">
          <cell r="C579">
            <v>0.46375464684014872</v>
          </cell>
          <cell r="D579">
            <v>4490.3454062329138</v>
          </cell>
        </row>
        <row r="580">
          <cell r="C580">
            <v>0.46282527881040891</v>
          </cell>
          <cell r="D580">
            <v>4476.5781519956272</v>
          </cell>
        </row>
        <row r="581">
          <cell r="C581">
            <v>0.46189591078066916</v>
          </cell>
          <cell r="D581">
            <v>4467.7539792236203</v>
          </cell>
        </row>
        <row r="582">
          <cell r="C582">
            <v>0.46096654275092935</v>
          </cell>
          <cell r="D582">
            <v>4416.7398337889554</v>
          </cell>
        </row>
        <row r="583">
          <cell r="C583">
            <v>0.4600371747211896</v>
          </cell>
          <cell r="D583">
            <v>4415.0020317113176</v>
          </cell>
        </row>
        <row r="584">
          <cell r="C584">
            <v>0.45910780669144979</v>
          </cell>
          <cell r="D584">
            <v>4404.845544013122</v>
          </cell>
        </row>
        <row r="585">
          <cell r="C585">
            <v>0.45817843866171004</v>
          </cell>
          <cell r="D585">
            <v>4395.0173078184798</v>
          </cell>
        </row>
        <row r="586">
          <cell r="C586">
            <v>0.45724907063197023</v>
          </cell>
          <cell r="D586">
            <v>4394.3608048113729</v>
          </cell>
        </row>
        <row r="587">
          <cell r="C587">
            <v>0.45631970260223048</v>
          </cell>
          <cell r="D587">
            <v>4375.0325839256429</v>
          </cell>
        </row>
        <row r="588">
          <cell r="C588">
            <v>0.45539033457249073</v>
          </cell>
          <cell r="D588">
            <v>4369.9157222525973</v>
          </cell>
        </row>
        <row r="589">
          <cell r="C589">
            <v>0.45446096654275092</v>
          </cell>
          <cell r="D589">
            <v>4366.4787359212696</v>
          </cell>
        </row>
        <row r="590">
          <cell r="C590">
            <v>0.45353159851301117</v>
          </cell>
          <cell r="D590">
            <v>4354.1596500820115</v>
          </cell>
        </row>
        <row r="591">
          <cell r="C591">
            <v>0.45260223048327136</v>
          </cell>
          <cell r="D591">
            <v>4350.4909568069979</v>
          </cell>
        </row>
        <row r="592">
          <cell r="C592">
            <v>0.45167286245353161</v>
          </cell>
          <cell r="D592">
            <v>4344.5438119190812</v>
          </cell>
        </row>
        <row r="593">
          <cell r="C593">
            <v>0.4507434944237918</v>
          </cell>
          <cell r="D593">
            <v>4338.5773581191916</v>
          </cell>
        </row>
        <row r="594">
          <cell r="C594">
            <v>0.44981412639405205</v>
          </cell>
          <cell r="D594">
            <v>4329.0387556041551</v>
          </cell>
        </row>
        <row r="595">
          <cell r="C595">
            <v>0.44888475836431224</v>
          </cell>
          <cell r="D595">
            <v>4321.0448660470202</v>
          </cell>
        </row>
        <row r="596">
          <cell r="C596">
            <v>0.44795539033457249</v>
          </cell>
          <cell r="D596">
            <v>4320.1759650082013</v>
          </cell>
        </row>
        <row r="597">
          <cell r="C597">
            <v>0.44702602230483274</v>
          </cell>
          <cell r="D597">
            <v>4314.6729250956814</v>
          </cell>
        </row>
        <row r="598">
          <cell r="C598">
            <v>0.44609665427509293</v>
          </cell>
          <cell r="D598">
            <v>4308.7837069436855</v>
          </cell>
        </row>
        <row r="599">
          <cell r="C599">
            <v>0.44516728624535318</v>
          </cell>
          <cell r="D599">
            <v>4303.7440809185346</v>
          </cell>
        </row>
        <row r="600">
          <cell r="C600">
            <v>0.44423791821561337</v>
          </cell>
          <cell r="D600">
            <v>4300.9635975943129</v>
          </cell>
        </row>
        <row r="601">
          <cell r="C601">
            <v>0.44330855018587362</v>
          </cell>
          <cell r="D601">
            <v>4283.1607807545115</v>
          </cell>
        </row>
        <row r="602">
          <cell r="C602">
            <v>0.44237918215613381</v>
          </cell>
          <cell r="D602">
            <v>4280.6120043739747</v>
          </cell>
        </row>
        <row r="603">
          <cell r="C603">
            <v>0.44144981412639406</v>
          </cell>
          <cell r="D603">
            <v>4276.6922952433024</v>
          </cell>
        </row>
        <row r="604">
          <cell r="C604">
            <v>0.44052044609665425</v>
          </cell>
          <cell r="D604">
            <v>4276.4992061235644</v>
          </cell>
        </row>
        <row r="605">
          <cell r="C605">
            <v>0.4395910780669145</v>
          </cell>
          <cell r="D605">
            <v>4276.1902635319848</v>
          </cell>
        </row>
        <row r="606">
          <cell r="C606">
            <v>0.43866171003717475</v>
          </cell>
          <cell r="D606">
            <v>4270.281736468015</v>
          </cell>
        </row>
        <row r="607">
          <cell r="C607">
            <v>0.43773234200743494</v>
          </cell>
          <cell r="D607">
            <v>4259.1211853471841</v>
          </cell>
        </row>
        <row r="608">
          <cell r="C608">
            <v>0.43680297397769519</v>
          </cell>
          <cell r="D608">
            <v>4258.9667140513939</v>
          </cell>
        </row>
        <row r="609">
          <cell r="C609">
            <v>0.43587360594795538</v>
          </cell>
          <cell r="D609">
            <v>4238.7695921268451</v>
          </cell>
        </row>
        <row r="610">
          <cell r="C610">
            <v>0.43494423791821563</v>
          </cell>
          <cell r="D610">
            <v>4236.3366692181517</v>
          </cell>
        </row>
        <row r="611">
          <cell r="C611">
            <v>0.43401486988847582</v>
          </cell>
          <cell r="D611">
            <v>4233.1313898305089</v>
          </cell>
        </row>
        <row r="612">
          <cell r="C612">
            <v>0.43308550185873607</v>
          </cell>
          <cell r="D612">
            <v>4230.582613449973</v>
          </cell>
        </row>
        <row r="613">
          <cell r="C613">
            <v>0.43215613382899626</v>
          </cell>
          <cell r="D613">
            <v>4230.4474510661566</v>
          </cell>
        </row>
        <row r="614">
          <cell r="C614">
            <v>0.43122676579925651</v>
          </cell>
          <cell r="D614">
            <v>4219.2675910333519</v>
          </cell>
        </row>
        <row r="615">
          <cell r="C615">
            <v>0.43029739776951675</v>
          </cell>
          <cell r="D615">
            <v>4209.9800043739751</v>
          </cell>
        </row>
        <row r="616">
          <cell r="C616">
            <v>0.42936802973977695</v>
          </cell>
          <cell r="D616">
            <v>4206.6781804264638</v>
          </cell>
        </row>
        <row r="617">
          <cell r="C617">
            <v>0.42843866171003719</v>
          </cell>
          <cell r="D617">
            <v>4201.9474969928924</v>
          </cell>
        </row>
        <row r="618">
          <cell r="C618">
            <v>0.42750929368029739</v>
          </cell>
          <cell r="D618">
            <v>4183.4302504100597</v>
          </cell>
        </row>
        <row r="619">
          <cell r="C619">
            <v>0.42657992565055763</v>
          </cell>
          <cell r="D619">
            <v>4178.718875888464</v>
          </cell>
        </row>
        <row r="620">
          <cell r="C620">
            <v>0.42565055762081783</v>
          </cell>
          <cell r="D620">
            <v>4175.8997747402955</v>
          </cell>
        </row>
        <row r="621">
          <cell r="C621">
            <v>0.42472118959107807</v>
          </cell>
          <cell r="D621">
            <v>4174.2392083105524</v>
          </cell>
        </row>
        <row r="622">
          <cell r="C622">
            <v>0.42379182156133827</v>
          </cell>
          <cell r="D622">
            <v>4173.6599409513401</v>
          </cell>
        </row>
        <row r="623">
          <cell r="C623">
            <v>0.42286245353159851</v>
          </cell>
          <cell r="D623">
            <v>4166.6701148168404</v>
          </cell>
        </row>
        <row r="624">
          <cell r="C624">
            <v>0.42193308550185876</v>
          </cell>
          <cell r="D624">
            <v>4157.1508212137778</v>
          </cell>
        </row>
        <row r="625">
          <cell r="C625">
            <v>0.42100371747211895</v>
          </cell>
          <cell r="D625">
            <v>4156.3398469108806</v>
          </cell>
        </row>
        <row r="626">
          <cell r="C626">
            <v>0.4200743494423792</v>
          </cell>
          <cell r="D626">
            <v>4148.9831514488797</v>
          </cell>
        </row>
        <row r="627">
          <cell r="C627">
            <v>0.41914498141263939</v>
          </cell>
          <cell r="D627">
            <v>4142.3022679059604</v>
          </cell>
        </row>
        <row r="628">
          <cell r="C628">
            <v>0.41821561338289964</v>
          </cell>
          <cell r="D628">
            <v>4140.6803193001651</v>
          </cell>
        </row>
        <row r="629">
          <cell r="C629">
            <v>0.41728624535315983</v>
          </cell>
          <cell r="D629">
            <v>4139.1162974302897</v>
          </cell>
        </row>
        <row r="630">
          <cell r="C630">
            <v>0.41635687732342008</v>
          </cell>
          <cell r="D630">
            <v>4129.80940185894</v>
          </cell>
        </row>
        <row r="631">
          <cell r="C631">
            <v>0.41542750929368027</v>
          </cell>
          <cell r="D631">
            <v>4124.2870530344453</v>
          </cell>
        </row>
        <row r="632">
          <cell r="C632">
            <v>0.41449814126394052</v>
          </cell>
          <cell r="D632">
            <v>4121.3907162383821</v>
          </cell>
        </row>
        <row r="633">
          <cell r="C633">
            <v>0.41356877323420077</v>
          </cell>
          <cell r="D633">
            <v>4117.4903160196836</v>
          </cell>
        </row>
        <row r="634">
          <cell r="C634">
            <v>0.41263940520446096</v>
          </cell>
          <cell r="D634">
            <v>4105.2098480043742</v>
          </cell>
        </row>
        <row r="635">
          <cell r="C635">
            <v>0.41171003717472121</v>
          </cell>
          <cell r="D635">
            <v>4104.3602558775283</v>
          </cell>
        </row>
        <row r="636">
          <cell r="C636">
            <v>0.4107806691449814</v>
          </cell>
          <cell r="D636">
            <v>4093.7210453799894</v>
          </cell>
        </row>
        <row r="637">
          <cell r="C637">
            <v>0.40985130111524165</v>
          </cell>
          <cell r="D637">
            <v>4069.1408004373975</v>
          </cell>
        </row>
        <row r="638">
          <cell r="C638">
            <v>0.40892193308550184</v>
          </cell>
          <cell r="D638">
            <v>4065.2597091306725</v>
          </cell>
        </row>
        <row r="639">
          <cell r="C639">
            <v>0.40799256505576209</v>
          </cell>
          <cell r="D639">
            <v>4061.2241465281572</v>
          </cell>
        </row>
        <row r="640">
          <cell r="C640">
            <v>0.40706319702602228</v>
          </cell>
          <cell r="D640">
            <v>4057.1885839256429</v>
          </cell>
        </row>
        <row r="641">
          <cell r="C641">
            <v>0.40613382899628253</v>
          </cell>
          <cell r="D641">
            <v>4056.8796413340624</v>
          </cell>
        </row>
        <row r="642">
          <cell r="C642">
            <v>0.40520446096654272</v>
          </cell>
          <cell r="D642">
            <v>4051.0097320940399</v>
          </cell>
        </row>
        <row r="643">
          <cell r="C643">
            <v>0.40427509293680297</v>
          </cell>
          <cell r="D643">
            <v>4038.3817036632049</v>
          </cell>
        </row>
        <row r="644">
          <cell r="C644">
            <v>0.40334572490706322</v>
          </cell>
          <cell r="D644">
            <v>4033.2455330781854</v>
          </cell>
        </row>
        <row r="645">
          <cell r="C645">
            <v>0.40241635687732341</v>
          </cell>
          <cell r="D645">
            <v>4012.8746309458725</v>
          </cell>
        </row>
        <row r="646">
          <cell r="C646">
            <v>0.40148698884758366</v>
          </cell>
          <cell r="D646">
            <v>3993.1602318206669</v>
          </cell>
        </row>
        <row r="647">
          <cell r="C647">
            <v>0.40055762081784385</v>
          </cell>
          <cell r="D647">
            <v>3987.5606473482771</v>
          </cell>
        </row>
        <row r="648">
          <cell r="C648">
            <v>0.3996282527881041</v>
          </cell>
          <cell r="D648">
            <v>3984.7029283761631</v>
          </cell>
        </row>
        <row r="649">
          <cell r="C649">
            <v>0.39869888475836429</v>
          </cell>
          <cell r="D649">
            <v>3978.5240765445601</v>
          </cell>
        </row>
        <row r="650">
          <cell r="C650">
            <v>0.39776951672862454</v>
          </cell>
          <cell r="D650">
            <v>3973.619612903226</v>
          </cell>
        </row>
        <row r="651">
          <cell r="C651">
            <v>0.39684014869888473</v>
          </cell>
          <cell r="D651">
            <v>3972.0555910333519</v>
          </cell>
        </row>
        <row r="652">
          <cell r="C652">
            <v>0.39591078066914498</v>
          </cell>
          <cell r="D652">
            <v>3970.3370978676876</v>
          </cell>
        </row>
        <row r="653">
          <cell r="C653">
            <v>0.39498141263940523</v>
          </cell>
          <cell r="D653">
            <v>3958.7517506834342</v>
          </cell>
        </row>
        <row r="654">
          <cell r="C654">
            <v>0.39405204460966542</v>
          </cell>
          <cell r="D654">
            <v>3957.5159803171132</v>
          </cell>
        </row>
        <row r="655">
          <cell r="C655">
            <v>0.39312267657992567</v>
          </cell>
          <cell r="D655">
            <v>3954.8127326407871</v>
          </cell>
        </row>
        <row r="656">
          <cell r="C656">
            <v>0.39219330855018586</v>
          </cell>
          <cell r="D656">
            <v>3951.7233067249872</v>
          </cell>
        </row>
        <row r="657">
          <cell r="C657">
            <v>0.39126394052044611</v>
          </cell>
          <cell r="D657">
            <v>3951.4722908693284</v>
          </cell>
        </row>
        <row r="658">
          <cell r="C658">
            <v>0.3903345724907063</v>
          </cell>
          <cell r="D658">
            <v>3949.9275779114269</v>
          </cell>
        </row>
        <row r="659">
          <cell r="C659">
            <v>0.38940520446096655</v>
          </cell>
          <cell r="D659">
            <v>3944.8686429743025</v>
          </cell>
        </row>
        <row r="660">
          <cell r="C660">
            <v>0.38847583643122674</v>
          </cell>
          <cell r="D660">
            <v>3933.3026047020235</v>
          </cell>
        </row>
        <row r="661">
          <cell r="C661">
            <v>0.38754646840148699</v>
          </cell>
          <cell r="D661">
            <v>3933.2832957900491</v>
          </cell>
        </row>
        <row r="662">
          <cell r="C662">
            <v>0.38661710037174724</v>
          </cell>
          <cell r="D662">
            <v>3917.8940929469663</v>
          </cell>
        </row>
        <row r="663">
          <cell r="C663">
            <v>0.38568773234200743</v>
          </cell>
          <cell r="D663">
            <v>3907.5831339529805</v>
          </cell>
        </row>
        <row r="664">
          <cell r="C664">
            <v>0.38475836431226768</v>
          </cell>
          <cell r="D664">
            <v>3906.4825259704758</v>
          </cell>
        </row>
        <row r="665">
          <cell r="C665">
            <v>0.38382899628252787</v>
          </cell>
          <cell r="D665">
            <v>3903.7599693821767</v>
          </cell>
        </row>
        <row r="666">
          <cell r="C666">
            <v>0.38289962825278812</v>
          </cell>
          <cell r="D666">
            <v>3902.2731831601973</v>
          </cell>
        </row>
        <row r="667">
          <cell r="C667">
            <v>0.38197026022304831</v>
          </cell>
          <cell r="D667">
            <v>3890.263039912521</v>
          </cell>
        </row>
        <row r="668">
          <cell r="C668">
            <v>0.38104089219330856</v>
          </cell>
          <cell r="D668">
            <v>3885.1654871514493</v>
          </cell>
        </row>
        <row r="669">
          <cell r="C669">
            <v>0.38011152416356875</v>
          </cell>
          <cell r="D669">
            <v>3883.9490256971021</v>
          </cell>
        </row>
        <row r="670">
          <cell r="C670">
            <v>0.379182156133829</v>
          </cell>
          <cell r="D670">
            <v>3854.9084220885729</v>
          </cell>
        </row>
        <row r="671">
          <cell r="C671">
            <v>0.37825278810408924</v>
          </cell>
          <cell r="D671">
            <v>3851.5293624931651</v>
          </cell>
        </row>
        <row r="672">
          <cell r="C672">
            <v>0.37732342007434944</v>
          </cell>
          <cell r="D672">
            <v>3851.3362733734289</v>
          </cell>
        </row>
        <row r="673">
          <cell r="C673">
            <v>0.37639405204460968</v>
          </cell>
          <cell r="D673">
            <v>3851.2397288135589</v>
          </cell>
        </row>
        <row r="674">
          <cell r="C674">
            <v>0.37546468401486988</v>
          </cell>
          <cell r="D674">
            <v>3847.3007107709132</v>
          </cell>
        </row>
        <row r="675">
          <cell r="C675">
            <v>0.37453531598513012</v>
          </cell>
          <cell r="D675">
            <v>3843.2072214324767</v>
          </cell>
        </row>
        <row r="676">
          <cell r="C676">
            <v>0.37360594795539032</v>
          </cell>
          <cell r="D676">
            <v>3840.5039737561515</v>
          </cell>
        </row>
        <row r="677">
          <cell r="C677">
            <v>0.37267657992565056</v>
          </cell>
          <cell r="D677">
            <v>3839.7509261891742</v>
          </cell>
        </row>
        <row r="678">
          <cell r="C678">
            <v>0.37174721189591076</v>
          </cell>
          <cell r="D678">
            <v>3839.248894477857</v>
          </cell>
        </row>
        <row r="679">
          <cell r="C679">
            <v>0.370817843866171</v>
          </cell>
          <cell r="D679">
            <v>3837.6269458720608</v>
          </cell>
        </row>
        <row r="680">
          <cell r="C680">
            <v>0.36988847583643125</v>
          </cell>
          <cell r="D680">
            <v>3819.5151864406776</v>
          </cell>
        </row>
        <row r="681">
          <cell r="C681">
            <v>0.36895910780669144</v>
          </cell>
          <cell r="D681">
            <v>3818.4338873701477</v>
          </cell>
        </row>
        <row r="682">
          <cell r="C682">
            <v>0.36802973977695169</v>
          </cell>
          <cell r="D682">
            <v>3815.3058436303986</v>
          </cell>
        </row>
        <row r="683">
          <cell r="C683">
            <v>0.36710037174721188</v>
          </cell>
          <cell r="D683">
            <v>3810.2855265172225</v>
          </cell>
        </row>
        <row r="684">
          <cell r="C684">
            <v>0.36617100371747213</v>
          </cell>
          <cell r="D684">
            <v>3809.3007720065611</v>
          </cell>
        </row>
        <row r="685">
          <cell r="C685">
            <v>0.36524163568773232</v>
          </cell>
          <cell r="D685">
            <v>3801.4034270092943</v>
          </cell>
        </row>
        <row r="686">
          <cell r="C686">
            <v>0.36431226765799257</v>
          </cell>
          <cell r="D686">
            <v>3800.1483477310007</v>
          </cell>
        </row>
        <row r="687">
          <cell r="C687">
            <v>0.36338289962825276</v>
          </cell>
          <cell r="D687">
            <v>3795.1280306178246</v>
          </cell>
        </row>
        <row r="688">
          <cell r="C688">
            <v>0.36245353159851301</v>
          </cell>
          <cell r="D688">
            <v>3785.1260142154192</v>
          </cell>
        </row>
        <row r="689">
          <cell r="C689">
            <v>0.36152416356877326</v>
          </cell>
          <cell r="D689">
            <v>3783.2144319300169</v>
          </cell>
        </row>
        <row r="690">
          <cell r="C690">
            <v>0.36059479553903345</v>
          </cell>
          <cell r="D690">
            <v>3770.0650628758881</v>
          </cell>
        </row>
        <row r="691">
          <cell r="C691">
            <v>0.3596654275092937</v>
          </cell>
          <cell r="D691">
            <v>3764.7358031711319</v>
          </cell>
        </row>
        <row r="692">
          <cell r="C692">
            <v>0.35873605947955389</v>
          </cell>
          <cell r="D692">
            <v>3761.2215811919082</v>
          </cell>
        </row>
        <row r="693">
          <cell r="C693">
            <v>0.35780669144981414</v>
          </cell>
          <cell r="D693">
            <v>3741.9899048660468</v>
          </cell>
        </row>
        <row r="694">
          <cell r="C694">
            <v>0.35687732342007433</v>
          </cell>
          <cell r="D694">
            <v>3738.2053581191904</v>
          </cell>
        </row>
        <row r="695">
          <cell r="C695">
            <v>0.35594795539033458</v>
          </cell>
          <cell r="D695">
            <v>3737.3364570803719</v>
          </cell>
        </row>
        <row r="696">
          <cell r="C696">
            <v>0.35501858736059477</v>
          </cell>
          <cell r="D696">
            <v>3735.1352411153644</v>
          </cell>
        </row>
        <row r="697">
          <cell r="C697">
            <v>0.35408921933085502</v>
          </cell>
          <cell r="D697">
            <v>3733.8801618370694</v>
          </cell>
        </row>
        <row r="698">
          <cell r="C698">
            <v>0.35315985130111527</v>
          </cell>
          <cell r="D698">
            <v>3731.3120765445601</v>
          </cell>
        </row>
        <row r="699">
          <cell r="C699">
            <v>0.35223048327137546</v>
          </cell>
          <cell r="D699">
            <v>3727.0448069983595</v>
          </cell>
        </row>
        <row r="700">
          <cell r="C700">
            <v>0.35130111524163571</v>
          </cell>
          <cell r="D700">
            <v>3714.0499092400214</v>
          </cell>
        </row>
        <row r="701">
          <cell r="C701">
            <v>0.3503717472118959</v>
          </cell>
          <cell r="D701">
            <v>3703.6617145981418</v>
          </cell>
        </row>
        <row r="702">
          <cell r="C702">
            <v>0.34944237918215615</v>
          </cell>
          <cell r="D702">
            <v>3664.1556806998365</v>
          </cell>
        </row>
        <row r="703">
          <cell r="C703">
            <v>0.34851301115241634</v>
          </cell>
          <cell r="D703">
            <v>3663.6536489885189</v>
          </cell>
        </row>
        <row r="704">
          <cell r="C704">
            <v>0.34758364312267659</v>
          </cell>
          <cell r="D704">
            <v>3661.008328048114</v>
          </cell>
        </row>
        <row r="705">
          <cell r="C705">
            <v>0.34665427509293678</v>
          </cell>
          <cell r="D705">
            <v>3658.6912586112626</v>
          </cell>
        </row>
        <row r="706">
          <cell r="C706">
            <v>0.34572490706319703</v>
          </cell>
          <cell r="D706">
            <v>3655.563214871514</v>
          </cell>
        </row>
        <row r="707">
          <cell r="C707">
            <v>0.34479553903345728</v>
          </cell>
          <cell r="D707">
            <v>3652.7441137233463</v>
          </cell>
        </row>
        <row r="708">
          <cell r="C708">
            <v>0.34386617100371747</v>
          </cell>
          <cell r="D708">
            <v>3647.801032258064</v>
          </cell>
        </row>
        <row r="709">
          <cell r="C709">
            <v>0.34293680297397772</v>
          </cell>
          <cell r="D709">
            <v>3646.6618064516124</v>
          </cell>
        </row>
        <row r="710">
          <cell r="C710">
            <v>0.34200743494423791</v>
          </cell>
          <cell r="D710">
            <v>3638.7837703663199</v>
          </cell>
        </row>
        <row r="711">
          <cell r="C711">
            <v>0.34107806691449816</v>
          </cell>
          <cell r="D711">
            <v>3634.4199562602516</v>
          </cell>
        </row>
        <row r="712">
          <cell r="C712">
            <v>0.34014869888475835</v>
          </cell>
          <cell r="D712">
            <v>3627.4301301257519</v>
          </cell>
        </row>
        <row r="713">
          <cell r="C713">
            <v>0.3392193308550186</v>
          </cell>
          <cell r="D713">
            <v>3625.4026943685071</v>
          </cell>
        </row>
        <row r="714">
          <cell r="C714">
            <v>0.33828996282527879</v>
          </cell>
          <cell r="D714">
            <v>3624.2055418261352</v>
          </cell>
        </row>
        <row r="715">
          <cell r="C715">
            <v>0.33736059479553904</v>
          </cell>
          <cell r="D715">
            <v>3617.7370563149257</v>
          </cell>
        </row>
        <row r="716">
          <cell r="C716">
            <v>0.33643122676579923</v>
          </cell>
          <cell r="D716">
            <v>3613.7787293603055</v>
          </cell>
        </row>
        <row r="717">
          <cell r="C717">
            <v>0.33550185873605948</v>
          </cell>
          <cell r="D717">
            <v>3609.8397113176597</v>
          </cell>
        </row>
        <row r="718">
          <cell r="C718">
            <v>0.33457249070631973</v>
          </cell>
          <cell r="D718">
            <v>3598.756395844724</v>
          </cell>
        </row>
        <row r="719">
          <cell r="C719">
            <v>0.33364312267657992</v>
          </cell>
          <cell r="D719">
            <v>3597.520625478403</v>
          </cell>
        </row>
        <row r="720">
          <cell r="C720">
            <v>0.33271375464684017</v>
          </cell>
          <cell r="D720">
            <v>3594.3732728266823</v>
          </cell>
        </row>
        <row r="721">
          <cell r="C721">
            <v>0.33178438661710036</v>
          </cell>
          <cell r="D721">
            <v>3593.4657539639147</v>
          </cell>
        </row>
        <row r="722">
          <cell r="C722">
            <v>0.33085501858736061</v>
          </cell>
          <cell r="D722">
            <v>3589.3336468015309</v>
          </cell>
        </row>
        <row r="723">
          <cell r="C723">
            <v>0.3299256505576208</v>
          </cell>
          <cell r="D723">
            <v>3584.2360940404592</v>
          </cell>
        </row>
        <row r="724">
          <cell r="C724">
            <v>0.32899628252788105</v>
          </cell>
          <cell r="D724">
            <v>3575.4698480043739</v>
          </cell>
        </row>
        <row r="725">
          <cell r="C725">
            <v>0.32806691449814124</v>
          </cell>
          <cell r="D725">
            <v>3573.9251350464733</v>
          </cell>
        </row>
        <row r="726">
          <cell r="C726">
            <v>0.32713754646840149</v>
          </cell>
          <cell r="D726">
            <v>3572.0328616730449</v>
          </cell>
        </row>
        <row r="727">
          <cell r="C727">
            <v>0.32620817843866173</v>
          </cell>
          <cell r="D727">
            <v>3569.5227031164568</v>
          </cell>
        </row>
        <row r="728">
          <cell r="C728">
            <v>0.32527881040892193</v>
          </cell>
          <cell r="D728">
            <v>3558.3042252597052</v>
          </cell>
        </row>
        <row r="729">
          <cell r="C729">
            <v>0.32434944237918217</v>
          </cell>
          <cell r="D729">
            <v>3550.9861476216506</v>
          </cell>
        </row>
        <row r="730">
          <cell r="C730">
            <v>0.32342007434944237</v>
          </cell>
          <cell r="D730">
            <v>3546.2554641880815</v>
          </cell>
        </row>
        <row r="731">
          <cell r="C731">
            <v>0.32249070631970261</v>
          </cell>
          <cell r="D731">
            <v>3541.1965292509576</v>
          </cell>
        </row>
        <row r="732">
          <cell r="C732">
            <v>0.32156133828996281</v>
          </cell>
          <cell r="D732">
            <v>3539.033931109896</v>
          </cell>
        </row>
        <row r="733">
          <cell r="C733">
            <v>0.32063197026022305</v>
          </cell>
          <cell r="D733">
            <v>3534.8632061235639</v>
          </cell>
        </row>
        <row r="734">
          <cell r="C734">
            <v>0.31970260223048325</v>
          </cell>
          <cell r="D734">
            <v>3526.8113898305082</v>
          </cell>
        </row>
        <row r="735">
          <cell r="C735">
            <v>0.31877323420074349</v>
          </cell>
          <cell r="D735">
            <v>3497.4425347184251</v>
          </cell>
        </row>
        <row r="736">
          <cell r="C736">
            <v>0.31784386617100374</v>
          </cell>
          <cell r="D736">
            <v>3493.0401027884086</v>
          </cell>
        </row>
        <row r="737">
          <cell r="C737">
            <v>0.31691449814126393</v>
          </cell>
          <cell r="D737">
            <v>3491.0705937670864</v>
          </cell>
        </row>
        <row r="738">
          <cell r="C738">
            <v>0.31598513011152418</v>
          </cell>
          <cell r="D738">
            <v>3467.4751033351558</v>
          </cell>
        </row>
        <row r="739">
          <cell r="C739">
            <v>0.31505576208178437</v>
          </cell>
          <cell r="D739">
            <v>3464.5401487151444</v>
          </cell>
        </row>
        <row r="740">
          <cell r="C740">
            <v>0.31412639405204462</v>
          </cell>
          <cell r="D740">
            <v>3462.416168398031</v>
          </cell>
        </row>
        <row r="741">
          <cell r="C741">
            <v>0.31319702602230481</v>
          </cell>
          <cell r="D741">
            <v>3453.8237025697103</v>
          </cell>
        </row>
        <row r="742">
          <cell r="C742">
            <v>0.31226765799256506</v>
          </cell>
          <cell r="D742">
            <v>3449.3054171678514</v>
          </cell>
        </row>
        <row r="743">
          <cell r="C743">
            <v>0.31133828996282525</v>
          </cell>
          <cell r="D743">
            <v>3440.6936424275555</v>
          </cell>
        </row>
        <row r="744">
          <cell r="C744">
            <v>0.3104089219330855</v>
          </cell>
          <cell r="D744">
            <v>3435.9822679059594</v>
          </cell>
        </row>
        <row r="745">
          <cell r="C745">
            <v>0.30947955390334575</v>
          </cell>
          <cell r="D745">
            <v>3431.4446735921269</v>
          </cell>
        </row>
        <row r="746">
          <cell r="C746">
            <v>0.30855018587360594</v>
          </cell>
          <cell r="D746">
            <v>3420.9792433023513</v>
          </cell>
        </row>
        <row r="747">
          <cell r="C747">
            <v>0.30762081784386619</v>
          </cell>
          <cell r="D747">
            <v>3420.9599343903774</v>
          </cell>
        </row>
        <row r="748">
          <cell r="C748">
            <v>0.30669144981412638</v>
          </cell>
          <cell r="D748">
            <v>3419.1642055768175</v>
          </cell>
        </row>
        <row r="749">
          <cell r="C749">
            <v>0.30576208178438663</v>
          </cell>
          <cell r="D749">
            <v>3413.8349458720609</v>
          </cell>
        </row>
        <row r="750">
          <cell r="C750">
            <v>0.30483271375464682</v>
          </cell>
          <cell r="D750">
            <v>3398.6774499726635</v>
          </cell>
        </row>
        <row r="751">
          <cell r="C751">
            <v>0.30390334572490707</v>
          </cell>
          <cell r="D751">
            <v>3396.6886320393664</v>
          </cell>
        </row>
        <row r="752">
          <cell r="C752">
            <v>0.30297397769516726</v>
          </cell>
          <cell r="D752">
            <v>3391.533152542373</v>
          </cell>
        </row>
        <row r="753">
          <cell r="C753">
            <v>0.30204460966542751</v>
          </cell>
          <cell r="D753">
            <v>3390.6642515035533</v>
          </cell>
        </row>
        <row r="754">
          <cell r="C754">
            <v>0.30111524163568776</v>
          </cell>
          <cell r="D754">
            <v>3388.617506834335</v>
          </cell>
        </row>
        <row r="755">
          <cell r="C755">
            <v>0.30018587360594795</v>
          </cell>
          <cell r="D755">
            <v>3384.3695462001092</v>
          </cell>
        </row>
        <row r="756">
          <cell r="C756">
            <v>0.2992565055762082</v>
          </cell>
          <cell r="D756">
            <v>3377.2831755057405</v>
          </cell>
        </row>
        <row r="757">
          <cell r="C757">
            <v>0.29832713754646839</v>
          </cell>
          <cell r="D757">
            <v>3372.5331831601975</v>
          </cell>
        </row>
        <row r="758">
          <cell r="C758">
            <v>0.29739776951672864</v>
          </cell>
          <cell r="D758">
            <v>3371.2974127938764</v>
          </cell>
        </row>
        <row r="759">
          <cell r="C759">
            <v>0.29646840148698883</v>
          </cell>
          <cell r="D759">
            <v>3365.6399015855659</v>
          </cell>
        </row>
        <row r="760">
          <cell r="C760">
            <v>0.29553903345724908</v>
          </cell>
          <cell r="D760">
            <v>3364.4234401312192</v>
          </cell>
        </row>
        <row r="761">
          <cell r="C761">
            <v>0.29460966542750927</v>
          </cell>
          <cell r="D761">
            <v>3363.1297430289778</v>
          </cell>
        </row>
        <row r="762">
          <cell r="C762">
            <v>0.29368029739776952</v>
          </cell>
          <cell r="D762">
            <v>3356.6226396938214</v>
          </cell>
        </row>
        <row r="763">
          <cell r="C763">
            <v>0.29275092936802977</v>
          </cell>
          <cell r="D763">
            <v>3348.3391164570799</v>
          </cell>
        </row>
        <row r="764">
          <cell r="C764">
            <v>0.29182156133828996</v>
          </cell>
          <cell r="D764">
            <v>3345.4427796610175</v>
          </cell>
        </row>
        <row r="765">
          <cell r="C765">
            <v>0.29089219330855021</v>
          </cell>
          <cell r="D765">
            <v>3338.5881159103342</v>
          </cell>
        </row>
        <row r="766">
          <cell r="C766">
            <v>0.2899628252788104</v>
          </cell>
          <cell r="D766">
            <v>3326.4621191908145</v>
          </cell>
        </row>
        <row r="767">
          <cell r="C767">
            <v>0.28903345724907065</v>
          </cell>
          <cell r="D767">
            <v>3320.669445598689</v>
          </cell>
        </row>
        <row r="768">
          <cell r="C768">
            <v>0.28810408921933084</v>
          </cell>
          <cell r="D768">
            <v>3320.4184297430293</v>
          </cell>
        </row>
        <row r="769">
          <cell r="C769">
            <v>0.28717472118959109</v>
          </cell>
          <cell r="D769">
            <v>3314.9733165664293</v>
          </cell>
        </row>
        <row r="770">
          <cell r="C770">
            <v>0.28624535315985128</v>
          </cell>
          <cell r="D770">
            <v>3306.7091022416616</v>
          </cell>
        </row>
        <row r="771">
          <cell r="C771">
            <v>0.28531598513011153</v>
          </cell>
          <cell r="D771">
            <v>3292.3432717331866</v>
          </cell>
        </row>
        <row r="772">
          <cell r="C772">
            <v>0.28438661710037177</v>
          </cell>
          <cell r="D772">
            <v>3282.5150355385454</v>
          </cell>
        </row>
        <row r="773">
          <cell r="C773">
            <v>0.28345724907063197</v>
          </cell>
          <cell r="D773">
            <v>3280.7772334609076</v>
          </cell>
        </row>
        <row r="774">
          <cell r="C774">
            <v>0.28252788104089221</v>
          </cell>
          <cell r="D774">
            <v>3265.677664297431</v>
          </cell>
        </row>
        <row r="775">
          <cell r="C775">
            <v>0.28159851301115241</v>
          </cell>
          <cell r="D775">
            <v>3255.7335746309459</v>
          </cell>
        </row>
        <row r="776">
          <cell r="C776">
            <v>0.28066914498141265</v>
          </cell>
          <cell r="D776">
            <v>3252.5476041552765</v>
          </cell>
        </row>
        <row r="777">
          <cell r="C777">
            <v>0.27973977695167285</v>
          </cell>
          <cell r="D777">
            <v>3250.8677288135586</v>
          </cell>
        </row>
        <row r="778">
          <cell r="C778">
            <v>0.27881040892193309</v>
          </cell>
          <cell r="D778">
            <v>3249.7671208310553</v>
          </cell>
        </row>
        <row r="779">
          <cell r="C779">
            <v>0.27788104089219329</v>
          </cell>
          <cell r="D779">
            <v>3240.595387643521</v>
          </cell>
        </row>
        <row r="780">
          <cell r="C780">
            <v>0.27695167286245354</v>
          </cell>
          <cell r="D780">
            <v>3234.8606407873149</v>
          </cell>
        </row>
        <row r="781">
          <cell r="C781">
            <v>0.27602230483271373</v>
          </cell>
          <cell r="D781">
            <v>3229.5506899945326</v>
          </cell>
        </row>
        <row r="782">
          <cell r="C782">
            <v>0.27509293680297398</v>
          </cell>
          <cell r="D782">
            <v>3229.5120721705844</v>
          </cell>
        </row>
        <row r="783">
          <cell r="C783">
            <v>0.27416356877323422</v>
          </cell>
          <cell r="D783">
            <v>3218.5446101694915</v>
          </cell>
        </row>
        <row r="784">
          <cell r="C784">
            <v>0.27323420074349442</v>
          </cell>
          <cell r="D784">
            <v>3216.884043739748</v>
          </cell>
        </row>
        <row r="785">
          <cell r="C785">
            <v>0.27230483271375466</v>
          </cell>
          <cell r="D785">
            <v>3215.9958337889557</v>
          </cell>
        </row>
        <row r="786">
          <cell r="C786">
            <v>0.27137546468401486</v>
          </cell>
          <cell r="D786">
            <v>3215.6289644614553</v>
          </cell>
        </row>
        <row r="787">
          <cell r="C787">
            <v>0.2704460966542751</v>
          </cell>
          <cell r="D787">
            <v>3214.7214455986887</v>
          </cell>
        </row>
        <row r="788">
          <cell r="C788">
            <v>0.2695167286245353</v>
          </cell>
          <cell r="D788">
            <v>3214.0456336796065</v>
          </cell>
        </row>
        <row r="789">
          <cell r="C789">
            <v>0.26858736059479554</v>
          </cell>
          <cell r="D789">
            <v>3208.3881224712964</v>
          </cell>
        </row>
        <row r="790">
          <cell r="C790">
            <v>0.26765799256505574</v>
          </cell>
          <cell r="D790">
            <v>3207.1909699289226</v>
          </cell>
        </row>
        <row r="791">
          <cell r="C791">
            <v>0.26672862453531598</v>
          </cell>
          <cell r="D791">
            <v>3194.196072170585</v>
          </cell>
        </row>
        <row r="792">
          <cell r="C792">
            <v>0.26579925650557623</v>
          </cell>
          <cell r="D792">
            <v>3193.9257474029523</v>
          </cell>
        </row>
        <row r="793">
          <cell r="C793">
            <v>0.26486988847583642</v>
          </cell>
          <cell r="D793">
            <v>3192.0141651175504</v>
          </cell>
        </row>
        <row r="794">
          <cell r="C794">
            <v>0.26394052044609667</v>
          </cell>
          <cell r="D794">
            <v>3181.2397922361952</v>
          </cell>
        </row>
        <row r="795">
          <cell r="C795">
            <v>0.26301115241635686</v>
          </cell>
          <cell r="D795">
            <v>3177.0883761618375</v>
          </cell>
        </row>
        <row r="796">
          <cell r="C796">
            <v>0.26208178438661711</v>
          </cell>
          <cell r="D796">
            <v>3175.6208988518315</v>
          </cell>
        </row>
        <row r="797">
          <cell r="C797">
            <v>0.2611524163568773</v>
          </cell>
          <cell r="D797">
            <v>3174.3851284855109</v>
          </cell>
        </row>
        <row r="798">
          <cell r="C798">
            <v>0.26022304832713755</v>
          </cell>
          <cell r="D798">
            <v>3173.2459026790598</v>
          </cell>
        </row>
        <row r="799">
          <cell r="C799">
            <v>0.25929368029739774</v>
          </cell>
          <cell r="D799">
            <v>3145.6148496446144</v>
          </cell>
        </row>
        <row r="800">
          <cell r="C800">
            <v>0.25836431226765799</v>
          </cell>
          <cell r="D800">
            <v>3138.779494805905</v>
          </cell>
        </row>
        <row r="801">
          <cell r="C801">
            <v>0.25743494423791824</v>
          </cell>
          <cell r="D801">
            <v>3130.3028824494263</v>
          </cell>
        </row>
        <row r="802">
          <cell r="C802">
            <v>0.25650557620817843</v>
          </cell>
          <cell r="D802">
            <v>3129.0864209950796</v>
          </cell>
        </row>
        <row r="803">
          <cell r="C803">
            <v>0.25557620817843868</v>
          </cell>
          <cell r="D803">
            <v>3112.3649032258068</v>
          </cell>
        </row>
        <row r="804">
          <cell r="C804">
            <v>0.25464684014869887</v>
          </cell>
          <cell r="D804">
            <v>3111.4573843630405</v>
          </cell>
        </row>
        <row r="805">
          <cell r="C805">
            <v>0.25371747211895912</v>
          </cell>
          <cell r="D805">
            <v>3104.3517047566975</v>
          </cell>
        </row>
        <row r="806">
          <cell r="C806">
            <v>0.25278810408921931</v>
          </cell>
          <cell r="D806">
            <v>3098.6362668124657</v>
          </cell>
        </row>
        <row r="807">
          <cell r="C807">
            <v>0.25185873605947956</v>
          </cell>
          <cell r="D807">
            <v>3093.3263160196825</v>
          </cell>
        </row>
        <row r="808">
          <cell r="C808">
            <v>0.25092936802973975</v>
          </cell>
          <cell r="D808">
            <v>3088.7694127938767</v>
          </cell>
        </row>
        <row r="809">
          <cell r="C809">
            <v>0.25</v>
          </cell>
          <cell r="D809">
            <v>3085.5255155822852</v>
          </cell>
        </row>
        <row r="810">
          <cell r="C810">
            <v>0.24907063197026022</v>
          </cell>
          <cell r="D810">
            <v>3081.1810103881908</v>
          </cell>
        </row>
        <row r="811">
          <cell r="C811">
            <v>0.24814126394052044</v>
          </cell>
          <cell r="D811">
            <v>3076.2572378348827</v>
          </cell>
        </row>
        <row r="812">
          <cell r="C812">
            <v>0.24721189591078066</v>
          </cell>
          <cell r="D812">
            <v>3075.3690278840895</v>
          </cell>
        </row>
        <row r="813">
          <cell r="C813">
            <v>0.24628252788104088</v>
          </cell>
          <cell r="D813">
            <v>3068.8426156369601</v>
          </cell>
        </row>
        <row r="814">
          <cell r="C814">
            <v>0.24535315985130113</v>
          </cell>
          <cell r="D814">
            <v>3055.7125554948057</v>
          </cell>
        </row>
        <row r="815">
          <cell r="C815">
            <v>0.24442379182156135</v>
          </cell>
          <cell r="D815">
            <v>3048.1241530891198</v>
          </cell>
        </row>
        <row r="816">
          <cell r="C816">
            <v>0.24349442379182157</v>
          </cell>
          <cell r="D816">
            <v>3047.1200896664845</v>
          </cell>
        </row>
        <row r="817">
          <cell r="C817">
            <v>0.24256505576208179</v>
          </cell>
          <cell r="D817">
            <v>3030.6882055768174</v>
          </cell>
        </row>
        <row r="818">
          <cell r="C818">
            <v>0.24163568773234201</v>
          </cell>
          <cell r="D818">
            <v>3024.8955319846914</v>
          </cell>
        </row>
        <row r="819">
          <cell r="C819">
            <v>0.24070631970260223</v>
          </cell>
          <cell r="D819">
            <v>3023.6597616183703</v>
          </cell>
        </row>
        <row r="820">
          <cell r="C820">
            <v>0.23977695167286245</v>
          </cell>
          <cell r="D820">
            <v>3020.7054980863863</v>
          </cell>
        </row>
        <row r="821">
          <cell r="C821">
            <v>0.23884758364312267</v>
          </cell>
          <cell r="D821">
            <v>3013.2136402405681</v>
          </cell>
        </row>
        <row r="822">
          <cell r="C822">
            <v>0.23791821561338289</v>
          </cell>
          <cell r="D822">
            <v>3011.8620164024055</v>
          </cell>
        </row>
        <row r="823">
          <cell r="C823">
            <v>0.23698884758364314</v>
          </cell>
          <cell r="D823">
            <v>3009.9311252050302</v>
          </cell>
        </row>
        <row r="824">
          <cell r="C824">
            <v>0.23605947955390336</v>
          </cell>
          <cell r="D824">
            <v>3008.8112083105525</v>
          </cell>
        </row>
        <row r="825">
          <cell r="C825">
            <v>0.23513011152416358</v>
          </cell>
          <cell r="D825">
            <v>3006.1079606342264</v>
          </cell>
        </row>
        <row r="826">
          <cell r="C826">
            <v>0.2342007434944238</v>
          </cell>
          <cell r="D826">
            <v>3005.6252378348827</v>
          </cell>
        </row>
        <row r="827">
          <cell r="C827">
            <v>0.23327137546468402</v>
          </cell>
          <cell r="D827">
            <v>3004.312231820667</v>
          </cell>
        </row>
        <row r="828">
          <cell r="C828">
            <v>0.23234200743494424</v>
          </cell>
          <cell r="D828">
            <v>2983.1496642974303</v>
          </cell>
        </row>
        <row r="829">
          <cell r="C829">
            <v>0.23141263940520446</v>
          </cell>
          <cell r="D829">
            <v>2981.9525117550575</v>
          </cell>
        </row>
        <row r="830">
          <cell r="C830">
            <v>0.23048327137546468</v>
          </cell>
          <cell r="D830">
            <v>2980.5815790049205</v>
          </cell>
        </row>
        <row r="831">
          <cell r="C831">
            <v>0.2295539033457249</v>
          </cell>
          <cell r="D831">
            <v>2977.7817867687259</v>
          </cell>
        </row>
        <row r="832">
          <cell r="C832">
            <v>0.22862453531598512</v>
          </cell>
          <cell r="D832">
            <v>2976.3722361946425</v>
          </cell>
        </row>
        <row r="833">
          <cell r="C833">
            <v>0.22769516728624536</v>
          </cell>
          <cell r="D833">
            <v>2967.6252990705307</v>
          </cell>
        </row>
        <row r="834">
          <cell r="C834">
            <v>0.22676579925650558</v>
          </cell>
          <cell r="D834">
            <v>2965.77164352105</v>
          </cell>
        </row>
        <row r="835">
          <cell r="C835">
            <v>0.2258364312267658</v>
          </cell>
          <cell r="D835">
            <v>2964.2269305631494</v>
          </cell>
        </row>
        <row r="836">
          <cell r="C836">
            <v>0.22490706319702602</v>
          </cell>
          <cell r="D836">
            <v>2963.9179879715689</v>
          </cell>
        </row>
        <row r="837">
          <cell r="C837">
            <v>0.22397769516728624</v>
          </cell>
          <cell r="D837">
            <v>2963.1070136686717</v>
          </cell>
        </row>
        <row r="838">
          <cell r="C838">
            <v>0.22304832713754646</v>
          </cell>
          <cell r="D838">
            <v>2962.4312017495904</v>
          </cell>
        </row>
        <row r="839">
          <cell r="C839">
            <v>0.22211895910780668</v>
          </cell>
          <cell r="D839">
            <v>2959.901734281028</v>
          </cell>
        </row>
        <row r="840">
          <cell r="C840">
            <v>0.22118959107806691</v>
          </cell>
          <cell r="D840">
            <v>2958.2025500273376</v>
          </cell>
        </row>
        <row r="841">
          <cell r="C841">
            <v>0.22026022304832713</v>
          </cell>
          <cell r="D841">
            <v>2955.7503182066703</v>
          </cell>
        </row>
        <row r="842">
          <cell r="C842">
            <v>0.21933085501858737</v>
          </cell>
          <cell r="D842">
            <v>2950.5755297977039</v>
          </cell>
        </row>
        <row r="843">
          <cell r="C843">
            <v>0.21840148698884759</v>
          </cell>
          <cell r="D843">
            <v>2948.8377277200657</v>
          </cell>
        </row>
        <row r="844">
          <cell r="C844">
            <v>0.21747211895910781</v>
          </cell>
          <cell r="D844">
            <v>2935.8814477856754</v>
          </cell>
        </row>
        <row r="845">
          <cell r="C845">
            <v>0.21654275092936803</v>
          </cell>
          <cell r="D845">
            <v>2935.6304319300166</v>
          </cell>
        </row>
        <row r="846">
          <cell r="C846">
            <v>0.21561338289962825</v>
          </cell>
          <cell r="D846">
            <v>2935.128400218699</v>
          </cell>
        </row>
        <row r="847">
          <cell r="C847">
            <v>0.21468401486988847</v>
          </cell>
          <cell r="D847">
            <v>2933.8153942044833</v>
          </cell>
        </row>
        <row r="848">
          <cell r="C848">
            <v>0.21375464684014869</v>
          </cell>
          <cell r="D848">
            <v>2929.7991405139414</v>
          </cell>
        </row>
        <row r="849">
          <cell r="C849">
            <v>0.21282527881040891</v>
          </cell>
          <cell r="D849">
            <v>2928.7757681793323</v>
          </cell>
        </row>
        <row r="850">
          <cell r="C850">
            <v>0.21189591078066913</v>
          </cell>
          <cell r="D850">
            <v>2928.2930453799891</v>
          </cell>
        </row>
        <row r="851">
          <cell r="C851">
            <v>0.21096654275092938</v>
          </cell>
          <cell r="D851">
            <v>2926.9221126298521</v>
          </cell>
        </row>
        <row r="852">
          <cell r="C852">
            <v>0.2100371747211896</v>
          </cell>
          <cell r="D852">
            <v>2924.1995560415521</v>
          </cell>
        </row>
        <row r="853">
          <cell r="C853">
            <v>0.20910780669144982</v>
          </cell>
          <cell r="D853">
            <v>2916.9780229633684</v>
          </cell>
        </row>
        <row r="854">
          <cell r="C854">
            <v>0.20817843866171004</v>
          </cell>
          <cell r="D854">
            <v>2907.729054127939</v>
          </cell>
        </row>
        <row r="855">
          <cell r="C855">
            <v>0.20724907063197026</v>
          </cell>
          <cell r="D855">
            <v>2895.7575287042105</v>
          </cell>
        </row>
        <row r="856">
          <cell r="C856">
            <v>0.20631970260223048</v>
          </cell>
          <cell r="D856">
            <v>2893.3632236194649</v>
          </cell>
        </row>
        <row r="857">
          <cell r="C857">
            <v>0.2053903345724907</v>
          </cell>
          <cell r="D857">
            <v>2887.0878272279929</v>
          </cell>
        </row>
        <row r="858">
          <cell r="C858">
            <v>0.20446096654275092</v>
          </cell>
          <cell r="D858">
            <v>2883.998401312193</v>
          </cell>
        </row>
        <row r="859">
          <cell r="C859">
            <v>0.20353159851301114</v>
          </cell>
          <cell r="D859">
            <v>2878.1671098961183</v>
          </cell>
        </row>
        <row r="860">
          <cell r="C860">
            <v>0.20260223048327136</v>
          </cell>
          <cell r="D860">
            <v>2877.8195494805905</v>
          </cell>
        </row>
        <row r="861">
          <cell r="C861">
            <v>0.20167286245353161</v>
          </cell>
          <cell r="D861">
            <v>2876.352072170585</v>
          </cell>
        </row>
        <row r="862">
          <cell r="C862">
            <v>0.20074349442379183</v>
          </cell>
          <cell r="D862">
            <v>2875.405935483871</v>
          </cell>
        </row>
        <row r="863">
          <cell r="C863">
            <v>0.19981412639405205</v>
          </cell>
          <cell r="D863">
            <v>2870.5593985784581</v>
          </cell>
        </row>
        <row r="864">
          <cell r="C864">
            <v>0.19888475836431227</v>
          </cell>
          <cell r="D864">
            <v>2870.5207807545112</v>
          </cell>
        </row>
        <row r="865">
          <cell r="C865">
            <v>0.19795539033457249</v>
          </cell>
          <cell r="D865">
            <v>2868.1457845817386</v>
          </cell>
        </row>
        <row r="866">
          <cell r="C866">
            <v>0.19702602230483271</v>
          </cell>
          <cell r="D866">
            <v>2864.284002186987</v>
          </cell>
        </row>
        <row r="867">
          <cell r="C867">
            <v>0.19609665427509293</v>
          </cell>
          <cell r="D867">
            <v>2851.9262985237833</v>
          </cell>
        </row>
        <row r="868">
          <cell r="C868">
            <v>0.19516728624535315</v>
          </cell>
          <cell r="D868">
            <v>2849.8216271186443</v>
          </cell>
        </row>
        <row r="869">
          <cell r="C869">
            <v>0.19423791821561337</v>
          </cell>
          <cell r="D869">
            <v>2835.6488857299078</v>
          </cell>
        </row>
        <row r="870">
          <cell r="C870">
            <v>0.19330855018587362</v>
          </cell>
          <cell r="D870">
            <v>2833.3704341170037</v>
          </cell>
        </row>
        <row r="871">
          <cell r="C871">
            <v>0.19237918215613384</v>
          </cell>
          <cell r="D871">
            <v>2833.1580360852927</v>
          </cell>
        </row>
        <row r="872">
          <cell r="C872">
            <v>0.19144981412639406</v>
          </cell>
          <cell r="D872">
            <v>2819.3521640240569</v>
          </cell>
        </row>
        <row r="873">
          <cell r="C873">
            <v>0.19052044609665428</v>
          </cell>
          <cell r="D873">
            <v>2813.3857102241659</v>
          </cell>
        </row>
        <row r="874">
          <cell r="C874">
            <v>0.1895910780669145</v>
          </cell>
          <cell r="D874">
            <v>2808.1723039912522</v>
          </cell>
        </row>
        <row r="875">
          <cell r="C875">
            <v>0.18866171003717472</v>
          </cell>
          <cell r="D875">
            <v>2807.786125751777</v>
          </cell>
        </row>
        <row r="876">
          <cell r="C876">
            <v>0.18773234200743494</v>
          </cell>
          <cell r="D876">
            <v>2806.3186484417715</v>
          </cell>
        </row>
        <row r="877">
          <cell r="C877">
            <v>0.18680297397769516</v>
          </cell>
          <cell r="D877">
            <v>2788.4192870420993</v>
          </cell>
        </row>
        <row r="878">
          <cell r="C878">
            <v>0.18587360594795538</v>
          </cell>
          <cell r="D878">
            <v>2786.9518097320943</v>
          </cell>
        </row>
        <row r="879">
          <cell r="C879">
            <v>0.18494423791821563</v>
          </cell>
          <cell r="D879">
            <v>2771.6012247129574</v>
          </cell>
        </row>
        <row r="880">
          <cell r="C880">
            <v>0.18401486988847585</v>
          </cell>
          <cell r="D880">
            <v>2767.0057036632038</v>
          </cell>
        </row>
        <row r="881">
          <cell r="C881">
            <v>0.18308550185873607</v>
          </cell>
          <cell r="D881">
            <v>2766.9284680153091</v>
          </cell>
        </row>
        <row r="882">
          <cell r="C882">
            <v>0.18215613382899629</v>
          </cell>
          <cell r="D882">
            <v>2743.6419201749591</v>
          </cell>
        </row>
        <row r="883">
          <cell r="C883">
            <v>0.18122676579925651</v>
          </cell>
          <cell r="D883">
            <v>2741.9427359212686</v>
          </cell>
        </row>
        <row r="884">
          <cell r="C884">
            <v>0.18029739776951673</v>
          </cell>
          <cell r="D884">
            <v>2735.2039256424277</v>
          </cell>
        </row>
        <row r="885">
          <cell r="C885">
            <v>0.17936802973977695</v>
          </cell>
          <cell r="D885">
            <v>2721.4752892290867</v>
          </cell>
        </row>
        <row r="886">
          <cell r="C886">
            <v>0.17843866171003717</v>
          </cell>
          <cell r="D886">
            <v>2720.6256971022412</v>
          </cell>
        </row>
        <row r="887">
          <cell r="C887">
            <v>0.17750929368029739</v>
          </cell>
          <cell r="D887">
            <v>2720.3746812465829</v>
          </cell>
        </row>
        <row r="888">
          <cell r="C888">
            <v>0.17657992565055763</v>
          </cell>
          <cell r="D888">
            <v>2720.2202099507927</v>
          </cell>
        </row>
        <row r="889">
          <cell r="C889">
            <v>0.17565055762081785</v>
          </cell>
          <cell r="D889">
            <v>2718.6948059048659</v>
          </cell>
        </row>
        <row r="890">
          <cell r="C890">
            <v>0.17472118959107807</v>
          </cell>
          <cell r="D890">
            <v>2713.4813996719517</v>
          </cell>
        </row>
        <row r="891">
          <cell r="C891">
            <v>0.17379182156133829</v>
          </cell>
          <cell r="D891">
            <v>2703.1318228540181</v>
          </cell>
        </row>
        <row r="892">
          <cell r="C892">
            <v>0.17286245353159851</v>
          </cell>
          <cell r="D892">
            <v>2692.8015549480588</v>
          </cell>
        </row>
        <row r="893">
          <cell r="C893">
            <v>0.17193308550185873</v>
          </cell>
          <cell r="D893">
            <v>2687.5109130672495</v>
          </cell>
        </row>
        <row r="894">
          <cell r="C894">
            <v>0.17100371747211895</v>
          </cell>
          <cell r="D894">
            <v>2680.7527938764351</v>
          </cell>
        </row>
        <row r="895">
          <cell r="C895">
            <v>0.17007434944237917</v>
          </cell>
          <cell r="D895">
            <v>2675.8869480590488</v>
          </cell>
        </row>
        <row r="896">
          <cell r="C896">
            <v>0.16914498141263939</v>
          </cell>
          <cell r="D896">
            <v>2669.4184625478406</v>
          </cell>
        </row>
        <row r="897">
          <cell r="C897">
            <v>0.16821561338289961</v>
          </cell>
          <cell r="D897">
            <v>2656.3077113176596</v>
          </cell>
        </row>
        <row r="898">
          <cell r="C898">
            <v>0.16728624535315986</v>
          </cell>
          <cell r="D898">
            <v>2644.1044789502457</v>
          </cell>
        </row>
        <row r="899">
          <cell r="C899">
            <v>0.16635687732342008</v>
          </cell>
          <cell r="D899">
            <v>2635.8209557135046</v>
          </cell>
        </row>
        <row r="900">
          <cell r="C900">
            <v>0.1654275092936803</v>
          </cell>
          <cell r="D900">
            <v>2632.2294980863858</v>
          </cell>
        </row>
        <row r="901">
          <cell r="C901">
            <v>0.16449814126394052</v>
          </cell>
          <cell r="D901">
            <v>2632.0750267905955</v>
          </cell>
        </row>
        <row r="902">
          <cell r="C902">
            <v>0.16356877323420074</v>
          </cell>
          <cell r="D902">
            <v>2630.2599890650627</v>
          </cell>
        </row>
        <row r="903">
          <cell r="C903">
            <v>0.16263940520446096</v>
          </cell>
          <cell r="D903">
            <v>2628.0201552761073</v>
          </cell>
        </row>
        <row r="904">
          <cell r="C904">
            <v>0.16171003717472118</v>
          </cell>
          <cell r="D904">
            <v>2625.2782897758339</v>
          </cell>
        </row>
        <row r="905">
          <cell r="C905">
            <v>0.1607806691449814</v>
          </cell>
          <cell r="D905">
            <v>2624.5638600328048</v>
          </cell>
        </row>
        <row r="906">
          <cell r="C906">
            <v>0.15985130111524162</v>
          </cell>
          <cell r="D906">
            <v>2621.1848004373978</v>
          </cell>
        </row>
        <row r="907">
          <cell r="C907">
            <v>0.15892193308550187</v>
          </cell>
          <cell r="D907">
            <v>2619.8717944231821</v>
          </cell>
        </row>
        <row r="908">
          <cell r="C908">
            <v>0.15799256505576209</v>
          </cell>
          <cell r="D908">
            <v>2616.0486298523783</v>
          </cell>
        </row>
        <row r="909">
          <cell r="C909">
            <v>0.15706319702602231</v>
          </cell>
          <cell r="D909">
            <v>2607.8809600874797</v>
          </cell>
        </row>
        <row r="910">
          <cell r="C910">
            <v>0.15613382899628253</v>
          </cell>
          <cell r="D910">
            <v>2606.2783203936579</v>
          </cell>
        </row>
        <row r="911">
          <cell r="C911">
            <v>0.15520446096654275</v>
          </cell>
          <cell r="D911">
            <v>2605.4480371787859</v>
          </cell>
        </row>
        <row r="912">
          <cell r="C912">
            <v>0.15427509293680297</v>
          </cell>
          <cell r="D912">
            <v>2603.6716172772008</v>
          </cell>
        </row>
        <row r="913">
          <cell r="C913">
            <v>0.15334572490706319</v>
          </cell>
          <cell r="D913">
            <v>2602.6868627665399</v>
          </cell>
        </row>
        <row r="914">
          <cell r="C914">
            <v>0.15241635687732341</v>
          </cell>
          <cell r="D914">
            <v>2592.4145215965009</v>
          </cell>
        </row>
        <row r="915">
          <cell r="C915">
            <v>0.15148698884758363</v>
          </cell>
          <cell r="D915">
            <v>2591.4490759978125</v>
          </cell>
        </row>
        <row r="916">
          <cell r="C916">
            <v>0.15055762081784388</v>
          </cell>
          <cell r="D916">
            <v>2589.749891744123</v>
          </cell>
        </row>
        <row r="917">
          <cell r="C917">
            <v>0.1496282527881041</v>
          </cell>
          <cell r="D917">
            <v>2584.4978676872606</v>
          </cell>
        </row>
        <row r="918">
          <cell r="C918">
            <v>0.14869888475836432</v>
          </cell>
          <cell r="D918">
            <v>2571.6188234007655</v>
          </cell>
        </row>
        <row r="919">
          <cell r="C919">
            <v>0.14776951672862454</v>
          </cell>
          <cell r="D919">
            <v>2560.3231098961182</v>
          </cell>
        </row>
        <row r="920">
          <cell r="C920">
            <v>0.14684014869888476</v>
          </cell>
          <cell r="D920">
            <v>2557.2336839803174</v>
          </cell>
        </row>
        <row r="921">
          <cell r="C921">
            <v>0.14591078066914498</v>
          </cell>
          <cell r="D921">
            <v>2541.8830989611815</v>
          </cell>
        </row>
        <row r="922">
          <cell r="C922">
            <v>0.1449814126394052</v>
          </cell>
          <cell r="D922">
            <v>2534.7774193548385</v>
          </cell>
        </row>
        <row r="923">
          <cell r="C923">
            <v>0.14405204460966542</v>
          </cell>
          <cell r="D923">
            <v>2529.3129972662655</v>
          </cell>
        </row>
        <row r="924">
          <cell r="C924">
            <v>0.14312267657992564</v>
          </cell>
          <cell r="D924">
            <v>2526.6097495899403</v>
          </cell>
        </row>
        <row r="925">
          <cell r="C925">
            <v>0.14219330855018589</v>
          </cell>
          <cell r="D925">
            <v>2518.4227709130673</v>
          </cell>
        </row>
        <row r="926">
          <cell r="C926">
            <v>0.14126394052044611</v>
          </cell>
          <cell r="D926">
            <v>2506.2002296336796</v>
          </cell>
        </row>
        <row r="927">
          <cell r="C927">
            <v>0.14033457249070633</v>
          </cell>
          <cell r="D927">
            <v>2502.7246254784036</v>
          </cell>
        </row>
        <row r="928">
          <cell r="C928">
            <v>0.13940520446096655</v>
          </cell>
          <cell r="D928">
            <v>2494.4797200656099</v>
          </cell>
        </row>
        <row r="929">
          <cell r="C929">
            <v>0.13847583643122677</v>
          </cell>
          <cell r="D929">
            <v>2492.7419179879721</v>
          </cell>
        </row>
        <row r="930">
          <cell r="C930">
            <v>0.13754646840148699</v>
          </cell>
          <cell r="D930">
            <v>2491.9502525970479</v>
          </cell>
        </row>
        <row r="931">
          <cell r="C931">
            <v>0.13661710037174721</v>
          </cell>
          <cell r="D931">
            <v>2486.2348146528161</v>
          </cell>
        </row>
        <row r="932">
          <cell r="C932">
            <v>0.13568773234200743</v>
          </cell>
          <cell r="D932">
            <v>2482.2764876981955</v>
          </cell>
        </row>
        <row r="933">
          <cell r="C933">
            <v>0.13475836431226765</v>
          </cell>
          <cell r="D933">
            <v>2471.8110574084194</v>
          </cell>
        </row>
        <row r="934">
          <cell r="C934">
            <v>0.13382899628252787</v>
          </cell>
          <cell r="D934">
            <v>2470.0346375068343</v>
          </cell>
        </row>
        <row r="935">
          <cell r="C935">
            <v>0.13289962825278812</v>
          </cell>
          <cell r="D935">
            <v>2469.4553701476216</v>
          </cell>
        </row>
        <row r="936">
          <cell r="C936">
            <v>0.13197026022304834</v>
          </cell>
          <cell r="D936">
            <v>2449.2582482230728</v>
          </cell>
        </row>
        <row r="937">
          <cell r="C937">
            <v>0.13104089219330856</v>
          </cell>
          <cell r="D937">
            <v>2418.6922405686169</v>
          </cell>
        </row>
        <row r="938">
          <cell r="C938">
            <v>0.13011152416356878</v>
          </cell>
          <cell r="D938">
            <v>2417.8619573537458</v>
          </cell>
        </row>
        <row r="939">
          <cell r="C939">
            <v>0.129182156133829</v>
          </cell>
          <cell r="D939">
            <v>2402.3955188627665</v>
          </cell>
        </row>
        <row r="940">
          <cell r="C940">
            <v>0.12825278810408922</v>
          </cell>
          <cell r="D940">
            <v>2399.9625959540731</v>
          </cell>
        </row>
        <row r="941">
          <cell r="C941">
            <v>0.12732342007434944</v>
          </cell>
          <cell r="D941">
            <v>2398.9971503553852</v>
          </cell>
        </row>
        <row r="942">
          <cell r="C942">
            <v>0.12639405204460966</v>
          </cell>
          <cell r="D942">
            <v>2395.1739857845819</v>
          </cell>
        </row>
        <row r="943">
          <cell r="C943">
            <v>0.12546468401486988</v>
          </cell>
          <cell r="D943">
            <v>2384.9016446145438</v>
          </cell>
        </row>
        <row r="944">
          <cell r="C944">
            <v>0.12453531598513011</v>
          </cell>
          <cell r="D944">
            <v>2384.4382307271735</v>
          </cell>
        </row>
        <row r="945">
          <cell r="C945">
            <v>0.12360594795539033</v>
          </cell>
          <cell r="D945">
            <v>2381.0012443958449</v>
          </cell>
        </row>
        <row r="946">
          <cell r="C946">
            <v>0.12267657992565056</v>
          </cell>
          <cell r="D946">
            <v>2376.6760481137235</v>
          </cell>
        </row>
        <row r="947">
          <cell r="C947">
            <v>0.12174721189591078</v>
          </cell>
          <cell r="D947">
            <v>2372.7949568069989</v>
          </cell>
        </row>
        <row r="948">
          <cell r="C948">
            <v>0.120817843866171</v>
          </cell>
          <cell r="D948">
            <v>2372.3508518316025</v>
          </cell>
        </row>
        <row r="949">
          <cell r="C949">
            <v>0.11988847583643122</v>
          </cell>
          <cell r="D949">
            <v>2365.2065544013126</v>
          </cell>
        </row>
        <row r="950">
          <cell r="C950">
            <v>0.11895910780669144</v>
          </cell>
          <cell r="D950">
            <v>2361.2868452706398</v>
          </cell>
        </row>
        <row r="951">
          <cell r="C951">
            <v>0.11802973977695168</v>
          </cell>
          <cell r="D951">
            <v>2337.421030071077</v>
          </cell>
        </row>
        <row r="952">
          <cell r="C952">
            <v>0.1171003717472119</v>
          </cell>
          <cell r="D952">
            <v>2332.1110792782938</v>
          </cell>
        </row>
        <row r="953">
          <cell r="C953">
            <v>0.11617100371747212</v>
          </cell>
          <cell r="D953">
            <v>2329.5043761618372</v>
          </cell>
        </row>
        <row r="954">
          <cell r="C954">
            <v>0.11524163568773234</v>
          </cell>
          <cell r="D954">
            <v>2326.2797878622205</v>
          </cell>
        </row>
        <row r="955">
          <cell r="C955">
            <v>0.11431226765799256</v>
          </cell>
          <cell r="D955">
            <v>2325.1984887916897</v>
          </cell>
        </row>
        <row r="956">
          <cell r="C956">
            <v>0.11338289962825279</v>
          </cell>
          <cell r="D956">
            <v>2321.664957900492</v>
          </cell>
        </row>
        <row r="957">
          <cell r="C957">
            <v>0.11245353159851301</v>
          </cell>
          <cell r="D957">
            <v>2320.6029677419356</v>
          </cell>
        </row>
        <row r="958">
          <cell r="C958">
            <v>0.11152416356877323</v>
          </cell>
          <cell r="D958">
            <v>2319.0582547840354</v>
          </cell>
        </row>
        <row r="959">
          <cell r="C959">
            <v>0.11059479553903345</v>
          </cell>
          <cell r="D959">
            <v>2311.7787949699291</v>
          </cell>
        </row>
        <row r="960">
          <cell r="C960">
            <v>0.10966542750929369</v>
          </cell>
          <cell r="D960">
            <v>2298.9576774193547</v>
          </cell>
        </row>
        <row r="961">
          <cell r="C961">
            <v>0.10873605947955391</v>
          </cell>
          <cell r="D961">
            <v>2292.9332968835429</v>
          </cell>
        </row>
        <row r="962">
          <cell r="C962">
            <v>0.10780669144981413</v>
          </cell>
          <cell r="D962">
            <v>2282.9892072170587</v>
          </cell>
        </row>
        <row r="963">
          <cell r="C963">
            <v>0.10687732342007435</v>
          </cell>
          <cell r="D963">
            <v>2278.8184822307271</v>
          </cell>
        </row>
        <row r="964">
          <cell r="C964">
            <v>0.10594795539033457</v>
          </cell>
          <cell r="D964">
            <v>2264.8967566976485</v>
          </cell>
        </row>
        <row r="965">
          <cell r="C965">
            <v>0.1050185873605948</v>
          </cell>
          <cell r="D965">
            <v>2264.5878141060689</v>
          </cell>
        </row>
        <row r="966">
          <cell r="C966">
            <v>0.10408921933085502</v>
          </cell>
          <cell r="D966">
            <v>2262.9658655002731</v>
          </cell>
        </row>
        <row r="967">
          <cell r="C967">
            <v>0.10315985130111524</v>
          </cell>
          <cell r="D967">
            <v>2260.0888376161838</v>
          </cell>
        </row>
        <row r="968">
          <cell r="C968">
            <v>0.10223048327137546</v>
          </cell>
          <cell r="D968">
            <v>2253.9872214324769</v>
          </cell>
        </row>
        <row r="969">
          <cell r="C969">
            <v>0.10130111524163568</v>
          </cell>
          <cell r="D969">
            <v>2245.6071536358663</v>
          </cell>
        </row>
        <row r="970">
          <cell r="C970">
            <v>0.10037174721189591</v>
          </cell>
          <cell r="D970">
            <v>2230.0055527610712</v>
          </cell>
        </row>
        <row r="971">
          <cell r="C971">
            <v>9.9442379182156135E-2</v>
          </cell>
          <cell r="D971">
            <v>2228.4415308911975</v>
          </cell>
        </row>
        <row r="972">
          <cell r="C972">
            <v>9.8513011152416355E-2</v>
          </cell>
          <cell r="D972">
            <v>2228.2677506834339</v>
          </cell>
        </row>
        <row r="973">
          <cell r="C973">
            <v>9.7583643122676575E-2</v>
          </cell>
          <cell r="D973">
            <v>2224.5797484964464</v>
          </cell>
        </row>
        <row r="974">
          <cell r="C974">
            <v>9.6654275092936809E-2</v>
          </cell>
          <cell r="D974">
            <v>2211.2179814106071</v>
          </cell>
        </row>
        <row r="975">
          <cell r="C975">
            <v>9.5724907063197029E-2</v>
          </cell>
          <cell r="D975">
            <v>2201.6986878075454</v>
          </cell>
        </row>
        <row r="976">
          <cell r="C976">
            <v>9.4795539033457249E-2</v>
          </cell>
          <cell r="D976">
            <v>2191.9476872607984</v>
          </cell>
        </row>
        <row r="977">
          <cell r="C977">
            <v>9.3866171003717469E-2</v>
          </cell>
          <cell r="D977">
            <v>2178.2190508474582</v>
          </cell>
        </row>
        <row r="978">
          <cell r="C978">
            <v>9.2936802973977689E-2</v>
          </cell>
          <cell r="D978">
            <v>2177.6204745762711</v>
          </cell>
        </row>
        <row r="979">
          <cell r="C979">
            <v>9.2007434944237923E-2</v>
          </cell>
          <cell r="D979">
            <v>2172.1946703116455</v>
          </cell>
        </row>
        <row r="980">
          <cell r="C980">
            <v>9.1078066914498143E-2</v>
          </cell>
          <cell r="D980">
            <v>2168.1977255330785</v>
          </cell>
        </row>
        <row r="981">
          <cell r="C981">
            <v>9.0148698884758363E-2</v>
          </cell>
          <cell r="D981">
            <v>2165.6489491525422</v>
          </cell>
        </row>
        <row r="982">
          <cell r="C982">
            <v>8.9219330855018583E-2</v>
          </cell>
          <cell r="D982">
            <v>2165.5717135046475</v>
          </cell>
        </row>
        <row r="983">
          <cell r="C983">
            <v>8.8289962825278817E-2</v>
          </cell>
          <cell r="D983">
            <v>2163.6215133952983</v>
          </cell>
        </row>
        <row r="984">
          <cell r="C984">
            <v>8.7360594795539037E-2</v>
          </cell>
          <cell r="D984">
            <v>2162.4822875888467</v>
          </cell>
        </row>
        <row r="985">
          <cell r="C985">
            <v>8.6431226765799257E-2</v>
          </cell>
          <cell r="D985">
            <v>2149.5260076544564</v>
          </cell>
        </row>
        <row r="986">
          <cell r="C986">
            <v>8.5501858736059477E-2</v>
          </cell>
          <cell r="D986">
            <v>2149.3136096227449</v>
          </cell>
        </row>
        <row r="987">
          <cell r="C987">
            <v>8.4572490706319697E-2</v>
          </cell>
          <cell r="D987">
            <v>2142.7485795516677</v>
          </cell>
        </row>
        <row r="988">
          <cell r="C988">
            <v>8.3643122676579931E-2</v>
          </cell>
          <cell r="D988">
            <v>2141.8603696008749</v>
          </cell>
        </row>
        <row r="989">
          <cell r="C989">
            <v>8.2713754646840151E-2</v>
          </cell>
          <cell r="D989">
            <v>2114.3644789502464</v>
          </cell>
        </row>
        <row r="990">
          <cell r="C990">
            <v>8.1784386617100371E-2</v>
          </cell>
          <cell r="D990">
            <v>2110.3096074357572</v>
          </cell>
        </row>
        <row r="991">
          <cell r="C991">
            <v>8.0855018587360591E-2</v>
          </cell>
          <cell r="D991">
            <v>2084.5708277747403</v>
          </cell>
        </row>
        <row r="992">
          <cell r="C992">
            <v>7.9925650557620811E-2</v>
          </cell>
          <cell r="D992">
            <v>2081.3462394751232</v>
          </cell>
        </row>
        <row r="993">
          <cell r="C993">
            <v>7.8996282527881045E-2</v>
          </cell>
          <cell r="D993">
            <v>2069.2202427556044</v>
          </cell>
        </row>
        <row r="994">
          <cell r="C994">
            <v>7.8066914498141265E-2</v>
          </cell>
          <cell r="D994">
            <v>2063.0606998359763</v>
          </cell>
        </row>
        <row r="995">
          <cell r="C995">
            <v>7.7137546468401486E-2</v>
          </cell>
          <cell r="D995">
            <v>2049.6410060142157</v>
          </cell>
        </row>
        <row r="996">
          <cell r="C996">
            <v>7.6208178438661706E-2</v>
          </cell>
          <cell r="D996">
            <v>2045.1613384363038</v>
          </cell>
        </row>
        <row r="997">
          <cell r="C997">
            <v>7.527881040892194E-2</v>
          </cell>
          <cell r="D997">
            <v>2040.72028868234</v>
          </cell>
        </row>
        <row r="998">
          <cell r="C998">
            <v>7.434944237918216E-2</v>
          </cell>
          <cell r="D998">
            <v>2035.7772072170587</v>
          </cell>
        </row>
        <row r="999">
          <cell r="C999">
            <v>7.342007434944238E-2</v>
          </cell>
          <cell r="D999">
            <v>2024.1918600328047</v>
          </cell>
        </row>
        <row r="1000">
          <cell r="C1000">
            <v>7.24907063197026E-2</v>
          </cell>
          <cell r="D1000">
            <v>2021.6430836522688</v>
          </cell>
        </row>
        <row r="1001">
          <cell r="C1001">
            <v>7.156133828996282E-2</v>
          </cell>
          <cell r="D1001">
            <v>2020.8128004373973</v>
          </cell>
        </row>
        <row r="1002">
          <cell r="C1002">
            <v>7.0631970260223054E-2</v>
          </cell>
          <cell r="D1002">
            <v>2019.885972662657</v>
          </cell>
        </row>
        <row r="1003">
          <cell r="C1003">
            <v>6.9702602230483274E-2</v>
          </cell>
          <cell r="D1003">
            <v>2016.7000021869876</v>
          </cell>
        </row>
        <row r="1004">
          <cell r="C1004">
            <v>6.8773234200743494E-2</v>
          </cell>
          <cell r="D1004">
            <v>2010.9652553307817</v>
          </cell>
        </row>
        <row r="1005">
          <cell r="C1005">
            <v>6.7843866171003714E-2</v>
          </cell>
          <cell r="D1005">
            <v>1989.7061432476769</v>
          </cell>
        </row>
        <row r="1006">
          <cell r="C1006">
            <v>6.6914498141263934E-2</v>
          </cell>
          <cell r="D1006">
            <v>1983.8555429196283</v>
          </cell>
        </row>
        <row r="1007">
          <cell r="C1007">
            <v>6.5985130111524168E-2</v>
          </cell>
          <cell r="D1007">
            <v>1983.5079825041009</v>
          </cell>
        </row>
        <row r="1008">
          <cell r="C1008">
            <v>6.5055762081784388E-2</v>
          </cell>
          <cell r="D1008">
            <v>1962.7122843083653</v>
          </cell>
        </row>
        <row r="1009">
          <cell r="C1009">
            <v>6.4126394052044608E-2</v>
          </cell>
          <cell r="D1009">
            <v>1959.2752979770366</v>
          </cell>
        </row>
        <row r="1010">
          <cell r="C1010">
            <v>6.3197026022304828E-2</v>
          </cell>
          <cell r="D1010">
            <v>1951.4938064516132</v>
          </cell>
        </row>
        <row r="1011">
          <cell r="C1011">
            <v>6.2267657992565055E-2</v>
          </cell>
          <cell r="D1011">
            <v>1946.3383269546202</v>
          </cell>
        </row>
        <row r="1012">
          <cell r="C1012">
            <v>6.1338289962825282E-2</v>
          </cell>
          <cell r="D1012">
            <v>1938.9816314926193</v>
          </cell>
        </row>
        <row r="1013">
          <cell r="C1013">
            <v>6.0408921933085502E-2</v>
          </cell>
          <cell r="D1013">
            <v>1930.9105062875888</v>
          </cell>
        </row>
        <row r="1014">
          <cell r="C1014">
            <v>5.9479553903345722E-2</v>
          </cell>
          <cell r="D1014">
            <v>1921.8739354838708</v>
          </cell>
        </row>
        <row r="1015">
          <cell r="C1015">
            <v>5.8550185873605949E-2</v>
          </cell>
          <cell r="D1015">
            <v>1917.6452837616187</v>
          </cell>
        </row>
        <row r="1016">
          <cell r="C1016">
            <v>5.7620817843866169E-2</v>
          </cell>
          <cell r="D1016">
            <v>1885.3800918534719</v>
          </cell>
        </row>
        <row r="1017">
          <cell r="C1017">
            <v>5.6691449814126396E-2</v>
          </cell>
          <cell r="D1017">
            <v>1884.0091591033347</v>
          </cell>
        </row>
        <row r="1018">
          <cell r="C1018">
            <v>5.5762081784386616E-2</v>
          </cell>
          <cell r="D1018">
            <v>1876.7296992892295</v>
          </cell>
        </row>
        <row r="1019">
          <cell r="C1019">
            <v>5.4832713754646843E-2</v>
          </cell>
          <cell r="D1019">
            <v>1872.4624297430289</v>
          </cell>
        </row>
        <row r="1020">
          <cell r="C1020">
            <v>5.3903345724907063E-2</v>
          </cell>
          <cell r="D1020">
            <v>1870.6280831055221</v>
          </cell>
        </row>
        <row r="1021">
          <cell r="C1021">
            <v>5.2973977695167283E-2</v>
          </cell>
          <cell r="D1021">
            <v>1870.1646692181519</v>
          </cell>
        </row>
        <row r="1022">
          <cell r="C1022">
            <v>5.204460966542751E-2</v>
          </cell>
          <cell r="D1022">
            <v>1853.5010781848</v>
          </cell>
        </row>
        <row r="1023">
          <cell r="C1023">
            <v>5.111524163568773E-2</v>
          </cell>
          <cell r="D1023">
            <v>1851.2998622197917</v>
          </cell>
        </row>
        <row r="1024">
          <cell r="C1024">
            <v>5.0185873605947957E-2</v>
          </cell>
          <cell r="D1024">
            <v>1817.2582504100603</v>
          </cell>
        </row>
        <row r="1025">
          <cell r="C1025">
            <v>4.9256505576208177E-2</v>
          </cell>
          <cell r="D1025">
            <v>1815.3466681246582</v>
          </cell>
        </row>
        <row r="1026">
          <cell r="C1026">
            <v>4.8327137546468404E-2</v>
          </cell>
          <cell r="D1026">
            <v>1813.0102897758343</v>
          </cell>
        </row>
        <row r="1027">
          <cell r="C1027">
            <v>4.7397769516728624E-2</v>
          </cell>
          <cell r="D1027">
            <v>1798.3934434117004</v>
          </cell>
        </row>
        <row r="1028">
          <cell r="C1028">
            <v>4.6468401486988845E-2</v>
          </cell>
          <cell r="D1028">
            <v>1767.3447129579004</v>
          </cell>
        </row>
        <row r="1029">
          <cell r="C1029">
            <v>4.5539033457249072E-2</v>
          </cell>
          <cell r="D1029">
            <v>1760.644520503007</v>
          </cell>
        </row>
        <row r="1030">
          <cell r="C1030">
            <v>4.4609665427509292E-2</v>
          </cell>
          <cell r="D1030">
            <v>1737.7055330781845</v>
          </cell>
        </row>
        <row r="1031">
          <cell r="C1031">
            <v>4.3680297397769519E-2</v>
          </cell>
          <cell r="D1031">
            <v>1704.5135133952981</v>
          </cell>
        </row>
        <row r="1032">
          <cell r="C1032">
            <v>4.2750929368029739E-2</v>
          </cell>
          <cell r="D1032">
            <v>1704.2045708037181</v>
          </cell>
        </row>
        <row r="1033">
          <cell r="C1033">
            <v>4.1821561338289966E-2</v>
          </cell>
          <cell r="D1033">
            <v>1683.6019617277202</v>
          </cell>
        </row>
        <row r="1034">
          <cell r="C1034">
            <v>4.0892193308550186E-2</v>
          </cell>
          <cell r="D1034">
            <v>1678.1375396391472</v>
          </cell>
        </row>
        <row r="1035">
          <cell r="C1035">
            <v>3.9962825278810406E-2</v>
          </cell>
          <cell r="D1035">
            <v>1634.6345609622747</v>
          </cell>
        </row>
        <row r="1036">
          <cell r="C1036">
            <v>3.9033457249070633E-2</v>
          </cell>
          <cell r="D1036">
            <v>1633.7849688354293</v>
          </cell>
        </row>
        <row r="1037">
          <cell r="C1037">
            <v>3.8104089219330853E-2</v>
          </cell>
          <cell r="D1037">
            <v>1620.3652750136682</v>
          </cell>
        </row>
        <row r="1038">
          <cell r="C1038">
            <v>3.717472118959108E-2</v>
          </cell>
          <cell r="D1038">
            <v>1614.8429261891745</v>
          </cell>
        </row>
        <row r="1039">
          <cell r="C1039">
            <v>3.62453531598513E-2</v>
          </cell>
          <cell r="D1039">
            <v>1604.9953810825593</v>
          </cell>
        </row>
        <row r="1040">
          <cell r="C1040">
            <v>3.5315985130111527E-2</v>
          </cell>
          <cell r="D1040">
            <v>1583.2342372881358</v>
          </cell>
        </row>
        <row r="1041">
          <cell r="C1041">
            <v>3.4386617100371747E-2</v>
          </cell>
          <cell r="D1041">
            <v>1577.5381082558777</v>
          </cell>
        </row>
        <row r="1042">
          <cell r="C1042">
            <v>3.3457249070631967E-2</v>
          </cell>
          <cell r="D1042">
            <v>1570.7220623291419</v>
          </cell>
        </row>
        <row r="1043">
          <cell r="C1043">
            <v>3.2527881040892194E-2</v>
          </cell>
          <cell r="D1043">
            <v>1567.9222700929472</v>
          </cell>
        </row>
        <row r="1044">
          <cell r="C1044">
            <v>3.1598513011152414E-2</v>
          </cell>
          <cell r="D1044">
            <v>1566.029996719519</v>
          </cell>
        </row>
        <row r="1045">
          <cell r="C1045">
            <v>3.0669144981412641E-2</v>
          </cell>
          <cell r="D1045">
            <v>1564.5239015855661</v>
          </cell>
        </row>
        <row r="1046">
          <cell r="C1046">
            <v>2.9739776951672861E-2</v>
          </cell>
          <cell r="D1046">
            <v>1562.1102875888466</v>
          </cell>
        </row>
        <row r="1047">
          <cell r="C1047">
            <v>2.8810408921933085E-2</v>
          </cell>
          <cell r="D1047">
            <v>1529.2658283214871</v>
          </cell>
        </row>
        <row r="1048">
          <cell r="C1048">
            <v>2.7881040892193308E-2</v>
          </cell>
          <cell r="D1048">
            <v>1516.6571088026244</v>
          </cell>
        </row>
        <row r="1049">
          <cell r="C1049">
            <v>2.6951672862453532E-2</v>
          </cell>
          <cell r="D1049">
            <v>1470.9722230727177</v>
          </cell>
        </row>
        <row r="1050">
          <cell r="C1050">
            <v>2.6022304832713755E-2</v>
          </cell>
          <cell r="D1050">
            <v>1453.9610716238385</v>
          </cell>
        </row>
        <row r="1051">
          <cell r="C1051">
            <v>2.5092936802973979E-2</v>
          </cell>
          <cell r="D1051">
            <v>1444.2486889010388</v>
          </cell>
        </row>
        <row r="1052">
          <cell r="C1052">
            <v>2.4163568773234202E-2</v>
          </cell>
          <cell r="D1052">
            <v>1418.0464953526516</v>
          </cell>
        </row>
        <row r="1053">
          <cell r="C1053">
            <v>2.3234200743494422E-2</v>
          </cell>
          <cell r="D1053">
            <v>1415.497718972116</v>
          </cell>
        </row>
        <row r="1054">
          <cell r="C1054">
            <v>2.2304832713754646E-2</v>
          </cell>
          <cell r="D1054">
            <v>1414.5708911973757</v>
          </cell>
        </row>
        <row r="1055">
          <cell r="C1055">
            <v>2.1375464684014869E-2</v>
          </cell>
          <cell r="D1055">
            <v>1406.5383838162929</v>
          </cell>
        </row>
        <row r="1056">
          <cell r="C1056">
            <v>2.0446096654275093E-2</v>
          </cell>
          <cell r="D1056">
            <v>1393.6786484417714</v>
          </cell>
        </row>
        <row r="1057">
          <cell r="C1057">
            <v>1.9516728624535316E-2</v>
          </cell>
          <cell r="D1057">
            <v>1384.8930934937121</v>
          </cell>
        </row>
        <row r="1058">
          <cell r="C1058">
            <v>1.858736059479554E-2</v>
          </cell>
          <cell r="D1058">
            <v>1363.2091853471841</v>
          </cell>
        </row>
        <row r="1059">
          <cell r="C1059">
            <v>1.7657992565055763E-2</v>
          </cell>
          <cell r="D1059">
            <v>1355.080133406233</v>
          </cell>
        </row>
        <row r="1060">
          <cell r="C1060">
            <v>1.6728624535315983E-2</v>
          </cell>
          <cell r="D1060">
            <v>1343.8616555494807</v>
          </cell>
        </row>
        <row r="1061">
          <cell r="C1061">
            <v>1.5799256505576207E-2</v>
          </cell>
          <cell r="D1061">
            <v>1305.8617167851285</v>
          </cell>
        </row>
        <row r="1062">
          <cell r="C1062">
            <v>1.4869888475836431E-2</v>
          </cell>
          <cell r="D1062">
            <v>1300.2042055768179</v>
          </cell>
        </row>
        <row r="1063">
          <cell r="C1063">
            <v>1.3940520446096654E-2</v>
          </cell>
          <cell r="D1063">
            <v>1268.1127938764353</v>
          </cell>
        </row>
        <row r="1064">
          <cell r="C1064">
            <v>1.3011152416356878E-2</v>
          </cell>
          <cell r="D1064">
            <v>1265.1006036085294</v>
          </cell>
        </row>
        <row r="1065">
          <cell r="C1065">
            <v>1.2081784386617101E-2</v>
          </cell>
          <cell r="D1065">
            <v>1243.493931109896</v>
          </cell>
        </row>
        <row r="1066">
          <cell r="C1066">
            <v>1.1152416356877323E-2</v>
          </cell>
          <cell r="D1066">
            <v>1221.404535811919</v>
          </cell>
        </row>
        <row r="1067">
          <cell r="C1067">
            <v>1.0223048327137546E-2</v>
          </cell>
          <cell r="D1067">
            <v>1192.0936074357571</v>
          </cell>
        </row>
        <row r="1068">
          <cell r="C1068">
            <v>9.2936802973977699E-3</v>
          </cell>
          <cell r="D1068">
            <v>1150.8111536358667</v>
          </cell>
        </row>
        <row r="1069">
          <cell r="C1069">
            <v>8.3643122676579917E-3</v>
          </cell>
          <cell r="D1069">
            <v>1121.73193220339</v>
          </cell>
        </row>
        <row r="1070">
          <cell r="C1070">
            <v>7.4349442379182153E-3</v>
          </cell>
          <cell r="D1070">
            <v>1084.0216271186441</v>
          </cell>
        </row>
        <row r="1071">
          <cell r="C1071">
            <v>6.5055762081784388E-3</v>
          </cell>
          <cell r="D1071">
            <v>1015.0695024603607</v>
          </cell>
        </row>
        <row r="1072">
          <cell r="C1072">
            <v>5.5762081784386614E-3</v>
          </cell>
          <cell r="D1072">
            <v>998.54107381082554</v>
          </cell>
        </row>
        <row r="1073">
          <cell r="C1073">
            <v>4.646840148698885E-3</v>
          </cell>
          <cell r="D1073">
            <v>986.68540185893937</v>
          </cell>
        </row>
        <row r="1074">
          <cell r="C1074">
            <v>3.7174721189591076E-3</v>
          </cell>
          <cell r="D1074">
            <v>892.59307381082556</v>
          </cell>
        </row>
        <row r="1075">
          <cell r="C1075">
            <v>2.7881040892193307E-3</v>
          </cell>
          <cell r="D1075">
            <v>887.881699289229</v>
          </cell>
        </row>
        <row r="1076">
          <cell r="C1076">
            <v>1.8587360594795538E-3</v>
          </cell>
          <cell r="D1076">
            <v>793.96315144887933</v>
          </cell>
        </row>
        <row r="1077">
          <cell r="C1077">
            <v>9.2936802973977691E-4</v>
          </cell>
          <cell r="D1077">
            <v>632.34755822854015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7"/>
  <sheetViews>
    <sheetView showGridLines="0" zoomScaleNormal="100" workbookViewId="0">
      <selection activeCell="D40" sqref="D40"/>
    </sheetView>
  </sheetViews>
  <sheetFormatPr defaultColWidth="12.6640625" defaultRowHeight="15.75" customHeight="1" x14ac:dyDescent="0.25"/>
  <cols>
    <col min="1" max="1" width="11.77734375" bestFit="1" customWidth="1"/>
    <col min="2" max="2" width="11" bestFit="1" customWidth="1"/>
    <col min="3" max="3" width="25.88671875" bestFit="1" customWidth="1"/>
    <col min="4" max="4" width="12.6640625" bestFit="1" customWidth="1"/>
    <col min="5" max="5" width="40" bestFit="1" customWidth="1"/>
    <col min="6" max="6" width="19.21875" bestFit="1" customWidth="1"/>
    <col min="7" max="7" width="13.88671875" bestFit="1" customWidth="1"/>
    <col min="8" max="8" width="16.77734375" bestFit="1" customWidth="1"/>
    <col min="9" max="9" width="16.5546875" bestFit="1" customWidth="1"/>
    <col min="10" max="10" width="11.33203125" bestFit="1" customWidth="1"/>
  </cols>
  <sheetData>
    <row r="1" spans="1:10" ht="19.95" customHeight="1" x14ac:dyDescent="0.25">
      <c r="A1" s="9" t="s">
        <v>21</v>
      </c>
      <c r="B1" s="10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30" t="s">
        <v>6</v>
      </c>
      <c r="I1" s="31" t="s">
        <v>7</v>
      </c>
      <c r="J1" s="32" t="s">
        <v>8</v>
      </c>
    </row>
    <row r="2" spans="1:10" ht="15.75" customHeight="1" thickBot="1" x14ac:dyDescent="0.3">
      <c r="A2" s="21">
        <v>42.338500000000003</v>
      </c>
      <c r="B2" s="11">
        <v>45261</v>
      </c>
      <c r="C2" s="12">
        <f>A2*($I$2/$H$2)</f>
        <v>43.020620277777788</v>
      </c>
      <c r="D2" s="24">
        <v>1</v>
      </c>
      <c r="E2" s="12">
        <v>145.41647400000002</v>
      </c>
      <c r="F2" s="12">
        <f t="shared" ref="F2:F65" si="0">D2/1076</f>
        <v>9.2936802973977691E-4</v>
      </c>
      <c r="G2" s="21">
        <f>1000*E2*$J$2*9.81/1000</f>
        <v>28530.712198800004</v>
      </c>
      <c r="H2" s="33">
        <v>1800</v>
      </c>
      <c r="I2" s="34">
        <v>1829</v>
      </c>
      <c r="J2" s="35">
        <v>20</v>
      </c>
    </row>
    <row r="3" spans="1:10" ht="15.75" customHeight="1" x14ac:dyDescent="0.25">
      <c r="A3" s="22">
        <v>18.3659</v>
      </c>
      <c r="B3" s="14">
        <v>45231</v>
      </c>
      <c r="C3" s="12">
        <f t="shared" ref="C3:C66" si="1">A3*($I$2/$H$2)</f>
        <v>18.661795055555558</v>
      </c>
      <c r="D3" s="25">
        <f t="shared" ref="D3:D66" si="2">D2+1</f>
        <v>2</v>
      </c>
      <c r="E3" s="15">
        <v>141.60493961111112</v>
      </c>
      <c r="F3" s="15">
        <f t="shared" si="0"/>
        <v>1.8587360594795538E-3</v>
      </c>
      <c r="G3" s="28">
        <f t="shared" ref="G3:G65" si="3">1000*E3*$J$2*9.81/1000</f>
        <v>27782.889151700001</v>
      </c>
    </row>
    <row r="4" spans="1:10" ht="15.75" customHeight="1" x14ac:dyDescent="0.25">
      <c r="A4" s="21">
        <v>16.6555</v>
      </c>
      <c r="B4" s="11">
        <v>45200</v>
      </c>
      <c r="C4" s="12">
        <f t="shared" si="1"/>
        <v>16.923838611111112</v>
      </c>
      <c r="D4" s="24">
        <f t="shared" si="2"/>
        <v>3</v>
      </c>
      <c r="E4" s="15">
        <v>140.58903172222224</v>
      </c>
      <c r="F4" s="12">
        <f t="shared" si="0"/>
        <v>2.7881040892193307E-3</v>
      </c>
      <c r="G4" s="27">
        <f t="shared" si="3"/>
        <v>27583.568023900007</v>
      </c>
    </row>
    <row r="5" spans="1:10" ht="15.75" customHeight="1" x14ac:dyDescent="0.25">
      <c r="A5" s="22">
        <v>13.2598</v>
      </c>
      <c r="B5" s="14">
        <v>45170</v>
      </c>
      <c r="C5" s="12">
        <f t="shared" si="1"/>
        <v>13.473430111111112</v>
      </c>
      <c r="D5" s="25">
        <f t="shared" si="2"/>
        <v>4</v>
      </c>
      <c r="E5" s="12">
        <v>139.31432033333334</v>
      </c>
      <c r="F5" s="15">
        <f t="shared" si="0"/>
        <v>3.7174721189591076E-3</v>
      </c>
      <c r="G5" s="28">
        <f t="shared" si="3"/>
        <v>27333.469649400002</v>
      </c>
    </row>
    <row r="6" spans="1:10" ht="15.75" customHeight="1" x14ac:dyDescent="0.25">
      <c r="A6" s="21">
        <v>15.2035</v>
      </c>
      <c r="B6" s="11">
        <v>45139</v>
      </c>
      <c r="C6" s="12">
        <f t="shared" si="1"/>
        <v>15.448445277777779</v>
      </c>
      <c r="D6" s="24">
        <f t="shared" si="2"/>
        <v>5</v>
      </c>
      <c r="E6" s="16">
        <v>138.52906966666669</v>
      </c>
      <c r="F6" s="12">
        <f t="shared" si="0"/>
        <v>4.646840148698885E-3</v>
      </c>
      <c r="G6" s="27">
        <f t="shared" si="3"/>
        <v>27179.403468600005</v>
      </c>
    </row>
    <row r="7" spans="1:10" ht="15.75" customHeight="1" x14ac:dyDescent="0.25">
      <c r="A7" s="22">
        <v>17.5275</v>
      </c>
      <c r="B7" s="14">
        <v>45108</v>
      </c>
      <c r="C7" s="12">
        <f t="shared" si="1"/>
        <v>17.809887500000002</v>
      </c>
      <c r="D7" s="25">
        <f t="shared" si="2"/>
        <v>6</v>
      </c>
      <c r="E7" s="15">
        <v>136.20959283333335</v>
      </c>
      <c r="F7" s="15">
        <f t="shared" si="0"/>
        <v>5.5762081784386614E-3</v>
      </c>
      <c r="G7" s="28">
        <f t="shared" si="3"/>
        <v>26724.322113900009</v>
      </c>
    </row>
    <row r="8" spans="1:10" ht="15.75" customHeight="1" x14ac:dyDescent="0.25">
      <c r="A8" s="21">
        <v>21.2607</v>
      </c>
      <c r="B8" s="11">
        <v>45078</v>
      </c>
      <c r="C8" s="12">
        <f t="shared" si="1"/>
        <v>21.603233500000002</v>
      </c>
      <c r="D8" s="24">
        <f t="shared" si="2"/>
        <v>7</v>
      </c>
      <c r="E8" s="12">
        <v>133.16136111111112</v>
      </c>
      <c r="F8" s="12">
        <f t="shared" si="0"/>
        <v>6.5055762081784388E-3</v>
      </c>
      <c r="G8" s="27">
        <f t="shared" si="3"/>
        <v>26126.259050000004</v>
      </c>
    </row>
    <row r="9" spans="1:10" ht="15.75" customHeight="1" x14ac:dyDescent="0.25">
      <c r="A9" s="22">
        <v>26.802800000000001</v>
      </c>
      <c r="B9" s="14">
        <v>45047</v>
      </c>
      <c r="C9" s="12">
        <f t="shared" si="1"/>
        <v>27.234622888888893</v>
      </c>
      <c r="D9" s="25">
        <f t="shared" si="2"/>
        <v>8</v>
      </c>
      <c r="E9" s="12">
        <v>131.29710205555557</v>
      </c>
      <c r="F9" s="15">
        <f t="shared" si="0"/>
        <v>7.4349442379182153E-3</v>
      </c>
      <c r="G9" s="28">
        <f t="shared" si="3"/>
        <v>25760.491423300002</v>
      </c>
    </row>
    <row r="10" spans="1:10" ht="15.75" customHeight="1" x14ac:dyDescent="0.25">
      <c r="A10" s="21">
        <v>35.4544</v>
      </c>
      <c r="B10" s="11">
        <v>45017</v>
      </c>
      <c r="C10" s="12">
        <f t="shared" si="1"/>
        <v>36.025609777777781</v>
      </c>
      <c r="D10" s="24">
        <f t="shared" si="2"/>
        <v>9</v>
      </c>
      <c r="E10" s="15">
        <v>127.72780855555557</v>
      </c>
      <c r="F10" s="12">
        <f t="shared" si="0"/>
        <v>8.3643122676579917E-3</v>
      </c>
      <c r="G10" s="27">
        <f t="shared" si="3"/>
        <v>25060.196038600006</v>
      </c>
    </row>
    <row r="11" spans="1:10" ht="15.75" customHeight="1" x14ac:dyDescent="0.25">
      <c r="A11" s="22">
        <v>52.362099999999998</v>
      </c>
      <c r="B11" s="14">
        <v>44986</v>
      </c>
      <c r="C11" s="12">
        <f t="shared" si="1"/>
        <v>53.205711611111113</v>
      </c>
      <c r="D11" s="25">
        <f t="shared" si="2"/>
        <v>10</v>
      </c>
      <c r="E11" s="15">
        <v>122.9095112777778</v>
      </c>
      <c r="F11" s="15">
        <f t="shared" si="0"/>
        <v>9.2936802973977699E-3</v>
      </c>
      <c r="G11" s="28">
        <f t="shared" si="3"/>
        <v>24114.846112700005</v>
      </c>
    </row>
    <row r="12" spans="1:10" ht="15.75" customHeight="1" x14ac:dyDescent="0.25">
      <c r="A12" s="21">
        <v>63.381500000000003</v>
      </c>
      <c r="B12" s="11">
        <v>44958</v>
      </c>
      <c r="C12" s="12">
        <f t="shared" si="1"/>
        <v>64.402646388888897</v>
      </c>
      <c r="D12" s="24">
        <f t="shared" si="2"/>
        <v>11</v>
      </c>
      <c r="E12" s="15">
        <v>117.55013483333335</v>
      </c>
      <c r="F12" s="12">
        <f t="shared" si="0"/>
        <v>1.0223048327137546E-2</v>
      </c>
      <c r="G12" s="27">
        <f t="shared" si="3"/>
        <v>23063.336454300003</v>
      </c>
    </row>
    <row r="13" spans="1:10" ht="15.75" customHeight="1" x14ac:dyDescent="0.25">
      <c r="A13" s="22">
        <v>102.21729999999999</v>
      </c>
      <c r="B13" s="14">
        <v>44927</v>
      </c>
      <c r="C13" s="12">
        <f t="shared" si="1"/>
        <v>103.86413427777778</v>
      </c>
      <c r="D13" s="25">
        <f t="shared" si="2"/>
        <v>12</v>
      </c>
      <c r="E13" s="15">
        <v>117.07093683333333</v>
      </c>
      <c r="F13" s="15">
        <f t="shared" si="0"/>
        <v>1.1152416356877323E-2</v>
      </c>
      <c r="G13" s="28">
        <f t="shared" si="3"/>
        <v>22969.317806700001</v>
      </c>
    </row>
    <row r="14" spans="1:10" ht="15.75" customHeight="1" x14ac:dyDescent="0.25">
      <c r="A14" s="21">
        <v>42.338500000000003</v>
      </c>
      <c r="B14" s="11">
        <v>44896</v>
      </c>
      <c r="C14" s="12">
        <f t="shared" si="1"/>
        <v>43.020620277777788</v>
      </c>
      <c r="D14" s="24">
        <f t="shared" si="2"/>
        <v>13</v>
      </c>
      <c r="E14" s="12">
        <v>116.00178472222223</v>
      </c>
      <c r="F14" s="12">
        <f t="shared" si="0"/>
        <v>1.2081784386617101E-2</v>
      </c>
      <c r="G14" s="27">
        <f t="shared" si="3"/>
        <v>22759.5501625</v>
      </c>
    </row>
    <row r="15" spans="1:10" ht="15.75" customHeight="1" x14ac:dyDescent="0.25">
      <c r="A15" s="22">
        <v>18.885899999999999</v>
      </c>
      <c r="B15" s="14">
        <v>44866</v>
      </c>
      <c r="C15" s="12">
        <f t="shared" si="1"/>
        <v>19.190172833333335</v>
      </c>
      <c r="D15" s="25">
        <f t="shared" si="2"/>
        <v>14</v>
      </c>
      <c r="E15" s="15">
        <v>115.01788433333334</v>
      </c>
      <c r="F15" s="15">
        <f t="shared" si="0"/>
        <v>1.3011152416356878E-2</v>
      </c>
      <c r="G15" s="28">
        <f t="shared" si="3"/>
        <v>22566.508906200001</v>
      </c>
    </row>
    <row r="16" spans="1:10" ht="15.75" customHeight="1" x14ac:dyDescent="0.25">
      <c r="A16" s="21">
        <v>17.290400000000002</v>
      </c>
      <c r="B16" s="11">
        <v>44835</v>
      </c>
      <c r="C16" s="12">
        <f t="shared" si="1"/>
        <v>17.56896755555556</v>
      </c>
      <c r="D16" s="24">
        <f t="shared" si="2"/>
        <v>15</v>
      </c>
      <c r="E16" s="15">
        <v>112.0142598888889</v>
      </c>
      <c r="F16" s="12">
        <f t="shared" si="0"/>
        <v>1.3940520446096654E-2</v>
      </c>
      <c r="G16" s="27">
        <f t="shared" si="3"/>
        <v>21977.197790200004</v>
      </c>
    </row>
    <row r="17" spans="1:7" ht="15.75" customHeight="1" x14ac:dyDescent="0.25">
      <c r="A17" s="22">
        <v>11.9726</v>
      </c>
      <c r="B17" s="14">
        <v>44805</v>
      </c>
      <c r="C17" s="12">
        <f t="shared" si="1"/>
        <v>12.165491888888889</v>
      </c>
      <c r="D17" s="25">
        <f t="shared" si="2"/>
        <v>16</v>
      </c>
      <c r="E17" s="15">
        <v>110.50889127777778</v>
      </c>
      <c r="F17" s="15">
        <f t="shared" si="0"/>
        <v>1.4869888475836431E-2</v>
      </c>
      <c r="G17" s="28">
        <f t="shared" si="3"/>
        <v>21681.844468699997</v>
      </c>
    </row>
    <row r="18" spans="1:7" ht="15.75" customHeight="1" x14ac:dyDescent="0.25">
      <c r="A18" s="21">
        <v>11.249700000000001</v>
      </c>
      <c r="B18" s="11">
        <v>44774</v>
      </c>
      <c r="C18" s="12">
        <f t="shared" si="1"/>
        <v>11.430945166666667</v>
      </c>
      <c r="D18" s="24">
        <f t="shared" si="2"/>
        <v>17</v>
      </c>
      <c r="E18" s="12">
        <v>107.68278144444444</v>
      </c>
      <c r="F18" s="12">
        <f t="shared" si="0"/>
        <v>1.5799256505576207E-2</v>
      </c>
      <c r="G18" s="27">
        <f t="shared" si="3"/>
        <v>21127.3617194</v>
      </c>
    </row>
    <row r="19" spans="1:7" ht="15.75" customHeight="1" x14ac:dyDescent="0.25">
      <c r="A19" s="22">
        <v>12.522</v>
      </c>
      <c r="B19" s="14">
        <v>44743</v>
      </c>
      <c r="C19" s="12">
        <f t="shared" si="1"/>
        <v>12.723743333333335</v>
      </c>
      <c r="D19" s="25">
        <f t="shared" si="2"/>
        <v>18</v>
      </c>
      <c r="E19" s="15">
        <v>105.0073608888889</v>
      </c>
      <c r="F19" s="15">
        <f t="shared" si="0"/>
        <v>1.6728624535315983E-2</v>
      </c>
      <c r="G19" s="28">
        <f t="shared" si="3"/>
        <v>20602.444206400003</v>
      </c>
    </row>
    <row r="20" spans="1:7" ht="15.75" customHeight="1" x14ac:dyDescent="0.25">
      <c r="A20" s="21">
        <v>14.997</v>
      </c>
      <c r="B20" s="11">
        <v>44713</v>
      </c>
      <c r="C20" s="12">
        <f t="shared" si="1"/>
        <v>15.238618333333335</v>
      </c>
      <c r="D20" s="24">
        <f t="shared" si="2"/>
        <v>19</v>
      </c>
      <c r="E20" s="15">
        <v>104.20382022222222</v>
      </c>
      <c r="F20" s="12">
        <f t="shared" si="0"/>
        <v>1.7657992565055763E-2</v>
      </c>
      <c r="G20" s="27">
        <f t="shared" si="3"/>
        <v>20444.789527600002</v>
      </c>
    </row>
    <row r="21" spans="1:7" ht="15.75" customHeight="1" x14ac:dyDescent="0.25">
      <c r="A21" s="22">
        <v>17.716999999999999</v>
      </c>
      <c r="B21" s="14">
        <v>44682</v>
      </c>
      <c r="C21" s="12">
        <f t="shared" si="1"/>
        <v>18.002440555555555</v>
      </c>
      <c r="D21" s="25">
        <f t="shared" si="2"/>
        <v>20</v>
      </c>
      <c r="E21" s="15">
        <v>103.86413427777778</v>
      </c>
      <c r="F21" s="15">
        <f t="shared" si="0"/>
        <v>1.858736059479554E-2</v>
      </c>
      <c r="G21" s="28">
        <f t="shared" si="3"/>
        <v>20378.1431453</v>
      </c>
    </row>
    <row r="22" spans="1:7" ht="15.75" customHeight="1" x14ac:dyDescent="0.25">
      <c r="A22" s="21">
        <v>27.3857</v>
      </c>
      <c r="B22" s="11">
        <v>44652</v>
      </c>
      <c r="C22" s="12">
        <f t="shared" si="1"/>
        <v>27.826914055555559</v>
      </c>
      <c r="D22" s="24">
        <f t="shared" si="2"/>
        <v>21</v>
      </c>
      <c r="E22" s="15">
        <v>103.37010105555557</v>
      </c>
      <c r="F22" s="12">
        <f t="shared" si="0"/>
        <v>1.9516728624535316E-2</v>
      </c>
      <c r="G22" s="27">
        <f t="shared" si="3"/>
        <v>20281.213827100004</v>
      </c>
    </row>
    <row r="23" spans="1:7" ht="15.75" customHeight="1" x14ac:dyDescent="0.25">
      <c r="A23" s="22">
        <v>30.170300000000001</v>
      </c>
      <c r="B23" s="14">
        <v>44621</v>
      </c>
      <c r="C23" s="12">
        <f t="shared" si="1"/>
        <v>30.656377055555559</v>
      </c>
      <c r="D23" s="25">
        <f t="shared" si="2"/>
        <v>22</v>
      </c>
      <c r="E23" s="15">
        <v>102.38233944444445</v>
      </c>
      <c r="F23" s="15">
        <f t="shared" si="0"/>
        <v>2.0446096654275093E-2</v>
      </c>
      <c r="G23" s="28">
        <f t="shared" si="3"/>
        <v>20087.414999000001</v>
      </c>
    </row>
    <row r="24" spans="1:7" ht="15.75" customHeight="1" x14ac:dyDescent="0.25">
      <c r="A24" s="21">
        <v>72.804599999999994</v>
      </c>
      <c r="B24" s="11">
        <v>44593</v>
      </c>
      <c r="C24" s="12">
        <f t="shared" si="1"/>
        <v>73.977563000000004</v>
      </c>
      <c r="D24" s="24">
        <f t="shared" si="2"/>
        <v>23</v>
      </c>
      <c r="E24" s="12">
        <v>101.38380705555556</v>
      </c>
      <c r="F24" s="12">
        <f t="shared" si="0"/>
        <v>2.1375464684014869E-2</v>
      </c>
      <c r="G24" s="27">
        <f t="shared" si="3"/>
        <v>19891.502944300002</v>
      </c>
    </row>
    <row r="25" spans="1:7" ht="15.75" customHeight="1" x14ac:dyDescent="0.25">
      <c r="A25" s="22">
        <v>66.381399999999999</v>
      </c>
      <c r="B25" s="14">
        <v>44562</v>
      </c>
      <c r="C25" s="12">
        <f t="shared" si="1"/>
        <v>67.450878111111109</v>
      </c>
      <c r="D25" s="25">
        <f t="shared" si="2"/>
        <v>24</v>
      </c>
      <c r="E25" s="15">
        <v>101.22763077777779</v>
      </c>
      <c r="F25" s="15">
        <f t="shared" si="0"/>
        <v>2.2304832713754646E-2</v>
      </c>
      <c r="G25" s="28">
        <f t="shared" si="3"/>
        <v>19860.861158600004</v>
      </c>
    </row>
    <row r="26" spans="1:7" ht="15.75" customHeight="1" x14ac:dyDescent="0.25">
      <c r="A26" s="21">
        <v>23.9102</v>
      </c>
      <c r="B26" s="11">
        <v>44531</v>
      </c>
      <c r="C26" s="12">
        <f t="shared" si="1"/>
        <v>24.29541988888889</v>
      </c>
      <c r="D26" s="24">
        <f t="shared" si="2"/>
        <v>25</v>
      </c>
      <c r="E26" s="15">
        <v>101.2057843888889</v>
      </c>
      <c r="F26" s="12">
        <f t="shared" si="0"/>
        <v>2.3234200743494422E-2</v>
      </c>
      <c r="G26" s="27">
        <f t="shared" si="3"/>
        <v>19856.574897100007</v>
      </c>
    </row>
    <row r="27" spans="1:7" ht="15.75" customHeight="1" x14ac:dyDescent="0.25">
      <c r="A27" s="22">
        <v>18.976500000000001</v>
      </c>
      <c r="B27" s="14">
        <v>44501</v>
      </c>
      <c r="C27" s="12">
        <f t="shared" si="1"/>
        <v>19.282232500000003</v>
      </c>
      <c r="D27" s="25">
        <f t="shared" si="2"/>
        <v>26</v>
      </c>
      <c r="E27" s="15">
        <v>100.26720255555557</v>
      </c>
      <c r="F27" s="15">
        <f t="shared" si="0"/>
        <v>2.4163568773234202E-2</v>
      </c>
      <c r="G27" s="28">
        <f t="shared" si="3"/>
        <v>19672.425141400006</v>
      </c>
    </row>
    <row r="28" spans="1:7" ht="13.8" x14ac:dyDescent="0.25">
      <c r="A28" s="21">
        <v>17.459800000000001</v>
      </c>
      <c r="B28" s="11">
        <v>44470</v>
      </c>
      <c r="C28" s="12">
        <f t="shared" si="1"/>
        <v>17.741096777777781</v>
      </c>
      <c r="D28" s="24">
        <f t="shared" si="2"/>
        <v>27</v>
      </c>
      <c r="E28" s="15">
        <v>98.317996611111127</v>
      </c>
      <c r="F28" s="12">
        <f t="shared" si="0"/>
        <v>2.5092936802973979E-2</v>
      </c>
      <c r="G28" s="27">
        <f t="shared" si="3"/>
        <v>19289.990935100002</v>
      </c>
    </row>
    <row r="29" spans="1:7" ht="13.8" x14ac:dyDescent="0.25">
      <c r="A29" s="22">
        <v>10.4832</v>
      </c>
      <c r="B29" s="14">
        <v>44440</v>
      </c>
      <c r="C29" s="12">
        <f t="shared" si="1"/>
        <v>10.652096</v>
      </c>
      <c r="D29" s="25">
        <f t="shared" si="2"/>
        <v>28</v>
      </c>
      <c r="E29" s="15">
        <v>98.107966444444457</v>
      </c>
      <c r="F29" s="15">
        <f t="shared" si="0"/>
        <v>2.6022304832713755E-2</v>
      </c>
      <c r="G29" s="28">
        <f t="shared" si="3"/>
        <v>19248.783016400004</v>
      </c>
    </row>
    <row r="30" spans="1:7" ht="13.8" x14ac:dyDescent="0.25">
      <c r="A30" s="21">
        <v>10.4657</v>
      </c>
      <c r="B30" s="11">
        <v>44409</v>
      </c>
      <c r="C30" s="12">
        <f t="shared" si="1"/>
        <v>10.634314055555556</v>
      </c>
      <c r="D30" s="24">
        <f t="shared" si="2"/>
        <v>29</v>
      </c>
      <c r="E30" s="15">
        <v>97.882186555555563</v>
      </c>
      <c r="F30" s="12">
        <f t="shared" si="0"/>
        <v>2.6951672862453532E-2</v>
      </c>
      <c r="G30" s="27">
        <f t="shared" si="3"/>
        <v>19204.485002199999</v>
      </c>
    </row>
    <row r="31" spans="1:7" ht="13.8" x14ac:dyDescent="0.25">
      <c r="A31" s="22">
        <v>12.0238</v>
      </c>
      <c r="B31" s="14">
        <v>44378</v>
      </c>
      <c r="C31" s="12">
        <f t="shared" si="1"/>
        <v>12.217516777777778</v>
      </c>
      <c r="D31" s="25">
        <f t="shared" si="2"/>
        <v>30</v>
      </c>
      <c r="E31" s="12">
        <v>97.008127777777787</v>
      </c>
      <c r="F31" s="15">
        <f t="shared" si="0"/>
        <v>2.7881040892193308E-2</v>
      </c>
      <c r="G31" s="28">
        <f t="shared" si="3"/>
        <v>19032.99467</v>
      </c>
    </row>
    <row r="32" spans="1:7" ht="13.8" x14ac:dyDescent="0.25">
      <c r="A32" s="21">
        <v>14.853999999999999</v>
      </c>
      <c r="B32" s="11">
        <v>44348</v>
      </c>
      <c r="C32" s="12">
        <f t="shared" si="1"/>
        <v>15.093314444444445</v>
      </c>
      <c r="D32" s="24">
        <f t="shared" si="2"/>
        <v>31</v>
      </c>
      <c r="E32" s="15">
        <v>97.003352055555567</v>
      </c>
      <c r="F32" s="12">
        <f t="shared" si="0"/>
        <v>2.8810408921933085E-2</v>
      </c>
      <c r="G32" s="27">
        <f t="shared" si="3"/>
        <v>19032.057673300005</v>
      </c>
    </row>
    <row r="33" spans="1:7" ht="13.8" x14ac:dyDescent="0.25">
      <c r="A33" s="22">
        <v>15.144299999999999</v>
      </c>
      <c r="B33" s="14">
        <v>44317</v>
      </c>
      <c r="C33" s="12">
        <f t="shared" si="1"/>
        <v>15.388291500000001</v>
      </c>
      <c r="D33" s="25">
        <f t="shared" si="2"/>
        <v>32</v>
      </c>
      <c r="E33" s="15">
        <v>94.319802611111115</v>
      </c>
      <c r="F33" s="15">
        <f t="shared" si="0"/>
        <v>2.9739776951672861E-2</v>
      </c>
      <c r="G33" s="28">
        <f t="shared" si="3"/>
        <v>18505.545272300002</v>
      </c>
    </row>
    <row r="34" spans="1:7" ht="13.8" x14ac:dyDescent="0.25">
      <c r="A34" s="21">
        <v>18.917400000000001</v>
      </c>
      <c r="B34" s="11">
        <v>44287</v>
      </c>
      <c r="C34" s="12">
        <f t="shared" si="1"/>
        <v>19.222180333333334</v>
      </c>
      <c r="D34" s="24">
        <f t="shared" si="2"/>
        <v>33</v>
      </c>
      <c r="E34" s="12">
        <v>91.387915611111126</v>
      </c>
      <c r="F34" s="12">
        <f t="shared" si="0"/>
        <v>3.0669144981412641E-2</v>
      </c>
      <c r="G34" s="27">
        <f t="shared" si="3"/>
        <v>17930.309042900004</v>
      </c>
    </row>
    <row r="35" spans="1:7" ht="13.8" x14ac:dyDescent="0.25">
      <c r="A35" s="22">
        <v>34.020000000000003</v>
      </c>
      <c r="B35" s="14">
        <v>44256</v>
      </c>
      <c r="C35" s="12">
        <f t="shared" si="1"/>
        <v>34.568100000000008</v>
      </c>
      <c r="D35" s="25">
        <f t="shared" si="2"/>
        <v>34</v>
      </c>
      <c r="E35" s="15">
        <v>90.371601277777785</v>
      </c>
      <c r="F35" s="15">
        <f t="shared" si="0"/>
        <v>3.1598513011152414E-2</v>
      </c>
      <c r="G35" s="28">
        <f t="shared" si="3"/>
        <v>17730.908170700004</v>
      </c>
    </row>
    <row r="36" spans="1:7" ht="13.8" x14ac:dyDescent="0.25">
      <c r="A36" s="21">
        <v>50.25</v>
      </c>
      <c r="B36" s="11">
        <v>44228</v>
      </c>
      <c r="C36" s="12">
        <f t="shared" si="1"/>
        <v>51.059583333333336</v>
      </c>
      <c r="D36" s="24">
        <f t="shared" si="2"/>
        <v>35</v>
      </c>
      <c r="E36" s="12">
        <v>90.239506833333337</v>
      </c>
      <c r="F36" s="12">
        <f t="shared" si="0"/>
        <v>3.2527881040892194E-2</v>
      </c>
      <c r="G36" s="27">
        <f t="shared" si="3"/>
        <v>17704.991240700001</v>
      </c>
    </row>
    <row r="37" spans="1:7" ht="13.8" x14ac:dyDescent="0.25">
      <c r="A37" s="22">
        <v>37.852600000000002</v>
      </c>
      <c r="B37" s="14">
        <v>44197</v>
      </c>
      <c r="C37" s="12">
        <f t="shared" si="1"/>
        <v>38.46244744444445</v>
      </c>
      <c r="D37" s="25">
        <f t="shared" si="2"/>
        <v>36</v>
      </c>
      <c r="E37" s="15">
        <v>89.657884833333341</v>
      </c>
      <c r="F37" s="15">
        <f t="shared" si="0"/>
        <v>3.3457249070631967E-2</v>
      </c>
      <c r="G37" s="28">
        <f t="shared" si="3"/>
        <v>17590.8770043</v>
      </c>
    </row>
    <row r="38" spans="1:7" ht="13.8" x14ac:dyDescent="0.25">
      <c r="A38" s="21">
        <v>36.2316</v>
      </c>
      <c r="B38" s="11">
        <v>44166</v>
      </c>
      <c r="C38" s="12">
        <f t="shared" si="1"/>
        <v>36.815331333333333</v>
      </c>
      <c r="D38" s="24">
        <f t="shared" si="2"/>
        <v>37</v>
      </c>
      <c r="E38" s="15">
        <v>89.476610611111127</v>
      </c>
      <c r="F38" s="12">
        <f t="shared" si="0"/>
        <v>3.4386617100371747E-2</v>
      </c>
      <c r="G38" s="27">
        <f t="shared" si="3"/>
        <v>17555.311001900005</v>
      </c>
    </row>
    <row r="39" spans="1:7" ht="13.8" x14ac:dyDescent="0.25">
      <c r="A39" s="22">
        <v>14.09</v>
      </c>
      <c r="B39" s="14">
        <v>44136</v>
      </c>
      <c r="C39" s="12">
        <f t="shared" si="1"/>
        <v>14.317005555555557</v>
      </c>
      <c r="D39" s="25">
        <f t="shared" si="2"/>
        <v>38</v>
      </c>
      <c r="E39" s="12">
        <v>88.885132333333345</v>
      </c>
      <c r="F39" s="15">
        <f t="shared" si="0"/>
        <v>3.5315985130111527E-2</v>
      </c>
      <c r="G39" s="28">
        <f t="shared" si="3"/>
        <v>17439.262963800003</v>
      </c>
    </row>
    <row r="40" spans="1:7" ht="13.8" x14ac:dyDescent="0.25">
      <c r="A40" s="21">
        <v>7.06</v>
      </c>
      <c r="B40" s="11">
        <v>44105</v>
      </c>
      <c r="C40" s="12">
        <f t="shared" si="1"/>
        <v>7.1737444444444449</v>
      </c>
      <c r="D40" s="24">
        <f t="shared" si="2"/>
        <v>39</v>
      </c>
      <c r="E40" s="15">
        <v>87.457801055555564</v>
      </c>
      <c r="F40" s="12">
        <f t="shared" si="0"/>
        <v>3.62453531598513E-2</v>
      </c>
      <c r="G40" s="27">
        <f t="shared" si="3"/>
        <v>17159.220567100005</v>
      </c>
    </row>
    <row r="41" spans="1:7" ht="13.8" x14ac:dyDescent="0.25">
      <c r="A41" s="22">
        <v>7.92</v>
      </c>
      <c r="B41" s="14">
        <v>44075</v>
      </c>
      <c r="C41" s="12">
        <f t="shared" si="1"/>
        <v>8.047600000000001</v>
      </c>
      <c r="D41" s="25">
        <f t="shared" si="2"/>
        <v>40</v>
      </c>
      <c r="E41" s="12">
        <v>86.430614333333338</v>
      </c>
      <c r="F41" s="15">
        <f t="shared" si="0"/>
        <v>3.717472118959108E-2</v>
      </c>
      <c r="G41" s="28">
        <f t="shared" si="3"/>
        <v>16957.686532200001</v>
      </c>
    </row>
    <row r="42" spans="1:7" ht="13.8" x14ac:dyDescent="0.25">
      <c r="A42" s="21">
        <v>9.6854999999999993</v>
      </c>
      <c r="B42" s="11">
        <v>44044</v>
      </c>
      <c r="C42" s="12">
        <f t="shared" si="1"/>
        <v>9.841544166666667</v>
      </c>
      <c r="D42" s="24">
        <f t="shared" si="2"/>
        <v>41</v>
      </c>
      <c r="E42" s="12">
        <v>86.378081388888887</v>
      </c>
      <c r="F42" s="12">
        <f t="shared" si="0"/>
        <v>3.8104089219330853E-2</v>
      </c>
      <c r="G42" s="27">
        <f t="shared" si="3"/>
        <v>16947.3795685</v>
      </c>
    </row>
    <row r="43" spans="1:7" ht="13.8" x14ac:dyDescent="0.25">
      <c r="A43" s="22">
        <v>11.215400000000001</v>
      </c>
      <c r="B43" s="14">
        <v>44013</v>
      </c>
      <c r="C43" s="12">
        <f t="shared" si="1"/>
        <v>11.396092555555557</v>
      </c>
      <c r="D43" s="25">
        <f t="shared" si="2"/>
        <v>42</v>
      </c>
      <c r="E43" s="12">
        <v>85.797170666666673</v>
      </c>
      <c r="F43" s="15">
        <f t="shared" si="0"/>
        <v>3.9033457249070633E-2</v>
      </c>
      <c r="G43" s="28">
        <f t="shared" si="3"/>
        <v>16833.404884800002</v>
      </c>
    </row>
    <row r="44" spans="1:7" ht="13.8" x14ac:dyDescent="0.25">
      <c r="A44" s="21">
        <v>14.087899999999999</v>
      </c>
      <c r="B44" s="11">
        <v>43983</v>
      </c>
      <c r="C44" s="12">
        <f t="shared" si="1"/>
        <v>14.314871722222223</v>
      </c>
      <c r="D44" s="24">
        <f t="shared" si="2"/>
        <v>43</v>
      </c>
      <c r="E44" s="15">
        <v>85.707549666666679</v>
      </c>
      <c r="F44" s="12">
        <f t="shared" si="0"/>
        <v>3.9962825278810406E-2</v>
      </c>
      <c r="G44" s="27">
        <f t="shared" si="3"/>
        <v>16815.821244600003</v>
      </c>
    </row>
    <row r="45" spans="1:7" ht="13.8" x14ac:dyDescent="0.25">
      <c r="A45" s="22">
        <v>16.782900000000001</v>
      </c>
      <c r="B45" s="14">
        <v>43952</v>
      </c>
      <c r="C45" s="12">
        <f t="shared" si="1"/>
        <v>17.053291166666668</v>
      </c>
      <c r="D45" s="25">
        <f t="shared" si="2"/>
        <v>44</v>
      </c>
      <c r="E45" s="12">
        <v>85.302222944444452</v>
      </c>
      <c r="F45" s="15">
        <f t="shared" si="0"/>
        <v>4.0892193308550186E-2</v>
      </c>
      <c r="G45" s="28">
        <f t="shared" si="3"/>
        <v>16736.296141700004</v>
      </c>
    </row>
    <row r="46" spans="1:7" ht="13.8" x14ac:dyDescent="0.25">
      <c r="A46" s="21">
        <v>23.834399999999999</v>
      </c>
      <c r="B46" s="11">
        <v>43922</v>
      </c>
      <c r="C46" s="12">
        <f t="shared" si="1"/>
        <v>24.218398666666666</v>
      </c>
      <c r="D46" s="24">
        <f t="shared" si="2"/>
        <v>45</v>
      </c>
      <c r="E46" s="12">
        <v>84.328686888888896</v>
      </c>
      <c r="F46" s="12">
        <f t="shared" si="0"/>
        <v>4.1821561338289966E-2</v>
      </c>
      <c r="G46" s="27">
        <f t="shared" si="3"/>
        <v>16545.288367600002</v>
      </c>
    </row>
    <row r="47" spans="1:7" ht="13.8" x14ac:dyDescent="0.25">
      <c r="A47" s="22">
        <v>45.268700000000003</v>
      </c>
      <c r="B47" s="14">
        <v>43891</v>
      </c>
      <c r="C47" s="12">
        <f t="shared" si="1"/>
        <v>45.998029055555563</v>
      </c>
      <c r="D47" s="25">
        <f t="shared" si="2"/>
        <v>46</v>
      </c>
      <c r="E47" s="15">
        <v>84.009323166666675</v>
      </c>
      <c r="F47" s="15">
        <f t="shared" si="0"/>
        <v>4.2750929368029739E-2</v>
      </c>
      <c r="G47" s="28">
        <f t="shared" si="3"/>
        <v>16482.6292053</v>
      </c>
    </row>
    <row r="48" spans="1:7" ht="13.8" x14ac:dyDescent="0.25">
      <c r="A48" s="21">
        <v>67.075900000000004</v>
      </c>
      <c r="B48" s="11">
        <v>43862</v>
      </c>
      <c r="C48" s="12">
        <f t="shared" si="1"/>
        <v>68.156567277777782</v>
      </c>
      <c r="D48" s="24">
        <f t="shared" si="2"/>
        <v>47</v>
      </c>
      <c r="E48" s="12">
        <v>83.850403388888893</v>
      </c>
      <c r="F48" s="12">
        <f t="shared" si="0"/>
        <v>4.3680297397769519E-2</v>
      </c>
      <c r="G48" s="27">
        <f t="shared" si="3"/>
        <v>16451.449144900005</v>
      </c>
    </row>
    <row r="49" spans="1:7" ht="13.8" x14ac:dyDescent="0.25">
      <c r="A49" s="22">
        <v>29.974499999999999</v>
      </c>
      <c r="B49" s="14">
        <v>43831</v>
      </c>
      <c r="C49" s="12">
        <f t="shared" si="1"/>
        <v>30.4574225</v>
      </c>
      <c r="D49" s="25">
        <f t="shared" si="2"/>
        <v>48</v>
      </c>
      <c r="E49" s="15">
        <v>83.651753666666679</v>
      </c>
      <c r="F49" s="15">
        <f t="shared" si="0"/>
        <v>4.4609665427509292E-2</v>
      </c>
      <c r="G49" s="28">
        <f t="shared" si="3"/>
        <v>16412.474069400007</v>
      </c>
    </row>
    <row r="50" spans="1:7" ht="13.8" x14ac:dyDescent="0.25">
      <c r="A50" s="21">
        <v>22.4693</v>
      </c>
      <c r="B50" s="11">
        <v>43800</v>
      </c>
      <c r="C50" s="12">
        <f t="shared" si="1"/>
        <v>22.831305388888889</v>
      </c>
      <c r="D50" s="24">
        <f t="shared" si="2"/>
        <v>49</v>
      </c>
      <c r="E50" s="12">
        <v>83.223157999999998</v>
      </c>
      <c r="F50" s="12">
        <f t="shared" si="0"/>
        <v>4.5539033457249072E-2</v>
      </c>
      <c r="G50" s="27">
        <f t="shared" si="3"/>
        <v>16328.3835996</v>
      </c>
    </row>
    <row r="51" spans="1:7" ht="13.8" x14ac:dyDescent="0.25">
      <c r="A51" s="22">
        <v>14.08</v>
      </c>
      <c r="B51" s="14">
        <v>43770</v>
      </c>
      <c r="C51" s="12">
        <f t="shared" si="1"/>
        <v>14.306844444444446</v>
      </c>
      <c r="D51" s="25">
        <f t="shared" si="2"/>
        <v>50</v>
      </c>
      <c r="E51" s="12">
        <v>83.20314061111111</v>
      </c>
      <c r="F51" s="15">
        <f t="shared" si="0"/>
        <v>4.6468401486988845E-2</v>
      </c>
      <c r="G51" s="28">
        <f t="shared" si="3"/>
        <v>16324.456187900001</v>
      </c>
    </row>
    <row r="52" spans="1:7" ht="13.8" x14ac:dyDescent="0.25">
      <c r="A52" s="21">
        <v>10.47</v>
      </c>
      <c r="B52" s="11">
        <v>43739</v>
      </c>
      <c r="C52" s="12">
        <f t="shared" si="1"/>
        <v>10.638683333333335</v>
      </c>
      <c r="D52" s="24">
        <f t="shared" si="2"/>
        <v>51</v>
      </c>
      <c r="E52" s="15">
        <v>83.008555333333348</v>
      </c>
      <c r="F52" s="12">
        <f t="shared" si="0"/>
        <v>4.7397769516728624E-2</v>
      </c>
      <c r="G52" s="27">
        <f t="shared" si="3"/>
        <v>16286.278556400002</v>
      </c>
    </row>
    <row r="53" spans="1:7" ht="13.8" x14ac:dyDescent="0.25">
      <c r="A53" s="22">
        <v>10.08</v>
      </c>
      <c r="B53" s="14">
        <v>43709</v>
      </c>
      <c r="C53" s="12">
        <f t="shared" si="1"/>
        <v>10.242400000000002</v>
      </c>
      <c r="D53" s="25">
        <f t="shared" si="2"/>
        <v>52</v>
      </c>
      <c r="E53" s="12">
        <v>82.741318111111113</v>
      </c>
      <c r="F53" s="15">
        <f t="shared" si="0"/>
        <v>4.8327137546468404E-2</v>
      </c>
      <c r="G53" s="28">
        <f t="shared" si="3"/>
        <v>16233.846613400003</v>
      </c>
    </row>
    <row r="54" spans="1:7" ht="13.8" x14ac:dyDescent="0.25">
      <c r="A54" s="21">
        <v>8.1347000000000005</v>
      </c>
      <c r="B54" s="11">
        <v>43678</v>
      </c>
      <c r="C54" s="12">
        <f t="shared" si="1"/>
        <v>8.2657590555555558</v>
      </c>
      <c r="D54" s="24">
        <f t="shared" si="2"/>
        <v>53</v>
      </c>
      <c r="E54" s="15">
        <v>82.679233722222236</v>
      </c>
      <c r="F54" s="12">
        <f t="shared" si="0"/>
        <v>4.9256505576208177E-2</v>
      </c>
      <c r="G54" s="27">
        <f t="shared" si="3"/>
        <v>16221.665656300007</v>
      </c>
    </row>
    <row r="55" spans="1:7" ht="13.8" x14ac:dyDescent="0.25">
      <c r="A55" s="22">
        <v>9.7195</v>
      </c>
      <c r="B55" s="14">
        <v>43647</v>
      </c>
      <c r="C55" s="12">
        <f t="shared" si="1"/>
        <v>9.876091944444445</v>
      </c>
      <c r="D55" s="25">
        <f t="shared" si="2"/>
        <v>54</v>
      </c>
      <c r="E55" s="15">
        <v>82.526918666666674</v>
      </c>
      <c r="F55" s="15">
        <f t="shared" si="0"/>
        <v>5.0185873605947957E-2</v>
      </c>
      <c r="G55" s="28">
        <f t="shared" si="3"/>
        <v>16191.781442400003</v>
      </c>
    </row>
    <row r="56" spans="1:7" ht="13.8" x14ac:dyDescent="0.25">
      <c r="A56" s="21">
        <v>11.719799999999999</v>
      </c>
      <c r="B56" s="11">
        <v>43617</v>
      </c>
      <c r="C56" s="12">
        <f t="shared" si="1"/>
        <v>11.908619</v>
      </c>
      <c r="D56" s="24">
        <f t="shared" si="2"/>
        <v>55</v>
      </c>
      <c r="E56" s="15">
        <v>82.48596938888889</v>
      </c>
      <c r="F56" s="12">
        <f t="shared" si="0"/>
        <v>5.111524163568773E-2</v>
      </c>
      <c r="G56" s="27">
        <f t="shared" si="3"/>
        <v>16183.747194100002</v>
      </c>
    </row>
    <row r="57" spans="1:7" ht="13.8" x14ac:dyDescent="0.25">
      <c r="A57" s="22">
        <v>14.834</v>
      </c>
      <c r="B57" s="14">
        <v>43586</v>
      </c>
      <c r="C57" s="12">
        <f t="shared" si="1"/>
        <v>15.072992222222222</v>
      </c>
      <c r="D57" s="25">
        <f t="shared" si="2"/>
        <v>56</v>
      </c>
      <c r="E57" s="15">
        <v>82.009413277777796</v>
      </c>
      <c r="F57" s="15">
        <f t="shared" si="0"/>
        <v>5.204460966542751E-2</v>
      </c>
      <c r="G57" s="28">
        <f t="shared" si="3"/>
        <v>16090.246885100005</v>
      </c>
    </row>
    <row r="58" spans="1:7" ht="13.8" x14ac:dyDescent="0.25">
      <c r="A58" s="21">
        <v>21.487400000000001</v>
      </c>
      <c r="B58" s="11">
        <v>43556</v>
      </c>
      <c r="C58" s="12">
        <f t="shared" si="1"/>
        <v>21.833585888888891</v>
      </c>
      <c r="D58" s="24">
        <f t="shared" si="2"/>
        <v>57</v>
      </c>
      <c r="E58" s="12">
        <v>81.985941111111131</v>
      </c>
      <c r="F58" s="12">
        <f t="shared" si="0"/>
        <v>5.2973977695167283E-2</v>
      </c>
      <c r="G58" s="27">
        <f t="shared" si="3"/>
        <v>16085.641646000004</v>
      </c>
    </row>
    <row r="59" spans="1:7" ht="13.8" x14ac:dyDescent="0.25">
      <c r="A59" s="22">
        <v>44.409500000000001</v>
      </c>
      <c r="B59" s="14">
        <v>43525</v>
      </c>
      <c r="C59" s="12">
        <f t="shared" si="1"/>
        <v>45.124986388888892</v>
      </c>
      <c r="D59" s="25">
        <f t="shared" si="2"/>
        <v>58</v>
      </c>
      <c r="E59" s="12">
        <v>81.633248944444446</v>
      </c>
      <c r="F59" s="15">
        <f t="shared" si="0"/>
        <v>5.3903345724907063E-2</v>
      </c>
      <c r="G59" s="28">
        <f t="shared" si="3"/>
        <v>16016.443442900001</v>
      </c>
    </row>
    <row r="60" spans="1:7" ht="13.8" x14ac:dyDescent="0.25">
      <c r="A60" s="21">
        <v>27.475000000000001</v>
      </c>
      <c r="B60" s="11">
        <v>43497</v>
      </c>
      <c r="C60" s="12">
        <f t="shared" si="1"/>
        <v>27.917652777777782</v>
      </c>
      <c r="D60" s="24">
        <f t="shared" si="2"/>
        <v>59</v>
      </c>
      <c r="E60" s="12">
        <v>81.06717344444445</v>
      </c>
      <c r="F60" s="12">
        <f t="shared" si="0"/>
        <v>5.4832713754646843E-2</v>
      </c>
      <c r="G60" s="27">
        <f t="shared" si="3"/>
        <v>15905.379429799999</v>
      </c>
    </row>
    <row r="61" spans="1:7" ht="13.8" x14ac:dyDescent="0.25">
      <c r="A61" s="22">
        <v>24.455400000000001</v>
      </c>
      <c r="B61" s="14">
        <v>43466</v>
      </c>
      <c r="C61" s="12">
        <f t="shared" si="1"/>
        <v>24.849403666666671</v>
      </c>
      <c r="D61" s="25">
        <f t="shared" si="2"/>
        <v>60</v>
      </c>
      <c r="E61" s="12">
        <v>80.860801277777782</v>
      </c>
      <c r="F61" s="15">
        <f t="shared" si="0"/>
        <v>5.5762081784386616E-2</v>
      </c>
      <c r="G61" s="28">
        <f t="shared" si="3"/>
        <v>15864.889210699999</v>
      </c>
    </row>
    <row r="62" spans="1:7" ht="13.8" x14ac:dyDescent="0.25">
      <c r="A62" s="21">
        <v>34.250999999999998</v>
      </c>
      <c r="B62" s="11">
        <v>43435</v>
      </c>
      <c r="C62" s="12">
        <f t="shared" si="1"/>
        <v>34.802821666666667</v>
      </c>
      <c r="D62" s="24">
        <f t="shared" si="2"/>
        <v>61</v>
      </c>
      <c r="E62" s="12">
        <v>80.84119033333333</v>
      </c>
      <c r="F62" s="12">
        <f t="shared" si="0"/>
        <v>5.6691449814126396E-2</v>
      </c>
      <c r="G62" s="27">
        <f t="shared" si="3"/>
        <v>15861.041543400001</v>
      </c>
    </row>
    <row r="63" spans="1:7" ht="13.8" x14ac:dyDescent="0.25">
      <c r="A63" s="22">
        <v>22.758199999999999</v>
      </c>
      <c r="B63" s="14">
        <v>43405</v>
      </c>
      <c r="C63" s="12">
        <f t="shared" si="1"/>
        <v>23.124859888888889</v>
      </c>
      <c r="D63" s="25">
        <f t="shared" si="2"/>
        <v>62</v>
      </c>
      <c r="E63" s="12">
        <v>80.645284111111124</v>
      </c>
      <c r="F63" s="15">
        <f t="shared" si="0"/>
        <v>5.7620817843866169E-2</v>
      </c>
      <c r="G63" s="28">
        <f t="shared" si="3"/>
        <v>15822.604742600004</v>
      </c>
    </row>
    <row r="64" spans="1:7" ht="13.8" x14ac:dyDescent="0.25">
      <c r="A64" s="21">
        <v>12.424300000000001</v>
      </c>
      <c r="B64" s="11">
        <v>43374</v>
      </c>
      <c r="C64" s="12">
        <f t="shared" si="1"/>
        <v>12.624469277777779</v>
      </c>
      <c r="D64" s="24">
        <f t="shared" si="2"/>
        <v>63</v>
      </c>
      <c r="E64" s="15">
        <v>79.329217</v>
      </c>
      <c r="F64" s="12">
        <f t="shared" si="0"/>
        <v>5.8550185873605949E-2</v>
      </c>
      <c r="G64" s="27">
        <f t="shared" si="3"/>
        <v>15564.392375400001</v>
      </c>
    </row>
    <row r="65" spans="1:7" ht="13.8" x14ac:dyDescent="0.25">
      <c r="A65" s="22">
        <v>7.3440000000000003</v>
      </c>
      <c r="B65" s="14">
        <v>43344</v>
      </c>
      <c r="C65" s="12">
        <f t="shared" si="1"/>
        <v>7.462320000000001</v>
      </c>
      <c r="D65" s="25">
        <f t="shared" si="2"/>
        <v>64</v>
      </c>
      <c r="E65" s="12">
        <v>78.837825666666674</v>
      </c>
      <c r="F65" s="15">
        <f t="shared" si="0"/>
        <v>5.9479553903345722E-2</v>
      </c>
      <c r="G65" s="28">
        <f t="shared" si="3"/>
        <v>15467.981395800001</v>
      </c>
    </row>
    <row r="66" spans="1:7" ht="13.8" x14ac:dyDescent="0.25">
      <c r="A66" s="21">
        <v>8.3917999999999999</v>
      </c>
      <c r="B66" s="11">
        <v>43313</v>
      </c>
      <c r="C66" s="12">
        <f t="shared" si="1"/>
        <v>8.5270012222222231</v>
      </c>
      <c r="D66" s="24">
        <f t="shared" si="2"/>
        <v>65</v>
      </c>
      <c r="E66" s="15">
        <v>78.611232888888892</v>
      </c>
      <c r="F66" s="12">
        <f t="shared" ref="F66:F129" si="4">D66/1076</f>
        <v>6.0408921933085502E-2</v>
      </c>
      <c r="G66" s="27">
        <f t="shared" ref="G66:G129" si="5">1000*E66*$J$2*9.81/1000</f>
        <v>15423.523892800002</v>
      </c>
    </row>
    <row r="67" spans="1:7" ht="13.8" x14ac:dyDescent="0.25">
      <c r="A67" s="22">
        <v>6.1738</v>
      </c>
      <c r="B67" s="14">
        <v>43282</v>
      </c>
      <c r="C67" s="12">
        <f t="shared" ref="C67:C130" si="6">A67*($I$2/$H$2)</f>
        <v>6.2732667777777786</v>
      </c>
      <c r="D67" s="25">
        <f t="shared" ref="D67:D130" si="7">D66+1</f>
        <v>66</v>
      </c>
      <c r="E67" s="15">
        <v>78.373767722222226</v>
      </c>
      <c r="F67" s="15">
        <f t="shared" si="4"/>
        <v>6.1338289962825282E-2</v>
      </c>
      <c r="G67" s="28">
        <f t="shared" si="5"/>
        <v>15376.933227100004</v>
      </c>
    </row>
    <row r="68" spans="1:7" ht="13.8" x14ac:dyDescent="0.25">
      <c r="A68" s="21">
        <v>7.8547000000000002</v>
      </c>
      <c r="B68" s="11">
        <v>43252</v>
      </c>
      <c r="C68" s="12">
        <f t="shared" si="6"/>
        <v>7.9812479444444451</v>
      </c>
      <c r="D68" s="24">
        <f t="shared" si="7"/>
        <v>67</v>
      </c>
      <c r="E68" s="12">
        <v>77.673260722222224</v>
      </c>
      <c r="F68" s="12">
        <f t="shared" si="4"/>
        <v>6.2267657992565055E-2</v>
      </c>
      <c r="G68" s="27">
        <f t="shared" si="5"/>
        <v>15239.493753700001</v>
      </c>
    </row>
    <row r="69" spans="1:7" ht="13.8" x14ac:dyDescent="0.25">
      <c r="A69" s="22">
        <v>8.4657</v>
      </c>
      <c r="B69" s="14">
        <v>43221</v>
      </c>
      <c r="C69" s="12">
        <f t="shared" si="6"/>
        <v>8.6020918333333345</v>
      </c>
      <c r="D69" s="25">
        <f t="shared" si="7"/>
        <v>68</v>
      </c>
      <c r="E69" s="15">
        <v>77.162868111111123</v>
      </c>
      <c r="F69" s="15">
        <f t="shared" si="4"/>
        <v>6.3197026022304828E-2</v>
      </c>
      <c r="G69" s="28">
        <f t="shared" si="5"/>
        <v>15139.354723400002</v>
      </c>
    </row>
    <row r="70" spans="1:7" ht="13.8" x14ac:dyDescent="0.25">
      <c r="A70" s="21">
        <v>11.2158</v>
      </c>
      <c r="B70" s="11">
        <v>43191</v>
      </c>
      <c r="C70" s="12">
        <f t="shared" si="6"/>
        <v>11.396499</v>
      </c>
      <c r="D70" s="24">
        <f t="shared" si="7"/>
        <v>69</v>
      </c>
      <c r="E70" s="15">
        <v>76.480244666666678</v>
      </c>
      <c r="F70" s="12">
        <f t="shared" si="4"/>
        <v>6.4126394052044608E-2</v>
      </c>
      <c r="G70" s="27">
        <f t="shared" si="5"/>
        <v>15005.424003600003</v>
      </c>
    </row>
    <row r="71" spans="1:7" ht="13.8" x14ac:dyDescent="0.25">
      <c r="A71" s="22">
        <v>20.888000000000002</v>
      </c>
      <c r="B71" s="14">
        <v>43160</v>
      </c>
      <c r="C71" s="12">
        <f t="shared" si="6"/>
        <v>21.224528888888891</v>
      </c>
      <c r="D71" s="25">
        <f t="shared" si="7"/>
        <v>70</v>
      </c>
      <c r="E71" s="15">
        <v>76.346118000000004</v>
      </c>
      <c r="F71" s="15">
        <f t="shared" si="4"/>
        <v>6.5055762081784388E-2</v>
      </c>
      <c r="G71" s="28">
        <f t="shared" si="5"/>
        <v>14979.108351600002</v>
      </c>
    </row>
    <row r="72" spans="1:7" ht="13.8" x14ac:dyDescent="0.25">
      <c r="A72" s="21">
        <v>20.209700000000002</v>
      </c>
      <c r="B72" s="11">
        <v>43132</v>
      </c>
      <c r="C72" s="12">
        <f t="shared" si="6"/>
        <v>20.535300722222225</v>
      </c>
      <c r="D72" s="24">
        <f t="shared" si="7"/>
        <v>71</v>
      </c>
      <c r="E72" s="15">
        <v>76.205081777777778</v>
      </c>
      <c r="F72" s="12">
        <f t="shared" si="4"/>
        <v>6.5985130111524168E-2</v>
      </c>
      <c r="G72" s="27">
        <f t="shared" si="5"/>
        <v>14951.437044800001</v>
      </c>
    </row>
    <row r="73" spans="1:7" ht="13.8" x14ac:dyDescent="0.25">
      <c r="A73" s="22">
        <v>33.616500000000002</v>
      </c>
      <c r="B73" s="14">
        <v>43101</v>
      </c>
      <c r="C73" s="12">
        <f t="shared" si="6"/>
        <v>34.158099166666673</v>
      </c>
      <c r="D73" s="25">
        <f t="shared" si="7"/>
        <v>72</v>
      </c>
      <c r="E73" s="15">
        <v>75.680463611111122</v>
      </c>
      <c r="F73" s="15">
        <f t="shared" si="4"/>
        <v>6.6914498141263934E-2</v>
      </c>
      <c r="G73" s="28">
        <f t="shared" si="5"/>
        <v>14848.506960500003</v>
      </c>
    </row>
    <row r="74" spans="1:7" ht="13.8" x14ac:dyDescent="0.25">
      <c r="A74" s="21">
        <v>14.77</v>
      </c>
      <c r="B74" s="11">
        <v>43070</v>
      </c>
      <c r="C74" s="12">
        <f t="shared" si="6"/>
        <v>15.007961111111111</v>
      </c>
      <c r="D74" s="24">
        <f t="shared" si="7"/>
        <v>73</v>
      </c>
      <c r="E74" s="12">
        <v>75.61949694444445</v>
      </c>
      <c r="F74" s="12">
        <f t="shared" si="4"/>
        <v>6.7843866171003714E-2</v>
      </c>
      <c r="G74" s="27">
        <f t="shared" si="5"/>
        <v>14836.5453005</v>
      </c>
    </row>
    <row r="75" spans="1:7" ht="13.8" x14ac:dyDescent="0.25">
      <c r="A75" s="22">
        <v>14.2004</v>
      </c>
      <c r="B75" s="14">
        <v>43040</v>
      </c>
      <c r="C75" s="12">
        <f t="shared" si="6"/>
        <v>14.429184222222224</v>
      </c>
      <c r="D75" s="25">
        <f t="shared" si="7"/>
        <v>74</v>
      </c>
      <c r="E75" s="12">
        <v>75.554567444444444</v>
      </c>
      <c r="F75" s="15">
        <f t="shared" si="4"/>
        <v>6.8773234200743494E-2</v>
      </c>
      <c r="G75" s="28">
        <f t="shared" si="5"/>
        <v>14823.806132600002</v>
      </c>
    </row>
    <row r="76" spans="1:7" ht="13.8" x14ac:dyDescent="0.25">
      <c r="A76" s="21">
        <v>11.092599999999999</v>
      </c>
      <c r="B76" s="11">
        <v>43009</v>
      </c>
      <c r="C76" s="12">
        <f t="shared" si="6"/>
        <v>11.271314111111112</v>
      </c>
      <c r="D76" s="24">
        <f t="shared" si="7"/>
        <v>75</v>
      </c>
      <c r="E76" s="15">
        <v>74.887998555555555</v>
      </c>
      <c r="F76" s="12">
        <f t="shared" si="4"/>
        <v>6.9702602230483274E-2</v>
      </c>
      <c r="G76" s="27">
        <f t="shared" si="5"/>
        <v>14693.025316600002</v>
      </c>
    </row>
    <row r="77" spans="1:7" ht="13.8" x14ac:dyDescent="0.25">
      <c r="A77" s="22">
        <v>6.9598000000000004</v>
      </c>
      <c r="B77" s="14">
        <v>42979</v>
      </c>
      <c r="C77" s="12">
        <f t="shared" si="6"/>
        <v>7.0719301111111124</v>
      </c>
      <c r="D77" s="25">
        <f t="shared" si="7"/>
        <v>76</v>
      </c>
      <c r="E77" s="15">
        <v>74.668315333333339</v>
      </c>
      <c r="F77" s="15">
        <f t="shared" si="4"/>
        <v>7.0631970260223054E-2</v>
      </c>
      <c r="G77" s="28">
        <f t="shared" si="5"/>
        <v>14649.9234684</v>
      </c>
    </row>
    <row r="78" spans="1:7" ht="13.8" x14ac:dyDescent="0.25">
      <c r="A78" s="21">
        <v>8.8260000000000005</v>
      </c>
      <c r="B78" s="11">
        <v>42948</v>
      </c>
      <c r="C78" s="12">
        <f t="shared" si="6"/>
        <v>8.9681966666666675</v>
      </c>
      <c r="D78" s="24">
        <f t="shared" si="7"/>
        <v>77</v>
      </c>
      <c r="E78" s="12">
        <v>74.487041111111111</v>
      </c>
      <c r="F78" s="12">
        <f t="shared" si="4"/>
        <v>7.156133828996282E-2</v>
      </c>
      <c r="G78" s="27">
        <f t="shared" si="5"/>
        <v>14614.357466000001</v>
      </c>
    </row>
    <row r="79" spans="1:7" ht="13.8" x14ac:dyDescent="0.25">
      <c r="A79" s="22">
        <v>9.9533000000000005</v>
      </c>
      <c r="B79" s="14">
        <v>42917</v>
      </c>
      <c r="C79" s="12">
        <f t="shared" si="6"/>
        <v>10.113658722222224</v>
      </c>
      <c r="D79" s="25">
        <f t="shared" si="7"/>
        <v>78</v>
      </c>
      <c r="E79" s="15">
        <v>74.432577555555554</v>
      </c>
      <c r="F79" s="15">
        <f t="shared" si="4"/>
        <v>7.24907063197026E-2</v>
      </c>
      <c r="G79" s="28">
        <f t="shared" si="5"/>
        <v>14603.671716400002</v>
      </c>
    </row>
    <row r="80" spans="1:7" ht="13.8" x14ac:dyDescent="0.25">
      <c r="A80" s="21">
        <v>12.4293</v>
      </c>
      <c r="B80" s="11">
        <v>42887</v>
      </c>
      <c r="C80" s="12">
        <f t="shared" si="6"/>
        <v>12.629549833333334</v>
      </c>
      <c r="D80" s="24">
        <f t="shared" si="7"/>
        <v>79</v>
      </c>
      <c r="E80" s="15">
        <v>74.381873611111118</v>
      </c>
      <c r="F80" s="12">
        <f t="shared" si="4"/>
        <v>7.342007434944238E-2</v>
      </c>
      <c r="G80" s="27">
        <f t="shared" si="5"/>
        <v>14593.723602500002</v>
      </c>
    </row>
    <row r="81" spans="1:7" ht="13.8" x14ac:dyDescent="0.25">
      <c r="A81" s="22">
        <v>15.3596</v>
      </c>
      <c r="B81" s="14">
        <v>42856</v>
      </c>
      <c r="C81" s="12">
        <f t="shared" si="6"/>
        <v>15.607060222222223</v>
      </c>
      <c r="D81" s="25">
        <f t="shared" si="7"/>
        <v>80</v>
      </c>
      <c r="E81" s="12">
        <v>74.338384055555565</v>
      </c>
      <c r="F81" s="15">
        <f t="shared" si="4"/>
        <v>7.434944237918216E-2</v>
      </c>
      <c r="G81" s="28">
        <f t="shared" si="5"/>
        <v>14585.190951700002</v>
      </c>
    </row>
    <row r="82" spans="1:7" ht="13.8" x14ac:dyDescent="0.25">
      <c r="A82" s="21">
        <v>15.421799999999999</v>
      </c>
      <c r="B82" s="11">
        <v>42826</v>
      </c>
      <c r="C82" s="12">
        <f t="shared" si="6"/>
        <v>15.670262333333334</v>
      </c>
      <c r="D82" s="24">
        <f t="shared" si="7"/>
        <v>81</v>
      </c>
      <c r="E82" s="15">
        <v>74.290626833333349</v>
      </c>
      <c r="F82" s="12">
        <f t="shared" si="4"/>
        <v>7.527881040892194E-2</v>
      </c>
      <c r="G82" s="27">
        <f t="shared" si="5"/>
        <v>14575.820984700002</v>
      </c>
    </row>
    <row r="83" spans="1:7" ht="13.8" x14ac:dyDescent="0.25">
      <c r="A83" s="22">
        <v>20.495799999999999</v>
      </c>
      <c r="B83" s="14">
        <v>42795</v>
      </c>
      <c r="C83" s="12">
        <f t="shared" si="6"/>
        <v>20.826010111111113</v>
      </c>
      <c r="D83" s="25">
        <f t="shared" si="7"/>
        <v>82</v>
      </c>
      <c r="E83" s="12">
        <v>74.225697333333343</v>
      </c>
      <c r="F83" s="15">
        <f t="shared" si="4"/>
        <v>7.6208178438661706E-2</v>
      </c>
      <c r="G83" s="28">
        <f t="shared" si="5"/>
        <v>14563.081816800002</v>
      </c>
    </row>
    <row r="84" spans="1:7" ht="13.8" x14ac:dyDescent="0.25">
      <c r="A84" s="21">
        <v>22.55</v>
      </c>
      <c r="B84" s="11">
        <v>42767</v>
      </c>
      <c r="C84" s="12">
        <f t="shared" si="6"/>
        <v>22.913305555555556</v>
      </c>
      <c r="D84" s="24">
        <f t="shared" si="7"/>
        <v>83</v>
      </c>
      <c r="E84" s="12">
        <v>73.977563000000004</v>
      </c>
      <c r="F84" s="12">
        <f t="shared" si="4"/>
        <v>7.7137546468401486E-2</v>
      </c>
      <c r="G84" s="27">
        <f t="shared" si="5"/>
        <v>14514.397860600004</v>
      </c>
    </row>
    <row r="85" spans="1:7" ht="13.8" x14ac:dyDescent="0.25">
      <c r="A85" s="22">
        <v>37.9</v>
      </c>
      <c r="B85" s="14">
        <v>42736</v>
      </c>
      <c r="C85" s="12">
        <f t="shared" si="6"/>
        <v>38.51061111111111</v>
      </c>
      <c r="D85" s="25">
        <f t="shared" si="7"/>
        <v>84</v>
      </c>
      <c r="E85" s="15">
        <v>73.272889944444444</v>
      </c>
      <c r="F85" s="15">
        <f t="shared" si="4"/>
        <v>7.8066914498141265E-2</v>
      </c>
      <c r="G85" s="28">
        <f t="shared" si="5"/>
        <v>14376.141007099999</v>
      </c>
    </row>
    <row r="86" spans="1:7" ht="13.8" x14ac:dyDescent="0.25">
      <c r="A86" s="21">
        <v>27.94</v>
      </c>
      <c r="B86" s="11">
        <v>42705</v>
      </c>
      <c r="C86" s="12">
        <f t="shared" si="6"/>
        <v>28.390144444444449</v>
      </c>
      <c r="D86" s="24">
        <f t="shared" si="7"/>
        <v>85</v>
      </c>
      <c r="E86" s="12">
        <v>72.575837722222232</v>
      </c>
      <c r="F86" s="12">
        <f t="shared" si="4"/>
        <v>7.8996282527881045E-2</v>
      </c>
      <c r="G86" s="27">
        <f t="shared" si="5"/>
        <v>14239.379361100002</v>
      </c>
    </row>
    <row r="87" spans="1:7" ht="13.8" x14ac:dyDescent="0.25">
      <c r="A87" s="22">
        <v>25.8111</v>
      </c>
      <c r="B87" s="14">
        <v>42675</v>
      </c>
      <c r="C87" s="12">
        <f t="shared" si="6"/>
        <v>26.226945500000003</v>
      </c>
      <c r="D87" s="25">
        <f t="shared" si="7"/>
        <v>86</v>
      </c>
      <c r="E87" s="12">
        <v>72.445673888888891</v>
      </c>
      <c r="F87" s="15">
        <f t="shared" si="4"/>
        <v>7.9925650557620811E-2</v>
      </c>
      <c r="G87" s="28">
        <f t="shared" si="5"/>
        <v>14213.841217000003</v>
      </c>
    </row>
    <row r="88" spans="1:7" ht="13.8" x14ac:dyDescent="0.25">
      <c r="A88" s="21">
        <v>14.6739</v>
      </c>
      <c r="B88" s="11">
        <v>42644</v>
      </c>
      <c r="C88" s="12">
        <f t="shared" si="6"/>
        <v>14.910312833333334</v>
      </c>
      <c r="D88" s="24">
        <f t="shared" si="7"/>
        <v>87</v>
      </c>
      <c r="E88" s="15">
        <v>72.051016333333351</v>
      </c>
      <c r="F88" s="12">
        <f t="shared" si="4"/>
        <v>8.0855018587360591E-2</v>
      </c>
      <c r="G88" s="27">
        <f t="shared" si="5"/>
        <v>14136.409404600005</v>
      </c>
    </row>
    <row r="89" spans="1:7" ht="13.8" x14ac:dyDescent="0.25">
      <c r="A89" s="22">
        <v>9.5877999999999997</v>
      </c>
      <c r="B89" s="14">
        <v>42614</v>
      </c>
      <c r="C89" s="12">
        <f t="shared" si="6"/>
        <v>9.742270111111111</v>
      </c>
      <c r="D89" s="25">
        <f t="shared" si="7"/>
        <v>88</v>
      </c>
      <c r="E89" s="12">
        <v>71.312303555555559</v>
      </c>
      <c r="F89" s="15">
        <f t="shared" si="4"/>
        <v>8.1784386617100371E-2</v>
      </c>
      <c r="G89" s="28">
        <f t="shared" si="5"/>
        <v>13991.473957599999</v>
      </c>
    </row>
    <row r="90" spans="1:7" ht="13.8" x14ac:dyDescent="0.25">
      <c r="A90" s="21">
        <v>11.205299999999999</v>
      </c>
      <c r="B90" s="11">
        <v>42583</v>
      </c>
      <c r="C90" s="12">
        <f t="shared" si="6"/>
        <v>11.385829833333334</v>
      </c>
      <c r="D90" s="24">
        <f t="shared" si="7"/>
        <v>89</v>
      </c>
      <c r="E90" s="12">
        <v>71.154196666666664</v>
      </c>
      <c r="F90" s="12">
        <f t="shared" si="4"/>
        <v>8.2713754646840151E-2</v>
      </c>
      <c r="G90" s="27">
        <f t="shared" si="5"/>
        <v>13960.453385999999</v>
      </c>
    </row>
    <row r="91" spans="1:7" ht="13.8" x14ac:dyDescent="0.25">
      <c r="A91" s="22">
        <v>12.404500000000001</v>
      </c>
      <c r="B91" s="14">
        <v>42552</v>
      </c>
      <c r="C91" s="12">
        <f t="shared" si="6"/>
        <v>12.60435027777778</v>
      </c>
      <c r="D91" s="25">
        <f t="shared" si="7"/>
        <v>90</v>
      </c>
      <c r="E91" s="12">
        <v>70.601127388888898</v>
      </c>
      <c r="F91" s="15">
        <f t="shared" si="4"/>
        <v>8.3643122676579931E-2</v>
      </c>
      <c r="G91" s="28">
        <f t="shared" si="5"/>
        <v>13851.941193700002</v>
      </c>
    </row>
    <row r="92" spans="1:7" ht="13.8" x14ac:dyDescent="0.25">
      <c r="A92" s="21">
        <v>18.769600000000001</v>
      </c>
      <c r="B92" s="11">
        <v>42522</v>
      </c>
      <c r="C92" s="12">
        <f t="shared" si="6"/>
        <v>19.071999111111111</v>
      </c>
      <c r="D92" s="24">
        <f t="shared" si="7"/>
        <v>91</v>
      </c>
      <c r="E92" s="12">
        <v>70.507340333333332</v>
      </c>
      <c r="F92" s="12">
        <f t="shared" si="4"/>
        <v>8.4572490706319697E-2</v>
      </c>
      <c r="G92" s="27">
        <f t="shared" si="5"/>
        <v>13833.540173400001</v>
      </c>
    </row>
    <row r="93" spans="1:7" ht="13.8" x14ac:dyDescent="0.25">
      <c r="A93" s="22">
        <v>15.280900000000001</v>
      </c>
      <c r="B93" s="14">
        <v>42491</v>
      </c>
      <c r="C93" s="12">
        <f t="shared" si="6"/>
        <v>15.527092277777779</v>
      </c>
      <c r="D93" s="25">
        <f t="shared" si="7"/>
        <v>92</v>
      </c>
      <c r="E93" s="12">
        <v>69.932221444444451</v>
      </c>
      <c r="F93" s="15">
        <f t="shared" si="4"/>
        <v>8.5501858736059477E-2</v>
      </c>
      <c r="G93" s="28">
        <f t="shared" si="5"/>
        <v>13720.701847400001</v>
      </c>
    </row>
    <row r="94" spans="1:7" ht="13.8" x14ac:dyDescent="0.25">
      <c r="A94" s="21">
        <v>19.497399999999999</v>
      </c>
      <c r="B94" s="11">
        <v>42461</v>
      </c>
      <c r="C94" s="12">
        <f t="shared" si="6"/>
        <v>19.811524777777777</v>
      </c>
      <c r="D94" s="24">
        <f t="shared" si="7"/>
        <v>93</v>
      </c>
      <c r="E94" s="15">
        <v>69.74861016666668</v>
      </c>
      <c r="F94" s="12">
        <f t="shared" si="4"/>
        <v>8.6431226765799257E-2</v>
      </c>
      <c r="G94" s="27">
        <f t="shared" si="5"/>
        <v>13684.677314700004</v>
      </c>
    </row>
    <row r="95" spans="1:7" ht="13.8" x14ac:dyDescent="0.25">
      <c r="A95" s="22">
        <v>33.822200000000002</v>
      </c>
      <c r="B95" s="14">
        <v>42430</v>
      </c>
      <c r="C95" s="12">
        <f t="shared" si="6"/>
        <v>34.36711322222223</v>
      </c>
      <c r="D95" s="25">
        <f t="shared" si="7"/>
        <v>94</v>
      </c>
      <c r="E95" s="12">
        <v>69.300708388888893</v>
      </c>
      <c r="F95" s="15">
        <f t="shared" si="4"/>
        <v>8.7360594795539037E-2</v>
      </c>
      <c r="G95" s="28">
        <f t="shared" si="5"/>
        <v>13596.798985899999</v>
      </c>
    </row>
    <row r="96" spans="1:7" ht="13.8" x14ac:dyDescent="0.25">
      <c r="A96" s="21">
        <v>37.327399999999997</v>
      </c>
      <c r="B96" s="11">
        <v>42401</v>
      </c>
      <c r="C96" s="12">
        <f t="shared" si="6"/>
        <v>37.928785888888889</v>
      </c>
      <c r="D96" s="24">
        <f t="shared" si="7"/>
        <v>95</v>
      </c>
      <c r="E96" s="12">
        <v>69.20173916666667</v>
      </c>
      <c r="F96" s="12">
        <f t="shared" si="4"/>
        <v>8.8289962825278817E-2</v>
      </c>
      <c r="G96" s="27">
        <f t="shared" si="5"/>
        <v>13577.381224499999</v>
      </c>
    </row>
    <row r="97" spans="1:7" ht="13.8" x14ac:dyDescent="0.25">
      <c r="A97" s="22">
        <v>58.195500000000003</v>
      </c>
      <c r="B97" s="14">
        <v>42370</v>
      </c>
      <c r="C97" s="12">
        <f t="shared" si="6"/>
        <v>59.133094166666673</v>
      </c>
      <c r="D97" s="25">
        <f t="shared" si="7"/>
        <v>96</v>
      </c>
      <c r="E97" s="12">
        <v>69.006239388888886</v>
      </c>
      <c r="F97" s="15">
        <f t="shared" si="4"/>
        <v>8.9219330855018583E-2</v>
      </c>
      <c r="G97" s="28">
        <f t="shared" si="5"/>
        <v>13539.024168100001</v>
      </c>
    </row>
    <row r="98" spans="1:7" ht="13.8" x14ac:dyDescent="0.25">
      <c r="A98" s="21">
        <v>33.006999999999998</v>
      </c>
      <c r="B98" s="11">
        <v>42339</v>
      </c>
      <c r="C98" s="12">
        <f t="shared" si="6"/>
        <v>33.538779444444444</v>
      </c>
      <c r="D98" s="24">
        <f t="shared" si="7"/>
        <v>97</v>
      </c>
      <c r="E98" s="12">
        <v>68.890605944444445</v>
      </c>
      <c r="F98" s="12">
        <f t="shared" si="4"/>
        <v>9.0148698884758363E-2</v>
      </c>
      <c r="G98" s="27">
        <f t="shared" si="5"/>
        <v>13516.3368863</v>
      </c>
    </row>
    <row r="99" spans="1:7" ht="13.8" x14ac:dyDescent="0.25">
      <c r="A99" s="22">
        <v>24.524000000000001</v>
      </c>
      <c r="B99" s="14">
        <v>42309</v>
      </c>
      <c r="C99" s="12">
        <f t="shared" si="6"/>
        <v>24.919108888888893</v>
      </c>
      <c r="D99" s="25">
        <f t="shared" si="7"/>
        <v>98</v>
      </c>
      <c r="E99" s="15">
        <v>68.79570116666666</v>
      </c>
      <c r="F99" s="15">
        <f t="shared" si="4"/>
        <v>9.1078066914498143E-2</v>
      </c>
      <c r="G99" s="28">
        <f t="shared" si="5"/>
        <v>13497.716568900003</v>
      </c>
    </row>
    <row r="100" spans="1:7" ht="13.8" x14ac:dyDescent="0.25">
      <c r="A100" s="21">
        <v>6.7336999999999998</v>
      </c>
      <c r="B100" s="11">
        <v>42278</v>
      </c>
      <c r="C100" s="12">
        <f t="shared" si="6"/>
        <v>6.8421873888888891</v>
      </c>
      <c r="D100" s="24">
        <f t="shared" si="7"/>
        <v>99</v>
      </c>
      <c r="E100" s="15">
        <v>68.728231388888886</v>
      </c>
      <c r="F100" s="12">
        <f t="shared" si="4"/>
        <v>9.2007434944237923E-2</v>
      </c>
      <c r="G100" s="27">
        <f t="shared" si="5"/>
        <v>13484.478998500001</v>
      </c>
    </row>
    <row r="101" spans="1:7" ht="13.8" x14ac:dyDescent="0.25">
      <c r="A101" s="22">
        <v>11.097200000000001</v>
      </c>
      <c r="B101" s="14">
        <v>42248</v>
      </c>
      <c r="C101" s="12">
        <f t="shared" si="6"/>
        <v>11.275988222222225</v>
      </c>
      <c r="D101" s="25">
        <f t="shared" si="7"/>
        <v>100</v>
      </c>
      <c r="E101" s="15">
        <v>68.583130722222222</v>
      </c>
      <c r="F101" s="15">
        <f t="shared" si="4"/>
        <v>9.2936802973977689E-2</v>
      </c>
      <c r="G101" s="28">
        <f t="shared" si="5"/>
        <v>13456.0102477</v>
      </c>
    </row>
    <row r="102" spans="1:7" ht="13.8" x14ac:dyDescent="0.25">
      <c r="A102" s="21">
        <v>7.0179</v>
      </c>
      <c r="B102" s="11">
        <v>42217</v>
      </c>
      <c r="C102" s="12">
        <f t="shared" si="6"/>
        <v>7.130966166666667</v>
      </c>
      <c r="D102" s="24">
        <f t="shared" si="7"/>
        <v>101</v>
      </c>
      <c r="E102" s="12">
        <v>68.454897500000001</v>
      </c>
      <c r="F102" s="12">
        <f t="shared" si="4"/>
        <v>9.3866171003717469E-2</v>
      </c>
      <c r="G102" s="27">
        <f t="shared" si="5"/>
        <v>13430.850889500003</v>
      </c>
    </row>
    <row r="103" spans="1:7" ht="13.8" x14ac:dyDescent="0.25">
      <c r="A103" s="22">
        <v>8.4612999999999996</v>
      </c>
      <c r="B103" s="14">
        <v>42186</v>
      </c>
      <c r="C103" s="12">
        <f t="shared" si="6"/>
        <v>8.5976209444444454</v>
      </c>
      <c r="D103" s="25">
        <f t="shared" si="7"/>
        <v>102</v>
      </c>
      <c r="E103" s="15">
        <v>68.424922222222236</v>
      </c>
      <c r="F103" s="15">
        <f t="shared" si="4"/>
        <v>9.4795539033457249E-2</v>
      </c>
      <c r="G103" s="28">
        <f t="shared" si="5"/>
        <v>13424.969740000002</v>
      </c>
    </row>
    <row r="104" spans="1:7" ht="13.8" x14ac:dyDescent="0.25">
      <c r="A104" s="21">
        <v>10.272500000000001</v>
      </c>
      <c r="B104" s="11">
        <v>42156</v>
      </c>
      <c r="C104" s="12">
        <f t="shared" si="6"/>
        <v>10.438001388888891</v>
      </c>
      <c r="D104" s="24">
        <f t="shared" si="7"/>
        <v>103</v>
      </c>
      <c r="E104" s="15">
        <v>68.250659166666665</v>
      </c>
      <c r="F104" s="12">
        <f t="shared" si="4"/>
        <v>9.5724907063197029E-2</v>
      </c>
      <c r="G104" s="27">
        <f t="shared" si="5"/>
        <v>13390.779328500001</v>
      </c>
    </row>
    <row r="105" spans="1:7" ht="13.8" x14ac:dyDescent="0.25">
      <c r="A105" s="22">
        <v>12.792199999999999</v>
      </c>
      <c r="B105" s="14">
        <v>42125</v>
      </c>
      <c r="C105" s="12">
        <f t="shared" si="6"/>
        <v>12.998296555555555</v>
      </c>
      <c r="D105" s="25">
        <f t="shared" si="7"/>
        <v>104</v>
      </c>
      <c r="E105" s="12">
        <v>68.156567277777782</v>
      </c>
      <c r="F105" s="15">
        <f t="shared" si="4"/>
        <v>9.6654275092936809E-2</v>
      </c>
      <c r="G105" s="28">
        <f t="shared" si="5"/>
        <v>13372.3184999</v>
      </c>
    </row>
    <row r="106" spans="1:7" ht="13.8" x14ac:dyDescent="0.25">
      <c r="A106" s="21">
        <v>16.830400000000001</v>
      </c>
      <c r="B106" s="11">
        <v>42095</v>
      </c>
      <c r="C106" s="12">
        <f t="shared" si="6"/>
        <v>17.101556444444448</v>
      </c>
      <c r="D106" s="24">
        <f t="shared" si="7"/>
        <v>105</v>
      </c>
      <c r="E106" s="15">
        <v>68.133501555555569</v>
      </c>
      <c r="F106" s="12">
        <f t="shared" si="4"/>
        <v>9.7583643122676575E-2</v>
      </c>
      <c r="G106" s="27">
        <f t="shared" si="5"/>
        <v>13367.793005200005</v>
      </c>
    </row>
    <row r="107" spans="1:7" ht="13.8" x14ac:dyDescent="0.25">
      <c r="A107" s="22">
        <v>24.661200000000001</v>
      </c>
      <c r="B107" s="14">
        <v>42064</v>
      </c>
      <c r="C107" s="12">
        <f t="shared" si="6"/>
        <v>25.058519333333336</v>
      </c>
      <c r="D107" s="25">
        <f t="shared" si="7"/>
        <v>106</v>
      </c>
      <c r="E107" s="15">
        <v>67.450878111111109</v>
      </c>
      <c r="F107" s="15">
        <f t="shared" si="4"/>
        <v>9.8513011152416355E-2</v>
      </c>
      <c r="G107" s="28">
        <f t="shared" si="5"/>
        <v>13233.862285399999</v>
      </c>
    </row>
    <row r="108" spans="1:7" ht="13.8" x14ac:dyDescent="0.25">
      <c r="A108" s="21">
        <v>19.479199999999999</v>
      </c>
      <c r="B108" s="11">
        <v>42036</v>
      </c>
      <c r="C108" s="12">
        <f t="shared" si="6"/>
        <v>19.793031555555554</v>
      </c>
      <c r="D108" s="24">
        <f t="shared" si="7"/>
        <v>107</v>
      </c>
      <c r="E108" s="15">
        <v>67.422223777777788</v>
      </c>
      <c r="F108" s="12">
        <f t="shared" si="4"/>
        <v>9.9442379182156135E-2</v>
      </c>
      <c r="G108" s="27">
        <f t="shared" si="5"/>
        <v>13228.240305200003</v>
      </c>
    </row>
    <row r="109" spans="1:7" ht="13.8" x14ac:dyDescent="0.25">
      <c r="A109" s="22">
        <v>11.541</v>
      </c>
      <c r="B109" s="14">
        <v>42005</v>
      </c>
      <c r="C109" s="12">
        <f t="shared" si="6"/>
        <v>11.726938333333335</v>
      </c>
      <c r="D109" s="25">
        <f t="shared" si="7"/>
        <v>108</v>
      </c>
      <c r="E109" s="15">
        <v>66.953898166666676</v>
      </c>
      <c r="F109" s="15">
        <f t="shared" si="4"/>
        <v>0.10037174721189591</v>
      </c>
      <c r="G109" s="28">
        <f t="shared" si="5"/>
        <v>13136.354820300003</v>
      </c>
    </row>
    <row r="110" spans="1:7" ht="13.8" x14ac:dyDescent="0.25">
      <c r="A110" s="21">
        <v>6.44</v>
      </c>
      <c r="B110" s="11">
        <v>41913</v>
      </c>
      <c r="C110" s="12">
        <f t="shared" si="6"/>
        <v>6.5437555555555562</v>
      </c>
      <c r="D110" s="24">
        <f t="shared" si="7"/>
        <v>109</v>
      </c>
      <c r="E110" s="12">
        <v>66.64876000000001</v>
      </c>
      <c r="F110" s="12">
        <f t="shared" si="4"/>
        <v>0.10130111524163568</v>
      </c>
      <c r="G110" s="27">
        <f t="shared" si="5"/>
        <v>13076.486712000004</v>
      </c>
    </row>
    <row r="111" spans="1:7" ht="13.8" x14ac:dyDescent="0.25">
      <c r="A111" s="22">
        <v>5.1100000000000003</v>
      </c>
      <c r="B111" s="14">
        <v>41883</v>
      </c>
      <c r="C111" s="12">
        <f t="shared" si="6"/>
        <v>5.1923277777777788</v>
      </c>
      <c r="D111" s="25">
        <f t="shared" si="7"/>
        <v>110</v>
      </c>
      <c r="E111" s="12">
        <v>66.118756444444458</v>
      </c>
      <c r="F111" s="15">
        <f t="shared" si="4"/>
        <v>0.10223048327137546</v>
      </c>
      <c r="G111" s="28">
        <f t="shared" si="5"/>
        <v>12972.500014400004</v>
      </c>
    </row>
    <row r="112" spans="1:7" ht="13.8" x14ac:dyDescent="0.25">
      <c r="A112" s="21">
        <v>7.53</v>
      </c>
      <c r="B112" s="11">
        <v>41852</v>
      </c>
      <c r="C112" s="12">
        <f t="shared" si="6"/>
        <v>7.6513166666666672</v>
      </c>
      <c r="D112" s="24">
        <f t="shared" si="7"/>
        <v>111</v>
      </c>
      <c r="E112" s="12">
        <v>65.969692944444446</v>
      </c>
      <c r="F112" s="12">
        <f t="shared" si="4"/>
        <v>0.10315985130111524</v>
      </c>
      <c r="G112" s="27">
        <f t="shared" si="5"/>
        <v>12943.2537557</v>
      </c>
    </row>
    <row r="113" spans="1:7" ht="13.8" x14ac:dyDescent="0.25">
      <c r="A113" s="22">
        <v>8.17</v>
      </c>
      <c r="B113" s="14">
        <v>41821</v>
      </c>
      <c r="C113" s="12">
        <f t="shared" si="6"/>
        <v>8.301627777777778</v>
      </c>
      <c r="D113" s="25">
        <f t="shared" si="7"/>
        <v>112</v>
      </c>
      <c r="E113" s="15">
        <v>65.897142611111121</v>
      </c>
      <c r="F113" s="15">
        <f t="shared" si="4"/>
        <v>0.10408921933085502</v>
      </c>
      <c r="G113" s="28">
        <f t="shared" si="5"/>
        <v>12929.019380300002</v>
      </c>
    </row>
    <row r="114" spans="1:7" ht="13.8" x14ac:dyDescent="0.25">
      <c r="A114" s="21">
        <v>5.96</v>
      </c>
      <c r="B114" s="11">
        <v>41791</v>
      </c>
      <c r="C114" s="12">
        <f t="shared" si="6"/>
        <v>6.0560222222222224</v>
      </c>
      <c r="D114" s="24">
        <f t="shared" si="7"/>
        <v>113</v>
      </c>
      <c r="E114" s="12">
        <v>65.752245166666668</v>
      </c>
      <c r="F114" s="12">
        <f t="shared" si="4"/>
        <v>0.1050185873605948</v>
      </c>
      <c r="G114" s="27">
        <f t="shared" si="5"/>
        <v>12900.590501700002</v>
      </c>
    </row>
    <row r="115" spans="1:7" ht="13.8" x14ac:dyDescent="0.25">
      <c r="A115" s="22">
        <v>8.8276000000000003</v>
      </c>
      <c r="B115" s="14">
        <v>41760</v>
      </c>
      <c r="C115" s="12">
        <f t="shared" si="6"/>
        <v>8.9698224444444463</v>
      </c>
      <c r="D115" s="25">
        <f t="shared" si="7"/>
        <v>114</v>
      </c>
      <c r="E115" s="15">
        <v>65.646772833333344</v>
      </c>
      <c r="F115" s="15">
        <f t="shared" si="4"/>
        <v>0.10594795539033457</v>
      </c>
      <c r="G115" s="28">
        <f t="shared" si="5"/>
        <v>12879.896829900004</v>
      </c>
    </row>
    <row r="116" spans="1:7" ht="13.8" x14ac:dyDescent="0.25">
      <c r="A116" s="21">
        <v>12.789199999999999</v>
      </c>
      <c r="B116" s="11">
        <v>41730</v>
      </c>
      <c r="C116" s="12">
        <f t="shared" si="6"/>
        <v>12.995248222222223</v>
      </c>
      <c r="D116" s="24">
        <f t="shared" si="7"/>
        <v>115</v>
      </c>
      <c r="E116" s="12">
        <v>65.523416944444449</v>
      </c>
      <c r="F116" s="12">
        <f t="shared" si="4"/>
        <v>0.10687732342007435</v>
      </c>
      <c r="G116" s="27">
        <f t="shared" si="5"/>
        <v>12855.694404500002</v>
      </c>
    </row>
    <row r="117" spans="1:7" ht="13.8" x14ac:dyDescent="0.25">
      <c r="A117" s="22">
        <v>12.855600000000001</v>
      </c>
      <c r="B117" s="14">
        <v>41699</v>
      </c>
      <c r="C117" s="12">
        <f t="shared" si="6"/>
        <v>13.062718000000002</v>
      </c>
      <c r="D117" s="25">
        <f t="shared" si="7"/>
        <v>116</v>
      </c>
      <c r="E117" s="15">
        <v>65.480130611111122</v>
      </c>
      <c r="F117" s="15">
        <f t="shared" si="4"/>
        <v>0.10780669144981413</v>
      </c>
      <c r="G117" s="28">
        <f t="shared" si="5"/>
        <v>12847.201625900003</v>
      </c>
    </row>
    <row r="118" spans="1:7" ht="13.8" x14ac:dyDescent="0.25">
      <c r="A118" s="21">
        <v>15.194100000000001</v>
      </c>
      <c r="B118" s="11">
        <v>41671</v>
      </c>
      <c r="C118" s="12">
        <f t="shared" si="6"/>
        <v>15.438893833333335</v>
      </c>
      <c r="D118" s="24">
        <f t="shared" si="7"/>
        <v>117</v>
      </c>
      <c r="E118" s="15">
        <v>65.360737555555559</v>
      </c>
      <c r="F118" s="12">
        <f t="shared" si="4"/>
        <v>0.10873605947955391</v>
      </c>
      <c r="G118" s="27">
        <f t="shared" si="5"/>
        <v>12823.776708400002</v>
      </c>
    </row>
    <row r="119" spans="1:7" ht="13.8" x14ac:dyDescent="0.25">
      <c r="A119" s="22">
        <v>21.010400000000001</v>
      </c>
      <c r="B119" s="14">
        <v>41640</v>
      </c>
      <c r="C119" s="12">
        <f t="shared" si="6"/>
        <v>21.348900888888892</v>
      </c>
      <c r="D119" s="25">
        <f t="shared" si="7"/>
        <v>118</v>
      </c>
      <c r="E119" s="15">
        <v>64.522039444444445</v>
      </c>
      <c r="F119" s="15">
        <f t="shared" si="4"/>
        <v>0.10966542750929369</v>
      </c>
      <c r="G119" s="28">
        <f t="shared" si="5"/>
        <v>12659.224139</v>
      </c>
    </row>
    <row r="120" spans="1:7" ht="13.8" x14ac:dyDescent="0.25">
      <c r="A120" s="21">
        <v>40.2316</v>
      </c>
      <c r="B120" s="11">
        <v>41609</v>
      </c>
      <c r="C120" s="12">
        <f t="shared" si="6"/>
        <v>40.87977577777778</v>
      </c>
      <c r="D120" s="24">
        <f t="shared" si="7"/>
        <v>119</v>
      </c>
      <c r="E120" s="12">
        <v>64.402646388888897</v>
      </c>
      <c r="F120" s="12">
        <f t="shared" si="4"/>
        <v>0.11059479553903345</v>
      </c>
      <c r="G120" s="27">
        <f t="shared" si="5"/>
        <v>12635.799221500001</v>
      </c>
    </row>
    <row r="121" spans="1:7" ht="13.8" x14ac:dyDescent="0.25">
      <c r="A121" s="22">
        <v>22.378499999999999</v>
      </c>
      <c r="B121" s="14">
        <v>41579</v>
      </c>
      <c r="C121" s="12">
        <f t="shared" si="6"/>
        <v>22.7390425</v>
      </c>
      <c r="D121" s="25">
        <f t="shared" si="7"/>
        <v>120</v>
      </c>
      <c r="E121" s="12">
        <v>63.748880500000006</v>
      </c>
      <c r="F121" s="15">
        <f t="shared" si="4"/>
        <v>0.11152416356877323</v>
      </c>
      <c r="G121" s="28">
        <f t="shared" si="5"/>
        <v>12507.530354100001</v>
      </c>
    </row>
    <row r="122" spans="1:7" ht="13.8" x14ac:dyDescent="0.25">
      <c r="A122" s="21">
        <v>20.237200000000001</v>
      </c>
      <c r="B122" s="11">
        <v>41548</v>
      </c>
      <c r="C122" s="12">
        <f t="shared" si="6"/>
        <v>20.563243777777782</v>
      </c>
      <c r="D122" s="24">
        <f t="shared" si="7"/>
        <v>121</v>
      </c>
      <c r="E122" s="12">
        <v>63.556733888888893</v>
      </c>
      <c r="F122" s="12">
        <f t="shared" si="4"/>
        <v>0.11245353159851301</v>
      </c>
      <c r="G122" s="27">
        <f t="shared" si="5"/>
        <v>12469.831189</v>
      </c>
    </row>
    <row r="123" spans="1:7" ht="13.8" x14ac:dyDescent="0.25">
      <c r="A123" s="22">
        <v>14.4411</v>
      </c>
      <c r="B123" s="14">
        <v>41518</v>
      </c>
      <c r="C123" s="12">
        <f t="shared" si="6"/>
        <v>14.673762166666668</v>
      </c>
      <c r="D123" s="25">
        <f t="shared" si="7"/>
        <v>122</v>
      </c>
      <c r="E123" s="15">
        <v>63.527368277777782</v>
      </c>
      <c r="F123" s="15">
        <f t="shared" si="4"/>
        <v>0.11338289962825279</v>
      </c>
      <c r="G123" s="28">
        <f t="shared" si="5"/>
        <v>12464.0696561</v>
      </c>
    </row>
    <row r="124" spans="1:7" ht="13.8" x14ac:dyDescent="0.25">
      <c r="A124" s="21">
        <v>15.351599999999999</v>
      </c>
      <c r="B124" s="11">
        <v>41487</v>
      </c>
      <c r="C124" s="12">
        <f t="shared" si="6"/>
        <v>15.598931333333335</v>
      </c>
      <c r="D124" s="24">
        <f t="shared" si="7"/>
        <v>123</v>
      </c>
      <c r="E124" s="12">
        <v>62.921054777777783</v>
      </c>
      <c r="F124" s="12">
        <f t="shared" si="4"/>
        <v>0.11431226765799256</v>
      </c>
      <c r="G124" s="27">
        <f t="shared" si="5"/>
        <v>12345.1109474</v>
      </c>
    </row>
    <row r="125" spans="1:7" ht="13.8" x14ac:dyDescent="0.25">
      <c r="A125" s="22">
        <v>20.604600000000001</v>
      </c>
      <c r="B125" s="14">
        <v>41456</v>
      </c>
      <c r="C125" s="12">
        <f t="shared" si="6"/>
        <v>20.936563000000003</v>
      </c>
      <c r="D125" s="25">
        <f t="shared" si="7"/>
        <v>124</v>
      </c>
      <c r="E125" s="12">
        <v>62.648533777777786</v>
      </c>
      <c r="F125" s="15">
        <f t="shared" si="4"/>
        <v>0.11524163568773234</v>
      </c>
      <c r="G125" s="28">
        <f t="shared" si="5"/>
        <v>12291.642327200001</v>
      </c>
    </row>
    <row r="126" spans="1:7" ht="13.8" x14ac:dyDescent="0.25">
      <c r="A126" s="21">
        <v>23.569400000000002</v>
      </c>
      <c r="B126" s="11">
        <v>41426</v>
      </c>
      <c r="C126" s="12">
        <f t="shared" si="6"/>
        <v>23.949129222222226</v>
      </c>
      <c r="D126" s="24">
        <f t="shared" si="7"/>
        <v>125</v>
      </c>
      <c r="E126" s="15">
        <v>62.50211216666667</v>
      </c>
      <c r="F126" s="12">
        <f t="shared" si="4"/>
        <v>0.11617100371747212</v>
      </c>
      <c r="G126" s="27">
        <f t="shared" si="5"/>
        <v>12262.914407100001</v>
      </c>
    </row>
    <row r="127" spans="1:7" ht="13.8" x14ac:dyDescent="0.25">
      <c r="A127" s="22">
        <v>25.539400000000001</v>
      </c>
      <c r="B127" s="14">
        <v>41395</v>
      </c>
      <c r="C127" s="12">
        <f t="shared" si="6"/>
        <v>25.950868111111113</v>
      </c>
      <c r="D127" s="25">
        <f t="shared" si="7"/>
        <v>126</v>
      </c>
      <c r="E127" s="15">
        <v>62.388206111111117</v>
      </c>
      <c r="F127" s="15">
        <f t="shared" si="4"/>
        <v>0.1171003717472119</v>
      </c>
      <c r="G127" s="28">
        <f t="shared" si="5"/>
        <v>12240.566039000003</v>
      </c>
    </row>
    <row r="128" spans="1:7" ht="13.8" x14ac:dyDescent="0.25">
      <c r="A128" s="21">
        <v>36.4343</v>
      </c>
      <c r="B128" s="11">
        <v>41365</v>
      </c>
      <c r="C128" s="12">
        <f t="shared" si="6"/>
        <v>37.021297055555557</v>
      </c>
      <c r="D128" s="24">
        <f t="shared" si="7"/>
        <v>127</v>
      </c>
      <c r="E128" s="15">
        <v>62.26190350000001</v>
      </c>
      <c r="F128" s="12">
        <f t="shared" si="4"/>
        <v>0.11802973977695168</v>
      </c>
      <c r="G128" s="27">
        <f t="shared" si="5"/>
        <v>12215.785466700001</v>
      </c>
    </row>
    <row r="129" spans="1:7" ht="13.8" x14ac:dyDescent="0.25">
      <c r="A129" s="22">
        <v>43.986400000000003</v>
      </c>
      <c r="B129" s="14">
        <v>41334</v>
      </c>
      <c r="C129" s="12">
        <f t="shared" si="6"/>
        <v>44.695069777777782</v>
      </c>
      <c r="D129" s="25">
        <f t="shared" si="7"/>
        <v>128</v>
      </c>
      <c r="E129" s="12">
        <v>62.037546166666672</v>
      </c>
      <c r="F129" s="15">
        <f t="shared" si="4"/>
        <v>0.11895910780669144</v>
      </c>
      <c r="G129" s="28">
        <f t="shared" si="5"/>
        <v>12171.766557900002</v>
      </c>
    </row>
    <row r="130" spans="1:7" ht="13.8" x14ac:dyDescent="0.25">
      <c r="A130" s="21">
        <v>67.369500000000002</v>
      </c>
      <c r="B130" s="11">
        <v>41306</v>
      </c>
      <c r="C130" s="12">
        <f t="shared" si="6"/>
        <v>68.454897500000001</v>
      </c>
      <c r="D130" s="24">
        <f t="shared" si="7"/>
        <v>129</v>
      </c>
      <c r="E130" s="12">
        <v>62.011127277777788</v>
      </c>
      <c r="F130" s="12">
        <f t="shared" ref="F130:F193" si="8">D130/1076</f>
        <v>0.11988847583643122</v>
      </c>
      <c r="G130" s="27">
        <f t="shared" ref="G130:G193" si="9">1000*E130*$J$2*9.81/1000</f>
        <v>12166.583171900002</v>
      </c>
    </row>
    <row r="131" spans="1:7" ht="13.8" x14ac:dyDescent="0.25">
      <c r="A131" s="22">
        <v>96.552400000000006</v>
      </c>
      <c r="B131" s="14">
        <v>41275</v>
      </c>
      <c r="C131" s="12">
        <f t="shared" ref="C131:C194" si="10">A131*($I$2/$H$2)</f>
        <v>98.107966444444457</v>
      </c>
      <c r="D131" s="25">
        <f t="shared" ref="D131:D194" si="11">D130+1</f>
        <v>130</v>
      </c>
      <c r="E131" s="12">
        <v>61.831986888888892</v>
      </c>
      <c r="F131" s="15">
        <f t="shared" si="8"/>
        <v>0.120817843866171</v>
      </c>
      <c r="G131" s="28">
        <f t="shared" si="9"/>
        <v>12131.4358276</v>
      </c>
    </row>
    <row r="132" spans="1:7" ht="13.8" x14ac:dyDescent="0.25">
      <c r="A132" s="21">
        <v>27.204499999999999</v>
      </c>
      <c r="B132" s="11">
        <v>41244</v>
      </c>
      <c r="C132" s="12">
        <f t="shared" si="10"/>
        <v>27.642794722222224</v>
      </c>
      <c r="D132" s="24">
        <f t="shared" si="11"/>
        <v>131</v>
      </c>
      <c r="E132" s="15">
        <v>61.663210833333338</v>
      </c>
      <c r="F132" s="12">
        <f t="shared" si="8"/>
        <v>0.12174721189591078</v>
      </c>
      <c r="G132" s="27">
        <f t="shared" si="9"/>
        <v>12098.321965500003</v>
      </c>
    </row>
    <row r="133" spans="1:7" ht="13.8" x14ac:dyDescent="0.25">
      <c r="A133" s="22">
        <v>20.9146</v>
      </c>
      <c r="B133" s="14">
        <v>41214</v>
      </c>
      <c r="C133" s="12">
        <f t="shared" si="10"/>
        <v>21.251557444444447</v>
      </c>
      <c r="D133" s="25">
        <f t="shared" si="11"/>
        <v>132</v>
      </c>
      <c r="E133" s="12">
        <v>61.484172055555561</v>
      </c>
      <c r="F133" s="15">
        <f t="shared" si="8"/>
        <v>0.12267657992565056</v>
      </c>
      <c r="G133" s="28">
        <f t="shared" si="9"/>
        <v>12063.194557299999</v>
      </c>
    </row>
    <row r="134" spans="1:7" ht="13.8" x14ac:dyDescent="0.25">
      <c r="A134" s="21">
        <v>12.961499999999999</v>
      </c>
      <c r="B134" s="11">
        <v>41183</v>
      </c>
      <c r="C134" s="12">
        <f t="shared" si="10"/>
        <v>13.170324166666667</v>
      </c>
      <c r="D134" s="24">
        <f t="shared" si="11"/>
        <v>133</v>
      </c>
      <c r="E134" s="12">
        <v>61.361324222222223</v>
      </c>
      <c r="F134" s="12">
        <f t="shared" si="8"/>
        <v>0.12360594795539033</v>
      </c>
      <c r="G134" s="27">
        <f t="shared" si="9"/>
        <v>12039.091812400002</v>
      </c>
    </row>
    <row r="135" spans="1:7" ht="13.8" x14ac:dyDescent="0.25">
      <c r="A135" s="22">
        <v>13.4122</v>
      </c>
      <c r="B135" s="14">
        <v>41153</v>
      </c>
      <c r="C135" s="12">
        <f t="shared" si="10"/>
        <v>13.628285444444446</v>
      </c>
      <c r="D135" s="25">
        <f t="shared" si="11"/>
        <v>134</v>
      </c>
      <c r="E135" s="15">
        <v>61.23492000000001</v>
      </c>
      <c r="F135" s="15">
        <f t="shared" si="8"/>
        <v>0.12453531598513011</v>
      </c>
      <c r="G135" s="28">
        <f t="shared" si="9"/>
        <v>12014.291304000006</v>
      </c>
    </row>
    <row r="136" spans="1:7" ht="13.8" x14ac:dyDescent="0.25">
      <c r="A136" s="21">
        <v>16.6099</v>
      </c>
      <c r="B136" s="11">
        <v>41122</v>
      </c>
      <c r="C136" s="12">
        <f t="shared" si="10"/>
        <v>16.877503944444445</v>
      </c>
      <c r="D136" s="24">
        <f t="shared" si="11"/>
        <v>135</v>
      </c>
      <c r="E136" s="15">
        <v>60.793622944444451</v>
      </c>
      <c r="F136" s="12">
        <f t="shared" si="8"/>
        <v>0.12546468401486988</v>
      </c>
      <c r="G136" s="27">
        <f t="shared" si="9"/>
        <v>11927.7088217</v>
      </c>
    </row>
    <row r="137" spans="1:7" ht="13.8" x14ac:dyDescent="0.25">
      <c r="A137" s="22">
        <v>21.444400000000002</v>
      </c>
      <c r="B137" s="14">
        <v>41091</v>
      </c>
      <c r="C137" s="12">
        <f t="shared" si="10"/>
        <v>21.789893111111116</v>
      </c>
      <c r="D137" s="25">
        <f t="shared" si="11"/>
        <v>136</v>
      </c>
      <c r="E137" s="12">
        <v>60.660410777777784</v>
      </c>
      <c r="F137" s="15">
        <f t="shared" si="8"/>
        <v>0.12639405204460966</v>
      </c>
      <c r="G137" s="28">
        <f t="shared" si="9"/>
        <v>11901.572594600002</v>
      </c>
    </row>
    <row r="138" spans="1:7" ht="13.8" x14ac:dyDescent="0.25">
      <c r="A138" s="21">
        <v>27.332899999999999</v>
      </c>
      <c r="B138" s="11">
        <v>41061</v>
      </c>
      <c r="C138" s="12">
        <f t="shared" si="10"/>
        <v>27.773263388888889</v>
      </c>
      <c r="D138" s="24">
        <f t="shared" si="11"/>
        <v>137</v>
      </c>
      <c r="E138" s="15">
        <v>60.566928555555563</v>
      </c>
      <c r="F138" s="12">
        <f t="shared" si="8"/>
        <v>0.12732342007434944</v>
      </c>
      <c r="G138" s="27">
        <f t="shared" si="9"/>
        <v>11883.231382600003</v>
      </c>
    </row>
    <row r="139" spans="1:7" ht="13.8" x14ac:dyDescent="0.25">
      <c r="A139" s="22">
        <v>28.126300000000001</v>
      </c>
      <c r="B139" s="14">
        <v>41030</v>
      </c>
      <c r="C139" s="12">
        <f t="shared" si="10"/>
        <v>28.579445944444448</v>
      </c>
      <c r="D139" s="25">
        <f t="shared" si="11"/>
        <v>138</v>
      </c>
      <c r="E139" s="15">
        <v>59.817749833333338</v>
      </c>
      <c r="F139" s="15">
        <f t="shared" si="8"/>
        <v>0.12825278810408922</v>
      </c>
      <c r="G139" s="28">
        <f t="shared" si="9"/>
        <v>11736.242517300001</v>
      </c>
    </row>
    <row r="140" spans="1:7" ht="13.8" x14ac:dyDescent="0.25">
      <c r="A140" s="21">
        <v>31.1952</v>
      </c>
      <c r="B140" s="11">
        <v>41000</v>
      </c>
      <c r="C140" s="12">
        <f t="shared" si="10"/>
        <v>31.697789333333336</v>
      </c>
      <c r="D140" s="24">
        <f t="shared" si="11"/>
        <v>139</v>
      </c>
      <c r="E140" s="15">
        <v>59.619811388888898</v>
      </c>
      <c r="F140" s="12">
        <f t="shared" si="8"/>
        <v>0.129182156133829</v>
      </c>
      <c r="G140" s="27">
        <f t="shared" si="9"/>
        <v>11697.406994500001</v>
      </c>
    </row>
    <row r="141" spans="1:7" ht="13.8" x14ac:dyDescent="0.25">
      <c r="A141" s="22">
        <v>43.012</v>
      </c>
      <c r="B141" s="14">
        <v>40969</v>
      </c>
      <c r="C141" s="12">
        <f t="shared" si="10"/>
        <v>43.704971111111114</v>
      </c>
      <c r="D141" s="25">
        <f t="shared" si="11"/>
        <v>140</v>
      </c>
      <c r="E141" s="12">
        <v>59.589836111111119</v>
      </c>
      <c r="F141" s="15">
        <f t="shared" si="8"/>
        <v>0.13011152416356878</v>
      </c>
      <c r="G141" s="28">
        <f t="shared" si="9"/>
        <v>11691.525845</v>
      </c>
    </row>
    <row r="142" spans="1:7" ht="13.8" x14ac:dyDescent="0.25">
      <c r="A142" s="21">
        <v>52.276899999999998</v>
      </c>
      <c r="B142" s="11">
        <v>40940</v>
      </c>
      <c r="C142" s="12">
        <f t="shared" si="10"/>
        <v>53.119138944444444</v>
      </c>
      <c r="D142" s="24">
        <f t="shared" si="11"/>
        <v>141</v>
      </c>
      <c r="E142" s="12">
        <v>59.264883777777783</v>
      </c>
      <c r="F142" s="12">
        <f t="shared" si="8"/>
        <v>0.13104089219330856</v>
      </c>
      <c r="G142" s="27">
        <f t="shared" si="9"/>
        <v>11627.7701972</v>
      </c>
    </row>
    <row r="143" spans="1:7" ht="13.8" x14ac:dyDescent="0.25">
      <c r="A143" s="22">
        <v>88.2363</v>
      </c>
      <c r="B143" s="14">
        <v>40909</v>
      </c>
      <c r="C143" s="12">
        <f t="shared" si="10"/>
        <v>89.657884833333341</v>
      </c>
      <c r="D143" s="25">
        <f t="shared" si="11"/>
        <v>142</v>
      </c>
      <c r="E143" s="12">
        <v>59.216720111111115</v>
      </c>
      <c r="F143" s="15">
        <f t="shared" si="8"/>
        <v>0.13197026022304834</v>
      </c>
      <c r="G143" s="28">
        <f t="shared" si="9"/>
        <v>11618.320485799999</v>
      </c>
    </row>
    <row r="144" spans="1:7" ht="13.8" x14ac:dyDescent="0.25">
      <c r="A144" s="21">
        <v>64.709699999999998</v>
      </c>
      <c r="B144" s="11">
        <v>40878</v>
      </c>
      <c r="C144" s="12">
        <f t="shared" si="10"/>
        <v>65.752245166666668</v>
      </c>
      <c r="D144" s="24">
        <f t="shared" si="11"/>
        <v>143</v>
      </c>
      <c r="E144" s="12">
        <v>59.151689000000005</v>
      </c>
      <c r="F144" s="12">
        <f t="shared" si="8"/>
        <v>0.13289962825278812</v>
      </c>
      <c r="G144" s="27">
        <f t="shared" si="9"/>
        <v>11605.561381800002</v>
      </c>
    </row>
    <row r="145" spans="1:7" ht="13.8" x14ac:dyDescent="0.25">
      <c r="A145" s="22">
        <v>18.610399999999998</v>
      </c>
      <c r="B145" s="14">
        <v>40848</v>
      </c>
      <c r="C145" s="12">
        <f t="shared" si="10"/>
        <v>18.910234222222222</v>
      </c>
      <c r="D145" s="25">
        <f t="shared" si="11"/>
        <v>144</v>
      </c>
      <c r="E145" s="15">
        <v>59.133094166666673</v>
      </c>
      <c r="F145" s="15">
        <f t="shared" si="8"/>
        <v>0.13382899628252787</v>
      </c>
      <c r="G145" s="28">
        <f t="shared" si="9"/>
        <v>11601.913075500002</v>
      </c>
    </row>
    <row r="146" spans="1:7" ht="13.8" x14ac:dyDescent="0.25">
      <c r="A146" s="21">
        <v>17.383800000000001</v>
      </c>
      <c r="B146" s="11">
        <v>40817</v>
      </c>
      <c r="C146" s="12">
        <f t="shared" si="10"/>
        <v>17.663872333333334</v>
      </c>
      <c r="D146" s="24">
        <f t="shared" si="11"/>
        <v>145</v>
      </c>
      <c r="E146" s="12">
        <v>59.047131166666674</v>
      </c>
      <c r="F146" s="12">
        <f t="shared" si="8"/>
        <v>0.13475836431226765</v>
      </c>
      <c r="G146" s="27">
        <f t="shared" si="9"/>
        <v>11585.047134900002</v>
      </c>
    </row>
    <row r="147" spans="1:7" ht="13.8" x14ac:dyDescent="0.25">
      <c r="A147" s="22">
        <v>13.5962</v>
      </c>
      <c r="B147" s="14">
        <v>40787</v>
      </c>
      <c r="C147" s="12">
        <f t="shared" si="10"/>
        <v>13.815249888888889</v>
      </c>
      <c r="D147" s="25">
        <f t="shared" si="11"/>
        <v>146</v>
      </c>
      <c r="E147" s="15">
        <v>58.809970833333338</v>
      </c>
      <c r="F147" s="15">
        <f t="shared" si="8"/>
        <v>0.13568773234200743</v>
      </c>
      <c r="G147" s="28">
        <f t="shared" si="9"/>
        <v>11538.516277500003</v>
      </c>
    </row>
    <row r="148" spans="1:7" ht="13.8" x14ac:dyDescent="0.25">
      <c r="A148" s="21">
        <v>17.466200000000001</v>
      </c>
      <c r="B148" s="11">
        <v>40756</v>
      </c>
      <c r="C148" s="12">
        <f t="shared" si="10"/>
        <v>17.747599888888892</v>
      </c>
      <c r="D148" s="24">
        <f t="shared" si="11"/>
        <v>147</v>
      </c>
      <c r="E148" s="12">
        <v>58.723093333333338</v>
      </c>
      <c r="F148" s="12">
        <f t="shared" si="8"/>
        <v>0.13661710037174721</v>
      </c>
      <c r="G148" s="27">
        <f t="shared" si="9"/>
        <v>11521.470912000001</v>
      </c>
    </row>
    <row r="149" spans="1:7" ht="13.8" x14ac:dyDescent="0.25">
      <c r="A149" s="22">
        <v>20.782499999999999</v>
      </c>
      <c r="B149" s="14">
        <v>40725</v>
      </c>
      <c r="C149" s="12">
        <f t="shared" si="10"/>
        <v>21.117329166666668</v>
      </c>
      <c r="D149" s="25">
        <f t="shared" si="11"/>
        <v>148</v>
      </c>
      <c r="E149" s="12">
        <v>58.684277888888893</v>
      </c>
      <c r="F149" s="15">
        <f t="shared" si="8"/>
        <v>0.13754646840148699</v>
      </c>
      <c r="G149" s="28">
        <f t="shared" si="9"/>
        <v>11513.855321800002</v>
      </c>
    </row>
    <row r="150" spans="1:7" ht="13.8" x14ac:dyDescent="0.25">
      <c r="A150" s="21">
        <v>25.9527</v>
      </c>
      <c r="B150" s="11">
        <v>40695</v>
      </c>
      <c r="C150" s="12">
        <f t="shared" si="10"/>
        <v>26.370826833333336</v>
      </c>
      <c r="D150" s="24">
        <f t="shared" si="11"/>
        <v>149</v>
      </c>
      <c r="E150" s="12">
        <v>58.301712055555555</v>
      </c>
      <c r="F150" s="12">
        <f t="shared" si="8"/>
        <v>0.13847583643122677</v>
      </c>
      <c r="G150" s="27">
        <f t="shared" si="9"/>
        <v>11438.795905300001</v>
      </c>
    </row>
    <row r="151" spans="1:7" ht="13.8" x14ac:dyDescent="0.25">
      <c r="A151" s="22">
        <v>25.068200000000001</v>
      </c>
      <c r="B151" s="14">
        <v>40664</v>
      </c>
      <c r="C151" s="12">
        <f t="shared" si="10"/>
        <v>25.47207655555556</v>
      </c>
      <c r="D151" s="25">
        <f t="shared" si="11"/>
        <v>150</v>
      </c>
      <c r="E151" s="12">
        <v>58.261575666666673</v>
      </c>
      <c r="F151" s="15">
        <f t="shared" si="8"/>
        <v>0.13940520446096655</v>
      </c>
      <c r="G151" s="28">
        <f t="shared" si="9"/>
        <v>11430.921145800003</v>
      </c>
    </row>
    <row r="152" spans="1:7" ht="13.8" x14ac:dyDescent="0.25">
      <c r="A152" s="21">
        <v>39.679099999999998</v>
      </c>
      <c r="B152" s="11">
        <v>40634</v>
      </c>
      <c r="C152" s="12">
        <f t="shared" si="10"/>
        <v>40.318374388888891</v>
      </c>
      <c r="D152" s="24">
        <f t="shared" si="11"/>
        <v>151</v>
      </c>
      <c r="E152" s="12">
        <v>58.235664833333338</v>
      </c>
      <c r="F152" s="12">
        <f t="shared" si="8"/>
        <v>0.14033457249070633</v>
      </c>
      <c r="G152" s="27">
        <f t="shared" si="9"/>
        <v>11425.837440300002</v>
      </c>
    </row>
    <row r="153" spans="1:7" ht="13.8" x14ac:dyDescent="0.25">
      <c r="A153" s="22">
        <v>56.004899999999999</v>
      </c>
      <c r="B153" s="14">
        <v>40603</v>
      </c>
      <c r="C153" s="12">
        <f t="shared" si="10"/>
        <v>56.907201166666667</v>
      </c>
      <c r="D153" s="25">
        <f t="shared" si="11"/>
        <v>152</v>
      </c>
      <c r="E153" s="15">
        <v>57.893946666666672</v>
      </c>
      <c r="F153" s="15">
        <f t="shared" si="8"/>
        <v>0.14126394052044611</v>
      </c>
      <c r="G153" s="28">
        <f t="shared" si="9"/>
        <v>11358.792336</v>
      </c>
    </row>
    <row r="154" spans="1:7" ht="13.8" x14ac:dyDescent="0.25">
      <c r="A154" s="21">
        <v>47.403700000000001</v>
      </c>
      <c r="B154" s="11">
        <v>40575</v>
      </c>
      <c r="C154" s="12">
        <f t="shared" si="10"/>
        <v>48.167426277777786</v>
      </c>
      <c r="D154" s="24">
        <f t="shared" si="11"/>
        <v>153</v>
      </c>
      <c r="E154" s="12">
        <v>57.876469555555559</v>
      </c>
      <c r="F154" s="12">
        <f t="shared" si="8"/>
        <v>0.14219330855018589</v>
      </c>
      <c r="G154" s="27">
        <f t="shared" si="9"/>
        <v>11355.363326800001</v>
      </c>
    </row>
    <row r="155" spans="1:7" ht="14.4" customHeight="1" x14ac:dyDescent="0.25">
      <c r="A155" s="22">
        <v>136.33260000000001</v>
      </c>
      <c r="B155" s="14">
        <v>40544</v>
      </c>
      <c r="C155" s="12">
        <f t="shared" si="10"/>
        <v>138.52906966666669</v>
      </c>
      <c r="D155" s="25">
        <f t="shared" si="11"/>
        <v>154</v>
      </c>
      <c r="E155" s="12">
        <v>57.742444500000005</v>
      </c>
      <c r="F155" s="15">
        <f t="shared" si="8"/>
        <v>0.14312267657992564</v>
      </c>
      <c r="G155" s="28">
        <f t="shared" si="9"/>
        <v>11329.067610900001</v>
      </c>
    </row>
    <row r="156" spans="1:7" ht="13.8" x14ac:dyDescent="0.25">
      <c r="A156" s="21">
        <v>53.146500000000003</v>
      </c>
      <c r="B156" s="11">
        <v>40513</v>
      </c>
      <c r="C156" s="12">
        <f t="shared" si="10"/>
        <v>54.002749166666675</v>
      </c>
      <c r="D156" s="24">
        <f t="shared" si="11"/>
        <v>155</v>
      </c>
      <c r="E156" s="15">
        <v>57.733807555555558</v>
      </c>
      <c r="F156" s="12">
        <f t="shared" si="8"/>
        <v>0.14405204460966542</v>
      </c>
      <c r="G156" s="27">
        <f t="shared" si="9"/>
        <v>11327.3730424</v>
      </c>
    </row>
    <row r="157" spans="1:7" ht="13.8" x14ac:dyDescent="0.25">
      <c r="A157" s="22">
        <v>38.015000000000001</v>
      </c>
      <c r="B157" s="14">
        <v>40483</v>
      </c>
      <c r="C157" s="12">
        <f t="shared" si="10"/>
        <v>38.62746388888889</v>
      </c>
      <c r="D157" s="25">
        <f t="shared" si="11"/>
        <v>156</v>
      </c>
      <c r="E157" s="12">
        <v>57.564828277777778</v>
      </c>
      <c r="F157" s="15">
        <f t="shared" si="8"/>
        <v>0.1449814126394052</v>
      </c>
      <c r="G157" s="28">
        <f t="shared" si="9"/>
        <v>11294.2193081</v>
      </c>
    </row>
    <row r="158" spans="1:7" ht="13.8" x14ac:dyDescent="0.25">
      <c r="A158" s="21">
        <v>20.4818</v>
      </c>
      <c r="B158" s="11">
        <v>40452</v>
      </c>
      <c r="C158" s="12">
        <f t="shared" si="10"/>
        <v>20.811784555555558</v>
      </c>
      <c r="D158" s="24">
        <f t="shared" si="11"/>
        <v>157</v>
      </c>
      <c r="E158" s="12">
        <v>57.410277777777779</v>
      </c>
      <c r="F158" s="12">
        <f t="shared" si="8"/>
        <v>0.14591078066914498</v>
      </c>
      <c r="G158" s="27">
        <f t="shared" si="9"/>
        <v>11263.896500000001</v>
      </c>
    </row>
    <row r="159" spans="1:7" ht="13.8" x14ac:dyDescent="0.25">
      <c r="A159" s="22">
        <v>13.420999999999999</v>
      </c>
      <c r="B159" s="14">
        <v>40422</v>
      </c>
      <c r="C159" s="12">
        <f t="shared" si="10"/>
        <v>13.637227222222222</v>
      </c>
      <c r="D159" s="25">
        <f t="shared" si="11"/>
        <v>158</v>
      </c>
      <c r="E159" s="15">
        <v>57.399202166666669</v>
      </c>
      <c r="F159" s="15">
        <f t="shared" si="8"/>
        <v>0.14684014869888476</v>
      </c>
      <c r="G159" s="28">
        <f t="shared" si="9"/>
        <v>11261.723465100002</v>
      </c>
    </row>
    <row r="160" spans="1:7" ht="13.8" x14ac:dyDescent="0.25">
      <c r="A160" s="21">
        <v>14.541399999999999</v>
      </c>
      <c r="B160" s="11">
        <v>40391</v>
      </c>
      <c r="C160" s="12">
        <f t="shared" si="10"/>
        <v>14.775678111111112</v>
      </c>
      <c r="D160" s="24">
        <f t="shared" si="11"/>
        <v>159</v>
      </c>
      <c r="E160" s="12">
        <v>56.985644944444445</v>
      </c>
      <c r="F160" s="12">
        <f t="shared" si="8"/>
        <v>0.14776951672862454</v>
      </c>
      <c r="G160" s="27">
        <f t="shared" si="9"/>
        <v>11180.583538099998</v>
      </c>
    </row>
    <row r="161" spans="1:7" ht="13.8" x14ac:dyDescent="0.25">
      <c r="A161" s="22">
        <v>18.931999999999999</v>
      </c>
      <c r="B161" s="14">
        <v>40360</v>
      </c>
      <c r="C161" s="12">
        <f t="shared" si="10"/>
        <v>19.237015555555555</v>
      </c>
      <c r="D161" s="25">
        <f t="shared" si="11"/>
        <v>160</v>
      </c>
      <c r="E161" s="15">
        <v>56.907201166666667</v>
      </c>
      <c r="F161" s="15">
        <f t="shared" si="8"/>
        <v>0.14869888475836432</v>
      </c>
      <c r="G161" s="28">
        <f t="shared" si="9"/>
        <v>11165.192868900001</v>
      </c>
    </row>
    <row r="162" spans="1:7" ht="13.8" x14ac:dyDescent="0.25">
      <c r="A162" s="21">
        <v>25.57</v>
      </c>
      <c r="B162" s="11">
        <v>40330</v>
      </c>
      <c r="C162" s="12">
        <f t="shared" si="10"/>
        <v>25.981961111111115</v>
      </c>
      <c r="D162" s="24">
        <f t="shared" si="11"/>
        <v>161</v>
      </c>
      <c r="E162" s="12">
        <v>56.836073388888892</v>
      </c>
      <c r="F162" s="12">
        <f t="shared" si="8"/>
        <v>0.1496282527881041</v>
      </c>
      <c r="G162" s="27">
        <f t="shared" si="9"/>
        <v>11151.237598900001</v>
      </c>
    </row>
    <row r="163" spans="1:7" ht="13.8" x14ac:dyDescent="0.25">
      <c r="A163" s="22">
        <v>26.650099999999998</v>
      </c>
      <c r="B163" s="14">
        <v>40299</v>
      </c>
      <c r="C163" s="12">
        <f t="shared" si="10"/>
        <v>27.079462722222221</v>
      </c>
      <c r="D163" s="25">
        <f t="shared" si="11"/>
        <v>162</v>
      </c>
      <c r="E163" s="12">
        <v>56.801830444444448</v>
      </c>
      <c r="F163" s="15">
        <f t="shared" si="8"/>
        <v>0.15055762081784388</v>
      </c>
      <c r="G163" s="28">
        <f t="shared" si="9"/>
        <v>11144.519133200001</v>
      </c>
    </row>
    <row r="164" spans="1:7" ht="13.8" x14ac:dyDescent="0.25">
      <c r="A164" s="21">
        <v>35.437399999999997</v>
      </c>
      <c r="B164" s="11">
        <v>40269</v>
      </c>
      <c r="C164" s="12">
        <f t="shared" si="10"/>
        <v>36.008335888888887</v>
      </c>
      <c r="D164" s="24">
        <f t="shared" si="11"/>
        <v>163</v>
      </c>
      <c r="E164" s="12">
        <v>56.784454944444448</v>
      </c>
      <c r="F164" s="12">
        <f t="shared" si="8"/>
        <v>0.15148698884758363</v>
      </c>
      <c r="G164" s="27">
        <f t="shared" si="9"/>
        <v>11141.1100601</v>
      </c>
    </row>
    <row r="165" spans="1:7" ht="13.8" x14ac:dyDescent="0.25">
      <c r="A165" s="22">
        <v>51.638199999999998</v>
      </c>
      <c r="B165" s="14">
        <v>40238</v>
      </c>
      <c r="C165" s="12">
        <f t="shared" si="10"/>
        <v>52.47014877777778</v>
      </c>
      <c r="D165" s="25">
        <f t="shared" si="11"/>
        <v>164</v>
      </c>
      <c r="E165" s="12">
        <v>56.411745388888889</v>
      </c>
      <c r="F165" s="15">
        <f t="shared" si="8"/>
        <v>0.15241635687732341</v>
      </c>
      <c r="G165" s="28">
        <f t="shared" si="9"/>
        <v>11067.984445300002</v>
      </c>
    </row>
    <row r="166" spans="1:7" ht="13.8" x14ac:dyDescent="0.25">
      <c r="A166" s="21">
        <v>40.549799999999998</v>
      </c>
      <c r="B166" s="11">
        <v>40210</v>
      </c>
      <c r="C166" s="12">
        <f t="shared" si="10"/>
        <v>41.203102333333334</v>
      </c>
      <c r="D166" s="24">
        <f t="shared" si="11"/>
        <v>165</v>
      </c>
      <c r="E166" s="15">
        <v>56.208523166666673</v>
      </c>
      <c r="F166" s="12">
        <f t="shared" si="8"/>
        <v>0.15334572490706319</v>
      </c>
      <c r="G166" s="27">
        <f t="shared" si="9"/>
        <v>11028.112245300001</v>
      </c>
    </row>
    <row r="167" spans="1:7" ht="13.8" x14ac:dyDescent="0.25">
      <c r="A167" s="22">
        <v>75.135599999999997</v>
      </c>
      <c r="B167" s="14">
        <v>40179</v>
      </c>
      <c r="C167" s="12">
        <f t="shared" si="10"/>
        <v>76.346118000000004</v>
      </c>
      <c r="D167" s="25">
        <f t="shared" si="11"/>
        <v>166</v>
      </c>
      <c r="E167" s="15">
        <v>56.03131338888889</v>
      </c>
      <c r="F167" s="15">
        <f t="shared" si="8"/>
        <v>0.15427509293680297</v>
      </c>
      <c r="G167" s="28">
        <f t="shared" si="9"/>
        <v>10993.343686900002</v>
      </c>
    </row>
    <row r="168" spans="1:7" ht="13.8" x14ac:dyDescent="0.25">
      <c r="A168" s="21">
        <v>80.338899999999995</v>
      </c>
      <c r="B168" s="11">
        <v>40148</v>
      </c>
      <c r="C168" s="12">
        <f t="shared" si="10"/>
        <v>81.633248944444446</v>
      </c>
      <c r="D168" s="24">
        <f t="shared" si="11"/>
        <v>167</v>
      </c>
      <c r="E168" s="12">
        <v>56.024099000000007</v>
      </c>
      <c r="F168" s="12">
        <f t="shared" si="8"/>
        <v>0.15520446096654275</v>
      </c>
      <c r="G168" s="27">
        <f t="shared" si="9"/>
        <v>10991.928223800003</v>
      </c>
    </row>
    <row r="169" spans="1:7" ht="13.8" x14ac:dyDescent="0.25">
      <c r="A169" s="22">
        <v>31.094100000000001</v>
      </c>
      <c r="B169" s="14">
        <v>40118</v>
      </c>
      <c r="C169" s="12">
        <f t="shared" si="10"/>
        <v>31.595060500000002</v>
      </c>
      <c r="D169" s="25">
        <f t="shared" si="11"/>
        <v>168</v>
      </c>
      <c r="E169" s="12">
        <v>55.736539555555559</v>
      </c>
      <c r="F169" s="15">
        <f t="shared" si="8"/>
        <v>0.15613382899628253</v>
      </c>
      <c r="G169" s="28">
        <f t="shared" si="9"/>
        <v>10935.509060800001</v>
      </c>
    </row>
    <row r="170" spans="1:7" ht="13.8" x14ac:dyDescent="0.25">
      <c r="A170" s="21">
        <v>35.353900000000003</v>
      </c>
      <c r="B170" s="11">
        <v>40087</v>
      </c>
      <c r="C170" s="12">
        <f t="shared" si="10"/>
        <v>35.92349061111112</v>
      </c>
      <c r="D170" s="24">
        <f t="shared" si="11"/>
        <v>169</v>
      </c>
      <c r="E170" s="15">
        <v>55.562378111111109</v>
      </c>
      <c r="F170" s="12">
        <f t="shared" si="8"/>
        <v>0.15706319702602231</v>
      </c>
      <c r="G170" s="27">
        <f t="shared" si="9"/>
        <v>10901.338585400001</v>
      </c>
    </row>
    <row r="171" spans="1:7" ht="13.8" x14ac:dyDescent="0.25">
      <c r="A171" s="22">
        <v>27.6876</v>
      </c>
      <c r="B171" s="14">
        <v>40057</v>
      </c>
      <c r="C171" s="12">
        <f t="shared" si="10"/>
        <v>28.133678000000003</v>
      </c>
      <c r="D171" s="25">
        <f t="shared" si="11"/>
        <v>170</v>
      </c>
      <c r="E171" s="15">
        <v>55.506695222222227</v>
      </c>
      <c r="F171" s="15">
        <f t="shared" si="8"/>
        <v>0.15799256505576209</v>
      </c>
      <c r="G171" s="28">
        <f t="shared" si="9"/>
        <v>10890.413602600001</v>
      </c>
    </row>
    <row r="172" spans="1:7" ht="13.8" x14ac:dyDescent="0.25">
      <c r="A172" s="21">
        <v>20.2315</v>
      </c>
      <c r="B172" s="11">
        <v>40026</v>
      </c>
      <c r="C172" s="12">
        <f t="shared" si="10"/>
        <v>20.557451944444445</v>
      </c>
      <c r="D172" s="24">
        <f t="shared" si="11"/>
        <v>171</v>
      </c>
      <c r="E172" s="12">
        <v>55.393703666666667</v>
      </c>
      <c r="F172" s="12">
        <f t="shared" si="8"/>
        <v>0.15892193308550187</v>
      </c>
      <c r="G172" s="27">
        <f t="shared" si="9"/>
        <v>10868.244659399999</v>
      </c>
    </row>
    <row r="173" spans="1:7" ht="13.8" x14ac:dyDescent="0.25">
      <c r="A173" s="22">
        <v>25.360499999999998</v>
      </c>
      <c r="B173" s="14">
        <v>39995</v>
      </c>
      <c r="C173" s="12">
        <f t="shared" si="10"/>
        <v>25.769085833333335</v>
      </c>
      <c r="D173" s="25">
        <f t="shared" si="11"/>
        <v>172</v>
      </c>
      <c r="E173" s="12">
        <v>55.341882000000005</v>
      </c>
      <c r="F173" s="15">
        <f t="shared" si="8"/>
        <v>0.15985130111524162</v>
      </c>
      <c r="G173" s="28">
        <f t="shared" si="9"/>
        <v>10858.077248400003</v>
      </c>
    </row>
    <row r="174" spans="1:7" ht="13.8" x14ac:dyDescent="0.25">
      <c r="A174" s="21">
        <v>28.717600000000001</v>
      </c>
      <c r="B174" s="11">
        <v>39965</v>
      </c>
      <c r="C174" s="12">
        <f t="shared" si="10"/>
        <v>29.180272444444448</v>
      </c>
      <c r="D174" s="24">
        <f t="shared" si="11"/>
        <v>173</v>
      </c>
      <c r="E174" s="12">
        <v>55.126364833333334</v>
      </c>
      <c r="F174" s="12">
        <f t="shared" si="8"/>
        <v>0.1607806691449814</v>
      </c>
      <c r="G174" s="27">
        <f t="shared" si="9"/>
        <v>10815.7927803</v>
      </c>
    </row>
    <row r="175" spans="1:7" ht="13.8" x14ac:dyDescent="0.25">
      <c r="A175" s="22">
        <v>34.745100000000001</v>
      </c>
      <c r="B175" s="14">
        <v>39934</v>
      </c>
      <c r="C175" s="12">
        <f t="shared" si="10"/>
        <v>35.304882166666673</v>
      </c>
      <c r="D175" s="25">
        <f t="shared" si="11"/>
        <v>174</v>
      </c>
      <c r="E175" s="15">
        <v>55.106957111111115</v>
      </c>
      <c r="F175" s="15">
        <f t="shared" si="8"/>
        <v>0.16171003717472118</v>
      </c>
      <c r="G175" s="28">
        <f t="shared" si="9"/>
        <v>10811.984985200002</v>
      </c>
    </row>
    <row r="176" spans="1:7" ht="13.8" x14ac:dyDescent="0.25">
      <c r="A176" s="21">
        <v>61.655200000000001</v>
      </c>
      <c r="B176" s="11">
        <v>39904</v>
      </c>
      <c r="C176" s="12">
        <f t="shared" si="10"/>
        <v>62.648533777777786</v>
      </c>
      <c r="D176" s="24">
        <f t="shared" si="11"/>
        <v>175</v>
      </c>
      <c r="E176" s="15">
        <v>55.015100666666669</v>
      </c>
      <c r="F176" s="12">
        <f t="shared" si="8"/>
        <v>0.16263940520446096</v>
      </c>
      <c r="G176" s="27">
        <f t="shared" si="9"/>
        <v>10793.962750799999</v>
      </c>
    </row>
    <row r="177" spans="1:7" ht="13.8" x14ac:dyDescent="0.25">
      <c r="A177" s="22">
        <v>65.892300000000006</v>
      </c>
      <c r="B177" s="14">
        <v>39873</v>
      </c>
      <c r="C177" s="12">
        <f t="shared" si="10"/>
        <v>66.953898166666676</v>
      </c>
      <c r="D177" s="25">
        <f t="shared" si="11"/>
        <v>176</v>
      </c>
      <c r="E177" s="15">
        <v>54.890830277777781</v>
      </c>
      <c r="F177" s="15">
        <f t="shared" si="8"/>
        <v>0.16356877323420074</v>
      </c>
      <c r="G177" s="28">
        <f t="shared" si="9"/>
        <v>10769.580900500001</v>
      </c>
    </row>
    <row r="178" spans="1:7" ht="13.8" x14ac:dyDescent="0.25">
      <c r="A178" s="21">
        <v>88.808700000000002</v>
      </c>
      <c r="B178" s="11">
        <v>39845</v>
      </c>
      <c r="C178" s="12">
        <f t="shared" si="10"/>
        <v>90.239506833333337</v>
      </c>
      <c r="D178" s="24">
        <f t="shared" si="11"/>
        <v>177</v>
      </c>
      <c r="E178" s="15">
        <v>54.758329388888889</v>
      </c>
      <c r="F178" s="12">
        <f t="shared" si="8"/>
        <v>0.16449814126394052</v>
      </c>
      <c r="G178" s="27">
        <f t="shared" si="9"/>
        <v>10743.584226100002</v>
      </c>
    </row>
    <row r="179" spans="1:7" ht="13.8" x14ac:dyDescent="0.25">
      <c r="A179" s="22">
        <v>73.484399999999994</v>
      </c>
      <c r="B179" s="14">
        <v>39814</v>
      </c>
      <c r="C179" s="12">
        <f t="shared" si="10"/>
        <v>74.668315333333339</v>
      </c>
      <c r="D179" s="25">
        <f t="shared" si="11"/>
        <v>178</v>
      </c>
      <c r="E179" s="12">
        <v>54.444859111111114</v>
      </c>
      <c r="F179" s="15">
        <f t="shared" si="8"/>
        <v>0.1654275092936803</v>
      </c>
      <c r="G179" s="28">
        <f t="shared" si="9"/>
        <v>10682.081357600004</v>
      </c>
    </row>
    <row r="180" spans="1:7" ht="13.8" x14ac:dyDescent="0.25">
      <c r="A180" s="21">
        <v>55.934899999999999</v>
      </c>
      <c r="B180" s="11">
        <v>39783</v>
      </c>
      <c r="C180" s="12">
        <f t="shared" si="10"/>
        <v>56.836073388888892</v>
      </c>
      <c r="D180" s="24">
        <f t="shared" si="11"/>
        <v>179</v>
      </c>
      <c r="E180" s="15">
        <v>54.426569111111114</v>
      </c>
      <c r="F180" s="12">
        <f t="shared" si="8"/>
        <v>0.16635687732342008</v>
      </c>
      <c r="G180" s="27">
        <f t="shared" si="9"/>
        <v>10678.492859600003</v>
      </c>
    </row>
    <row r="181" spans="1:7" ht="13.8" x14ac:dyDescent="0.25">
      <c r="A181" s="22">
        <v>39.171599999999998</v>
      </c>
      <c r="B181" s="14">
        <v>39753</v>
      </c>
      <c r="C181" s="12">
        <f t="shared" si="10"/>
        <v>39.802697999999999</v>
      </c>
      <c r="D181" s="25">
        <f t="shared" si="11"/>
        <v>180</v>
      </c>
      <c r="E181" s="15">
        <v>54.240519166666665</v>
      </c>
      <c r="F181" s="15">
        <f t="shared" si="8"/>
        <v>0.16728624535315986</v>
      </c>
      <c r="G181" s="28">
        <f t="shared" si="9"/>
        <v>10641.9898605</v>
      </c>
    </row>
    <row r="182" spans="1:7" ht="13.8" x14ac:dyDescent="0.25">
      <c r="A182" s="21">
        <v>19.775500000000001</v>
      </c>
      <c r="B182" s="11">
        <v>39722</v>
      </c>
      <c r="C182" s="12">
        <f t="shared" si="10"/>
        <v>20.094105277777782</v>
      </c>
      <c r="D182" s="24">
        <f t="shared" si="11"/>
        <v>181</v>
      </c>
      <c r="E182" s="12">
        <v>54.239604666666672</v>
      </c>
      <c r="F182" s="12">
        <f t="shared" si="8"/>
        <v>0.16821561338289961</v>
      </c>
      <c r="G182" s="27">
        <f t="shared" si="9"/>
        <v>10641.810435600002</v>
      </c>
    </row>
    <row r="183" spans="1:7" ht="13.8" x14ac:dyDescent="0.25">
      <c r="A183" s="22">
        <v>17.430499999999999</v>
      </c>
      <c r="B183" s="14">
        <v>39692</v>
      </c>
      <c r="C183" s="12">
        <f t="shared" si="10"/>
        <v>17.711324722222223</v>
      </c>
      <c r="D183" s="25">
        <f t="shared" si="11"/>
        <v>182</v>
      </c>
      <c r="E183" s="12">
        <v>54.04451133333334</v>
      </c>
      <c r="F183" s="15">
        <f t="shared" si="8"/>
        <v>0.16914498141263939</v>
      </c>
      <c r="G183" s="28">
        <f t="shared" si="9"/>
        <v>10603.533123600002</v>
      </c>
    </row>
    <row r="184" spans="1:7" ht="13.8" x14ac:dyDescent="0.25">
      <c r="A184" s="21">
        <v>15.927199999999999</v>
      </c>
      <c r="B184" s="11">
        <v>39661</v>
      </c>
      <c r="C184" s="12">
        <f t="shared" si="10"/>
        <v>16.18380488888889</v>
      </c>
      <c r="D184" s="24">
        <f t="shared" si="11"/>
        <v>183</v>
      </c>
      <c r="E184" s="15">
        <v>54.039938833333338</v>
      </c>
      <c r="F184" s="12">
        <f t="shared" si="8"/>
        <v>0.17007434944237917</v>
      </c>
      <c r="G184" s="27">
        <f t="shared" si="9"/>
        <v>10602.635999100001</v>
      </c>
    </row>
    <row r="185" spans="1:7" ht="13.8" x14ac:dyDescent="0.25">
      <c r="A185" s="22">
        <v>18.080100000000002</v>
      </c>
      <c r="B185" s="14">
        <v>39630</v>
      </c>
      <c r="C185" s="12">
        <f t="shared" si="10"/>
        <v>18.371390500000004</v>
      </c>
      <c r="D185" s="25">
        <f t="shared" si="11"/>
        <v>184</v>
      </c>
      <c r="E185" s="12">
        <v>54.002749166666675</v>
      </c>
      <c r="F185" s="15">
        <f t="shared" si="8"/>
        <v>0.17100371747211895</v>
      </c>
      <c r="G185" s="28">
        <f t="shared" si="9"/>
        <v>10595.339386500002</v>
      </c>
    </row>
    <row r="186" spans="1:7" ht="13.8" x14ac:dyDescent="0.25">
      <c r="A186" s="21">
        <v>21.952400000000001</v>
      </c>
      <c r="B186" s="11">
        <v>39600</v>
      </c>
      <c r="C186" s="12">
        <f t="shared" si="10"/>
        <v>22.306077555555557</v>
      </c>
      <c r="D186" s="24">
        <f t="shared" si="11"/>
        <v>185</v>
      </c>
      <c r="E186" s="15">
        <v>53.310371055555557</v>
      </c>
      <c r="F186" s="12">
        <f t="shared" si="8"/>
        <v>0.17193308550185873</v>
      </c>
      <c r="G186" s="27">
        <f t="shared" si="9"/>
        <v>10459.494801100001</v>
      </c>
    </row>
    <row r="187" spans="1:7" ht="13.8" x14ac:dyDescent="0.25">
      <c r="A187" s="22">
        <v>30.924499999999998</v>
      </c>
      <c r="B187" s="14">
        <v>39569</v>
      </c>
      <c r="C187" s="12">
        <f t="shared" si="10"/>
        <v>31.422728055555556</v>
      </c>
      <c r="D187" s="25">
        <f t="shared" si="11"/>
        <v>186</v>
      </c>
      <c r="E187" s="15">
        <v>53.205711611111113</v>
      </c>
      <c r="F187" s="15">
        <f t="shared" si="8"/>
        <v>0.17286245353159851</v>
      </c>
      <c r="G187" s="28">
        <f t="shared" si="9"/>
        <v>10438.9606181</v>
      </c>
    </row>
    <row r="188" spans="1:7" ht="13.8" x14ac:dyDescent="0.25">
      <c r="A188" s="21">
        <v>49.670299999999997</v>
      </c>
      <c r="B188" s="11">
        <v>39539</v>
      </c>
      <c r="C188" s="12">
        <f t="shared" si="10"/>
        <v>50.470543722222224</v>
      </c>
      <c r="D188" s="24">
        <f t="shared" si="11"/>
        <v>187</v>
      </c>
      <c r="E188" s="12">
        <v>53.204898722222225</v>
      </c>
      <c r="F188" s="12">
        <f t="shared" si="8"/>
        <v>0.17379182156133829</v>
      </c>
      <c r="G188" s="27">
        <f t="shared" si="9"/>
        <v>10438.801129300002</v>
      </c>
    </row>
    <row r="189" spans="1:7" ht="13.8" x14ac:dyDescent="0.25">
      <c r="A189" s="22">
        <v>64.441900000000004</v>
      </c>
      <c r="B189" s="14">
        <v>39508</v>
      </c>
      <c r="C189" s="12">
        <f t="shared" si="10"/>
        <v>65.480130611111122</v>
      </c>
      <c r="D189" s="25">
        <f t="shared" si="11"/>
        <v>188</v>
      </c>
      <c r="E189" s="12">
        <v>53.119138944444444</v>
      </c>
      <c r="F189" s="15">
        <f t="shared" si="8"/>
        <v>0.17472118959107807</v>
      </c>
      <c r="G189" s="28">
        <f t="shared" si="9"/>
        <v>10421.9750609</v>
      </c>
    </row>
    <row r="190" spans="1:7" ht="13.8" x14ac:dyDescent="0.25">
      <c r="A190" s="21">
        <v>55.135800000000003</v>
      </c>
      <c r="B190" s="11">
        <v>39479</v>
      </c>
      <c r="C190" s="12">
        <f t="shared" si="10"/>
        <v>56.024099000000007</v>
      </c>
      <c r="D190" s="24">
        <f t="shared" si="11"/>
        <v>189</v>
      </c>
      <c r="E190" s="15">
        <v>52.936137333333342</v>
      </c>
      <c r="F190" s="12">
        <f t="shared" si="8"/>
        <v>0.17565055762081785</v>
      </c>
      <c r="G190" s="27">
        <f t="shared" si="9"/>
        <v>10386.070144800002</v>
      </c>
    </row>
    <row r="191" spans="1:7" ht="13.8" x14ac:dyDescent="0.25">
      <c r="A191" s="22">
        <v>42.298499999999997</v>
      </c>
      <c r="B191" s="14">
        <v>39448</v>
      </c>
      <c r="C191" s="12">
        <f t="shared" si="10"/>
        <v>42.979975833333334</v>
      </c>
      <c r="D191" s="25">
        <f t="shared" si="11"/>
        <v>190</v>
      </c>
      <c r="E191" s="15">
        <v>52.756387277777783</v>
      </c>
      <c r="F191" s="15">
        <f t="shared" si="8"/>
        <v>0.17657992565055763</v>
      </c>
      <c r="G191" s="28">
        <f t="shared" si="9"/>
        <v>10350.803183900003</v>
      </c>
    </row>
    <row r="192" spans="1:7" ht="13.8" x14ac:dyDescent="0.25">
      <c r="A192" s="21">
        <v>27.009699999999999</v>
      </c>
      <c r="B192" s="11">
        <v>39417</v>
      </c>
      <c r="C192" s="12">
        <f t="shared" si="10"/>
        <v>27.444856277777777</v>
      </c>
      <c r="D192" s="24">
        <f t="shared" si="11"/>
        <v>191</v>
      </c>
      <c r="E192" s="15">
        <v>52.689527166666672</v>
      </c>
      <c r="F192" s="12">
        <f t="shared" si="8"/>
        <v>0.17750929368029739</v>
      </c>
      <c r="G192" s="27">
        <f t="shared" si="9"/>
        <v>10337.685230100002</v>
      </c>
    </row>
    <row r="193" spans="1:7" ht="13.8" x14ac:dyDescent="0.25">
      <c r="A193" s="22">
        <v>20.3703</v>
      </c>
      <c r="B193" s="14">
        <v>39387</v>
      </c>
      <c r="C193" s="12">
        <f t="shared" si="10"/>
        <v>20.698488166666667</v>
      </c>
      <c r="D193" s="25">
        <f t="shared" si="11"/>
        <v>192</v>
      </c>
      <c r="E193" s="15">
        <v>52.679061222222231</v>
      </c>
      <c r="F193" s="15">
        <f t="shared" si="8"/>
        <v>0.17843866171003717</v>
      </c>
      <c r="G193" s="28">
        <f t="shared" si="9"/>
        <v>10335.631811800004</v>
      </c>
    </row>
    <row r="194" spans="1:7" ht="13.8" x14ac:dyDescent="0.25">
      <c r="A194" s="21">
        <v>12.0779</v>
      </c>
      <c r="B194" s="11">
        <v>39356</v>
      </c>
      <c r="C194" s="12">
        <f t="shared" si="10"/>
        <v>12.27248838888889</v>
      </c>
      <c r="D194" s="24">
        <f t="shared" si="11"/>
        <v>193</v>
      </c>
      <c r="E194" s="15">
        <v>52.47014877777778</v>
      </c>
      <c r="F194" s="12">
        <f t="shared" ref="F194:F257" si="12">D194/1076</f>
        <v>0.17936802973977695</v>
      </c>
      <c r="G194" s="27">
        <f t="shared" ref="G194:G257" si="13">1000*E194*$J$2*9.81/1000</f>
        <v>10294.6431902</v>
      </c>
    </row>
    <row r="195" spans="1:7" ht="13.8" x14ac:dyDescent="0.25">
      <c r="A195" s="22">
        <v>9.7571999999999992</v>
      </c>
      <c r="B195" s="14">
        <v>39326</v>
      </c>
      <c r="C195" s="12">
        <f t="shared" ref="C195:C258" si="14">A195*($I$2/$H$2)</f>
        <v>9.9143993333333338</v>
      </c>
      <c r="D195" s="25">
        <f t="shared" ref="D195:D258" si="15">D194+1</f>
        <v>194</v>
      </c>
      <c r="E195" s="12">
        <v>52.282777888888894</v>
      </c>
      <c r="F195" s="15">
        <f t="shared" si="12"/>
        <v>0.18029739776951673</v>
      </c>
      <c r="G195" s="28">
        <f t="shared" si="13"/>
        <v>10257.881021800002</v>
      </c>
    </row>
    <row r="196" spans="1:7" ht="13.8" x14ac:dyDescent="0.25">
      <c r="A196" s="21">
        <v>13.1275</v>
      </c>
      <c r="B196" s="11">
        <v>39295</v>
      </c>
      <c r="C196" s="12">
        <f t="shared" si="14"/>
        <v>13.338998611111112</v>
      </c>
      <c r="D196" s="24">
        <f t="shared" si="15"/>
        <v>195</v>
      </c>
      <c r="E196" s="12">
        <v>52.26164277777778</v>
      </c>
      <c r="F196" s="12">
        <f t="shared" si="12"/>
        <v>0.18122676579925651</v>
      </c>
      <c r="G196" s="27">
        <f t="shared" si="13"/>
        <v>10253.734313000001</v>
      </c>
    </row>
    <row r="197" spans="1:7" ht="13.8" x14ac:dyDescent="0.25">
      <c r="A197" s="22">
        <v>16.077300000000001</v>
      </c>
      <c r="B197" s="14">
        <v>39264</v>
      </c>
      <c r="C197" s="12">
        <f t="shared" si="14"/>
        <v>16.33632316666667</v>
      </c>
      <c r="D197" s="25">
        <f t="shared" si="15"/>
        <v>196</v>
      </c>
      <c r="E197" s="15">
        <v>52.102723000000005</v>
      </c>
      <c r="F197" s="15">
        <f t="shared" si="12"/>
        <v>0.18215613382899629</v>
      </c>
      <c r="G197" s="28">
        <f t="shared" si="13"/>
        <v>10222.554252600001</v>
      </c>
    </row>
    <row r="198" spans="1:7" ht="13.8" x14ac:dyDescent="0.25">
      <c r="A198" s="21">
        <v>19.781099999999999</v>
      </c>
      <c r="B198" s="11">
        <v>39234</v>
      </c>
      <c r="C198" s="12">
        <f t="shared" si="14"/>
        <v>20.099795499999999</v>
      </c>
      <c r="D198" s="24">
        <f t="shared" si="15"/>
        <v>197</v>
      </c>
      <c r="E198" s="15">
        <v>52.023364722222226</v>
      </c>
      <c r="F198" s="12">
        <f t="shared" si="12"/>
        <v>0.18308550185873607</v>
      </c>
      <c r="G198" s="27">
        <f t="shared" si="13"/>
        <v>10206.984158500003</v>
      </c>
    </row>
    <row r="199" spans="1:7" ht="13.8" x14ac:dyDescent="0.25">
      <c r="A199" s="22">
        <v>23.184000000000001</v>
      </c>
      <c r="B199" s="14">
        <v>39203</v>
      </c>
      <c r="C199" s="12">
        <f t="shared" si="14"/>
        <v>23.557520000000004</v>
      </c>
      <c r="D199" s="25">
        <f t="shared" si="15"/>
        <v>198</v>
      </c>
      <c r="E199" s="15">
        <v>51.91809561111112</v>
      </c>
      <c r="F199" s="15">
        <f t="shared" si="12"/>
        <v>0.18401486988847585</v>
      </c>
      <c r="G199" s="28">
        <f t="shared" si="13"/>
        <v>10186.330358900002</v>
      </c>
    </row>
    <row r="200" spans="1:7" ht="13.8" x14ac:dyDescent="0.25">
      <c r="A200" s="21">
        <v>29.314900000000002</v>
      </c>
      <c r="B200" s="11">
        <v>39173</v>
      </c>
      <c r="C200" s="12">
        <f t="shared" si="14"/>
        <v>29.787195611111116</v>
      </c>
      <c r="D200" s="24">
        <f t="shared" si="15"/>
        <v>199</v>
      </c>
      <c r="E200" s="12">
        <v>51.293390500000001</v>
      </c>
      <c r="F200" s="12">
        <f t="shared" si="12"/>
        <v>0.18494423791821563</v>
      </c>
      <c r="G200" s="27">
        <f t="shared" si="13"/>
        <v>10063.763216100002</v>
      </c>
    </row>
    <row r="201" spans="1:7" ht="13.8" x14ac:dyDescent="0.25">
      <c r="A201" s="22">
        <v>38.129899999999999</v>
      </c>
      <c r="B201" s="14">
        <v>39142</v>
      </c>
      <c r="C201" s="12">
        <f t="shared" si="14"/>
        <v>38.744215055555557</v>
      </c>
      <c r="D201" s="25">
        <f t="shared" si="15"/>
        <v>200</v>
      </c>
      <c r="E201" s="15">
        <v>51.196148666666673</v>
      </c>
      <c r="F201" s="15">
        <f t="shared" si="12"/>
        <v>0.18587360594795538</v>
      </c>
      <c r="G201" s="28">
        <f t="shared" si="13"/>
        <v>10044.684368400001</v>
      </c>
    </row>
    <row r="202" spans="1:7" ht="13.8" x14ac:dyDescent="0.25">
      <c r="A202" s="21">
        <v>71.4251</v>
      </c>
      <c r="B202" s="11">
        <v>39114</v>
      </c>
      <c r="C202" s="12">
        <f t="shared" si="14"/>
        <v>72.575837722222232</v>
      </c>
      <c r="D202" s="24">
        <f t="shared" si="15"/>
        <v>201</v>
      </c>
      <c r="E202" s="12">
        <v>51.059583333333336</v>
      </c>
      <c r="F202" s="12">
        <f t="shared" si="12"/>
        <v>0.18680297397769516</v>
      </c>
      <c r="G202" s="27">
        <f t="shared" si="13"/>
        <v>10017.890250000002</v>
      </c>
    </row>
    <row r="203" spans="1:7" ht="13.8" x14ac:dyDescent="0.25">
      <c r="A203" s="22">
        <v>120.9607</v>
      </c>
      <c r="B203" s="14">
        <v>39083</v>
      </c>
      <c r="C203" s="12">
        <f t="shared" si="14"/>
        <v>122.9095112777778</v>
      </c>
      <c r="D203" s="25">
        <f t="shared" si="15"/>
        <v>202</v>
      </c>
      <c r="E203" s="12">
        <v>51.036517611111115</v>
      </c>
      <c r="F203" s="15">
        <f t="shared" si="12"/>
        <v>0.18773234200743494</v>
      </c>
      <c r="G203" s="28">
        <f t="shared" si="13"/>
        <v>10013.364755300001</v>
      </c>
    </row>
    <row r="204" spans="1:7" ht="13.8" x14ac:dyDescent="0.25">
      <c r="A204" s="21">
        <v>65.591999999999999</v>
      </c>
      <c r="B204" s="11">
        <v>39052</v>
      </c>
      <c r="C204" s="12">
        <f t="shared" si="14"/>
        <v>66.64876000000001</v>
      </c>
      <c r="D204" s="24">
        <f t="shared" si="15"/>
        <v>203</v>
      </c>
      <c r="E204" s="12">
        <v>50.900561944444448</v>
      </c>
      <c r="F204" s="12">
        <f t="shared" si="12"/>
        <v>0.18866171003717472</v>
      </c>
      <c r="G204" s="27">
        <f t="shared" si="13"/>
        <v>9986.690253499999</v>
      </c>
    </row>
    <row r="205" spans="1:7" ht="13.8" x14ac:dyDescent="0.25">
      <c r="A205" s="22">
        <v>30.913499999999999</v>
      </c>
      <c r="B205" s="14">
        <v>39022</v>
      </c>
      <c r="C205" s="12">
        <f t="shared" si="14"/>
        <v>31.411550833333333</v>
      </c>
      <c r="D205" s="25">
        <f t="shared" si="15"/>
        <v>204</v>
      </c>
      <c r="E205" s="15">
        <v>50.84762255555556</v>
      </c>
      <c r="F205" s="15">
        <f t="shared" si="12"/>
        <v>0.1895910780669145</v>
      </c>
      <c r="G205" s="28">
        <f t="shared" si="13"/>
        <v>9976.3035454000019</v>
      </c>
    </row>
    <row r="206" spans="1:7" ht="13.8" x14ac:dyDescent="0.25">
      <c r="A206" s="21">
        <v>16.5412</v>
      </c>
      <c r="B206" s="11">
        <v>38991</v>
      </c>
      <c r="C206" s="12">
        <f t="shared" si="14"/>
        <v>16.807697111111111</v>
      </c>
      <c r="D206" s="24">
        <f t="shared" si="15"/>
        <v>205</v>
      </c>
      <c r="E206" s="12">
        <v>50.792854166666665</v>
      </c>
      <c r="F206" s="12">
        <f t="shared" si="12"/>
        <v>0.19052044609665428</v>
      </c>
      <c r="G206" s="27">
        <f t="shared" si="13"/>
        <v>9965.5579874999985</v>
      </c>
    </row>
    <row r="207" spans="1:7" ht="13.8" x14ac:dyDescent="0.25">
      <c r="A207" s="22">
        <v>12.6846</v>
      </c>
      <c r="B207" s="14">
        <v>38961</v>
      </c>
      <c r="C207" s="12">
        <f t="shared" si="14"/>
        <v>12.888963</v>
      </c>
      <c r="D207" s="25">
        <f t="shared" si="15"/>
        <v>206</v>
      </c>
      <c r="E207" s="15">
        <v>50.702623500000001</v>
      </c>
      <c r="F207" s="15">
        <f t="shared" si="12"/>
        <v>0.19144981412639406</v>
      </c>
      <c r="G207" s="28">
        <f t="shared" si="13"/>
        <v>9947.8547307000008</v>
      </c>
    </row>
    <row r="208" spans="1:7" ht="13.8" x14ac:dyDescent="0.25">
      <c r="A208" s="21">
        <v>10.7164</v>
      </c>
      <c r="B208" s="11">
        <v>38930</v>
      </c>
      <c r="C208" s="12">
        <f t="shared" si="14"/>
        <v>10.889053111111112</v>
      </c>
      <c r="D208" s="24">
        <f t="shared" si="15"/>
        <v>207</v>
      </c>
      <c r="E208" s="12">
        <v>50.470543722222224</v>
      </c>
      <c r="F208" s="12">
        <f t="shared" si="12"/>
        <v>0.19237918215613384</v>
      </c>
      <c r="G208" s="27">
        <f t="shared" si="13"/>
        <v>9902.3206783000005</v>
      </c>
    </row>
    <row r="209" spans="1:7" ht="13.8" x14ac:dyDescent="0.25">
      <c r="A209" s="22">
        <v>12.526300000000001</v>
      </c>
      <c r="B209" s="14">
        <v>38899</v>
      </c>
      <c r="C209" s="12">
        <f t="shared" si="14"/>
        <v>12.728112611111113</v>
      </c>
      <c r="D209" s="25">
        <f t="shared" si="15"/>
        <v>208</v>
      </c>
      <c r="E209" s="13">
        <v>50.442092611111114</v>
      </c>
      <c r="F209" s="15">
        <f t="shared" si="12"/>
        <v>0.19330855018587362</v>
      </c>
      <c r="G209" s="28">
        <f t="shared" si="13"/>
        <v>9896.7385703000018</v>
      </c>
    </row>
    <row r="210" spans="1:7" ht="13.8" x14ac:dyDescent="0.25">
      <c r="A210" s="21">
        <v>14.9361</v>
      </c>
      <c r="B210" s="11">
        <v>38869</v>
      </c>
      <c r="C210" s="12">
        <f t="shared" si="14"/>
        <v>15.176737166666667</v>
      </c>
      <c r="D210" s="24">
        <f t="shared" si="15"/>
        <v>209</v>
      </c>
      <c r="E210" s="12">
        <v>50.211943444444444</v>
      </c>
      <c r="F210" s="12">
        <f t="shared" si="12"/>
        <v>0.19423791821561337</v>
      </c>
      <c r="G210" s="27">
        <f t="shared" si="13"/>
        <v>9851.5833038000001</v>
      </c>
    </row>
    <row r="211" spans="1:7" ht="13.8" x14ac:dyDescent="0.25">
      <c r="A211" s="22">
        <v>19.181100000000001</v>
      </c>
      <c r="B211" s="14">
        <v>38838</v>
      </c>
      <c r="C211" s="12">
        <f t="shared" si="14"/>
        <v>19.490128833333337</v>
      </c>
      <c r="D211" s="25">
        <f t="shared" si="15"/>
        <v>210</v>
      </c>
      <c r="E211" s="15">
        <v>49.883333111111114</v>
      </c>
      <c r="F211" s="15">
        <f t="shared" si="12"/>
        <v>0.19516728624535315</v>
      </c>
      <c r="G211" s="28">
        <f t="shared" si="13"/>
        <v>9787.1099563999996</v>
      </c>
    </row>
    <row r="212" spans="1:7" ht="13.8" x14ac:dyDescent="0.25">
      <c r="A212" s="21">
        <v>24.9359</v>
      </c>
      <c r="B212" s="11">
        <v>38808</v>
      </c>
      <c r="C212" s="12">
        <f t="shared" si="14"/>
        <v>25.337645055555559</v>
      </c>
      <c r="D212" s="24">
        <f t="shared" si="15"/>
        <v>211</v>
      </c>
      <c r="E212" s="15">
        <v>49.668324000000005</v>
      </c>
      <c r="F212" s="12">
        <f t="shared" si="12"/>
        <v>0.19609665427509293</v>
      </c>
      <c r="G212" s="27">
        <f t="shared" si="13"/>
        <v>9744.9251688000022</v>
      </c>
    </row>
    <row r="213" spans="1:7" ht="13.8" x14ac:dyDescent="0.25">
      <c r="A213" s="22">
        <v>48.512300000000003</v>
      </c>
      <c r="B213" s="14">
        <v>38777</v>
      </c>
      <c r="C213" s="12">
        <f t="shared" si="14"/>
        <v>49.293887055555565</v>
      </c>
      <c r="D213" s="25">
        <f t="shared" si="15"/>
        <v>212</v>
      </c>
      <c r="E213" s="12">
        <v>49.614571722222223</v>
      </c>
      <c r="F213" s="15">
        <f t="shared" si="12"/>
        <v>0.19702602230483271</v>
      </c>
      <c r="G213" s="28">
        <f t="shared" si="13"/>
        <v>9734.3789719000015</v>
      </c>
    </row>
    <row r="214" spans="1:7" ht="13.8" x14ac:dyDescent="0.25">
      <c r="A214" s="21">
        <v>34.701099999999997</v>
      </c>
      <c r="B214" s="11">
        <v>38749</v>
      </c>
      <c r="C214" s="12">
        <f t="shared" si="14"/>
        <v>35.260173277777774</v>
      </c>
      <c r="D214" s="24">
        <f t="shared" si="15"/>
        <v>213</v>
      </c>
      <c r="E214" s="12">
        <v>49.452298777777777</v>
      </c>
      <c r="F214" s="12">
        <f t="shared" si="12"/>
        <v>0.19795539033457249</v>
      </c>
      <c r="G214" s="27">
        <f t="shared" si="13"/>
        <v>9702.5410201999985</v>
      </c>
    </row>
    <row r="215" spans="1:7" ht="13.8" x14ac:dyDescent="0.25">
      <c r="A215" s="22">
        <v>35.238799999999998</v>
      </c>
      <c r="B215" s="14">
        <v>38718</v>
      </c>
      <c r="C215" s="12">
        <f t="shared" si="14"/>
        <v>35.806536222222221</v>
      </c>
      <c r="D215" s="25">
        <f t="shared" si="15"/>
        <v>214</v>
      </c>
      <c r="E215" s="12">
        <v>49.313904444444447</v>
      </c>
      <c r="F215" s="15">
        <f t="shared" si="12"/>
        <v>0.19888475836431227</v>
      </c>
      <c r="G215" s="28">
        <f t="shared" si="13"/>
        <v>9675.3880520000002</v>
      </c>
    </row>
    <row r="216" spans="1:7" ht="13.8" x14ac:dyDescent="0.25">
      <c r="A216" s="21">
        <v>47.130400000000002</v>
      </c>
      <c r="B216" s="11">
        <v>38687</v>
      </c>
      <c r="C216" s="12">
        <f t="shared" si="14"/>
        <v>47.889723111111117</v>
      </c>
      <c r="D216" s="24">
        <f t="shared" si="15"/>
        <v>215</v>
      </c>
      <c r="E216" s="15">
        <v>49.293887055555565</v>
      </c>
      <c r="F216" s="12">
        <f t="shared" si="12"/>
        <v>0.19981412639405205</v>
      </c>
      <c r="G216" s="27">
        <f t="shared" si="13"/>
        <v>9671.4606403000016</v>
      </c>
    </row>
    <row r="217" spans="1:7" ht="13.8" x14ac:dyDescent="0.25">
      <c r="A217" s="22">
        <v>21.4528</v>
      </c>
      <c r="B217" s="14">
        <v>38657</v>
      </c>
      <c r="C217" s="12">
        <f t="shared" si="14"/>
        <v>21.798428444444447</v>
      </c>
      <c r="D217" s="25">
        <f t="shared" si="15"/>
        <v>216</v>
      </c>
      <c r="E217" s="12">
        <v>49.156813666666672</v>
      </c>
      <c r="F217" s="15">
        <f t="shared" si="12"/>
        <v>0.20074349442379183</v>
      </c>
      <c r="G217" s="28">
        <f t="shared" si="13"/>
        <v>9644.5668414000011</v>
      </c>
    </row>
    <row r="218" spans="1:7" ht="13.8" x14ac:dyDescent="0.25">
      <c r="A218" s="21">
        <v>13.484299999999999</v>
      </c>
      <c r="B218" s="11">
        <v>38626</v>
      </c>
      <c r="C218" s="12">
        <f t="shared" si="14"/>
        <v>13.701547055555556</v>
      </c>
      <c r="D218" s="24">
        <f t="shared" si="15"/>
        <v>217</v>
      </c>
      <c r="E218" s="15">
        <v>48.962330000000001</v>
      </c>
      <c r="F218" s="12">
        <f t="shared" si="12"/>
        <v>0.20167286245353161</v>
      </c>
      <c r="G218" s="27">
        <f t="shared" si="13"/>
        <v>9606.4091460000018</v>
      </c>
    </row>
    <row r="219" spans="1:7" ht="13.8" x14ac:dyDescent="0.25">
      <c r="A219" s="22">
        <v>15.5685</v>
      </c>
      <c r="B219" s="14">
        <v>38596</v>
      </c>
      <c r="C219" s="12">
        <f t="shared" si="14"/>
        <v>15.819325833333334</v>
      </c>
      <c r="D219" s="25">
        <f t="shared" si="15"/>
        <v>218</v>
      </c>
      <c r="E219" s="12">
        <v>48.719581055555558</v>
      </c>
      <c r="F219" s="15">
        <f t="shared" si="12"/>
        <v>0.20260223048327136</v>
      </c>
      <c r="G219" s="28">
        <f t="shared" si="13"/>
        <v>9558.7818031000006</v>
      </c>
    </row>
    <row r="220" spans="1:7" ht="13.8" x14ac:dyDescent="0.25">
      <c r="A220" s="21">
        <v>16.020199999999999</v>
      </c>
      <c r="B220" s="11">
        <v>38565</v>
      </c>
      <c r="C220" s="12">
        <f t="shared" si="14"/>
        <v>16.278303222222224</v>
      </c>
      <c r="D220" s="24">
        <f t="shared" si="15"/>
        <v>219</v>
      </c>
      <c r="E220" s="12">
        <v>48.596428388888889</v>
      </c>
      <c r="F220" s="12">
        <f t="shared" si="12"/>
        <v>0.20353159851301114</v>
      </c>
      <c r="G220" s="27">
        <f t="shared" si="13"/>
        <v>9534.6192499000008</v>
      </c>
    </row>
    <row r="221" spans="1:7" ht="14.4" customHeight="1" x14ac:dyDescent="0.25">
      <c r="A221" s="22">
        <v>20.571100000000001</v>
      </c>
      <c r="B221" s="14">
        <v>38534</v>
      </c>
      <c r="C221" s="12">
        <f t="shared" si="14"/>
        <v>20.902523277777782</v>
      </c>
      <c r="D221" s="25">
        <f t="shared" si="15"/>
        <v>220</v>
      </c>
      <c r="E221" s="15">
        <v>48.521236166666668</v>
      </c>
      <c r="F221" s="15">
        <f t="shared" si="12"/>
        <v>0.20446096654275092</v>
      </c>
      <c r="G221" s="28">
        <f t="shared" si="13"/>
        <v>9519.8665359000006</v>
      </c>
    </row>
    <row r="222" spans="1:7" ht="13.8" x14ac:dyDescent="0.25">
      <c r="A222" s="21">
        <v>24.817900000000002</v>
      </c>
      <c r="B222" s="11">
        <v>38504</v>
      </c>
      <c r="C222" s="12">
        <f t="shared" si="14"/>
        <v>25.217743944444447</v>
      </c>
      <c r="D222" s="24">
        <f t="shared" si="15"/>
        <v>221</v>
      </c>
      <c r="E222" s="12">
        <v>48.167426277777786</v>
      </c>
      <c r="F222" s="12">
        <f t="shared" si="12"/>
        <v>0.2053903345724907</v>
      </c>
      <c r="G222" s="27">
        <f t="shared" si="13"/>
        <v>9450.4490357000032</v>
      </c>
    </row>
    <row r="223" spans="1:7" ht="13.8" x14ac:dyDescent="0.25">
      <c r="A223" s="22">
        <v>32.094999999999999</v>
      </c>
      <c r="B223" s="14">
        <v>38473</v>
      </c>
      <c r="C223" s="12">
        <f t="shared" si="14"/>
        <v>32.612086111111111</v>
      </c>
      <c r="D223" s="25">
        <f t="shared" si="15"/>
        <v>222</v>
      </c>
      <c r="E223" s="12">
        <v>48.122006111111119</v>
      </c>
      <c r="F223" s="15">
        <f t="shared" si="12"/>
        <v>0.20631970260223048</v>
      </c>
      <c r="G223" s="28">
        <f t="shared" si="13"/>
        <v>9441.5375990000011</v>
      </c>
    </row>
    <row r="224" spans="1:7" ht="13.8" x14ac:dyDescent="0.25">
      <c r="A224" s="21">
        <v>31.425799999999999</v>
      </c>
      <c r="B224" s="11">
        <v>38443</v>
      </c>
      <c r="C224" s="12">
        <f t="shared" si="14"/>
        <v>31.932104555555558</v>
      </c>
      <c r="D224" s="24">
        <f t="shared" si="15"/>
        <v>223</v>
      </c>
      <c r="E224" s="12">
        <v>47.889723111111117</v>
      </c>
      <c r="F224" s="12">
        <f t="shared" si="12"/>
        <v>0.20724907063197026</v>
      </c>
      <c r="G224" s="27">
        <f t="shared" si="13"/>
        <v>9395.9636744000018</v>
      </c>
    </row>
    <row r="225" spans="1:7" ht="13.8" x14ac:dyDescent="0.25">
      <c r="A225" s="22">
        <v>44.333100000000002</v>
      </c>
      <c r="B225" s="14">
        <v>38412</v>
      </c>
      <c r="C225" s="12">
        <f t="shared" si="14"/>
        <v>45.047355500000002</v>
      </c>
      <c r="D225" s="25">
        <f t="shared" si="15"/>
        <v>224</v>
      </c>
      <c r="E225" s="15">
        <v>47.807519722222224</v>
      </c>
      <c r="F225" s="15">
        <f t="shared" si="12"/>
        <v>0.20817843866171004</v>
      </c>
      <c r="G225" s="28">
        <f t="shared" si="13"/>
        <v>9379.8353695000023</v>
      </c>
    </row>
    <row r="226" spans="1:7" ht="13.8" x14ac:dyDescent="0.25">
      <c r="A226" s="21">
        <v>64.484499999999997</v>
      </c>
      <c r="B226" s="11">
        <v>38384</v>
      </c>
      <c r="C226" s="12">
        <f t="shared" si="14"/>
        <v>65.523416944444449</v>
      </c>
      <c r="D226" s="24">
        <f t="shared" si="15"/>
        <v>225</v>
      </c>
      <c r="E226" s="15">
        <v>47.733343611111117</v>
      </c>
      <c r="F226" s="12">
        <f t="shared" si="12"/>
        <v>0.20910780669144982</v>
      </c>
      <c r="G226" s="27">
        <f t="shared" si="13"/>
        <v>9365.2820165000012</v>
      </c>
    </row>
    <row r="227" spans="1:7" ht="13.8" x14ac:dyDescent="0.25">
      <c r="A227" s="22">
        <v>81.692400000000006</v>
      </c>
      <c r="B227" s="14">
        <v>38353</v>
      </c>
      <c r="C227" s="12">
        <f t="shared" si="14"/>
        <v>83.008555333333348</v>
      </c>
      <c r="D227" s="25">
        <f t="shared" si="15"/>
        <v>226</v>
      </c>
      <c r="E227" s="12">
        <v>47.483278666666671</v>
      </c>
      <c r="F227" s="15">
        <f t="shared" si="12"/>
        <v>0.2100371747211896</v>
      </c>
      <c r="G227" s="28">
        <f t="shared" si="13"/>
        <v>9316.2192744000022</v>
      </c>
    </row>
    <row r="228" spans="1:7" ht="13.8" x14ac:dyDescent="0.25">
      <c r="A228" s="21">
        <v>57.337800000000001</v>
      </c>
      <c r="B228" s="11">
        <v>38322</v>
      </c>
      <c r="C228" s="12">
        <f t="shared" si="14"/>
        <v>58.261575666666673</v>
      </c>
      <c r="D228" s="24">
        <f t="shared" si="15"/>
        <v>227</v>
      </c>
      <c r="E228" s="12">
        <v>47.476775555555555</v>
      </c>
      <c r="F228" s="12">
        <f t="shared" si="12"/>
        <v>0.21096654275092938</v>
      </c>
      <c r="G228" s="27">
        <f t="shared" si="13"/>
        <v>9314.9433640000007</v>
      </c>
    </row>
    <row r="229" spans="1:7" ht="13.8" x14ac:dyDescent="0.25">
      <c r="A229" s="22">
        <v>21.053799999999999</v>
      </c>
      <c r="B229" s="14">
        <v>38292</v>
      </c>
      <c r="C229" s="12">
        <f t="shared" si="14"/>
        <v>21.39300011111111</v>
      </c>
      <c r="D229" s="25">
        <f t="shared" si="15"/>
        <v>228</v>
      </c>
      <c r="E229" s="15">
        <v>47.314197777777778</v>
      </c>
      <c r="F229" s="15">
        <f t="shared" si="12"/>
        <v>0.21189591078066913</v>
      </c>
      <c r="G229" s="28">
        <f t="shared" si="13"/>
        <v>9283.0456040000026</v>
      </c>
    </row>
    <row r="230" spans="1:7" ht="13.8" x14ac:dyDescent="0.25">
      <c r="A230" s="21">
        <v>16.205400000000001</v>
      </c>
      <c r="B230" s="11">
        <v>38261</v>
      </c>
      <c r="C230" s="12">
        <f t="shared" si="14"/>
        <v>16.466487000000001</v>
      </c>
      <c r="D230" s="24">
        <f t="shared" si="15"/>
        <v>229</v>
      </c>
      <c r="E230" s="15">
        <v>47.068298888888897</v>
      </c>
      <c r="F230" s="12">
        <f t="shared" si="12"/>
        <v>0.21282527881040891</v>
      </c>
      <c r="G230" s="27">
        <f t="shared" si="13"/>
        <v>9234.800242000003</v>
      </c>
    </row>
    <row r="231" spans="1:7" ht="13.8" x14ac:dyDescent="0.25">
      <c r="A231" s="22">
        <v>12.228999999999999</v>
      </c>
      <c r="B231" s="14">
        <v>38231</v>
      </c>
      <c r="C231" s="12">
        <f t="shared" si="14"/>
        <v>12.426022777777778</v>
      </c>
      <c r="D231" s="25">
        <f t="shared" si="15"/>
        <v>230</v>
      </c>
      <c r="E231" s="12">
        <v>47.061287722222225</v>
      </c>
      <c r="F231" s="15">
        <f t="shared" si="12"/>
        <v>0.21375464684014869</v>
      </c>
      <c r="G231" s="28">
        <f t="shared" si="13"/>
        <v>9233.4246511000001</v>
      </c>
    </row>
    <row r="232" spans="1:7" ht="13.8" x14ac:dyDescent="0.25">
      <c r="A232" s="21">
        <v>13.9185</v>
      </c>
      <c r="B232" s="11">
        <v>38200</v>
      </c>
      <c r="C232" s="12">
        <f t="shared" si="14"/>
        <v>14.142742500000001</v>
      </c>
      <c r="D232" s="24">
        <f t="shared" si="15"/>
        <v>231</v>
      </c>
      <c r="E232" s="15">
        <v>46.9568315</v>
      </c>
      <c r="F232" s="12">
        <f t="shared" si="12"/>
        <v>0.21468401486988847</v>
      </c>
      <c r="G232" s="27">
        <f t="shared" si="13"/>
        <v>9212.9303403000013</v>
      </c>
    </row>
    <row r="233" spans="1:7" ht="13.8" x14ac:dyDescent="0.25">
      <c r="A233" s="22">
        <v>18.6952</v>
      </c>
      <c r="B233" s="14">
        <v>38169</v>
      </c>
      <c r="C233" s="12">
        <f t="shared" si="14"/>
        <v>18.996400444444447</v>
      </c>
      <c r="D233" s="25">
        <f t="shared" si="15"/>
        <v>232</v>
      </c>
      <c r="E233" s="15">
        <v>46.803906777777776</v>
      </c>
      <c r="F233" s="15">
        <f t="shared" si="12"/>
        <v>0.21561338289962825</v>
      </c>
      <c r="G233" s="28">
        <f t="shared" si="13"/>
        <v>9182.9265097999996</v>
      </c>
    </row>
    <row r="234" spans="1:7" ht="13.8" x14ac:dyDescent="0.25">
      <c r="A234" s="21">
        <v>23.767499999999998</v>
      </c>
      <c r="B234" s="11">
        <v>38139</v>
      </c>
      <c r="C234" s="12">
        <f t="shared" si="14"/>
        <v>24.150420833333332</v>
      </c>
      <c r="D234" s="24">
        <f t="shared" si="15"/>
        <v>233</v>
      </c>
      <c r="E234" s="15">
        <v>46.622022888888893</v>
      </c>
      <c r="F234" s="12">
        <f t="shared" si="12"/>
        <v>0.21654275092936803</v>
      </c>
      <c r="G234" s="27">
        <f t="shared" si="13"/>
        <v>9147.2408908000016</v>
      </c>
    </row>
    <row r="235" spans="1:7" ht="13.8" x14ac:dyDescent="0.25">
      <c r="A235" s="22">
        <v>27.638999999999999</v>
      </c>
      <c r="B235" s="14">
        <v>38108</v>
      </c>
      <c r="C235" s="12">
        <f t="shared" si="14"/>
        <v>28.084295000000001</v>
      </c>
      <c r="D235" s="25">
        <f t="shared" si="15"/>
        <v>234</v>
      </c>
      <c r="E235" s="12">
        <v>46.537075999999999</v>
      </c>
      <c r="F235" s="15">
        <f t="shared" si="12"/>
        <v>0.21747211895910781</v>
      </c>
      <c r="G235" s="28">
        <f t="shared" si="13"/>
        <v>9130.5743112</v>
      </c>
    </row>
    <row r="236" spans="1:7" ht="13.8" x14ac:dyDescent="0.25">
      <c r="A236" s="21">
        <v>47.947099999999999</v>
      </c>
      <c r="B236" s="11">
        <v>38078</v>
      </c>
      <c r="C236" s="12">
        <f t="shared" si="14"/>
        <v>48.719581055555558</v>
      </c>
      <c r="D236" s="24">
        <f t="shared" si="15"/>
        <v>235</v>
      </c>
      <c r="E236" s="12">
        <v>46.16924377777778</v>
      </c>
      <c r="F236" s="12">
        <f t="shared" si="12"/>
        <v>0.21840148698884759</v>
      </c>
      <c r="G236" s="27">
        <f t="shared" si="13"/>
        <v>9058.4056292000005</v>
      </c>
    </row>
    <row r="237" spans="1:7" ht="13.8" x14ac:dyDescent="0.25">
      <c r="A237" s="22">
        <v>46.564</v>
      </c>
      <c r="B237" s="14">
        <v>38047</v>
      </c>
      <c r="C237" s="12">
        <f t="shared" si="14"/>
        <v>47.314197777777778</v>
      </c>
      <c r="D237" s="25">
        <f t="shared" si="15"/>
        <v>236</v>
      </c>
      <c r="E237" s="12">
        <v>46.128599333333334</v>
      </c>
      <c r="F237" s="15">
        <f t="shared" si="12"/>
        <v>0.21933085501858737</v>
      </c>
      <c r="G237" s="28">
        <f t="shared" si="13"/>
        <v>9050.4311891999987</v>
      </c>
    </row>
    <row r="238" spans="1:7" ht="13.8" x14ac:dyDescent="0.25">
      <c r="A238" s="21">
        <v>49.415799999999997</v>
      </c>
      <c r="B238" s="11">
        <v>38018</v>
      </c>
      <c r="C238" s="12">
        <f t="shared" si="14"/>
        <v>50.211943444444444</v>
      </c>
      <c r="D238" s="24">
        <f t="shared" si="15"/>
        <v>237</v>
      </c>
      <c r="E238" s="15">
        <v>45.998029055555563</v>
      </c>
      <c r="F238" s="12">
        <f t="shared" si="12"/>
        <v>0.22026022304832713</v>
      </c>
      <c r="G238" s="27">
        <f t="shared" si="13"/>
        <v>9024.8133007000015</v>
      </c>
    </row>
    <row r="239" spans="1:7" ht="13.8" x14ac:dyDescent="0.25">
      <c r="A239" s="22">
        <v>29.252099999999999</v>
      </c>
      <c r="B239" s="14">
        <v>37987</v>
      </c>
      <c r="C239" s="12">
        <f t="shared" si="14"/>
        <v>29.723383833333333</v>
      </c>
      <c r="D239" s="25">
        <f t="shared" si="15"/>
        <v>238</v>
      </c>
      <c r="E239" s="15">
        <v>45.698276277777779</v>
      </c>
      <c r="F239" s="15">
        <f t="shared" si="12"/>
        <v>0.22118959107806691</v>
      </c>
      <c r="G239" s="28">
        <f t="shared" si="13"/>
        <v>8966.0018057000016</v>
      </c>
    </row>
    <row r="240" spans="1:7" ht="13.8" x14ac:dyDescent="0.25">
      <c r="A240" s="21">
        <v>35.735599999999998</v>
      </c>
      <c r="B240" s="11">
        <v>37956</v>
      </c>
      <c r="C240" s="12">
        <f t="shared" si="14"/>
        <v>36.311340222222221</v>
      </c>
      <c r="D240" s="24">
        <f t="shared" si="15"/>
        <v>239</v>
      </c>
      <c r="E240" s="12">
        <v>45.676023444444446</v>
      </c>
      <c r="F240" s="12">
        <f t="shared" si="12"/>
        <v>0.22211895910780668</v>
      </c>
      <c r="G240" s="27">
        <f t="shared" si="13"/>
        <v>8961.6357997999985</v>
      </c>
    </row>
    <row r="241" spans="1:7" ht="13.8" x14ac:dyDescent="0.25">
      <c r="A241" s="22">
        <v>13.9459</v>
      </c>
      <c r="B241" s="14">
        <v>37926</v>
      </c>
      <c r="C241" s="12">
        <f t="shared" si="14"/>
        <v>14.170583944444445</v>
      </c>
      <c r="D241" s="25">
        <f t="shared" si="15"/>
        <v>240</v>
      </c>
      <c r="E241" s="15">
        <v>45.46944805555556</v>
      </c>
      <c r="F241" s="15">
        <f t="shared" si="12"/>
        <v>0.22304832713754646</v>
      </c>
      <c r="G241" s="28">
        <f t="shared" si="13"/>
        <v>8921.1057084999993</v>
      </c>
    </row>
    <row r="242" spans="1:7" ht="13.8" x14ac:dyDescent="0.25">
      <c r="A242" s="21">
        <v>10.2743</v>
      </c>
      <c r="B242" s="11">
        <v>37895</v>
      </c>
      <c r="C242" s="12">
        <f t="shared" si="14"/>
        <v>10.43983038888889</v>
      </c>
      <c r="D242" s="24">
        <f t="shared" si="15"/>
        <v>241</v>
      </c>
      <c r="E242" s="15">
        <v>45.366719222222223</v>
      </c>
      <c r="F242" s="12">
        <f t="shared" si="12"/>
        <v>0.22397769516728624</v>
      </c>
      <c r="G242" s="27">
        <f t="shared" si="13"/>
        <v>8900.9503113999999</v>
      </c>
    </row>
    <row r="243" spans="1:7" ht="13.8" x14ac:dyDescent="0.25">
      <c r="A243" s="22">
        <v>9.7643000000000004</v>
      </c>
      <c r="B243" s="14">
        <v>37865</v>
      </c>
      <c r="C243" s="12">
        <f t="shared" si="14"/>
        <v>9.921613722222224</v>
      </c>
      <c r="D243" s="25">
        <f t="shared" si="15"/>
        <v>242</v>
      </c>
      <c r="E243" s="15">
        <v>45.337048777777781</v>
      </c>
      <c r="F243" s="15">
        <f t="shared" si="12"/>
        <v>0.22490706319702602</v>
      </c>
      <c r="G243" s="28">
        <f t="shared" si="13"/>
        <v>8895.1289702000031</v>
      </c>
    </row>
    <row r="244" spans="1:7" ht="13.8" x14ac:dyDescent="0.25">
      <c r="A244" s="21">
        <v>10.9292</v>
      </c>
      <c r="B244" s="11">
        <v>37834</v>
      </c>
      <c r="C244" s="12">
        <f t="shared" si="14"/>
        <v>11.105281555555557</v>
      </c>
      <c r="D244" s="24">
        <f t="shared" si="15"/>
        <v>243</v>
      </c>
      <c r="E244" s="15">
        <v>45.313881444444448</v>
      </c>
      <c r="F244" s="12">
        <f t="shared" si="12"/>
        <v>0.2258364312267658</v>
      </c>
      <c r="G244" s="27">
        <f t="shared" si="13"/>
        <v>8890.5835394000023</v>
      </c>
    </row>
    <row r="245" spans="1:7" ht="13.8" x14ac:dyDescent="0.25">
      <c r="A245" s="22">
        <v>13.4978</v>
      </c>
      <c r="B245" s="14">
        <v>37803</v>
      </c>
      <c r="C245" s="12">
        <f t="shared" si="14"/>
        <v>13.715264555555557</v>
      </c>
      <c r="D245" s="25">
        <f t="shared" si="15"/>
        <v>244</v>
      </c>
      <c r="E245" s="15">
        <v>45.124986388888892</v>
      </c>
      <c r="F245" s="15">
        <f t="shared" si="12"/>
        <v>0.22676579925650558</v>
      </c>
      <c r="G245" s="28">
        <f t="shared" si="13"/>
        <v>8853.5223295000033</v>
      </c>
    </row>
    <row r="246" spans="1:7" ht="13.8" x14ac:dyDescent="0.25">
      <c r="A246" s="21">
        <v>15.4145</v>
      </c>
      <c r="B246" s="11">
        <v>37773</v>
      </c>
      <c r="C246" s="12">
        <f t="shared" si="14"/>
        <v>15.662844722222223</v>
      </c>
      <c r="D246" s="24">
        <f t="shared" si="15"/>
        <v>245</v>
      </c>
      <c r="E246" s="15">
        <v>45.0949095</v>
      </c>
      <c r="F246" s="12">
        <f t="shared" si="12"/>
        <v>0.22769516728624536</v>
      </c>
      <c r="G246" s="27">
        <f t="shared" si="13"/>
        <v>8847.621243900001</v>
      </c>
    </row>
    <row r="247" spans="1:7" ht="13.8" x14ac:dyDescent="0.25">
      <c r="A247" s="22">
        <v>19.945399999999999</v>
      </c>
      <c r="B247" s="14">
        <v>37742</v>
      </c>
      <c r="C247" s="12">
        <f t="shared" si="14"/>
        <v>20.266742555555556</v>
      </c>
      <c r="D247" s="25">
        <f t="shared" si="15"/>
        <v>246</v>
      </c>
      <c r="E247" s="15">
        <v>45.047355500000002</v>
      </c>
      <c r="F247" s="15">
        <f t="shared" si="12"/>
        <v>0.22862453531598512</v>
      </c>
      <c r="G247" s="28">
        <f t="shared" si="13"/>
        <v>8838.2911491000013</v>
      </c>
    </row>
    <row r="248" spans="1:7" ht="13.8" x14ac:dyDescent="0.25">
      <c r="A248" s="21">
        <v>24.450199999999999</v>
      </c>
      <c r="B248" s="11">
        <v>37712</v>
      </c>
      <c r="C248" s="12">
        <f t="shared" si="14"/>
        <v>24.844119888888891</v>
      </c>
      <c r="D248" s="24">
        <f t="shared" si="15"/>
        <v>247</v>
      </c>
      <c r="E248" s="15">
        <v>44.870653777777783</v>
      </c>
      <c r="F248" s="12">
        <f t="shared" si="12"/>
        <v>0.2295539033457249</v>
      </c>
      <c r="G248" s="27">
        <f t="shared" si="13"/>
        <v>8803.6222712000035</v>
      </c>
    </row>
    <row r="249" spans="1:7" ht="13.8" x14ac:dyDescent="0.25">
      <c r="A249" s="22">
        <v>38.0471</v>
      </c>
      <c r="B249" s="14">
        <v>37681</v>
      </c>
      <c r="C249" s="12">
        <f t="shared" si="14"/>
        <v>38.660081055555558</v>
      </c>
      <c r="D249" s="25">
        <f t="shared" si="15"/>
        <v>248</v>
      </c>
      <c r="E249" s="15">
        <v>44.852262166666669</v>
      </c>
      <c r="F249" s="15">
        <f t="shared" si="12"/>
        <v>0.23048327137546468</v>
      </c>
      <c r="G249" s="28">
        <f t="shared" si="13"/>
        <v>8800.0138371000012</v>
      </c>
    </row>
    <row r="250" spans="1:7" ht="13.8" x14ac:dyDescent="0.25">
      <c r="A250" s="21">
        <v>53.187600000000003</v>
      </c>
      <c r="B250" s="11">
        <v>37653</v>
      </c>
      <c r="C250" s="12">
        <f t="shared" si="14"/>
        <v>54.04451133333334</v>
      </c>
      <c r="D250" s="24">
        <f t="shared" si="15"/>
        <v>249</v>
      </c>
      <c r="E250" s="15">
        <v>44.808162944444454</v>
      </c>
      <c r="F250" s="12">
        <f t="shared" si="12"/>
        <v>0.23141263940520446</v>
      </c>
      <c r="G250" s="27">
        <f t="shared" si="13"/>
        <v>8791.3615697000023</v>
      </c>
    </row>
    <row r="251" spans="1:7" ht="13.8" x14ac:dyDescent="0.25">
      <c r="A251" s="22">
        <v>73.700599999999994</v>
      </c>
      <c r="B251" s="14">
        <v>37622</v>
      </c>
      <c r="C251" s="12">
        <f t="shared" si="14"/>
        <v>74.887998555555555</v>
      </c>
      <c r="D251" s="25">
        <f t="shared" si="15"/>
        <v>250</v>
      </c>
      <c r="E251" s="15">
        <v>44.695069777777782</v>
      </c>
      <c r="F251" s="15">
        <f t="shared" si="12"/>
        <v>0.23234200743494424</v>
      </c>
      <c r="G251" s="28">
        <f t="shared" si="13"/>
        <v>8769.1726904000006</v>
      </c>
    </row>
    <row r="252" spans="1:7" ht="13.8" x14ac:dyDescent="0.25">
      <c r="A252" s="21">
        <v>36.7562</v>
      </c>
      <c r="B252" s="11">
        <v>37591</v>
      </c>
      <c r="C252" s="12">
        <f t="shared" si="14"/>
        <v>37.348383222222225</v>
      </c>
      <c r="D252" s="24">
        <f t="shared" si="15"/>
        <v>251</v>
      </c>
      <c r="E252" s="15">
        <v>44.660115555555556</v>
      </c>
      <c r="F252" s="12">
        <f t="shared" si="12"/>
        <v>0.23327137546468402</v>
      </c>
      <c r="G252" s="27">
        <f t="shared" si="13"/>
        <v>8762.3146720000022</v>
      </c>
    </row>
    <row r="253" spans="1:7" ht="13.8" x14ac:dyDescent="0.25">
      <c r="A253" s="22">
        <v>20.290600000000001</v>
      </c>
      <c r="B253" s="14">
        <v>37561</v>
      </c>
      <c r="C253" s="12">
        <f t="shared" si="14"/>
        <v>20.617504111111113</v>
      </c>
      <c r="D253" s="25">
        <f t="shared" si="15"/>
        <v>252</v>
      </c>
      <c r="E253" s="15">
        <v>44.637862722222231</v>
      </c>
      <c r="F253" s="15">
        <f t="shared" si="12"/>
        <v>0.2342007434944238</v>
      </c>
      <c r="G253" s="28">
        <f t="shared" si="13"/>
        <v>8757.948666100001</v>
      </c>
    </row>
    <row r="254" spans="1:7" ht="13.8" x14ac:dyDescent="0.25">
      <c r="A254" s="21">
        <v>8.7193000000000005</v>
      </c>
      <c r="B254" s="11">
        <v>37530</v>
      </c>
      <c r="C254" s="12">
        <f t="shared" si="14"/>
        <v>8.8597776111111131</v>
      </c>
      <c r="D254" s="24">
        <f t="shared" si="15"/>
        <v>253</v>
      </c>
      <c r="E254" s="15">
        <v>44.453336944444445</v>
      </c>
      <c r="F254" s="12">
        <f t="shared" si="12"/>
        <v>0.23513011152416358</v>
      </c>
      <c r="G254" s="27">
        <f t="shared" si="13"/>
        <v>8721.7447085000022</v>
      </c>
    </row>
    <row r="255" spans="1:7" ht="13.8" x14ac:dyDescent="0.25">
      <c r="A255" s="22">
        <v>12.064399999999999</v>
      </c>
      <c r="B255" s="14">
        <v>37500</v>
      </c>
      <c r="C255" s="12">
        <f t="shared" si="14"/>
        <v>12.25877088888889</v>
      </c>
      <c r="D255" s="25">
        <f t="shared" si="15"/>
        <v>254</v>
      </c>
      <c r="E255" s="15">
        <v>44.354469333333341</v>
      </c>
      <c r="F255" s="15">
        <f t="shared" si="12"/>
        <v>0.23605947955390336</v>
      </c>
      <c r="G255" s="28">
        <f t="shared" si="13"/>
        <v>8702.3468832000035</v>
      </c>
    </row>
    <row r="256" spans="1:7" ht="13.8" x14ac:dyDescent="0.25">
      <c r="A256" s="21">
        <v>10.5688</v>
      </c>
      <c r="B256" s="11">
        <v>37469</v>
      </c>
      <c r="C256" s="12">
        <f t="shared" si="14"/>
        <v>10.739075111111111</v>
      </c>
      <c r="D256" s="24">
        <f t="shared" si="15"/>
        <v>255</v>
      </c>
      <c r="E256" s="15">
        <v>44.297567111111114</v>
      </c>
      <c r="F256" s="12">
        <f t="shared" si="12"/>
        <v>0.23698884758364314</v>
      </c>
      <c r="G256" s="27">
        <f t="shared" si="13"/>
        <v>8691.1826672000007</v>
      </c>
    </row>
    <row r="257" spans="1:7" ht="13.8" x14ac:dyDescent="0.25">
      <c r="A257" s="22">
        <v>12.9057</v>
      </c>
      <c r="B257" s="14">
        <v>37438</v>
      </c>
      <c r="C257" s="12">
        <f t="shared" si="14"/>
        <v>13.113625166666667</v>
      </c>
      <c r="D257" s="25">
        <f t="shared" si="15"/>
        <v>256</v>
      </c>
      <c r="E257" s="15">
        <v>44.284967333333334</v>
      </c>
      <c r="F257" s="15">
        <f t="shared" si="12"/>
        <v>0.23791821561338289</v>
      </c>
      <c r="G257" s="28">
        <f t="shared" si="13"/>
        <v>8688.7105908000012</v>
      </c>
    </row>
    <row r="258" spans="1:7" ht="13.8" x14ac:dyDescent="0.25">
      <c r="A258" s="21">
        <v>14.8665</v>
      </c>
      <c r="B258" s="11">
        <v>37408</v>
      </c>
      <c r="C258" s="12">
        <f t="shared" si="14"/>
        <v>15.106015833333334</v>
      </c>
      <c r="D258" s="24">
        <f t="shared" si="15"/>
        <v>257</v>
      </c>
      <c r="E258" s="12">
        <v>44.173093500000007</v>
      </c>
      <c r="F258" s="12">
        <f t="shared" ref="F258:F321" si="16">D258/1076</f>
        <v>0.23884758364312267</v>
      </c>
      <c r="G258" s="27">
        <f t="shared" ref="G258:G321" si="17">1000*E258*$J$2*9.81/1000</f>
        <v>8666.7609447000032</v>
      </c>
    </row>
    <row r="259" spans="1:7" ht="13.8" x14ac:dyDescent="0.25">
      <c r="A259" s="22">
        <v>19.2349</v>
      </c>
      <c r="B259" s="14">
        <v>37377</v>
      </c>
      <c r="C259" s="12">
        <f t="shared" ref="C259:C322" si="18">A259*($I$2/$H$2)</f>
        <v>19.544795611111113</v>
      </c>
      <c r="D259" s="25">
        <f t="shared" ref="D259:D322" si="19">D258+1</f>
        <v>258</v>
      </c>
      <c r="E259" s="12">
        <v>44.156734111111113</v>
      </c>
      <c r="F259" s="15">
        <f t="shared" si="16"/>
        <v>0.23977695167286245</v>
      </c>
      <c r="G259" s="28">
        <f t="shared" si="17"/>
        <v>8663.5512326000007</v>
      </c>
    </row>
    <row r="260" spans="1:7" ht="13.8" x14ac:dyDescent="0.25">
      <c r="A260" s="21">
        <v>25.152799999999999</v>
      </c>
      <c r="B260" s="11">
        <v>37347</v>
      </c>
      <c r="C260" s="12">
        <f t="shared" si="18"/>
        <v>25.558039555555556</v>
      </c>
      <c r="D260" s="24">
        <f t="shared" si="19"/>
        <v>259</v>
      </c>
      <c r="E260" s="15">
        <v>44.014783388888887</v>
      </c>
      <c r="F260" s="12">
        <f t="shared" si="16"/>
        <v>0.24070631970260223</v>
      </c>
      <c r="G260" s="27">
        <f t="shared" si="17"/>
        <v>8635.7005008999986</v>
      </c>
    </row>
    <row r="261" spans="1:7" ht="13.8" x14ac:dyDescent="0.25">
      <c r="A261" s="22">
        <v>40.316800000000001</v>
      </c>
      <c r="B261" s="14">
        <v>37316</v>
      </c>
      <c r="C261" s="12">
        <f t="shared" si="18"/>
        <v>40.966348444444449</v>
      </c>
      <c r="D261" s="25">
        <f t="shared" si="19"/>
        <v>260</v>
      </c>
      <c r="E261" s="12">
        <v>43.978609833333337</v>
      </c>
      <c r="F261" s="15">
        <f t="shared" si="16"/>
        <v>0.24163568773234201</v>
      </c>
      <c r="G261" s="28">
        <f t="shared" si="17"/>
        <v>8628.6032493000021</v>
      </c>
    </row>
    <row r="262" spans="1:7" ht="13.8" x14ac:dyDescent="0.25">
      <c r="A262" s="21">
        <v>76.441699999999997</v>
      </c>
      <c r="B262" s="11">
        <v>37288</v>
      </c>
      <c r="C262" s="12">
        <f t="shared" si="18"/>
        <v>77.673260722222224</v>
      </c>
      <c r="D262" s="24">
        <f t="shared" si="19"/>
        <v>261</v>
      </c>
      <c r="E262" s="15">
        <v>43.704971111111114</v>
      </c>
      <c r="F262" s="12">
        <f t="shared" si="16"/>
        <v>0.24256505576208179</v>
      </c>
      <c r="G262" s="27">
        <f t="shared" si="17"/>
        <v>8574.9153320000005</v>
      </c>
    </row>
    <row r="263" spans="1:7" ht="13.8" x14ac:dyDescent="0.25">
      <c r="A263" s="22">
        <v>61.399000000000001</v>
      </c>
      <c r="B263" s="14">
        <v>37257</v>
      </c>
      <c r="C263" s="12">
        <f t="shared" si="18"/>
        <v>62.388206111111117</v>
      </c>
      <c r="D263" s="25">
        <f t="shared" si="19"/>
        <v>262</v>
      </c>
      <c r="E263" s="15">
        <v>43.168362833333333</v>
      </c>
      <c r="F263" s="15">
        <f t="shared" si="16"/>
        <v>0.24349442379182157</v>
      </c>
      <c r="G263" s="28">
        <f t="shared" si="17"/>
        <v>8469.6327878999982</v>
      </c>
    </row>
    <row r="264" spans="1:7" ht="13.8" x14ac:dyDescent="0.25">
      <c r="A264" s="21">
        <v>50.4801</v>
      </c>
      <c r="B264" s="11">
        <v>37226</v>
      </c>
      <c r="C264" s="12">
        <f t="shared" si="18"/>
        <v>51.293390500000001</v>
      </c>
      <c r="D264" s="24">
        <f t="shared" si="19"/>
        <v>263</v>
      </c>
      <c r="E264" s="12">
        <v>43.020620277777788</v>
      </c>
      <c r="F264" s="12">
        <f t="shared" si="16"/>
        <v>0.24442379182156135</v>
      </c>
      <c r="G264" s="27">
        <f t="shared" si="17"/>
        <v>8440.6456985000023</v>
      </c>
    </row>
    <row r="265" spans="1:7" ht="13.8" x14ac:dyDescent="0.25">
      <c r="A265" s="22">
        <v>19.6873</v>
      </c>
      <c r="B265" s="14">
        <v>37196</v>
      </c>
      <c r="C265" s="12">
        <f t="shared" si="18"/>
        <v>20.004484277777781</v>
      </c>
      <c r="D265" s="25">
        <f t="shared" si="19"/>
        <v>264</v>
      </c>
      <c r="E265" s="12">
        <v>43.020620277777788</v>
      </c>
      <c r="F265" s="15">
        <f t="shared" si="16"/>
        <v>0.24535315985130113</v>
      </c>
      <c r="G265" s="28">
        <f t="shared" si="17"/>
        <v>8440.6456985000023</v>
      </c>
    </row>
    <row r="266" spans="1:7" ht="13.8" x14ac:dyDescent="0.25">
      <c r="A266" s="21">
        <v>13.5061</v>
      </c>
      <c r="B266" s="11">
        <v>37165</v>
      </c>
      <c r="C266" s="12">
        <f t="shared" si="18"/>
        <v>13.723698277777778</v>
      </c>
      <c r="D266" s="24">
        <f t="shared" si="19"/>
        <v>265</v>
      </c>
      <c r="E266" s="15">
        <v>42.979975833333334</v>
      </c>
      <c r="F266" s="12">
        <f t="shared" si="16"/>
        <v>0.24628252788104088</v>
      </c>
      <c r="G266" s="27">
        <f t="shared" si="17"/>
        <v>8432.6712585000005</v>
      </c>
    </row>
    <row r="267" spans="1:7" ht="13.8" x14ac:dyDescent="0.25">
      <c r="A267" s="22">
        <v>8.1995000000000005</v>
      </c>
      <c r="B267" s="14">
        <v>37135</v>
      </c>
      <c r="C267" s="12">
        <f t="shared" si="18"/>
        <v>8.331603055555556</v>
      </c>
      <c r="D267" s="25">
        <f t="shared" si="19"/>
        <v>266</v>
      </c>
      <c r="E267" s="12">
        <v>42.942074888888897</v>
      </c>
      <c r="F267" s="15">
        <f t="shared" si="16"/>
        <v>0.24721189591078066</v>
      </c>
      <c r="G267" s="28">
        <f t="shared" si="17"/>
        <v>8425.2350932000027</v>
      </c>
    </row>
    <row r="268" spans="1:7" ht="13.8" x14ac:dyDescent="0.25">
      <c r="A268" s="21">
        <v>6.5518999999999998</v>
      </c>
      <c r="B268" s="11">
        <v>37104</v>
      </c>
      <c r="C268" s="12">
        <f t="shared" si="18"/>
        <v>6.6574583888888892</v>
      </c>
      <c r="D268" s="24">
        <f t="shared" si="19"/>
        <v>267</v>
      </c>
      <c r="E268" s="15">
        <v>42.937400777777782</v>
      </c>
      <c r="F268" s="12">
        <f t="shared" si="16"/>
        <v>0.24814126394052044</v>
      </c>
      <c r="G268" s="27">
        <f t="shared" si="17"/>
        <v>8424.3180326000002</v>
      </c>
    </row>
    <row r="269" spans="1:7" ht="13.8" x14ac:dyDescent="0.25">
      <c r="A269" s="22">
        <v>7.4797000000000002</v>
      </c>
      <c r="B269" s="14">
        <v>37073</v>
      </c>
      <c r="C269" s="12">
        <f t="shared" si="18"/>
        <v>7.6002062777777786</v>
      </c>
      <c r="D269" s="25">
        <f t="shared" si="19"/>
        <v>268</v>
      </c>
      <c r="E269" s="12">
        <v>42.937095944444451</v>
      </c>
      <c r="F269" s="15">
        <f t="shared" si="16"/>
        <v>0.24907063197026022</v>
      </c>
      <c r="G269" s="28">
        <f t="shared" si="17"/>
        <v>8424.2582243000015</v>
      </c>
    </row>
    <row r="270" spans="1:7" ht="13.8" x14ac:dyDescent="0.25">
      <c r="A270" s="21">
        <v>9.5991999999999997</v>
      </c>
      <c r="B270" s="11">
        <v>37043</v>
      </c>
      <c r="C270" s="12">
        <f t="shared" si="18"/>
        <v>9.7538537777777776</v>
      </c>
      <c r="D270" s="24">
        <f t="shared" si="19"/>
        <v>269</v>
      </c>
      <c r="E270" s="15">
        <v>42.838431555555559</v>
      </c>
      <c r="F270" s="12">
        <f t="shared" si="16"/>
        <v>0.25</v>
      </c>
      <c r="G270" s="27">
        <f t="shared" si="17"/>
        <v>8404.900271200002</v>
      </c>
    </row>
    <row r="271" spans="1:7" ht="13.8" x14ac:dyDescent="0.25">
      <c r="A271" s="22">
        <v>12.286300000000001</v>
      </c>
      <c r="B271" s="14">
        <v>37012</v>
      </c>
      <c r="C271" s="12">
        <f t="shared" si="18"/>
        <v>12.484245944444446</v>
      </c>
      <c r="D271" s="25">
        <f t="shared" si="19"/>
        <v>270</v>
      </c>
      <c r="E271" s="15">
        <v>42.762528055555556</v>
      </c>
      <c r="F271" s="15">
        <f t="shared" si="16"/>
        <v>0.25092936802973975</v>
      </c>
      <c r="G271" s="28">
        <f t="shared" si="17"/>
        <v>8390.0080045000013</v>
      </c>
    </row>
    <row r="272" spans="1:7" ht="13.8" x14ac:dyDescent="0.25">
      <c r="A272" s="21">
        <v>14.866300000000001</v>
      </c>
      <c r="B272" s="11">
        <v>36982</v>
      </c>
      <c r="C272" s="12">
        <f t="shared" si="18"/>
        <v>15.105812611111112</v>
      </c>
      <c r="D272" s="24">
        <f t="shared" si="19"/>
        <v>271</v>
      </c>
      <c r="E272" s="12">
        <v>42.756228166666666</v>
      </c>
      <c r="F272" s="12">
        <f t="shared" si="16"/>
        <v>0.25185873605947956</v>
      </c>
      <c r="G272" s="27">
        <f t="shared" si="17"/>
        <v>8388.7719663000007</v>
      </c>
    </row>
    <row r="273" spans="1:7" ht="13.8" x14ac:dyDescent="0.25">
      <c r="A273" s="22">
        <v>18.5626</v>
      </c>
      <c r="B273" s="14">
        <v>36951</v>
      </c>
      <c r="C273" s="12">
        <f t="shared" si="18"/>
        <v>18.861664111111111</v>
      </c>
      <c r="D273" s="25">
        <f t="shared" si="19"/>
        <v>272</v>
      </c>
      <c r="E273" s="15">
        <v>42.737633333333342</v>
      </c>
      <c r="F273" s="15">
        <f t="shared" si="16"/>
        <v>0.25278810408921931</v>
      </c>
      <c r="G273" s="28">
        <f t="shared" si="17"/>
        <v>8385.1236600000011</v>
      </c>
    </row>
    <row r="274" spans="1:7" ht="13.8" x14ac:dyDescent="0.25">
      <c r="A274" s="21">
        <v>23.415900000000001</v>
      </c>
      <c r="B274" s="11">
        <v>36923</v>
      </c>
      <c r="C274" s="12">
        <f t="shared" si="18"/>
        <v>23.79315616666667</v>
      </c>
      <c r="D274" s="24">
        <f t="shared" si="19"/>
        <v>273</v>
      </c>
      <c r="E274" s="15">
        <v>42.662136277777783</v>
      </c>
      <c r="F274" s="12">
        <f t="shared" si="16"/>
        <v>0.25371747211895912</v>
      </c>
      <c r="G274" s="27">
        <f t="shared" si="17"/>
        <v>8370.3111377000023</v>
      </c>
    </row>
    <row r="275" spans="1:7" ht="13.8" x14ac:dyDescent="0.25">
      <c r="A275" s="22">
        <v>29.258500000000002</v>
      </c>
      <c r="B275" s="14">
        <v>36892</v>
      </c>
      <c r="C275" s="12">
        <f t="shared" si="18"/>
        <v>29.729886944444448</v>
      </c>
      <c r="D275" s="25">
        <f t="shared" si="19"/>
        <v>274</v>
      </c>
      <c r="E275" s="12">
        <v>42.542946444444446</v>
      </c>
      <c r="F275" s="15">
        <f t="shared" si="16"/>
        <v>0.25464684014869887</v>
      </c>
      <c r="G275" s="28">
        <f t="shared" si="17"/>
        <v>8346.9260924000009</v>
      </c>
    </row>
    <row r="276" spans="1:7" ht="13.8" x14ac:dyDescent="0.25">
      <c r="A276" s="21">
        <v>34.624899999999997</v>
      </c>
      <c r="B276" s="11">
        <v>36861</v>
      </c>
      <c r="C276" s="12">
        <f t="shared" si="18"/>
        <v>35.182745611111109</v>
      </c>
      <c r="D276" s="24">
        <f t="shared" si="19"/>
        <v>275</v>
      </c>
      <c r="E276" s="12">
        <v>42.433816111111121</v>
      </c>
      <c r="F276" s="12">
        <f t="shared" si="16"/>
        <v>0.25557620817843868</v>
      </c>
      <c r="G276" s="27">
        <f t="shared" si="17"/>
        <v>8325.5147210000014</v>
      </c>
    </row>
    <row r="277" spans="1:7" ht="13.8" x14ac:dyDescent="0.25">
      <c r="A277" s="22">
        <v>24.407399999999999</v>
      </c>
      <c r="B277" s="14">
        <v>36831</v>
      </c>
      <c r="C277" s="12">
        <f t="shared" si="18"/>
        <v>24.800630333333334</v>
      </c>
      <c r="D277" s="25">
        <f t="shared" si="19"/>
        <v>276</v>
      </c>
      <c r="E277" s="12">
        <v>42.193912277777784</v>
      </c>
      <c r="F277" s="15">
        <f t="shared" si="16"/>
        <v>0.25650557620817843</v>
      </c>
      <c r="G277" s="28">
        <f t="shared" si="17"/>
        <v>8278.4455889000019</v>
      </c>
    </row>
    <row r="278" spans="1:7" ht="13.8" x14ac:dyDescent="0.25">
      <c r="A278" s="21">
        <v>13.6104</v>
      </c>
      <c r="B278" s="11">
        <v>36800</v>
      </c>
      <c r="C278" s="12">
        <f t="shared" si="18"/>
        <v>13.829678666666668</v>
      </c>
      <c r="D278" s="24">
        <f t="shared" si="19"/>
        <v>277</v>
      </c>
      <c r="E278" s="12">
        <v>42.07482405555556</v>
      </c>
      <c r="F278" s="12">
        <f t="shared" si="16"/>
        <v>0.25743494423791824</v>
      </c>
      <c r="G278" s="27">
        <f t="shared" si="17"/>
        <v>8255.0804797000019</v>
      </c>
    </row>
    <row r="279" spans="1:7" ht="13.8" x14ac:dyDescent="0.25">
      <c r="A279" s="22">
        <v>22.874099999999999</v>
      </c>
      <c r="B279" s="14">
        <v>36770</v>
      </c>
      <c r="C279" s="12">
        <f t="shared" si="18"/>
        <v>23.242627166666669</v>
      </c>
      <c r="D279" s="25">
        <f t="shared" si="19"/>
        <v>278</v>
      </c>
      <c r="E279" s="12">
        <v>42.011926777777781</v>
      </c>
      <c r="F279" s="15">
        <f t="shared" si="16"/>
        <v>0.25836431226765799</v>
      </c>
      <c r="G279" s="28">
        <f t="shared" si="17"/>
        <v>8242.7400338000007</v>
      </c>
    </row>
    <row r="280" spans="1:7" ht="13.8" x14ac:dyDescent="0.25">
      <c r="A280" s="21">
        <v>14.053000000000001</v>
      </c>
      <c r="B280" s="11">
        <v>36739</v>
      </c>
      <c r="C280" s="12">
        <f t="shared" si="18"/>
        <v>14.279409444444447</v>
      </c>
      <c r="D280" s="24">
        <f t="shared" si="19"/>
        <v>279</v>
      </c>
      <c r="E280" s="15">
        <v>41.957361611111111</v>
      </c>
      <c r="F280" s="12">
        <f t="shared" si="16"/>
        <v>0.25929368029739774</v>
      </c>
      <c r="G280" s="27">
        <f t="shared" si="17"/>
        <v>8232.0343481000018</v>
      </c>
    </row>
    <row r="281" spans="1:7" ht="13.8" x14ac:dyDescent="0.25">
      <c r="A281" s="22">
        <v>16.434100000000001</v>
      </c>
      <c r="B281" s="14">
        <v>36708</v>
      </c>
      <c r="C281" s="12">
        <f t="shared" si="18"/>
        <v>16.698871611111112</v>
      </c>
      <c r="D281" s="25">
        <f t="shared" si="19"/>
        <v>280</v>
      </c>
      <c r="E281" s="15">
        <v>41.918038111111116</v>
      </c>
      <c r="F281" s="15">
        <f t="shared" si="16"/>
        <v>0.26022304832713755</v>
      </c>
      <c r="G281" s="28">
        <f t="shared" si="17"/>
        <v>8224.3190774000013</v>
      </c>
    </row>
    <row r="282" spans="1:7" ht="13.8" x14ac:dyDescent="0.25">
      <c r="A282" s="21">
        <v>17.957899999999999</v>
      </c>
      <c r="B282" s="11">
        <v>36678</v>
      </c>
      <c r="C282" s="12">
        <f t="shared" si="18"/>
        <v>18.247221722222221</v>
      </c>
      <c r="D282" s="24">
        <f t="shared" si="19"/>
        <v>281</v>
      </c>
      <c r="E282" s="12">
        <v>41.794174166666672</v>
      </c>
      <c r="F282" s="12">
        <f t="shared" si="16"/>
        <v>0.2611524163568773</v>
      </c>
      <c r="G282" s="27">
        <f t="shared" si="17"/>
        <v>8200.0169715000011</v>
      </c>
    </row>
    <row r="283" spans="1:7" ht="13.8" x14ac:dyDescent="0.25">
      <c r="A283" s="22">
        <v>21.615200000000002</v>
      </c>
      <c r="B283" s="14">
        <v>36647</v>
      </c>
      <c r="C283" s="12">
        <f t="shared" si="18"/>
        <v>21.96344488888889</v>
      </c>
      <c r="D283" s="25">
        <f t="shared" si="19"/>
        <v>282</v>
      </c>
      <c r="E283" s="12">
        <v>41.773851944444445</v>
      </c>
      <c r="F283" s="15">
        <f t="shared" si="16"/>
        <v>0.26208178438661711</v>
      </c>
      <c r="G283" s="28">
        <f t="shared" si="17"/>
        <v>8196.0297515000002</v>
      </c>
    </row>
    <row r="284" spans="1:7" ht="13.8" x14ac:dyDescent="0.25">
      <c r="A284" s="21">
        <v>30.302399999999999</v>
      </c>
      <c r="B284" s="11">
        <v>36617</v>
      </c>
      <c r="C284" s="12">
        <f t="shared" si="18"/>
        <v>30.790605333333335</v>
      </c>
      <c r="D284" s="24">
        <f t="shared" si="19"/>
        <v>283</v>
      </c>
      <c r="E284" s="12">
        <v>41.773547111111114</v>
      </c>
      <c r="F284" s="12">
        <f t="shared" si="16"/>
        <v>0.26301115241635686</v>
      </c>
      <c r="G284" s="27">
        <f t="shared" si="17"/>
        <v>8195.9699431999998</v>
      </c>
    </row>
    <row r="285" spans="1:7" ht="13.8" x14ac:dyDescent="0.25">
      <c r="A285" s="22">
        <v>47.049500000000002</v>
      </c>
      <c r="B285" s="14">
        <v>36586</v>
      </c>
      <c r="C285" s="12">
        <f t="shared" si="18"/>
        <v>47.807519722222224</v>
      </c>
      <c r="D285" s="25">
        <f t="shared" si="19"/>
        <v>284</v>
      </c>
      <c r="E285" s="12">
        <v>41.484158666666673</v>
      </c>
      <c r="F285" s="15">
        <f t="shared" si="16"/>
        <v>0.26394052044609667</v>
      </c>
      <c r="G285" s="28">
        <f t="shared" si="17"/>
        <v>8139.1919304000012</v>
      </c>
    </row>
    <row r="286" spans="1:7" ht="13.8" x14ac:dyDescent="0.25">
      <c r="A286" s="21">
        <v>70.025999999999996</v>
      </c>
      <c r="B286" s="11">
        <v>36557</v>
      </c>
      <c r="C286" s="12">
        <f t="shared" si="18"/>
        <v>71.154196666666664</v>
      </c>
      <c r="D286" s="24">
        <f t="shared" si="19"/>
        <v>285</v>
      </c>
      <c r="E286" s="12">
        <v>41.460889722222227</v>
      </c>
      <c r="F286" s="12">
        <f t="shared" si="16"/>
        <v>0.26486988847583642</v>
      </c>
      <c r="G286" s="27">
        <f t="shared" si="17"/>
        <v>8134.6265635000018</v>
      </c>
    </row>
    <row r="287" spans="1:7" ht="13.8" x14ac:dyDescent="0.25">
      <c r="A287" s="22">
        <v>84.348600000000005</v>
      </c>
      <c r="B287" s="14">
        <v>36526</v>
      </c>
      <c r="C287" s="12">
        <f t="shared" si="18"/>
        <v>85.707549666666679</v>
      </c>
      <c r="D287" s="25">
        <f t="shared" si="19"/>
        <v>286</v>
      </c>
      <c r="E287" s="15">
        <v>41.457536555555556</v>
      </c>
      <c r="F287" s="15">
        <f t="shared" si="16"/>
        <v>0.26579925650557623</v>
      </c>
      <c r="G287" s="28">
        <f t="shared" si="17"/>
        <v>8133.9686722000006</v>
      </c>
    </row>
    <row r="288" spans="1:7" ht="13.8" x14ac:dyDescent="0.25">
      <c r="A288" s="21">
        <v>31.4499</v>
      </c>
      <c r="B288" s="11">
        <v>36495</v>
      </c>
      <c r="C288" s="12">
        <f t="shared" si="18"/>
        <v>31.956592833333335</v>
      </c>
      <c r="D288" s="24">
        <f t="shared" si="19"/>
        <v>287</v>
      </c>
      <c r="E288" s="12">
        <v>41.406324555555557</v>
      </c>
      <c r="F288" s="12">
        <f t="shared" si="16"/>
        <v>0.26672862453531598</v>
      </c>
      <c r="G288" s="27">
        <f t="shared" si="17"/>
        <v>8123.9208778000011</v>
      </c>
    </row>
    <row r="289" spans="1:7" ht="13.8" x14ac:dyDescent="0.25">
      <c r="A289" s="22">
        <v>12.047700000000001</v>
      </c>
      <c r="B289" s="14">
        <v>36465</v>
      </c>
      <c r="C289" s="12">
        <f t="shared" si="18"/>
        <v>12.241801833333335</v>
      </c>
      <c r="D289" s="25">
        <f t="shared" si="19"/>
        <v>288</v>
      </c>
      <c r="E289" s="12">
        <v>41.203102333333334</v>
      </c>
      <c r="F289" s="15">
        <f t="shared" si="16"/>
        <v>0.26765799256505574</v>
      </c>
      <c r="G289" s="28">
        <f t="shared" si="17"/>
        <v>8084.0486778000013</v>
      </c>
    </row>
    <row r="290" spans="1:7" ht="13.8" x14ac:dyDescent="0.25">
      <c r="A290" s="21">
        <v>9.6974</v>
      </c>
      <c r="B290" s="11">
        <v>36434</v>
      </c>
      <c r="C290" s="12">
        <f t="shared" si="18"/>
        <v>9.8536358888888902</v>
      </c>
      <c r="D290" s="24">
        <f t="shared" si="19"/>
        <v>289</v>
      </c>
      <c r="E290" s="15">
        <v>41.180747888888888</v>
      </c>
      <c r="F290" s="12">
        <f t="shared" si="16"/>
        <v>0.26858736059479554</v>
      </c>
      <c r="G290" s="27">
        <f t="shared" si="17"/>
        <v>8079.6627357999996</v>
      </c>
    </row>
    <row r="291" spans="1:7" ht="13.8" x14ac:dyDescent="0.25">
      <c r="A291" s="22">
        <v>10.591799999999999</v>
      </c>
      <c r="B291" s="14">
        <v>36404</v>
      </c>
      <c r="C291" s="12">
        <f t="shared" si="18"/>
        <v>10.762445666666666</v>
      </c>
      <c r="D291" s="25">
        <f t="shared" si="19"/>
        <v>290</v>
      </c>
      <c r="E291" s="12">
        <v>40.966958111111111</v>
      </c>
      <c r="F291" s="15">
        <f t="shared" si="16"/>
        <v>0.2695167286245353</v>
      </c>
      <c r="G291" s="28">
        <f t="shared" si="17"/>
        <v>8037.7171814000003</v>
      </c>
    </row>
    <row r="292" spans="1:7" ht="13.8" x14ac:dyDescent="0.25">
      <c r="A292" s="21">
        <v>12.3087</v>
      </c>
      <c r="B292" s="11">
        <v>36373</v>
      </c>
      <c r="C292" s="12">
        <f t="shared" si="18"/>
        <v>12.507006833333334</v>
      </c>
      <c r="D292" s="24">
        <f t="shared" si="19"/>
        <v>291</v>
      </c>
      <c r="E292" s="15">
        <v>40.966348444444449</v>
      </c>
      <c r="F292" s="12">
        <f t="shared" si="16"/>
        <v>0.2704460966542751</v>
      </c>
      <c r="G292" s="27">
        <f t="shared" si="17"/>
        <v>8037.5975648000003</v>
      </c>
    </row>
    <row r="293" spans="1:7" ht="13.8" x14ac:dyDescent="0.25">
      <c r="A293" s="22">
        <v>15.559200000000001</v>
      </c>
      <c r="B293" s="14">
        <v>36342</v>
      </c>
      <c r="C293" s="12">
        <f t="shared" si="18"/>
        <v>15.809876000000001</v>
      </c>
      <c r="D293" s="25">
        <f t="shared" si="19"/>
        <v>292</v>
      </c>
      <c r="E293" s="12">
        <v>40.945924611111117</v>
      </c>
      <c r="F293" s="15">
        <f t="shared" si="16"/>
        <v>0.27137546468401486</v>
      </c>
      <c r="G293" s="28">
        <f t="shared" si="17"/>
        <v>8033.5904087000026</v>
      </c>
    </row>
    <row r="294" spans="1:7" ht="13.8" x14ac:dyDescent="0.25">
      <c r="A294" s="21">
        <v>18.4864</v>
      </c>
      <c r="B294" s="11">
        <v>36312</v>
      </c>
      <c r="C294" s="12">
        <f t="shared" si="18"/>
        <v>18.784236444444446</v>
      </c>
      <c r="D294" s="24">
        <f t="shared" si="19"/>
        <v>293</v>
      </c>
      <c r="E294" s="12">
        <v>40.87977577777778</v>
      </c>
      <c r="F294" s="12">
        <f t="shared" si="16"/>
        <v>0.27230483271375466</v>
      </c>
      <c r="G294" s="27">
        <f t="shared" si="17"/>
        <v>8020.6120076000007</v>
      </c>
    </row>
    <row r="295" spans="1:7" ht="13.8" x14ac:dyDescent="0.25">
      <c r="A295" s="22">
        <v>20.464500000000001</v>
      </c>
      <c r="B295" s="14">
        <v>36281</v>
      </c>
      <c r="C295" s="12">
        <f t="shared" si="18"/>
        <v>20.794205833333336</v>
      </c>
      <c r="D295" s="25">
        <f t="shared" si="19"/>
        <v>294</v>
      </c>
      <c r="E295" s="12">
        <v>40.845329611111111</v>
      </c>
      <c r="F295" s="15">
        <f t="shared" si="16"/>
        <v>0.27323420074349442</v>
      </c>
      <c r="G295" s="28">
        <f t="shared" si="17"/>
        <v>8013.8536697000009</v>
      </c>
    </row>
    <row r="296" spans="1:7" ht="13.8" x14ac:dyDescent="0.25">
      <c r="A296" s="21">
        <v>28.8765</v>
      </c>
      <c r="B296" s="11">
        <v>36251</v>
      </c>
      <c r="C296" s="12">
        <f t="shared" si="18"/>
        <v>29.341732500000003</v>
      </c>
      <c r="D296" s="24">
        <f t="shared" si="19"/>
        <v>295</v>
      </c>
      <c r="E296" s="15">
        <v>40.811594722222225</v>
      </c>
      <c r="F296" s="12">
        <f t="shared" si="16"/>
        <v>0.27416356877323422</v>
      </c>
      <c r="G296" s="27">
        <f t="shared" si="17"/>
        <v>8007.2348845000006</v>
      </c>
    </row>
    <row r="297" spans="1:7" ht="13.8" x14ac:dyDescent="0.25">
      <c r="A297" s="22">
        <v>54.142800000000001</v>
      </c>
      <c r="B297" s="14">
        <v>36220</v>
      </c>
      <c r="C297" s="12">
        <f t="shared" si="18"/>
        <v>55.015100666666669</v>
      </c>
      <c r="D297" s="25">
        <f t="shared" si="19"/>
        <v>296</v>
      </c>
      <c r="E297" s="12">
        <v>40.696875777777784</v>
      </c>
      <c r="F297" s="15">
        <f t="shared" si="16"/>
        <v>0.27509293680297398</v>
      </c>
      <c r="G297" s="28">
        <f t="shared" si="17"/>
        <v>7984.7270276000017</v>
      </c>
    </row>
    <row r="298" spans="1:7" ht="13.8" x14ac:dyDescent="0.25">
      <c r="A298" s="21">
        <v>48.531999999999996</v>
      </c>
      <c r="B298" s="11">
        <v>36192</v>
      </c>
      <c r="C298" s="12">
        <f t="shared" si="18"/>
        <v>49.313904444444447</v>
      </c>
      <c r="D298" s="24">
        <f t="shared" si="19"/>
        <v>297</v>
      </c>
      <c r="E298" s="15">
        <v>40.681024444444446</v>
      </c>
      <c r="F298" s="12">
        <f t="shared" si="16"/>
        <v>0.27602230483271373</v>
      </c>
      <c r="G298" s="27">
        <f t="shared" si="17"/>
        <v>7981.6169960000016</v>
      </c>
    </row>
    <row r="299" spans="1:7" ht="13.8" x14ac:dyDescent="0.25">
      <c r="A299" s="22">
        <v>60.264000000000003</v>
      </c>
      <c r="B299" s="14">
        <v>36161</v>
      </c>
      <c r="C299" s="12">
        <f t="shared" si="18"/>
        <v>61.23492000000001</v>
      </c>
      <c r="D299" s="25">
        <f t="shared" si="19"/>
        <v>298</v>
      </c>
      <c r="E299" s="12">
        <v>40.639465500000007</v>
      </c>
      <c r="F299" s="15">
        <f t="shared" si="16"/>
        <v>0.27695167286245354</v>
      </c>
      <c r="G299" s="28">
        <f t="shared" si="17"/>
        <v>7973.4631311000012</v>
      </c>
    </row>
    <row r="300" spans="1:7" ht="13.8" x14ac:dyDescent="0.25">
      <c r="A300" s="21">
        <v>29.093900000000001</v>
      </c>
      <c r="B300" s="11">
        <v>36130</v>
      </c>
      <c r="C300" s="12">
        <f t="shared" si="18"/>
        <v>29.56263505555556</v>
      </c>
      <c r="D300" s="24">
        <f t="shared" si="19"/>
        <v>299</v>
      </c>
      <c r="E300" s="12">
        <v>40.508387166666672</v>
      </c>
      <c r="F300" s="12">
        <f t="shared" si="16"/>
        <v>0.27788104089219329</v>
      </c>
      <c r="G300" s="27">
        <f t="shared" si="17"/>
        <v>7947.7455621000026</v>
      </c>
    </row>
    <row r="301" spans="1:7" ht="13.8" x14ac:dyDescent="0.25">
      <c r="A301" s="22">
        <v>21.2012</v>
      </c>
      <c r="B301" s="14">
        <v>36100</v>
      </c>
      <c r="C301" s="12">
        <f t="shared" si="18"/>
        <v>21.542774888888889</v>
      </c>
      <c r="D301" s="25">
        <f t="shared" si="19"/>
        <v>300</v>
      </c>
      <c r="E301" s="15">
        <v>40.458699333333335</v>
      </c>
      <c r="F301" s="15">
        <f t="shared" si="16"/>
        <v>0.27881040892193309</v>
      </c>
      <c r="G301" s="28">
        <f t="shared" si="17"/>
        <v>7937.9968092000017</v>
      </c>
    </row>
    <row r="302" spans="1:7" ht="13.8" x14ac:dyDescent="0.25">
      <c r="A302" s="21">
        <v>19.603000000000002</v>
      </c>
      <c r="B302" s="11">
        <v>36069</v>
      </c>
      <c r="C302" s="12">
        <f t="shared" si="18"/>
        <v>19.918826111111112</v>
      </c>
      <c r="D302" s="24">
        <f t="shared" si="19"/>
        <v>301</v>
      </c>
      <c r="E302" s="12">
        <v>40.378528166666669</v>
      </c>
      <c r="F302" s="12">
        <f t="shared" si="16"/>
        <v>0.27973977695167285</v>
      </c>
      <c r="G302" s="27">
        <f t="shared" si="17"/>
        <v>7922.2672263000022</v>
      </c>
    </row>
    <row r="303" spans="1:7" ht="13.8" x14ac:dyDescent="0.25">
      <c r="A303" s="22">
        <v>11.673299999999999</v>
      </c>
      <c r="B303" s="14">
        <v>36039</v>
      </c>
      <c r="C303" s="12">
        <f t="shared" si="18"/>
        <v>11.861369833333333</v>
      </c>
      <c r="D303" s="25">
        <f t="shared" si="19"/>
        <v>302</v>
      </c>
      <c r="E303" s="12">
        <v>40.318374388888891</v>
      </c>
      <c r="F303" s="15">
        <f t="shared" si="16"/>
        <v>0.28066914498141265</v>
      </c>
      <c r="G303" s="28">
        <f t="shared" si="17"/>
        <v>7910.4650551000004</v>
      </c>
    </row>
    <row r="304" spans="1:7" ht="13.8" x14ac:dyDescent="0.25">
      <c r="A304" s="21">
        <v>15.167999999999999</v>
      </c>
      <c r="B304" s="11">
        <v>36008</v>
      </c>
      <c r="C304" s="12">
        <f t="shared" si="18"/>
        <v>15.412373333333333</v>
      </c>
      <c r="D304" s="24">
        <f t="shared" si="19"/>
        <v>303</v>
      </c>
      <c r="E304" s="15">
        <v>40.251615888888892</v>
      </c>
      <c r="F304" s="12">
        <f t="shared" si="16"/>
        <v>0.28159851301115241</v>
      </c>
      <c r="G304" s="27">
        <f t="shared" si="17"/>
        <v>7897.3670374000003</v>
      </c>
    </row>
    <row r="305" spans="1:7" ht="13.8" x14ac:dyDescent="0.25">
      <c r="A305" s="22">
        <v>16.446400000000001</v>
      </c>
      <c r="B305" s="14">
        <v>35977</v>
      </c>
      <c r="C305" s="12">
        <f t="shared" si="18"/>
        <v>16.711369777777779</v>
      </c>
      <c r="D305" s="25">
        <f t="shared" si="19"/>
        <v>304</v>
      </c>
      <c r="E305" s="12">
        <v>40.238711277777782</v>
      </c>
      <c r="F305" s="15">
        <f t="shared" si="16"/>
        <v>0.28252788104089221</v>
      </c>
      <c r="G305" s="28">
        <f t="shared" si="17"/>
        <v>7894.8351527000013</v>
      </c>
    </row>
    <row r="306" spans="1:7" ht="13.8" x14ac:dyDescent="0.25">
      <c r="A306" s="21">
        <v>21.641400000000001</v>
      </c>
      <c r="B306" s="11">
        <v>35947</v>
      </c>
      <c r="C306" s="12">
        <f t="shared" si="18"/>
        <v>21.990067000000003</v>
      </c>
      <c r="D306" s="24">
        <f t="shared" si="19"/>
        <v>305</v>
      </c>
      <c r="E306" s="12">
        <v>40.197253944444448</v>
      </c>
      <c r="F306" s="12">
        <f t="shared" si="16"/>
        <v>0.28345724907063197</v>
      </c>
      <c r="G306" s="27">
        <f t="shared" si="17"/>
        <v>7886.7012239000005</v>
      </c>
    </row>
    <row r="307" spans="1:7" ht="13.8" x14ac:dyDescent="0.25">
      <c r="A307" s="22">
        <v>25.974399999999999</v>
      </c>
      <c r="B307" s="14">
        <v>35916</v>
      </c>
      <c r="C307" s="12">
        <f t="shared" si="18"/>
        <v>26.392876444444447</v>
      </c>
      <c r="D307" s="25">
        <f t="shared" si="19"/>
        <v>306</v>
      </c>
      <c r="E307" s="12">
        <v>40.07867377777778</v>
      </c>
      <c r="F307" s="15">
        <f t="shared" si="16"/>
        <v>0.28438661710037177</v>
      </c>
      <c r="G307" s="28">
        <f t="shared" si="17"/>
        <v>7863.4357952000018</v>
      </c>
    </row>
    <row r="308" spans="1:7" ht="13.8" x14ac:dyDescent="0.25">
      <c r="A308" s="21">
        <v>34.384500000000003</v>
      </c>
      <c r="B308" s="11">
        <v>35886</v>
      </c>
      <c r="C308" s="12">
        <f t="shared" si="18"/>
        <v>34.938472500000003</v>
      </c>
      <c r="D308" s="24">
        <f t="shared" si="19"/>
        <v>307</v>
      </c>
      <c r="E308" s="15">
        <v>39.802697999999999</v>
      </c>
      <c r="F308" s="12">
        <f t="shared" si="16"/>
        <v>0.28531598513011153</v>
      </c>
      <c r="G308" s="27">
        <f t="shared" si="17"/>
        <v>7809.2893475999999</v>
      </c>
    </row>
    <row r="309" spans="1:7" ht="13.8" x14ac:dyDescent="0.25">
      <c r="A309" s="22">
        <v>42.06</v>
      </c>
      <c r="B309" s="14">
        <v>35855</v>
      </c>
      <c r="C309" s="12">
        <f t="shared" si="18"/>
        <v>42.737633333333342</v>
      </c>
      <c r="D309" s="25">
        <f t="shared" si="19"/>
        <v>308</v>
      </c>
      <c r="E309" s="12">
        <v>39.796702944444448</v>
      </c>
      <c r="F309" s="15">
        <f t="shared" si="16"/>
        <v>0.28624535315985128</v>
      </c>
      <c r="G309" s="28">
        <f t="shared" si="17"/>
        <v>7808.1131177000007</v>
      </c>
    </row>
    <row r="310" spans="1:7" ht="13.8" x14ac:dyDescent="0.25">
      <c r="A310" s="21">
        <v>48.8279</v>
      </c>
      <c r="B310" s="11">
        <v>35827</v>
      </c>
      <c r="C310" s="12">
        <f t="shared" si="18"/>
        <v>49.614571722222223</v>
      </c>
      <c r="D310" s="24">
        <f t="shared" si="19"/>
        <v>309</v>
      </c>
      <c r="E310" s="15">
        <v>39.630467166666669</v>
      </c>
      <c r="F310" s="12">
        <f t="shared" si="16"/>
        <v>0.28717472118959109</v>
      </c>
      <c r="G310" s="27">
        <f t="shared" si="17"/>
        <v>7775.497658100001</v>
      </c>
    </row>
    <row r="311" spans="1:7" ht="13.8" x14ac:dyDescent="0.25">
      <c r="A311" s="22">
        <v>44.159199999999998</v>
      </c>
      <c r="B311" s="14">
        <v>35796</v>
      </c>
      <c r="C311" s="12">
        <f t="shared" si="18"/>
        <v>44.870653777777783</v>
      </c>
      <c r="D311" s="25">
        <f t="shared" si="19"/>
        <v>310</v>
      </c>
      <c r="E311" s="12">
        <v>39.290069944444447</v>
      </c>
      <c r="F311" s="15">
        <f t="shared" si="16"/>
        <v>0.28810408921933084</v>
      </c>
      <c r="G311" s="28">
        <f t="shared" si="17"/>
        <v>7708.711723100002</v>
      </c>
    </row>
    <row r="312" spans="1:7" ht="13.8" x14ac:dyDescent="0.25">
      <c r="A312" s="21">
        <v>43.472700000000003</v>
      </c>
      <c r="B312" s="11">
        <v>35765</v>
      </c>
      <c r="C312" s="12">
        <f t="shared" si="18"/>
        <v>44.173093500000007</v>
      </c>
      <c r="D312" s="24">
        <f t="shared" si="19"/>
        <v>311</v>
      </c>
      <c r="E312" s="12">
        <v>38.976396444444454</v>
      </c>
      <c r="F312" s="12">
        <f t="shared" si="16"/>
        <v>0.28903345724907065</v>
      </c>
      <c r="G312" s="27">
        <f t="shared" si="17"/>
        <v>7647.1689824000032</v>
      </c>
    </row>
    <row r="313" spans="1:7" ht="13.8" x14ac:dyDescent="0.25">
      <c r="A313" s="22">
        <v>32.262300000000003</v>
      </c>
      <c r="B313" s="14">
        <v>35735</v>
      </c>
      <c r="C313" s="12">
        <f t="shared" si="18"/>
        <v>32.782081500000004</v>
      </c>
      <c r="D313" s="25">
        <f t="shared" si="19"/>
        <v>312</v>
      </c>
      <c r="E313" s="15">
        <v>38.932297222222225</v>
      </c>
      <c r="F313" s="15">
        <f t="shared" si="16"/>
        <v>0.2899628252788104</v>
      </c>
      <c r="G313" s="28">
        <f t="shared" si="17"/>
        <v>7638.5167150000007</v>
      </c>
    </row>
    <row r="314" spans="1:7" ht="13.8" x14ac:dyDescent="0.25">
      <c r="A314" s="21">
        <v>20.502199999999998</v>
      </c>
      <c r="B314" s="11">
        <v>35704</v>
      </c>
      <c r="C314" s="12">
        <f t="shared" si="18"/>
        <v>20.832513222222222</v>
      </c>
      <c r="D314" s="24">
        <f t="shared" si="19"/>
        <v>313</v>
      </c>
      <c r="E314" s="15">
        <v>38.859950111111111</v>
      </c>
      <c r="F314" s="12">
        <f t="shared" si="16"/>
        <v>0.29089219330855021</v>
      </c>
      <c r="G314" s="27">
        <f t="shared" si="17"/>
        <v>7624.3222117999994</v>
      </c>
    </row>
    <row r="315" spans="1:7" ht="13.8" x14ac:dyDescent="0.25">
      <c r="A315" s="22">
        <v>18.2652</v>
      </c>
      <c r="B315" s="14">
        <v>35674</v>
      </c>
      <c r="C315" s="12">
        <f t="shared" si="18"/>
        <v>18.559472666666668</v>
      </c>
      <c r="D315" s="25">
        <f t="shared" si="19"/>
        <v>314</v>
      </c>
      <c r="E315" s="15">
        <v>38.858425944444448</v>
      </c>
      <c r="F315" s="15">
        <f t="shared" si="16"/>
        <v>0.29182156133828996</v>
      </c>
      <c r="G315" s="28">
        <f t="shared" si="17"/>
        <v>7624.0231702999999</v>
      </c>
    </row>
    <row r="316" spans="1:7" ht="13.8" x14ac:dyDescent="0.25">
      <c r="A316" s="21">
        <v>18.9739</v>
      </c>
      <c r="B316" s="11">
        <v>35643</v>
      </c>
      <c r="C316" s="12">
        <f t="shared" si="18"/>
        <v>19.279590611111114</v>
      </c>
      <c r="D316" s="24">
        <f t="shared" si="19"/>
        <v>315</v>
      </c>
      <c r="E316" s="12">
        <v>38.84226977777778</v>
      </c>
      <c r="F316" s="12">
        <f t="shared" si="16"/>
        <v>0.29275092936802977</v>
      </c>
      <c r="G316" s="27">
        <f t="shared" si="17"/>
        <v>7620.8533304000002</v>
      </c>
    </row>
    <row r="317" spans="1:7" ht="13.8" x14ac:dyDescent="0.25">
      <c r="A317" s="22">
        <v>23.497900000000001</v>
      </c>
      <c r="B317" s="14">
        <v>35612</v>
      </c>
      <c r="C317" s="12">
        <f t="shared" si="18"/>
        <v>23.876477277777781</v>
      </c>
      <c r="D317" s="25">
        <f t="shared" si="19"/>
        <v>316</v>
      </c>
      <c r="E317" s="15">
        <v>38.808839722222224</v>
      </c>
      <c r="F317" s="15">
        <f t="shared" si="16"/>
        <v>0.29368029739776952</v>
      </c>
      <c r="G317" s="28">
        <f t="shared" si="17"/>
        <v>7614.2943535000022</v>
      </c>
    </row>
    <row r="318" spans="1:7" ht="13.8" x14ac:dyDescent="0.25">
      <c r="A318" s="21">
        <v>32.019799999999996</v>
      </c>
      <c r="B318" s="11">
        <v>35582</v>
      </c>
      <c r="C318" s="12">
        <f t="shared" si="18"/>
        <v>32.535674555555552</v>
      </c>
      <c r="D318" s="24">
        <f t="shared" si="19"/>
        <v>317</v>
      </c>
      <c r="E318" s="15">
        <v>38.744215055555557</v>
      </c>
      <c r="F318" s="12">
        <f t="shared" si="16"/>
        <v>0.29460966542750927</v>
      </c>
      <c r="G318" s="27">
        <f t="shared" si="17"/>
        <v>7601.6149939000006</v>
      </c>
    </row>
    <row r="319" spans="1:7" ht="13.8" x14ac:dyDescent="0.25">
      <c r="A319" s="22">
        <v>31.846699999999998</v>
      </c>
      <c r="B319" s="14">
        <v>35551</v>
      </c>
      <c r="C319" s="12">
        <f t="shared" si="18"/>
        <v>32.35978572222222</v>
      </c>
      <c r="D319" s="25">
        <f t="shared" si="19"/>
        <v>318</v>
      </c>
      <c r="E319" s="12">
        <v>38.67816783333334</v>
      </c>
      <c r="F319" s="15">
        <f t="shared" si="16"/>
        <v>0.29553903345724908</v>
      </c>
      <c r="G319" s="28">
        <f t="shared" si="17"/>
        <v>7588.6565289000018</v>
      </c>
    </row>
    <row r="320" spans="1:7" ht="13.8" x14ac:dyDescent="0.25">
      <c r="A320" s="21">
        <v>40.317399999999999</v>
      </c>
      <c r="B320" s="11">
        <v>35521</v>
      </c>
      <c r="C320" s="12">
        <f t="shared" si="18"/>
        <v>40.966958111111111</v>
      </c>
      <c r="D320" s="24">
        <f t="shared" si="19"/>
        <v>319</v>
      </c>
      <c r="E320" s="15">
        <v>38.660081055555558</v>
      </c>
      <c r="F320" s="12">
        <f t="shared" si="16"/>
        <v>0.29646840148698883</v>
      </c>
      <c r="G320" s="27">
        <f t="shared" si="17"/>
        <v>7585.1079031000008</v>
      </c>
    </row>
    <row r="321" spans="1:7" ht="13.8" x14ac:dyDescent="0.25">
      <c r="A321" s="22">
        <v>59.6066</v>
      </c>
      <c r="B321" s="14">
        <v>35490</v>
      </c>
      <c r="C321" s="12">
        <f t="shared" si="18"/>
        <v>60.566928555555563</v>
      </c>
      <c r="D321" s="25">
        <f t="shared" si="19"/>
        <v>320</v>
      </c>
      <c r="E321" s="15">
        <v>38.62746388888889</v>
      </c>
      <c r="F321" s="15">
        <f t="shared" si="16"/>
        <v>0.29739776951672864</v>
      </c>
      <c r="G321" s="28">
        <f t="shared" si="17"/>
        <v>7578.7084150000001</v>
      </c>
    </row>
    <row r="322" spans="1:7" ht="13.8" x14ac:dyDescent="0.25">
      <c r="A322" s="21">
        <v>68.201899999999995</v>
      </c>
      <c r="B322" s="11">
        <v>35462</v>
      </c>
      <c r="C322" s="12">
        <f t="shared" si="18"/>
        <v>69.300708388888893</v>
      </c>
      <c r="D322" s="24">
        <f t="shared" si="19"/>
        <v>321</v>
      </c>
      <c r="E322" s="15">
        <v>38.51061111111111</v>
      </c>
      <c r="F322" s="12">
        <f t="shared" ref="F322:F385" si="20">D322/1076</f>
        <v>0.29832713754646839</v>
      </c>
      <c r="G322" s="27">
        <f t="shared" ref="G322:G385" si="21">1000*E322*$J$2*9.81/1000</f>
        <v>7555.7819</v>
      </c>
    </row>
    <row r="323" spans="1:7" ht="13.8" x14ac:dyDescent="0.25">
      <c r="A323" s="22">
        <v>115.21469999999999</v>
      </c>
      <c r="B323" s="14">
        <v>35431</v>
      </c>
      <c r="C323" s="12">
        <f t="shared" ref="C323:C386" si="22">A323*($I$2/$H$2)</f>
        <v>117.07093683333333</v>
      </c>
      <c r="D323" s="25">
        <f t="shared" ref="D323:D386" si="23">D322+1</f>
        <v>322</v>
      </c>
      <c r="E323" s="15">
        <v>38.46244744444445</v>
      </c>
      <c r="F323" s="15">
        <f t="shared" si="20"/>
        <v>0.2992565055762082</v>
      </c>
      <c r="G323" s="28">
        <f t="shared" si="21"/>
        <v>7546.3321886000022</v>
      </c>
    </row>
    <row r="324" spans="1:7" ht="13.8" x14ac:dyDescent="0.25">
      <c r="A324" s="21">
        <v>61.923400000000001</v>
      </c>
      <c r="B324" s="11">
        <v>35400</v>
      </c>
      <c r="C324" s="12">
        <f t="shared" si="22"/>
        <v>62.921054777777783</v>
      </c>
      <c r="D324" s="24">
        <f t="shared" si="23"/>
        <v>323</v>
      </c>
      <c r="E324" s="12">
        <v>38.430744777777775</v>
      </c>
      <c r="F324" s="12">
        <f t="shared" si="20"/>
        <v>0.30018587360594795</v>
      </c>
      <c r="G324" s="27">
        <f t="shared" si="21"/>
        <v>7540.1121254</v>
      </c>
    </row>
    <row r="325" spans="1:7" ht="13.8" x14ac:dyDescent="0.25">
      <c r="A325" s="22">
        <v>64.8523</v>
      </c>
      <c r="B325" s="14">
        <v>35370</v>
      </c>
      <c r="C325" s="12">
        <f t="shared" si="22"/>
        <v>65.897142611111121</v>
      </c>
      <c r="D325" s="25">
        <f t="shared" si="23"/>
        <v>324</v>
      </c>
      <c r="E325" s="15">
        <v>38.251197944444449</v>
      </c>
      <c r="F325" s="15">
        <f t="shared" si="20"/>
        <v>0.30111524163568776</v>
      </c>
      <c r="G325" s="28">
        <f t="shared" si="21"/>
        <v>7504.8850367000023</v>
      </c>
    </row>
    <row r="326" spans="1:7" ht="13.8" x14ac:dyDescent="0.25">
      <c r="A326" s="21">
        <v>27.4605</v>
      </c>
      <c r="B326" s="11">
        <v>35339</v>
      </c>
      <c r="C326" s="12">
        <f t="shared" si="22"/>
        <v>27.902919166666667</v>
      </c>
      <c r="D326" s="24">
        <f t="shared" si="23"/>
        <v>325</v>
      </c>
      <c r="E326" s="12">
        <v>38.050312777777783</v>
      </c>
      <c r="F326" s="12">
        <f t="shared" si="20"/>
        <v>0.30204460966542751</v>
      </c>
      <c r="G326" s="27">
        <f t="shared" si="21"/>
        <v>7465.4713670000019</v>
      </c>
    </row>
    <row r="327" spans="1:7" ht="13.8" x14ac:dyDescent="0.25">
      <c r="A327" s="22">
        <v>28.166599999999999</v>
      </c>
      <c r="B327" s="14">
        <v>35309</v>
      </c>
      <c r="C327" s="12">
        <f t="shared" si="22"/>
        <v>28.620395222222225</v>
      </c>
      <c r="D327" s="25">
        <f t="shared" si="23"/>
        <v>326</v>
      </c>
      <c r="E327" s="12">
        <v>37.94555172222222</v>
      </c>
      <c r="F327" s="15">
        <f t="shared" si="20"/>
        <v>0.30297397769516726</v>
      </c>
      <c r="G327" s="28">
        <f t="shared" si="21"/>
        <v>7444.9172478999999</v>
      </c>
    </row>
    <row r="328" spans="1:7" ht="13.8" x14ac:dyDescent="0.25">
      <c r="A328" s="21">
        <v>14.533799999999999</v>
      </c>
      <c r="B328" s="11">
        <v>35278</v>
      </c>
      <c r="C328" s="12">
        <f t="shared" si="22"/>
        <v>14.767955666666667</v>
      </c>
      <c r="D328" s="24">
        <f t="shared" si="23"/>
        <v>327</v>
      </c>
      <c r="E328" s="12">
        <v>37.928785888888889</v>
      </c>
      <c r="F328" s="12">
        <f t="shared" si="20"/>
        <v>0.30390334572490707</v>
      </c>
      <c r="G328" s="27">
        <f t="shared" si="21"/>
        <v>7441.6277913999993</v>
      </c>
    </row>
    <row r="329" spans="1:7" ht="13.8" x14ac:dyDescent="0.25">
      <c r="A329" s="22">
        <v>16.454000000000001</v>
      </c>
      <c r="B329" s="14">
        <v>35247</v>
      </c>
      <c r="C329" s="12">
        <f t="shared" si="22"/>
        <v>16.719092222222223</v>
      </c>
      <c r="D329" s="25">
        <f t="shared" si="23"/>
        <v>328</v>
      </c>
      <c r="E329" s="12">
        <v>37.745276222222223</v>
      </c>
      <c r="F329" s="15">
        <f t="shared" si="20"/>
        <v>0.30483271375464682</v>
      </c>
      <c r="G329" s="28">
        <f t="shared" si="21"/>
        <v>7405.6231948000004</v>
      </c>
    </row>
    <row r="330" spans="1:7" ht="13.8" x14ac:dyDescent="0.25">
      <c r="A330" s="21">
        <v>18.7758</v>
      </c>
      <c r="B330" s="11">
        <v>35217</v>
      </c>
      <c r="C330" s="12">
        <f t="shared" si="22"/>
        <v>19.078299000000001</v>
      </c>
      <c r="D330" s="24">
        <f t="shared" si="23"/>
        <v>329</v>
      </c>
      <c r="E330" s="12">
        <v>37.57446794444445</v>
      </c>
      <c r="F330" s="12">
        <f t="shared" si="20"/>
        <v>0.30576208178438663</v>
      </c>
      <c r="G330" s="27">
        <f t="shared" si="21"/>
        <v>7372.1106107000014</v>
      </c>
    </row>
    <row r="331" spans="1:7" ht="13.8" x14ac:dyDescent="0.25">
      <c r="A331" s="22">
        <v>23.609500000000001</v>
      </c>
      <c r="B331" s="14">
        <v>35186</v>
      </c>
      <c r="C331" s="12">
        <f t="shared" si="22"/>
        <v>23.989875277777781</v>
      </c>
      <c r="D331" s="25">
        <f t="shared" si="23"/>
        <v>330</v>
      </c>
      <c r="E331" s="12">
        <v>37.551605444444448</v>
      </c>
      <c r="F331" s="15">
        <f t="shared" si="20"/>
        <v>0.30669144981412638</v>
      </c>
      <c r="G331" s="28">
        <f t="shared" si="21"/>
        <v>7367.6249882000011</v>
      </c>
    </row>
    <row r="332" spans="1:7" ht="13.8" x14ac:dyDescent="0.25">
      <c r="A332" s="21">
        <v>31.159800000000001</v>
      </c>
      <c r="B332" s="11">
        <v>35156</v>
      </c>
      <c r="C332" s="12">
        <f t="shared" si="22"/>
        <v>31.661819000000001</v>
      </c>
      <c r="D332" s="24">
        <f t="shared" si="23"/>
        <v>331</v>
      </c>
      <c r="E332" s="12">
        <v>37.42916405555556</v>
      </c>
      <c r="F332" s="12">
        <f t="shared" si="20"/>
        <v>0.30762081784386619</v>
      </c>
      <c r="G332" s="27">
        <f t="shared" si="21"/>
        <v>7343.6019877000017</v>
      </c>
    </row>
    <row r="333" spans="1:7" ht="13.8" x14ac:dyDescent="0.25">
      <c r="A333" s="22">
        <v>53.563600000000001</v>
      </c>
      <c r="B333" s="14">
        <v>35125</v>
      </c>
      <c r="C333" s="12">
        <f t="shared" si="22"/>
        <v>54.426569111111114</v>
      </c>
      <c r="D333" s="25">
        <f t="shared" si="23"/>
        <v>332</v>
      </c>
      <c r="E333" s="12">
        <v>37.348383222222225</v>
      </c>
      <c r="F333" s="15">
        <f t="shared" si="20"/>
        <v>0.30855018587360594</v>
      </c>
      <c r="G333" s="28">
        <f t="shared" si="21"/>
        <v>7327.7527882000004</v>
      </c>
    </row>
    <row r="334" spans="1:7" ht="13.8" x14ac:dyDescent="0.25">
      <c r="A334" s="21">
        <v>55.517299999999999</v>
      </c>
      <c r="B334" s="11">
        <v>35096</v>
      </c>
      <c r="C334" s="12">
        <f t="shared" si="22"/>
        <v>56.411745388888889</v>
      </c>
      <c r="D334" s="24">
        <f t="shared" si="23"/>
        <v>333</v>
      </c>
      <c r="E334" s="12">
        <v>37.316578944444444</v>
      </c>
      <c r="F334" s="12">
        <f t="shared" si="20"/>
        <v>0.30947955390334575</v>
      </c>
      <c r="G334" s="27">
        <f t="shared" si="21"/>
        <v>7321.5127889000014</v>
      </c>
    </row>
    <row r="335" spans="1:7" ht="13.8" x14ac:dyDescent="0.25">
      <c r="A335" s="22">
        <v>53.890099999999997</v>
      </c>
      <c r="B335" s="14">
        <v>35065</v>
      </c>
      <c r="C335" s="12">
        <f t="shared" si="22"/>
        <v>54.758329388888889</v>
      </c>
      <c r="D335" s="25">
        <f t="shared" si="23"/>
        <v>334</v>
      </c>
      <c r="E335" s="12">
        <v>37.255713888888891</v>
      </c>
      <c r="F335" s="15">
        <f t="shared" si="20"/>
        <v>0.3104089219330855</v>
      </c>
      <c r="G335" s="28">
        <f t="shared" si="21"/>
        <v>7309.571065000001</v>
      </c>
    </row>
    <row r="336" spans="1:7" ht="13.8" x14ac:dyDescent="0.25">
      <c r="A336" s="21">
        <v>29.831199999999999</v>
      </c>
      <c r="B336" s="11">
        <v>35034</v>
      </c>
      <c r="C336" s="12">
        <f t="shared" si="22"/>
        <v>30.311813777777779</v>
      </c>
      <c r="D336" s="24">
        <f t="shared" si="23"/>
        <v>335</v>
      </c>
      <c r="E336" s="15">
        <v>37.195458500000001</v>
      </c>
      <c r="F336" s="12">
        <f t="shared" si="20"/>
        <v>0.31133828996282525</v>
      </c>
      <c r="G336" s="27">
        <f t="shared" si="21"/>
        <v>7297.7489577000015</v>
      </c>
    </row>
    <row r="337" spans="1:7" ht="13.8" x14ac:dyDescent="0.25">
      <c r="A337" s="22">
        <v>22.315000000000001</v>
      </c>
      <c r="B337" s="14">
        <v>35004</v>
      </c>
      <c r="C337" s="12">
        <f t="shared" si="22"/>
        <v>22.674519444444446</v>
      </c>
      <c r="D337" s="25">
        <f t="shared" si="23"/>
        <v>336</v>
      </c>
      <c r="E337" s="12">
        <v>37.181537777777777</v>
      </c>
      <c r="F337" s="15">
        <f t="shared" si="20"/>
        <v>0.31226765799256506</v>
      </c>
      <c r="G337" s="28">
        <f t="shared" si="21"/>
        <v>7295.0177119999989</v>
      </c>
    </row>
    <row r="338" spans="1:7" ht="13.8" x14ac:dyDescent="0.25">
      <c r="A338" s="21">
        <v>18.090299999999999</v>
      </c>
      <c r="B338" s="11">
        <v>34973</v>
      </c>
      <c r="C338" s="12">
        <f t="shared" si="22"/>
        <v>18.381754833333336</v>
      </c>
      <c r="D338" s="24">
        <f t="shared" si="23"/>
        <v>337</v>
      </c>
      <c r="E338" s="12">
        <v>37.021297055555557</v>
      </c>
      <c r="F338" s="12">
        <f t="shared" si="20"/>
        <v>0.31319702602230481</v>
      </c>
      <c r="G338" s="27">
        <f t="shared" si="21"/>
        <v>7263.5784823000013</v>
      </c>
    </row>
    <row r="339" spans="1:7" ht="13.8" x14ac:dyDescent="0.25">
      <c r="A339" s="22">
        <v>12.105399999999999</v>
      </c>
      <c r="B339" s="14">
        <v>34943</v>
      </c>
      <c r="C339" s="12">
        <f t="shared" si="22"/>
        <v>12.300431444444445</v>
      </c>
      <c r="D339" s="25">
        <f t="shared" si="23"/>
        <v>338</v>
      </c>
      <c r="E339" s="15">
        <v>36.96632544444445</v>
      </c>
      <c r="F339" s="15">
        <f t="shared" si="20"/>
        <v>0.31412639405204462</v>
      </c>
      <c r="G339" s="28">
        <f t="shared" si="21"/>
        <v>7252.7930522000024</v>
      </c>
    </row>
    <row r="340" spans="1:7" ht="13.8" x14ac:dyDescent="0.25">
      <c r="A340" s="21">
        <v>12.3513</v>
      </c>
      <c r="B340" s="11">
        <v>34912</v>
      </c>
      <c r="C340" s="12">
        <f t="shared" si="22"/>
        <v>12.550293166666668</v>
      </c>
      <c r="D340" s="24">
        <f t="shared" si="23"/>
        <v>339</v>
      </c>
      <c r="E340" s="12">
        <v>36.849472666666671</v>
      </c>
      <c r="F340" s="12">
        <f t="shared" si="20"/>
        <v>0.31505576208178437</v>
      </c>
      <c r="G340" s="27">
        <f t="shared" si="21"/>
        <v>7229.8665372000014</v>
      </c>
    </row>
    <row r="341" spans="1:7" ht="13.8" x14ac:dyDescent="0.25">
      <c r="A341" s="22">
        <v>15.996600000000001</v>
      </c>
      <c r="B341" s="14">
        <v>34881</v>
      </c>
      <c r="C341" s="12">
        <f t="shared" si="22"/>
        <v>16.254323000000003</v>
      </c>
      <c r="D341" s="25">
        <f t="shared" si="23"/>
        <v>340</v>
      </c>
      <c r="E341" s="12">
        <v>36.815331333333333</v>
      </c>
      <c r="F341" s="15">
        <f t="shared" si="20"/>
        <v>0.31598513011152418</v>
      </c>
      <c r="G341" s="28">
        <f t="shared" si="21"/>
        <v>7223.1680076000011</v>
      </c>
    </row>
    <row r="342" spans="1:7" ht="13.8" x14ac:dyDescent="0.25">
      <c r="A342" s="21">
        <v>18.822500000000002</v>
      </c>
      <c r="B342" s="11">
        <v>34851</v>
      </c>
      <c r="C342" s="12">
        <f t="shared" si="22"/>
        <v>19.12575138888889</v>
      </c>
      <c r="D342" s="24">
        <f t="shared" si="23"/>
        <v>341</v>
      </c>
      <c r="E342" s="12">
        <v>36.730790888888897</v>
      </c>
      <c r="F342" s="12">
        <f t="shared" si="20"/>
        <v>0.31691449814126393</v>
      </c>
      <c r="G342" s="27">
        <f t="shared" si="21"/>
        <v>7206.5811724000023</v>
      </c>
    </row>
    <row r="343" spans="1:7" ht="13.8" x14ac:dyDescent="0.25">
      <c r="A343" s="22">
        <v>24.751899999999999</v>
      </c>
      <c r="B343" s="14">
        <v>34820</v>
      </c>
      <c r="C343" s="12">
        <f t="shared" si="22"/>
        <v>25.150680611111113</v>
      </c>
      <c r="D343" s="25">
        <f t="shared" si="23"/>
        <v>342</v>
      </c>
      <c r="E343" s="15">
        <v>36.59381911111111</v>
      </c>
      <c r="F343" s="15">
        <f t="shared" si="20"/>
        <v>0.31784386617100374</v>
      </c>
      <c r="G343" s="28">
        <f t="shared" si="21"/>
        <v>7179.7073095999995</v>
      </c>
    </row>
    <row r="344" spans="1:7" ht="13.8" x14ac:dyDescent="0.25">
      <c r="A344" s="21">
        <v>30.3111</v>
      </c>
      <c r="B344" s="11">
        <v>34790</v>
      </c>
      <c r="C344" s="12">
        <f t="shared" si="22"/>
        <v>30.799445500000001</v>
      </c>
      <c r="D344" s="24">
        <f t="shared" si="23"/>
        <v>343</v>
      </c>
      <c r="E344" s="12">
        <v>36.581117722222224</v>
      </c>
      <c r="F344" s="12">
        <f t="shared" si="20"/>
        <v>0.31877323420074349</v>
      </c>
      <c r="G344" s="27">
        <f t="shared" si="21"/>
        <v>7177.2152971000014</v>
      </c>
    </row>
    <row r="345" spans="1:7" ht="13.8" x14ac:dyDescent="0.25">
      <c r="A345" s="22">
        <v>39.002099999999999</v>
      </c>
      <c r="B345" s="14">
        <v>34759</v>
      </c>
      <c r="C345" s="12">
        <f t="shared" si="22"/>
        <v>39.630467166666669</v>
      </c>
      <c r="D345" s="25">
        <f t="shared" si="23"/>
        <v>344</v>
      </c>
      <c r="E345" s="12">
        <v>36.532446000000007</v>
      </c>
      <c r="F345" s="15">
        <f t="shared" si="20"/>
        <v>0.31970260223048325</v>
      </c>
      <c r="G345" s="28">
        <f t="shared" si="21"/>
        <v>7167.6659052000014</v>
      </c>
    </row>
    <row r="346" spans="1:7" ht="13.8" x14ac:dyDescent="0.25">
      <c r="A346" s="21">
        <v>89.938900000000004</v>
      </c>
      <c r="B346" s="11">
        <v>34731</v>
      </c>
      <c r="C346" s="12">
        <f t="shared" si="22"/>
        <v>91.387915611111126</v>
      </c>
      <c r="D346" s="24">
        <f t="shared" si="23"/>
        <v>345</v>
      </c>
      <c r="E346" s="12">
        <v>36.456847333333336</v>
      </c>
      <c r="F346" s="12">
        <f t="shared" si="20"/>
        <v>0.32063197026022305</v>
      </c>
      <c r="G346" s="27">
        <f t="shared" si="21"/>
        <v>7152.8334468000012</v>
      </c>
    </row>
    <row r="347" spans="1:7" ht="13.8" x14ac:dyDescent="0.25">
      <c r="A347" s="22">
        <v>40.036000000000001</v>
      </c>
      <c r="B347" s="14">
        <v>34700</v>
      </c>
      <c r="C347" s="12">
        <f t="shared" si="22"/>
        <v>40.681024444444446</v>
      </c>
      <c r="D347" s="25">
        <f t="shared" si="23"/>
        <v>346</v>
      </c>
      <c r="E347" s="15">
        <v>36.354728166666668</v>
      </c>
      <c r="F347" s="15">
        <f t="shared" si="20"/>
        <v>0.32156133828996281</v>
      </c>
      <c r="G347" s="28">
        <f t="shared" si="21"/>
        <v>7132.7976663000009</v>
      </c>
    </row>
    <row r="348" spans="1:7" ht="13.8" x14ac:dyDescent="0.25">
      <c r="A348" s="21">
        <v>45.437199999999997</v>
      </c>
      <c r="B348" s="11">
        <v>34669</v>
      </c>
      <c r="C348" s="12">
        <f t="shared" si="22"/>
        <v>46.16924377777778</v>
      </c>
      <c r="D348" s="24">
        <f t="shared" si="23"/>
        <v>347</v>
      </c>
      <c r="E348" s="12">
        <v>36.311340222222221</v>
      </c>
      <c r="F348" s="12">
        <f t="shared" si="20"/>
        <v>0.32249070631970261</v>
      </c>
      <c r="G348" s="27">
        <f t="shared" si="21"/>
        <v>7124.2849515999997</v>
      </c>
    </row>
    <row r="349" spans="1:7" ht="13.8" x14ac:dyDescent="0.25">
      <c r="A349" s="22">
        <v>17.601600000000001</v>
      </c>
      <c r="B349" s="14">
        <v>34639</v>
      </c>
      <c r="C349" s="12">
        <f t="shared" si="22"/>
        <v>17.885181333333335</v>
      </c>
      <c r="D349" s="25">
        <f t="shared" si="23"/>
        <v>348</v>
      </c>
      <c r="E349" s="15">
        <v>36.161260611111111</v>
      </c>
      <c r="F349" s="15">
        <f t="shared" si="20"/>
        <v>0.32342007434944237</v>
      </c>
      <c r="G349" s="28">
        <f t="shared" si="21"/>
        <v>7094.8393319000006</v>
      </c>
    </row>
    <row r="350" spans="1:7" ht="13.8" x14ac:dyDescent="0.25">
      <c r="A350" s="21">
        <v>14.0944</v>
      </c>
      <c r="B350" s="11">
        <v>34608</v>
      </c>
      <c r="C350" s="12">
        <f t="shared" si="22"/>
        <v>14.321476444444446</v>
      </c>
      <c r="D350" s="24">
        <f t="shared" si="23"/>
        <v>349</v>
      </c>
      <c r="E350" s="12">
        <v>36.12711927777778</v>
      </c>
      <c r="F350" s="12">
        <f t="shared" si="20"/>
        <v>0.32434944237918217</v>
      </c>
      <c r="G350" s="27">
        <f t="shared" si="21"/>
        <v>7088.1408023000013</v>
      </c>
    </row>
    <row r="351" spans="1:7" ht="13.8" x14ac:dyDescent="0.25">
      <c r="A351" s="22">
        <v>13.8835</v>
      </c>
      <c r="B351" s="14">
        <v>34578</v>
      </c>
      <c r="C351" s="12">
        <f t="shared" si="22"/>
        <v>14.107178611111111</v>
      </c>
      <c r="D351" s="25">
        <f t="shared" si="23"/>
        <v>350</v>
      </c>
      <c r="E351" s="15">
        <v>36.06777838888889</v>
      </c>
      <c r="F351" s="15">
        <f t="shared" si="20"/>
        <v>0.32527881040892193</v>
      </c>
      <c r="G351" s="28">
        <f t="shared" si="21"/>
        <v>7076.4981199000003</v>
      </c>
    </row>
    <row r="352" spans="1:7" ht="13.8" x14ac:dyDescent="0.25">
      <c r="A352" s="21">
        <v>17.125299999999999</v>
      </c>
      <c r="B352" s="11">
        <v>34547</v>
      </c>
      <c r="C352" s="12">
        <f t="shared" si="22"/>
        <v>17.401207611111111</v>
      </c>
      <c r="D352" s="24">
        <f t="shared" si="23"/>
        <v>351</v>
      </c>
      <c r="E352" s="12">
        <v>36.025609777777781</v>
      </c>
      <c r="F352" s="12">
        <f t="shared" si="20"/>
        <v>0.32620817843866173</v>
      </c>
      <c r="G352" s="27">
        <f t="shared" si="21"/>
        <v>7068.2246384000018</v>
      </c>
    </row>
    <row r="353" spans="1:7" ht="13.8" x14ac:dyDescent="0.25">
      <c r="A353" s="22">
        <v>21.851400000000002</v>
      </c>
      <c r="B353" s="14">
        <v>34516</v>
      </c>
      <c r="C353" s="12">
        <f t="shared" si="22"/>
        <v>22.203450333333336</v>
      </c>
      <c r="D353" s="25">
        <f t="shared" si="23"/>
        <v>352</v>
      </c>
      <c r="E353" s="12">
        <v>36.008335888888887</v>
      </c>
      <c r="F353" s="15">
        <f t="shared" si="20"/>
        <v>0.32713754646840149</v>
      </c>
      <c r="G353" s="28">
        <f t="shared" si="21"/>
        <v>7064.8355013999999</v>
      </c>
    </row>
    <row r="354" spans="1:7" ht="13.8" x14ac:dyDescent="0.25">
      <c r="A354" s="21">
        <v>27.130600000000001</v>
      </c>
      <c r="B354" s="11">
        <v>34486</v>
      </c>
      <c r="C354" s="12">
        <f t="shared" si="22"/>
        <v>27.567704111111116</v>
      </c>
      <c r="D354" s="24">
        <f t="shared" si="23"/>
        <v>353</v>
      </c>
      <c r="E354" s="12">
        <v>35.92349061111112</v>
      </c>
      <c r="F354" s="12">
        <f t="shared" si="20"/>
        <v>0.32806691449814124</v>
      </c>
      <c r="G354" s="27">
        <f t="shared" si="21"/>
        <v>7048.1888579000015</v>
      </c>
    </row>
    <row r="355" spans="1:7" ht="13.8" x14ac:dyDescent="0.25">
      <c r="A355" s="22">
        <v>42.256599999999999</v>
      </c>
      <c r="B355" s="14">
        <v>34455</v>
      </c>
      <c r="C355" s="12">
        <f t="shared" si="22"/>
        <v>42.937400777777782</v>
      </c>
      <c r="D355" s="25">
        <f t="shared" si="23"/>
        <v>354</v>
      </c>
      <c r="E355" s="15">
        <v>35.806536222222221</v>
      </c>
      <c r="F355" s="15">
        <f t="shared" si="20"/>
        <v>0.32899628252788105</v>
      </c>
      <c r="G355" s="28">
        <f t="shared" si="21"/>
        <v>7025.2424067999991</v>
      </c>
    </row>
    <row r="356" spans="1:7" ht="13.8" x14ac:dyDescent="0.25">
      <c r="A356" s="21">
        <v>34.356200000000001</v>
      </c>
      <c r="B356" s="11">
        <v>34425</v>
      </c>
      <c r="C356" s="12">
        <f t="shared" si="22"/>
        <v>34.909716555555562</v>
      </c>
      <c r="D356" s="24">
        <f t="shared" si="23"/>
        <v>355</v>
      </c>
      <c r="E356" s="15">
        <v>35.396535388888886</v>
      </c>
      <c r="F356" s="12">
        <f t="shared" si="20"/>
        <v>0.3299256505576208</v>
      </c>
      <c r="G356" s="27">
        <f t="shared" si="21"/>
        <v>6944.8002432999992</v>
      </c>
    </row>
    <row r="357" spans="1:7" ht="13.8" x14ac:dyDescent="0.25">
      <c r="A357" s="22">
        <v>61.274700000000003</v>
      </c>
      <c r="B357" s="14">
        <v>34394</v>
      </c>
      <c r="C357" s="12">
        <f t="shared" si="22"/>
        <v>62.26190350000001</v>
      </c>
      <c r="D357" s="25">
        <f t="shared" si="23"/>
        <v>356</v>
      </c>
      <c r="E357" s="15">
        <v>35.350912000000001</v>
      </c>
      <c r="F357" s="15">
        <f t="shared" si="20"/>
        <v>0.33085501858736061</v>
      </c>
      <c r="G357" s="28">
        <f t="shared" si="21"/>
        <v>6935.8489344000018</v>
      </c>
    </row>
    <row r="358" spans="1:7" ht="13.8" x14ac:dyDescent="0.25">
      <c r="A358" s="21">
        <v>41.131500000000003</v>
      </c>
      <c r="B358" s="11">
        <v>34366</v>
      </c>
      <c r="C358" s="12">
        <f t="shared" si="22"/>
        <v>41.794174166666672</v>
      </c>
      <c r="D358" s="24">
        <f t="shared" si="23"/>
        <v>357</v>
      </c>
      <c r="E358" s="15">
        <v>35.304882166666673</v>
      </c>
      <c r="F358" s="12">
        <f t="shared" si="20"/>
        <v>0.33178438661710036</v>
      </c>
      <c r="G358" s="27">
        <f t="shared" si="21"/>
        <v>6926.8178811000016</v>
      </c>
    </row>
    <row r="359" spans="1:7" ht="13.8" x14ac:dyDescent="0.25">
      <c r="A359" s="22">
        <v>70.908600000000007</v>
      </c>
      <c r="B359" s="14">
        <v>34335</v>
      </c>
      <c r="C359" s="12">
        <f t="shared" si="22"/>
        <v>72.051016333333351</v>
      </c>
      <c r="D359" s="25">
        <f t="shared" si="23"/>
        <v>358</v>
      </c>
      <c r="E359" s="12">
        <v>35.260173277777774</v>
      </c>
      <c r="F359" s="15">
        <f t="shared" si="20"/>
        <v>0.33271375464684017</v>
      </c>
      <c r="G359" s="28">
        <f t="shared" si="21"/>
        <v>6918.0459970999991</v>
      </c>
    </row>
    <row r="360" spans="1:7" ht="13.8" x14ac:dyDescent="0.25">
      <c r="A360" s="21">
        <v>28.574300000000001</v>
      </c>
      <c r="B360" s="11">
        <v>34304</v>
      </c>
      <c r="C360" s="12">
        <f t="shared" si="22"/>
        <v>29.034663722222227</v>
      </c>
      <c r="D360" s="24">
        <f t="shared" si="23"/>
        <v>359</v>
      </c>
      <c r="E360" s="15">
        <v>35.226133555555556</v>
      </c>
      <c r="F360" s="12">
        <f t="shared" si="20"/>
        <v>0.33364312267657992</v>
      </c>
      <c r="G360" s="27">
        <f t="shared" si="21"/>
        <v>6911.3674036000002</v>
      </c>
    </row>
    <row r="361" spans="1:7" ht="13.8" x14ac:dyDescent="0.25">
      <c r="A361" s="22">
        <v>18.517199999999999</v>
      </c>
      <c r="B361" s="14">
        <v>34274</v>
      </c>
      <c r="C361" s="12">
        <f t="shared" si="22"/>
        <v>18.815532666666666</v>
      </c>
      <c r="D361" s="25">
        <f t="shared" si="23"/>
        <v>360</v>
      </c>
      <c r="E361" s="12">
        <v>35.182745611111109</v>
      </c>
      <c r="F361" s="15">
        <f t="shared" si="20"/>
        <v>0.33457249070631973</v>
      </c>
      <c r="G361" s="28">
        <f t="shared" si="21"/>
        <v>6902.8546889000008</v>
      </c>
    </row>
    <row r="362" spans="1:7" ht="13.8" x14ac:dyDescent="0.25">
      <c r="A362" s="21">
        <v>18.786300000000001</v>
      </c>
      <c r="B362" s="11">
        <v>34243</v>
      </c>
      <c r="C362" s="12">
        <f t="shared" si="22"/>
        <v>19.088968166666668</v>
      </c>
      <c r="D362" s="24">
        <f t="shared" si="23"/>
        <v>361</v>
      </c>
      <c r="E362" s="15">
        <v>35.165776555555553</v>
      </c>
      <c r="F362" s="12">
        <f t="shared" si="20"/>
        <v>0.33550185873605948</v>
      </c>
      <c r="G362" s="27">
        <f t="shared" si="21"/>
        <v>6899.5253602000003</v>
      </c>
    </row>
    <row r="363" spans="1:7" ht="13.8" x14ac:dyDescent="0.25">
      <c r="A363" s="22">
        <v>16.255600000000001</v>
      </c>
      <c r="B363" s="14">
        <v>34213</v>
      </c>
      <c r="C363" s="12">
        <f t="shared" si="22"/>
        <v>16.517495777777778</v>
      </c>
      <c r="D363" s="25">
        <f t="shared" si="23"/>
        <v>362</v>
      </c>
      <c r="E363" s="12">
        <v>35.154700944444443</v>
      </c>
      <c r="F363" s="15">
        <f t="shared" si="20"/>
        <v>0.33643122676579923</v>
      </c>
      <c r="G363" s="28">
        <f t="shared" si="21"/>
        <v>6897.3523253000003</v>
      </c>
    </row>
    <row r="364" spans="1:7" ht="13.8" x14ac:dyDescent="0.25">
      <c r="A364" s="21">
        <v>16.645399999999999</v>
      </c>
      <c r="B364" s="11">
        <v>34182</v>
      </c>
      <c r="C364" s="12">
        <f t="shared" si="22"/>
        <v>16.913575888888889</v>
      </c>
      <c r="D364" s="24">
        <f t="shared" si="23"/>
        <v>363</v>
      </c>
      <c r="E364" s="15">
        <v>35.102269611111112</v>
      </c>
      <c r="F364" s="12">
        <f t="shared" si="20"/>
        <v>0.33736059479553904</v>
      </c>
      <c r="G364" s="27">
        <f t="shared" si="21"/>
        <v>6887.0652977000009</v>
      </c>
    </row>
    <row r="365" spans="1:7" ht="13.8" x14ac:dyDescent="0.25">
      <c r="A365" s="22">
        <v>19.7333</v>
      </c>
      <c r="B365" s="14">
        <v>34151</v>
      </c>
      <c r="C365" s="12">
        <f t="shared" si="22"/>
        <v>20.051225388888891</v>
      </c>
      <c r="D365" s="25">
        <f t="shared" si="23"/>
        <v>364</v>
      </c>
      <c r="E365" s="15">
        <v>34.954222222222221</v>
      </c>
      <c r="F365" s="15">
        <f t="shared" si="20"/>
        <v>0.33828996282527879</v>
      </c>
      <c r="G365" s="28">
        <f t="shared" si="21"/>
        <v>6858.018399999999</v>
      </c>
    </row>
    <row r="366" spans="1:7" ht="13.8" x14ac:dyDescent="0.25">
      <c r="A366" s="21">
        <v>27.025500000000001</v>
      </c>
      <c r="B366" s="11">
        <v>34121</v>
      </c>
      <c r="C366" s="12">
        <f t="shared" si="22"/>
        <v>27.460910833333337</v>
      </c>
      <c r="D366" s="24">
        <f t="shared" si="23"/>
        <v>365</v>
      </c>
      <c r="E366" s="12">
        <v>34.938472500000003</v>
      </c>
      <c r="F366" s="12">
        <f t="shared" si="20"/>
        <v>0.3392193308550186</v>
      </c>
      <c r="G366" s="27">
        <f t="shared" si="21"/>
        <v>6854.9283045000011</v>
      </c>
    </row>
    <row r="367" spans="1:7" ht="13.8" x14ac:dyDescent="0.25">
      <c r="A367" s="22">
        <v>26.732900000000001</v>
      </c>
      <c r="B367" s="14">
        <v>34090</v>
      </c>
      <c r="C367" s="12">
        <f t="shared" si="22"/>
        <v>27.163596722222223</v>
      </c>
      <c r="D367" s="25">
        <f t="shared" si="23"/>
        <v>366</v>
      </c>
      <c r="E367" s="12">
        <v>34.909716555555562</v>
      </c>
      <c r="F367" s="15">
        <f t="shared" si="20"/>
        <v>0.34014869888475835</v>
      </c>
      <c r="G367" s="28">
        <f t="shared" si="21"/>
        <v>6849.286388200002</v>
      </c>
    </row>
    <row r="368" spans="1:7" ht="13.8" x14ac:dyDescent="0.25">
      <c r="A368" s="21">
        <v>36.835700000000003</v>
      </c>
      <c r="B368" s="11">
        <v>34060</v>
      </c>
      <c r="C368" s="12">
        <f t="shared" si="22"/>
        <v>37.42916405555556</v>
      </c>
      <c r="D368" s="24">
        <f t="shared" si="23"/>
        <v>367</v>
      </c>
      <c r="E368" s="12">
        <v>34.802821666666667</v>
      </c>
      <c r="F368" s="12">
        <f t="shared" si="20"/>
        <v>0.34107806691449816</v>
      </c>
      <c r="G368" s="27">
        <f t="shared" si="21"/>
        <v>6828.3136109999996</v>
      </c>
    </row>
    <row r="369" spans="1:7" ht="13.8" x14ac:dyDescent="0.25">
      <c r="A369" s="22">
        <v>52.4651</v>
      </c>
      <c r="B369" s="14">
        <v>34029</v>
      </c>
      <c r="C369" s="12">
        <f t="shared" si="22"/>
        <v>53.310371055555557</v>
      </c>
      <c r="D369" s="25">
        <f t="shared" si="23"/>
        <v>368</v>
      </c>
      <c r="E369" s="15">
        <v>34.755267666666668</v>
      </c>
      <c r="F369" s="15">
        <f t="shared" si="20"/>
        <v>0.34200743494423791</v>
      </c>
      <c r="G369" s="28">
        <f t="shared" si="21"/>
        <v>6818.9835161999999</v>
      </c>
    </row>
    <row r="370" spans="1:7" ht="13.8" x14ac:dyDescent="0.25">
      <c r="A370" s="21">
        <v>70.181600000000003</v>
      </c>
      <c r="B370" s="11">
        <v>34001</v>
      </c>
      <c r="C370" s="12">
        <f t="shared" si="22"/>
        <v>71.312303555555559</v>
      </c>
      <c r="D370" s="24">
        <f t="shared" si="23"/>
        <v>369</v>
      </c>
      <c r="E370" s="15">
        <v>34.74632588888889</v>
      </c>
      <c r="F370" s="12">
        <f t="shared" si="20"/>
        <v>0.34293680297397772</v>
      </c>
      <c r="G370" s="27">
        <f t="shared" si="21"/>
        <v>6817.2291393999994</v>
      </c>
    </row>
    <row r="371" spans="1:7" ht="13.8" x14ac:dyDescent="0.25">
      <c r="A371" s="22">
        <v>51.198500000000003</v>
      </c>
      <c r="B371" s="14">
        <v>33970</v>
      </c>
      <c r="C371" s="12">
        <f t="shared" si="22"/>
        <v>52.023364722222226</v>
      </c>
      <c r="D371" s="25">
        <f t="shared" si="23"/>
        <v>370</v>
      </c>
      <c r="E371" s="12">
        <v>34.740534055555557</v>
      </c>
      <c r="F371" s="15">
        <f t="shared" si="20"/>
        <v>0.34386617100371747</v>
      </c>
      <c r="G371" s="28">
        <f t="shared" si="21"/>
        <v>6816.0927817000011</v>
      </c>
    </row>
    <row r="372" spans="1:7" ht="13.8" x14ac:dyDescent="0.25">
      <c r="A372" s="21">
        <v>37.821399999999997</v>
      </c>
      <c r="B372" s="11">
        <v>33939</v>
      </c>
      <c r="C372" s="12">
        <f t="shared" si="22"/>
        <v>38.430744777777775</v>
      </c>
      <c r="D372" s="24">
        <f t="shared" si="23"/>
        <v>371</v>
      </c>
      <c r="E372" s="15">
        <v>34.702633111111112</v>
      </c>
      <c r="F372" s="12">
        <f t="shared" si="20"/>
        <v>0.34479553903345728</v>
      </c>
      <c r="G372" s="27">
        <f t="shared" si="21"/>
        <v>6808.6566164000014</v>
      </c>
    </row>
    <row r="373" spans="1:7" ht="13.8" x14ac:dyDescent="0.25">
      <c r="A373" s="22">
        <v>46.212299999999999</v>
      </c>
      <c r="B373" s="14">
        <v>33909</v>
      </c>
      <c r="C373" s="12">
        <f t="shared" si="22"/>
        <v>46.9568315</v>
      </c>
      <c r="D373" s="25">
        <f t="shared" si="23"/>
        <v>372</v>
      </c>
      <c r="E373" s="12">
        <v>34.668796611111119</v>
      </c>
      <c r="F373" s="15">
        <f t="shared" si="20"/>
        <v>0.34572490706319703</v>
      </c>
      <c r="G373" s="28">
        <f t="shared" si="21"/>
        <v>6802.0178951000016</v>
      </c>
    </row>
    <row r="374" spans="1:7" ht="13.8" x14ac:dyDescent="0.25">
      <c r="A374" s="21">
        <v>32.835299999999997</v>
      </c>
      <c r="B374" s="11">
        <v>33878</v>
      </c>
      <c r="C374" s="12">
        <f t="shared" si="22"/>
        <v>33.364313166666669</v>
      </c>
      <c r="D374" s="24">
        <f t="shared" si="23"/>
        <v>373</v>
      </c>
      <c r="E374" s="15">
        <v>34.568100000000008</v>
      </c>
      <c r="F374" s="12">
        <f t="shared" si="20"/>
        <v>0.34665427509293678</v>
      </c>
      <c r="G374" s="27">
        <f t="shared" si="21"/>
        <v>6782.2612200000012</v>
      </c>
    </row>
    <row r="375" spans="1:7" ht="13.8" x14ac:dyDescent="0.25">
      <c r="A375" s="22">
        <v>29.3416</v>
      </c>
      <c r="B375" s="14">
        <v>33848</v>
      </c>
      <c r="C375" s="12">
        <f t="shared" si="22"/>
        <v>29.814325777777778</v>
      </c>
      <c r="D375" s="25">
        <f t="shared" si="23"/>
        <v>374</v>
      </c>
      <c r="E375" s="12">
        <v>34.526642666666667</v>
      </c>
      <c r="F375" s="15">
        <f t="shared" si="20"/>
        <v>0.34758364312267659</v>
      </c>
      <c r="G375" s="28">
        <f t="shared" si="21"/>
        <v>6774.1272911999995</v>
      </c>
    </row>
    <row r="376" spans="1:7" ht="13.8" x14ac:dyDescent="0.25">
      <c r="A376" s="21">
        <v>16.7532</v>
      </c>
      <c r="B376" s="11">
        <v>33817</v>
      </c>
      <c r="C376" s="12">
        <f t="shared" si="22"/>
        <v>17.023112666666666</v>
      </c>
      <c r="D376" s="24">
        <f t="shared" si="23"/>
        <v>375</v>
      </c>
      <c r="E376" s="15">
        <v>34.36711322222223</v>
      </c>
      <c r="F376" s="12">
        <f t="shared" si="20"/>
        <v>0.34851301115241634</v>
      </c>
      <c r="G376" s="27">
        <f t="shared" si="21"/>
        <v>6742.8276142000013</v>
      </c>
    </row>
    <row r="377" spans="1:7" ht="13.8" x14ac:dyDescent="0.25">
      <c r="A377" s="22">
        <v>18.9602</v>
      </c>
      <c r="B377" s="14">
        <v>33786</v>
      </c>
      <c r="C377" s="12">
        <f t="shared" si="22"/>
        <v>19.26566988888889</v>
      </c>
      <c r="D377" s="25">
        <f t="shared" si="23"/>
        <v>376</v>
      </c>
      <c r="E377" s="12">
        <v>34.332768666666674</v>
      </c>
      <c r="F377" s="15">
        <f t="shared" si="20"/>
        <v>0.34944237918215615</v>
      </c>
      <c r="G377" s="28">
        <f t="shared" si="21"/>
        <v>6736.0892124000011</v>
      </c>
    </row>
    <row r="378" spans="1:7" ht="13.8" x14ac:dyDescent="0.25">
      <c r="A378" s="21">
        <v>22.373999999999999</v>
      </c>
      <c r="B378" s="11">
        <v>33756</v>
      </c>
      <c r="C378" s="12">
        <f t="shared" si="22"/>
        <v>22.734470000000002</v>
      </c>
      <c r="D378" s="24">
        <f t="shared" si="23"/>
        <v>377</v>
      </c>
      <c r="E378" s="12">
        <v>34.277695444444447</v>
      </c>
      <c r="F378" s="12">
        <f t="shared" si="20"/>
        <v>0.3503717472118959</v>
      </c>
      <c r="G378" s="27">
        <f t="shared" si="21"/>
        <v>6725.2838462000018</v>
      </c>
    </row>
    <row r="379" spans="1:7" ht="13.8" x14ac:dyDescent="0.25">
      <c r="A379" s="22">
        <v>34.545699999999997</v>
      </c>
      <c r="B379" s="14">
        <v>33725</v>
      </c>
      <c r="C379" s="12">
        <f t="shared" si="22"/>
        <v>35.102269611111112</v>
      </c>
      <c r="D379" s="25">
        <f t="shared" si="23"/>
        <v>378</v>
      </c>
      <c r="E379" s="15">
        <v>34.158099166666673</v>
      </c>
      <c r="F379" s="15">
        <f t="shared" si="20"/>
        <v>0.35130111524163571</v>
      </c>
      <c r="G379" s="28">
        <f t="shared" si="21"/>
        <v>6701.8190565000023</v>
      </c>
    </row>
    <row r="380" spans="1:7" ht="13.8" x14ac:dyDescent="0.25">
      <c r="A380" s="21">
        <v>33.270699999999998</v>
      </c>
      <c r="B380" s="11">
        <v>33695</v>
      </c>
      <c r="C380" s="12">
        <f t="shared" si="22"/>
        <v>33.806727944444447</v>
      </c>
      <c r="D380" s="24">
        <f t="shared" si="23"/>
        <v>379</v>
      </c>
      <c r="E380" s="15">
        <v>34.129343222222225</v>
      </c>
      <c r="F380" s="12">
        <f t="shared" si="20"/>
        <v>0.35223048327137546</v>
      </c>
      <c r="G380" s="27">
        <f t="shared" si="21"/>
        <v>6696.1771402000013</v>
      </c>
    </row>
    <row r="381" spans="1:7" ht="13.8" x14ac:dyDescent="0.25">
      <c r="A381" s="22">
        <v>58.869300000000003</v>
      </c>
      <c r="B381" s="14">
        <v>33664</v>
      </c>
      <c r="C381" s="12">
        <f t="shared" si="22"/>
        <v>59.817749833333338</v>
      </c>
      <c r="D381" s="25">
        <f t="shared" si="23"/>
        <v>380</v>
      </c>
      <c r="E381" s="12">
        <v>34.008426</v>
      </c>
      <c r="F381" s="15">
        <f t="shared" si="20"/>
        <v>0.35315985130111527</v>
      </c>
      <c r="G381" s="28">
        <f t="shared" si="21"/>
        <v>6672.4531812000005</v>
      </c>
    </row>
    <row r="382" spans="1:7" ht="13.8" x14ac:dyDescent="0.25">
      <c r="A382" s="21">
        <v>82.991600000000005</v>
      </c>
      <c r="B382" s="11">
        <v>33635</v>
      </c>
      <c r="C382" s="12">
        <f t="shared" si="22"/>
        <v>84.328686888888896</v>
      </c>
      <c r="D382" s="24">
        <f t="shared" si="23"/>
        <v>381</v>
      </c>
      <c r="E382" s="15">
        <v>33.90803422222222</v>
      </c>
      <c r="F382" s="12">
        <f t="shared" si="20"/>
        <v>0.35408921933085502</v>
      </c>
      <c r="G382" s="27">
        <f t="shared" si="21"/>
        <v>6652.7563143999996</v>
      </c>
    </row>
    <row r="383" spans="1:7" ht="13.8" x14ac:dyDescent="0.25">
      <c r="A383" s="22">
        <v>139.3597</v>
      </c>
      <c r="B383" s="14">
        <v>33604</v>
      </c>
      <c r="C383" s="12">
        <f t="shared" si="22"/>
        <v>141.60493961111112</v>
      </c>
      <c r="D383" s="25">
        <f t="shared" si="23"/>
        <v>382</v>
      </c>
      <c r="E383" s="12">
        <v>33.806727944444447</v>
      </c>
      <c r="F383" s="15">
        <f t="shared" si="20"/>
        <v>0.35501858736059477</v>
      </c>
      <c r="G383" s="28">
        <f t="shared" si="21"/>
        <v>6632.8800227000002</v>
      </c>
    </row>
    <row r="384" spans="1:7" ht="13.8" x14ac:dyDescent="0.25">
      <c r="A384" s="21">
        <v>32.716000000000001</v>
      </c>
      <c r="B384" s="11">
        <v>33573</v>
      </c>
      <c r="C384" s="12">
        <f t="shared" si="22"/>
        <v>33.243091111111113</v>
      </c>
      <c r="D384" s="24">
        <f t="shared" si="23"/>
        <v>383</v>
      </c>
      <c r="E384" s="15">
        <v>33.768420555555558</v>
      </c>
      <c r="F384" s="12">
        <f t="shared" si="20"/>
        <v>0.35594795539033458</v>
      </c>
      <c r="G384" s="27">
        <f t="shared" si="21"/>
        <v>6625.3641130000005</v>
      </c>
    </row>
    <row r="385" spans="1:7" ht="13.8" x14ac:dyDescent="0.25">
      <c r="A385" s="22">
        <v>26.084700000000002</v>
      </c>
      <c r="B385" s="14">
        <v>33543</v>
      </c>
      <c r="C385" s="12">
        <f t="shared" si="22"/>
        <v>26.504953500000003</v>
      </c>
      <c r="D385" s="25">
        <f t="shared" si="23"/>
        <v>384</v>
      </c>
      <c r="E385" s="13">
        <v>33.658375722222225</v>
      </c>
      <c r="F385" s="15">
        <f t="shared" si="20"/>
        <v>0.35687732342007433</v>
      </c>
      <c r="G385" s="28">
        <f t="shared" si="21"/>
        <v>6603.7733167000015</v>
      </c>
    </row>
    <row r="386" spans="1:7" ht="13.8" x14ac:dyDescent="0.25">
      <c r="A386" s="21">
        <v>29.506499999999999</v>
      </c>
      <c r="B386" s="11">
        <v>33512</v>
      </c>
      <c r="C386" s="12">
        <f t="shared" si="22"/>
        <v>29.981882500000001</v>
      </c>
      <c r="D386" s="24">
        <f t="shared" si="23"/>
        <v>385</v>
      </c>
      <c r="E386" s="12">
        <v>33.538779444444444</v>
      </c>
      <c r="F386" s="12">
        <f t="shared" ref="F386:F449" si="24">D386/1076</f>
        <v>0.35780669144981414</v>
      </c>
      <c r="G386" s="27">
        <f t="shared" ref="G386:G449" si="25">1000*E386*$J$2*9.81/1000</f>
        <v>6580.308527000001</v>
      </c>
    </row>
    <row r="387" spans="1:7" ht="13.8" x14ac:dyDescent="0.25">
      <c r="A387" s="22">
        <v>16.7257</v>
      </c>
      <c r="B387" s="14">
        <v>33482</v>
      </c>
      <c r="C387" s="12">
        <f t="shared" ref="C387:C450" si="26">A387*($I$2/$H$2)</f>
        <v>16.995169611111113</v>
      </c>
      <c r="D387" s="25">
        <f t="shared" ref="D387:D450" si="27">D386+1</f>
        <v>386</v>
      </c>
      <c r="E387" s="15">
        <v>33.410343000000005</v>
      </c>
      <c r="F387" s="15">
        <f t="shared" si="24"/>
        <v>0.35873605947955389</v>
      </c>
      <c r="G387" s="28">
        <f t="shared" si="25"/>
        <v>6555.1092966000006</v>
      </c>
    </row>
    <row r="388" spans="1:7" ht="13.8" x14ac:dyDescent="0.25">
      <c r="A388" s="21">
        <v>18.8918</v>
      </c>
      <c r="B388" s="11">
        <v>33451</v>
      </c>
      <c r="C388" s="12">
        <f t="shared" si="26"/>
        <v>19.19616788888889</v>
      </c>
      <c r="D388" s="24">
        <f t="shared" si="27"/>
        <v>387</v>
      </c>
      <c r="E388" s="12">
        <v>33.364313166666669</v>
      </c>
      <c r="F388" s="12">
        <f t="shared" si="24"/>
        <v>0.3596654275092937</v>
      </c>
      <c r="G388" s="27">
        <f t="shared" si="25"/>
        <v>6546.0782433000004</v>
      </c>
    </row>
    <row r="389" spans="1:7" ht="13.8" x14ac:dyDescent="0.25">
      <c r="A389" s="22">
        <v>25.024999999999999</v>
      </c>
      <c r="B389" s="14">
        <v>33420</v>
      </c>
      <c r="C389" s="12">
        <f t="shared" si="26"/>
        <v>25.428180555555556</v>
      </c>
      <c r="D389" s="25">
        <f t="shared" si="27"/>
        <v>388</v>
      </c>
      <c r="E389" s="12">
        <v>33.335963666666672</v>
      </c>
      <c r="F389" s="15">
        <f t="shared" si="24"/>
        <v>0.36059479553903345</v>
      </c>
      <c r="G389" s="28">
        <f t="shared" si="25"/>
        <v>6540.5160714000012</v>
      </c>
    </row>
    <row r="390" spans="1:7" ht="13.8" x14ac:dyDescent="0.25">
      <c r="A390" s="21">
        <v>27.570599999999999</v>
      </c>
      <c r="B390" s="11">
        <v>33390</v>
      </c>
      <c r="C390" s="12">
        <f t="shared" si="26"/>
        <v>28.014793000000001</v>
      </c>
      <c r="D390" s="24">
        <f t="shared" si="27"/>
        <v>389</v>
      </c>
      <c r="E390" s="12">
        <v>33.243091111111113</v>
      </c>
      <c r="F390" s="12">
        <f t="shared" si="24"/>
        <v>0.36152416356877326</v>
      </c>
      <c r="G390" s="27">
        <f t="shared" si="25"/>
        <v>6522.2944760000009</v>
      </c>
    </row>
    <row r="391" spans="1:7" ht="13.8" x14ac:dyDescent="0.25">
      <c r="A391" s="22">
        <v>36.013599999999997</v>
      </c>
      <c r="B391" s="14">
        <v>33359</v>
      </c>
      <c r="C391" s="12">
        <f t="shared" si="26"/>
        <v>36.59381911111111</v>
      </c>
      <c r="D391" s="25">
        <f t="shared" si="27"/>
        <v>390</v>
      </c>
      <c r="E391" s="15">
        <v>33.014364500000006</v>
      </c>
      <c r="F391" s="15">
        <f t="shared" si="24"/>
        <v>0.36245353159851301</v>
      </c>
      <c r="G391" s="28">
        <f t="shared" si="25"/>
        <v>6477.418314900001</v>
      </c>
    </row>
    <row r="392" spans="1:7" ht="13.8" x14ac:dyDescent="0.25">
      <c r="A392" s="21">
        <v>60.851599999999998</v>
      </c>
      <c r="B392" s="11">
        <v>33329</v>
      </c>
      <c r="C392" s="12">
        <f t="shared" si="26"/>
        <v>61.831986888888892</v>
      </c>
      <c r="D392" s="24">
        <f t="shared" si="27"/>
        <v>391</v>
      </c>
      <c r="E392" s="15">
        <v>32.919053277777785</v>
      </c>
      <c r="F392" s="12">
        <f t="shared" si="24"/>
        <v>0.36338289962825276</v>
      </c>
      <c r="G392" s="27">
        <f t="shared" si="25"/>
        <v>6458.7182531000026</v>
      </c>
    </row>
    <row r="393" spans="1:7" ht="13.8" x14ac:dyDescent="0.25">
      <c r="A393" s="22">
        <v>54.020499999999998</v>
      </c>
      <c r="B393" s="14">
        <v>33298</v>
      </c>
      <c r="C393" s="12">
        <f t="shared" si="26"/>
        <v>54.890830277777781</v>
      </c>
      <c r="D393" s="25">
        <f t="shared" si="27"/>
        <v>392</v>
      </c>
      <c r="E393" s="12">
        <v>32.835630555555554</v>
      </c>
      <c r="F393" s="15">
        <f t="shared" si="24"/>
        <v>0.36431226765799257</v>
      </c>
      <c r="G393" s="28">
        <f t="shared" si="25"/>
        <v>6442.3507149999987</v>
      </c>
    </row>
    <row r="394" spans="1:7" ht="13.8" x14ac:dyDescent="0.25">
      <c r="A394" s="21">
        <v>67.798299999999998</v>
      </c>
      <c r="B394" s="11">
        <v>33270</v>
      </c>
      <c r="C394" s="12">
        <f t="shared" si="26"/>
        <v>68.890605944444445</v>
      </c>
      <c r="D394" s="24">
        <f t="shared" si="27"/>
        <v>393</v>
      </c>
      <c r="E394" s="15">
        <v>32.782081500000004</v>
      </c>
      <c r="F394" s="12">
        <f t="shared" si="24"/>
        <v>0.36524163568773232</v>
      </c>
      <c r="G394" s="27">
        <f t="shared" si="25"/>
        <v>6431.8443902999998</v>
      </c>
    </row>
    <row r="395" spans="1:7" ht="13.8" x14ac:dyDescent="0.25">
      <c r="A395" s="22">
        <v>81.368300000000005</v>
      </c>
      <c r="B395" s="14">
        <v>33239</v>
      </c>
      <c r="C395" s="12">
        <f t="shared" si="26"/>
        <v>82.679233722222236</v>
      </c>
      <c r="D395" s="25">
        <f t="shared" si="27"/>
        <v>394</v>
      </c>
      <c r="E395" s="15">
        <v>32.612086111111111</v>
      </c>
      <c r="F395" s="15">
        <f t="shared" si="24"/>
        <v>0.36617100371747213</v>
      </c>
      <c r="G395" s="28">
        <f t="shared" si="25"/>
        <v>6398.4912950000007</v>
      </c>
    </row>
    <row r="396" spans="1:7" ht="13.8" x14ac:dyDescent="0.25">
      <c r="A396" s="21">
        <v>31.887899999999998</v>
      </c>
      <c r="B396" s="11">
        <v>33208</v>
      </c>
      <c r="C396" s="12">
        <f t="shared" si="26"/>
        <v>32.401649499999998</v>
      </c>
      <c r="D396" s="24">
        <f t="shared" si="27"/>
        <v>395</v>
      </c>
      <c r="E396" s="12">
        <v>32.535674555555552</v>
      </c>
      <c r="F396" s="12">
        <f t="shared" si="24"/>
        <v>0.36710037174721188</v>
      </c>
      <c r="G396" s="27">
        <f t="shared" si="25"/>
        <v>6383.4993478000006</v>
      </c>
    </row>
    <row r="397" spans="1:7" ht="13.8" x14ac:dyDescent="0.25">
      <c r="A397" s="22">
        <v>21.8033</v>
      </c>
      <c r="B397" s="14">
        <v>33178</v>
      </c>
      <c r="C397" s="12">
        <f t="shared" si="26"/>
        <v>22.15457538888889</v>
      </c>
      <c r="D397" s="25">
        <f t="shared" si="27"/>
        <v>396</v>
      </c>
      <c r="E397" s="12">
        <v>32.401649499999998</v>
      </c>
      <c r="F397" s="15">
        <f t="shared" si="24"/>
        <v>0.36802973977695169</v>
      </c>
      <c r="G397" s="28">
        <f t="shared" si="25"/>
        <v>6357.2036319000008</v>
      </c>
    </row>
    <row r="398" spans="1:7" ht="13.8" x14ac:dyDescent="0.25">
      <c r="A398" s="21">
        <v>15.307700000000001</v>
      </c>
      <c r="B398" s="11">
        <v>33147</v>
      </c>
      <c r="C398" s="12">
        <f t="shared" si="26"/>
        <v>15.554324055555558</v>
      </c>
      <c r="D398" s="24">
        <f t="shared" si="27"/>
        <v>397</v>
      </c>
      <c r="E398" s="15">
        <v>32.35978572222222</v>
      </c>
      <c r="F398" s="12">
        <f t="shared" si="24"/>
        <v>0.36895910780669144</v>
      </c>
      <c r="G398" s="27">
        <f t="shared" si="25"/>
        <v>6348.9899587</v>
      </c>
    </row>
    <row r="399" spans="1:7" ht="13.8" x14ac:dyDescent="0.25">
      <c r="A399" s="22">
        <v>15.931800000000001</v>
      </c>
      <c r="B399" s="14">
        <v>33117</v>
      </c>
      <c r="C399" s="12">
        <f t="shared" si="26"/>
        <v>16.188479000000001</v>
      </c>
      <c r="D399" s="25">
        <f t="shared" si="27"/>
        <v>398</v>
      </c>
      <c r="E399" s="12">
        <v>32.253297277777783</v>
      </c>
      <c r="F399" s="15">
        <f t="shared" si="24"/>
        <v>0.36988847583643125</v>
      </c>
      <c r="G399" s="28">
        <f t="shared" si="25"/>
        <v>6328.0969259000012</v>
      </c>
    </row>
    <row r="400" spans="1:7" ht="13.8" x14ac:dyDescent="0.25">
      <c r="A400" s="21">
        <v>15.058999999999999</v>
      </c>
      <c r="B400" s="11">
        <v>33086</v>
      </c>
      <c r="C400" s="12">
        <f t="shared" si="26"/>
        <v>15.301617222222223</v>
      </c>
      <c r="D400" s="24">
        <f t="shared" si="27"/>
        <v>399</v>
      </c>
      <c r="E400" s="15">
        <v>32.233483111111113</v>
      </c>
      <c r="F400" s="12">
        <f t="shared" si="24"/>
        <v>0.370817843866171</v>
      </c>
      <c r="G400" s="27">
        <f t="shared" si="25"/>
        <v>6324.2093863999999</v>
      </c>
    </row>
    <row r="401" spans="1:7" ht="13.8" x14ac:dyDescent="0.25">
      <c r="A401" s="22">
        <v>16.5426</v>
      </c>
      <c r="B401" s="14">
        <v>33055</v>
      </c>
      <c r="C401" s="12">
        <f t="shared" si="26"/>
        <v>16.809119666666668</v>
      </c>
      <c r="D401" s="25">
        <f t="shared" si="27"/>
        <v>400</v>
      </c>
      <c r="E401" s="12">
        <v>32.053834666666667</v>
      </c>
      <c r="F401" s="15">
        <f t="shared" si="24"/>
        <v>0.37174721189591076</v>
      </c>
      <c r="G401" s="28">
        <f t="shared" si="25"/>
        <v>6288.9623616000008</v>
      </c>
    </row>
    <row r="402" spans="1:7" ht="13.8" x14ac:dyDescent="0.25">
      <c r="A402" s="21">
        <v>17</v>
      </c>
      <c r="B402" s="11">
        <v>33025</v>
      </c>
      <c r="C402" s="12">
        <f t="shared" si="26"/>
        <v>17.273888888888891</v>
      </c>
      <c r="D402" s="24">
        <f t="shared" si="27"/>
        <v>401</v>
      </c>
      <c r="E402" s="12">
        <v>31.977016666666668</v>
      </c>
      <c r="F402" s="12">
        <f t="shared" si="24"/>
        <v>0.37267657992565056</v>
      </c>
      <c r="G402" s="27">
        <f t="shared" si="25"/>
        <v>6273.8906700000007</v>
      </c>
    </row>
    <row r="403" spans="1:7" ht="13.8" x14ac:dyDescent="0.25">
      <c r="A403" s="22">
        <v>24.7883</v>
      </c>
      <c r="B403" s="14">
        <v>32994</v>
      </c>
      <c r="C403" s="12">
        <f t="shared" si="26"/>
        <v>25.187667055555558</v>
      </c>
      <c r="D403" s="25">
        <f t="shared" si="27"/>
        <v>402</v>
      </c>
      <c r="E403" s="12">
        <v>31.956592833333335</v>
      </c>
      <c r="F403" s="15">
        <f t="shared" si="24"/>
        <v>0.37360594795539032</v>
      </c>
      <c r="G403" s="28">
        <f t="shared" si="25"/>
        <v>6269.8835139000003</v>
      </c>
    </row>
    <row r="404" spans="1:7" ht="13.8" x14ac:dyDescent="0.25">
      <c r="A404" s="21">
        <v>31.47</v>
      </c>
      <c r="B404" s="11">
        <v>32964</v>
      </c>
      <c r="C404" s="12">
        <f t="shared" si="26"/>
        <v>31.977016666666668</v>
      </c>
      <c r="D404" s="24">
        <f t="shared" si="27"/>
        <v>403</v>
      </c>
      <c r="E404" s="12">
        <v>31.932104555555558</v>
      </c>
      <c r="F404" s="12">
        <f t="shared" si="24"/>
        <v>0.37453531598513012</v>
      </c>
      <c r="G404" s="27">
        <f t="shared" si="25"/>
        <v>6265.0789138</v>
      </c>
    </row>
    <row r="405" spans="1:7" ht="13.8" x14ac:dyDescent="0.25">
      <c r="A405" s="22">
        <v>44.379899999999999</v>
      </c>
      <c r="B405" s="14">
        <v>32933</v>
      </c>
      <c r="C405" s="12">
        <f t="shared" si="26"/>
        <v>45.0949095</v>
      </c>
      <c r="D405" s="25">
        <f t="shared" si="27"/>
        <v>404</v>
      </c>
      <c r="E405" s="12">
        <v>31.849901166666669</v>
      </c>
      <c r="F405" s="15">
        <f t="shared" si="24"/>
        <v>0.37546468401486988</v>
      </c>
      <c r="G405" s="28">
        <f t="shared" si="25"/>
        <v>6248.9506089000015</v>
      </c>
    </row>
    <row r="406" spans="1:7" ht="13.8" x14ac:dyDescent="0.25">
      <c r="A406" s="21">
        <v>31.1188</v>
      </c>
      <c r="B406" s="11">
        <v>32905</v>
      </c>
      <c r="C406" s="12">
        <f t="shared" si="26"/>
        <v>31.620158444444446</v>
      </c>
      <c r="D406" s="24">
        <f t="shared" si="27"/>
        <v>405</v>
      </c>
      <c r="E406" s="12">
        <v>31.795539222222224</v>
      </c>
      <c r="F406" s="12">
        <f t="shared" si="24"/>
        <v>0.37639405204460968</v>
      </c>
      <c r="G406" s="27">
        <f t="shared" si="25"/>
        <v>6238.2847953999999</v>
      </c>
    </row>
    <row r="407" spans="1:7" ht="13.8" x14ac:dyDescent="0.25">
      <c r="A407" s="22">
        <v>51.843800000000002</v>
      </c>
      <c r="B407" s="14">
        <v>32874</v>
      </c>
      <c r="C407" s="12">
        <f t="shared" si="26"/>
        <v>52.679061222222231</v>
      </c>
      <c r="D407" s="25">
        <f t="shared" si="27"/>
        <v>406</v>
      </c>
      <c r="E407" s="12">
        <v>31.697789333333336</v>
      </c>
      <c r="F407" s="15">
        <f t="shared" si="24"/>
        <v>0.37732342007434944</v>
      </c>
      <c r="G407" s="28">
        <f t="shared" si="25"/>
        <v>6219.1062672000007</v>
      </c>
    </row>
    <row r="408" spans="1:7" ht="13.8" x14ac:dyDescent="0.25">
      <c r="A408" s="21">
        <v>52.3613</v>
      </c>
      <c r="B408" s="11">
        <v>32843</v>
      </c>
      <c r="C408" s="12">
        <f t="shared" si="26"/>
        <v>53.204898722222225</v>
      </c>
      <c r="D408" s="24">
        <f t="shared" si="27"/>
        <v>407</v>
      </c>
      <c r="E408" s="12">
        <v>31.661819000000001</v>
      </c>
      <c r="F408" s="12">
        <f t="shared" si="24"/>
        <v>0.37825278810408924</v>
      </c>
      <c r="G408" s="27">
        <f t="shared" si="25"/>
        <v>6212.0488878000006</v>
      </c>
    </row>
    <row r="409" spans="1:7" ht="13.8" x14ac:dyDescent="0.25">
      <c r="A409" s="22">
        <v>24.522400000000001</v>
      </c>
      <c r="B409" s="14">
        <v>32813</v>
      </c>
      <c r="C409" s="12">
        <f t="shared" si="26"/>
        <v>24.917483111111114</v>
      </c>
      <c r="D409" s="25">
        <f t="shared" si="27"/>
        <v>408</v>
      </c>
      <c r="E409" s="12">
        <v>31.620158444444446</v>
      </c>
      <c r="F409" s="15">
        <f t="shared" si="24"/>
        <v>0.379182156133829</v>
      </c>
      <c r="G409" s="28">
        <f t="shared" si="25"/>
        <v>6203.8750868000006</v>
      </c>
    </row>
    <row r="410" spans="1:7" ht="13.8" x14ac:dyDescent="0.25">
      <c r="A410" s="21">
        <v>17.227599999999999</v>
      </c>
      <c r="B410" s="11">
        <v>32782</v>
      </c>
      <c r="C410" s="12">
        <f t="shared" si="26"/>
        <v>17.505155777777777</v>
      </c>
      <c r="D410" s="24">
        <f t="shared" si="27"/>
        <v>409</v>
      </c>
      <c r="E410" s="15">
        <v>31.595060500000002</v>
      </c>
      <c r="F410" s="12">
        <f t="shared" si="24"/>
        <v>0.38011152416356875</v>
      </c>
      <c r="G410" s="27">
        <f t="shared" si="25"/>
        <v>6198.9508701000004</v>
      </c>
    </row>
    <row r="411" spans="1:7" ht="13.8" x14ac:dyDescent="0.25">
      <c r="A411" s="22">
        <v>19.344100000000001</v>
      </c>
      <c r="B411" s="14">
        <v>32752</v>
      </c>
      <c r="C411" s="12">
        <f t="shared" si="26"/>
        <v>19.655754944444446</v>
      </c>
      <c r="D411" s="25">
        <f t="shared" si="27"/>
        <v>410</v>
      </c>
      <c r="E411" s="12">
        <v>31.572909277777779</v>
      </c>
      <c r="F411" s="15">
        <f t="shared" si="24"/>
        <v>0.38104089219330856</v>
      </c>
      <c r="G411" s="28">
        <f t="shared" si="25"/>
        <v>6194.6048003000005</v>
      </c>
    </row>
    <row r="412" spans="1:7" ht="13.8" x14ac:dyDescent="0.25">
      <c r="A412" s="21">
        <v>19.654800000000002</v>
      </c>
      <c r="B412" s="11">
        <v>32721</v>
      </c>
      <c r="C412" s="12">
        <f t="shared" si="26"/>
        <v>19.971460666666669</v>
      </c>
      <c r="D412" s="24">
        <f t="shared" si="27"/>
        <v>411</v>
      </c>
      <c r="E412" s="15">
        <v>31.43370205555556</v>
      </c>
      <c r="F412" s="12">
        <f t="shared" si="24"/>
        <v>0.38197026022304831</v>
      </c>
      <c r="G412" s="27">
        <f t="shared" si="25"/>
        <v>6167.2923433000005</v>
      </c>
    </row>
    <row r="413" spans="1:7" ht="13.8" x14ac:dyDescent="0.25">
      <c r="A413" s="22">
        <v>21.3445</v>
      </c>
      <c r="B413" s="14">
        <v>32690</v>
      </c>
      <c r="C413" s="12">
        <f t="shared" si="26"/>
        <v>21.688383611111114</v>
      </c>
      <c r="D413" s="25">
        <f t="shared" si="27"/>
        <v>412</v>
      </c>
      <c r="E413" s="15">
        <v>31.422728055555556</v>
      </c>
      <c r="F413" s="15">
        <f t="shared" si="24"/>
        <v>0.38289962825278812</v>
      </c>
      <c r="G413" s="28">
        <f t="shared" si="25"/>
        <v>6165.1392445000001</v>
      </c>
    </row>
    <row r="414" spans="1:7" ht="13.8" x14ac:dyDescent="0.25">
      <c r="A414" s="21">
        <v>24.6755</v>
      </c>
      <c r="B414" s="11">
        <v>32660</v>
      </c>
      <c r="C414" s="12">
        <f t="shared" si="26"/>
        <v>25.073049722222223</v>
      </c>
      <c r="D414" s="24">
        <f t="shared" si="27"/>
        <v>413</v>
      </c>
      <c r="E414" s="15">
        <v>31.411550833333333</v>
      </c>
      <c r="F414" s="12">
        <f t="shared" si="24"/>
        <v>0.38382899628252787</v>
      </c>
      <c r="G414" s="27">
        <f t="shared" si="25"/>
        <v>6162.9462735000006</v>
      </c>
    </row>
    <row r="415" spans="1:7" ht="13.8" x14ac:dyDescent="0.25">
      <c r="A415" s="22">
        <v>27.527200000000001</v>
      </c>
      <c r="B415" s="14">
        <v>32629</v>
      </c>
      <c r="C415" s="12">
        <f t="shared" si="26"/>
        <v>27.970693777777779</v>
      </c>
      <c r="D415" s="25">
        <f t="shared" si="27"/>
        <v>414</v>
      </c>
      <c r="E415" s="12">
        <v>31.243892500000001</v>
      </c>
      <c r="F415" s="15">
        <f t="shared" si="24"/>
        <v>0.38475836431226768</v>
      </c>
      <c r="G415" s="28">
        <f t="shared" si="25"/>
        <v>6130.051708500002</v>
      </c>
    </row>
    <row r="416" spans="1:7" ht="13.8" x14ac:dyDescent="0.25">
      <c r="A416" s="21">
        <v>39.995100000000001</v>
      </c>
      <c r="B416" s="11">
        <v>32599</v>
      </c>
      <c r="C416" s="12">
        <f t="shared" si="26"/>
        <v>40.639465500000007</v>
      </c>
      <c r="D416" s="24">
        <f t="shared" si="27"/>
        <v>415</v>
      </c>
      <c r="E416" s="12">
        <v>31.202130333333336</v>
      </c>
      <c r="F416" s="12">
        <f t="shared" si="24"/>
        <v>0.38568773234200743</v>
      </c>
      <c r="G416" s="27">
        <f t="shared" si="25"/>
        <v>6121.8579714000016</v>
      </c>
    </row>
    <row r="417" spans="1:7" ht="13.8" x14ac:dyDescent="0.25">
      <c r="A417" s="22">
        <v>75.267600000000002</v>
      </c>
      <c r="B417" s="14">
        <v>32568</v>
      </c>
      <c r="C417" s="12">
        <f t="shared" si="26"/>
        <v>76.480244666666678</v>
      </c>
      <c r="D417" s="25">
        <f t="shared" si="27"/>
        <v>416</v>
      </c>
      <c r="E417" s="12">
        <v>31.198878777777779</v>
      </c>
      <c r="F417" s="15">
        <f t="shared" si="24"/>
        <v>0.38661710037174724</v>
      </c>
      <c r="G417" s="28">
        <f t="shared" si="25"/>
        <v>6121.2200162000017</v>
      </c>
    </row>
    <row r="418" spans="1:7" ht="13.8" x14ac:dyDescent="0.25">
      <c r="A418" s="21">
        <v>71.296999999999997</v>
      </c>
      <c r="B418" s="11">
        <v>32540</v>
      </c>
      <c r="C418" s="12">
        <f t="shared" si="26"/>
        <v>72.445673888888891</v>
      </c>
      <c r="D418" s="24">
        <f t="shared" si="27"/>
        <v>417</v>
      </c>
      <c r="E418" s="12">
        <v>31.106717500000002</v>
      </c>
      <c r="F418" s="12">
        <f t="shared" si="24"/>
        <v>0.38754646840148699</v>
      </c>
      <c r="G418" s="27">
        <f t="shared" si="25"/>
        <v>6103.137973500001</v>
      </c>
    </row>
    <row r="419" spans="1:7" ht="13.8" x14ac:dyDescent="0.25">
      <c r="A419" s="22">
        <v>82.677300000000002</v>
      </c>
      <c r="B419" s="14">
        <v>32509</v>
      </c>
      <c r="C419" s="12">
        <f t="shared" si="26"/>
        <v>84.009323166666675</v>
      </c>
      <c r="D419" s="25">
        <f t="shared" si="27"/>
        <v>418</v>
      </c>
      <c r="E419" s="15">
        <v>30.967815111111115</v>
      </c>
      <c r="F419" s="15">
        <f t="shared" si="24"/>
        <v>0.38847583643122674</v>
      </c>
      <c r="G419" s="28">
        <f t="shared" si="25"/>
        <v>6075.8853248000014</v>
      </c>
    </row>
    <row r="420" spans="1:7" ht="13.8" x14ac:dyDescent="0.25">
      <c r="A420" s="21">
        <v>45.799199999999999</v>
      </c>
      <c r="B420" s="11">
        <v>32478</v>
      </c>
      <c r="C420" s="12">
        <f t="shared" si="26"/>
        <v>46.537075999999999</v>
      </c>
      <c r="D420" s="24">
        <f t="shared" si="27"/>
        <v>419</v>
      </c>
      <c r="E420" s="15">
        <v>30.815195222222222</v>
      </c>
      <c r="F420" s="12">
        <f t="shared" si="24"/>
        <v>0.38940520446096655</v>
      </c>
      <c r="G420" s="27">
        <f t="shared" si="25"/>
        <v>6045.9413026000002</v>
      </c>
    </row>
    <row r="421" spans="1:7" ht="13.8" x14ac:dyDescent="0.25">
      <c r="A421" s="22">
        <v>27.401499999999999</v>
      </c>
      <c r="B421" s="14">
        <v>32448</v>
      </c>
      <c r="C421" s="12">
        <f t="shared" si="26"/>
        <v>27.842968611111111</v>
      </c>
      <c r="D421" s="25">
        <f t="shared" si="27"/>
        <v>420</v>
      </c>
      <c r="E421" s="12">
        <v>30.799445500000001</v>
      </c>
      <c r="F421" s="15">
        <f t="shared" si="24"/>
        <v>0.3903345724907063</v>
      </c>
      <c r="G421" s="28">
        <f t="shared" si="25"/>
        <v>6042.8512071000005</v>
      </c>
    </row>
    <row r="422" spans="1:7" ht="13.8" x14ac:dyDescent="0.25">
      <c r="A422" s="21">
        <v>23.639500000000002</v>
      </c>
      <c r="B422" s="11">
        <v>32417</v>
      </c>
      <c r="C422" s="12">
        <f t="shared" si="26"/>
        <v>24.020358611111114</v>
      </c>
      <c r="D422" s="24">
        <f t="shared" si="27"/>
        <v>421</v>
      </c>
      <c r="E422" s="12">
        <v>30.790605333333335</v>
      </c>
      <c r="F422" s="12">
        <f t="shared" si="24"/>
        <v>0.39126394052044611</v>
      </c>
      <c r="G422" s="27">
        <f t="shared" si="25"/>
        <v>6041.1167664000004</v>
      </c>
    </row>
    <row r="423" spans="1:7" ht="13.8" x14ac:dyDescent="0.25">
      <c r="A423" s="22">
        <v>15.6958</v>
      </c>
      <c r="B423" s="14">
        <v>32387</v>
      </c>
      <c r="C423" s="12">
        <f t="shared" si="26"/>
        <v>15.948676777777779</v>
      </c>
      <c r="D423" s="25">
        <f t="shared" si="27"/>
        <v>422</v>
      </c>
      <c r="E423" s="15">
        <v>30.679950833333336</v>
      </c>
      <c r="F423" s="15">
        <f t="shared" si="24"/>
        <v>0.39219330855018586</v>
      </c>
      <c r="G423" s="28">
        <f t="shared" si="25"/>
        <v>6019.4063535000014</v>
      </c>
    </row>
    <row r="424" spans="1:7" ht="13.8" x14ac:dyDescent="0.25">
      <c r="A424" s="21">
        <v>17.424199999999999</v>
      </c>
      <c r="B424" s="11">
        <v>32356</v>
      </c>
      <c r="C424" s="12">
        <f t="shared" si="26"/>
        <v>17.704923222222224</v>
      </c>
      <c r="D424" s="24">
        <f t="shared" si="27"/>
        <v>423</v>
      </c>
      <c r="E424" s="12">
        <v>30.668265555555557</v>
      </c>
      <c r="F424" s="12">
        <f t="shared" si="24"/>
        <v>0.39312267657992567</v>
      </c>
      <c r="G424" s="27">
        <f t="shared" si="25"/>
        <v>6017.1137020000015</v>
      </c>
    </row>
    <row r="425" spans="1:7" ht="13.8" x14ac:dyDescent="0.25">
      <c r="A425" s="22">
        <v>21.012</v>
      </c>
      <c r="B425" s="14">
        <v>32325</v>
      </c>
      <c r="C425" s="12">
        <f t="shared" si="26"/>
        <v>21.350526666666667</v>
      </c>
      <c r="D425" s="25">
        <f t="shared" si="27"/>
        <v>424</v>
      </c>
      <c r="E425" s="15">
        <v>30.656377055555559</v>
      </c>
      <c r="F425" s="15">
        <f t="shared" si="24"/>
        <v>0.39405204460966542</v>
      </c>
      <c r="G425" s="28">
        <f t="shared" si="25"/>
        <v>6014.7811783000006</v>
      </c>
    </row>
    <row r="426" spans="1:7" ht="13.8" x14ac:dyDescent="0.25">
      <c r="A426" s="21">
        <v>27.410599999999999</v>
      </c>
      <c r="B426" s="11">
        <v>32295</v>
      </c>
      <c r="C426" s="12">
        <f t="shared" si="26"/>
        <v>27.852215222222224</v>
      </c>
      <c r="D426" s="24">
        <f t="shared" si="27"/>
        <v>425</v>
      </c>
      <c r="E426" s="15">
        <v>30.604453777777778</v>
      </c>
      <c r="F426" s="12">
        <f t="shared" si="24"/>
        <v>0.39498141263940523</v>
      </c>
      <c r="G426" s="27">
        <f t="shared" si="25"/>
        <v>6004.5938311999998</v>
      </c>
    </row>
    <row r="427" spans="1:7" ht="13.8" x14ac:dyDescent="0.25">
      <c r="A427" s="22">
        <v>30.326599999999999</v>
      </c>
      <c r="B427" s="14">
        <v>32264</v>
      </c>
      <c r="C427" s="12">
        <f t="shared" si="26"/>
        <v>30.815195222222222</v>
      </c>
      <c r="D427" s="25">
        <f t="shared" si="27"/>
        <v>426</v>
      </c>
      <c r="E427" s="15">
        <v>30.4574225</v>
      </c>
      <c r="F427" s="15">
        <f t="shared" si="24"/>
        <v>0.39591078066914498</v>
      </c>
      <c r="G427" s="28">
        <f t="shared" si="25"/>
        <v>5975.7462944999997</v>
      </c>
    </row>
    <row r="428" spans="1:7" ht="13.8" x14ac:dyDescent="0.25">
      <c r="A428" s="21">
        <v>35.878799999999998</v>
      </c>
      <c r="B428" s="11">
        <v>32234</v>
      </c>
      <c r="C428" s="12">
        <f t="shared" si="26"/>
        <v>36.456847333333336</v>
      </c>
      <c r="D428" s="24">
        <f t="shared" si="27"/>
        <v>427</v>
      </c>
      <c r="E428" s="15">
        <v>30.335387555555556</v>
      </c>
      <c r="F428" s="12">
        <f t="shared" si="24"/>
        <v>0.39684014869888473</v>
      </c>
      <c r="G428" s="27">
        <f t="shared" si="25"/>
        <v>5951.8030384000012</v>
      </c>
    </row>
    <row r="429" spans="1:7" ht="13.8" x14ac:dyDescent="0.25">
      <c r="A429" s="22">
        <v>56.975999999999999</v>
      </c>
      <c r="B429" s="14">
        <v>32203</v>
      </c>
      <c r="C429" s="12">
        <f t="shared" si="26"/>
        <v>57.893946666666672</v>
      </c>
      <c r="D429" s="25">
        <f t="shared" si="27"/>
        <v>428</v>
      </c>
      <c r="E429" s="15">
        <v>30.32807155555556</v>
      </c>
      <c r="F429" s="15">
        <f t="shared" si="24"/>
        <v>0.39776951672862454</v>
      </c>
      <c r="G429" s="28">
        <f t="shared" si="25"/>
        <v>5950.3676392000007</v>
      </c>
    </row>
    <row r="430" spans="1:7" ht="13.8" x14ac:dyDescent="0.25">
      <c r="A430" s="21">
        <v>83.949700000000007</v>
      </c>
      <c r="B430" s="11">
        <v>32174</v>
      </c>
      <c r="C430" s="12">
        <f t="shared" si="26"/>
        <v>85.302222944444452</v>
      </c>
      <c r="D430" s="24">
        <f t="shared" si="27"/>
        <v>429</v>
      </c>
      <c r="E430" s="15">
        <v>30.325226444444446</v>
      </c>
      <c r="F430" s="12">
        <f t="shared" si="24"/>
        <v>0.39869888475836429</v>
      </c>
      <c r="G430" s="27">
        <f t="shared" si="25"/>
        <v>5949.8094284000017</v>
      </c>
    </row>
    <row r="431" spans="1:7" ht="13.8" x14ac:dyDescent="0.25">
      <c r="A431" s="22">
        <v>78.071399999999997</v>
      </c>
      <c r="B431" s="14">
        <v>32143</v>
      </c>
      <c r="C431" s="12">
        <f t="shared" si="26"/>
        <v>79.329217</v>
      </c>
      <c r="D431" s="25">
        <f t="shared" si="27"/>
        <v>430</v>
      </c>
      <c r="E431" s="12">
        <v>30.311813777777779</v>
      </c>
      <c r="F431" s="15">
        <f t="shared" si="24"/>
        <v>0.3996282527881041</v>
      </c>
      <c r="G431" s="28">
        <f t="shared" si="25"/>
        <v>5947.1778632000005</v>
      </c>
    </row>
    <row r="432" spans="1:7" ht="13.8" x14ac:dyDescent="0.25">
      <c r="A432" s="21">
        <v>81.903599999999997</v>
      </c>
      <c r="B432" s="11">
        <v>32112</v>
      </c>
      <c r="C432" s="12">
        <f t="shared" si="26"/>
        <v>83.223157999999998</v>
      </c>
      <c r="D432" s="24">
        <f t="shared" si="27"/>
        <v>431</v>
      </c>
      <c r="E432" s="12">
        <v>30.210101055555558</v>
      </c>
      <c r="F432" s="12">
        <f t="shared" si="24"/>
        <v>0.40055762081784385</v>
      </c>
      <c r="G432" s="27">
        <f t="shared" si="25"/>
        <v>5927.2218271000002</v>
      </c>
    </row>
    <row r="433" spans="1:7" ht="13.8" x14ac:dyDescent="0.25">
      <c r="A433" s="22">
        <v>25.812899999999999</v>
      </c>
      <c r="B433" s="14">
        <v>32082</v>
      </c>
      <c r="C433" s="12">
        <f t="shared" si="26"/>
        <v>26.2287745</v>
      </c>
      <c r="D433" s="25">
        <f t="shared" si="27"/>
        <v>432</v>
      </c>
      <c r="E433" s="13">
        <v>30.18571438888889</v>
      </c>
      <c r="F433" s="15">
        <f t="shared" si="24"/>
        <v>0.40148698884758366</v>
      </c>
      <c r="G433" s="28">
        <f t="shared" si="25"/>
        <v>5922.4371631000004</v>
      </c>
    </row>
    <row r="434" spans="1:7" ht="13.8" x14ac:dyDescent="0.25">
      <c r="A434" s="21">
        <v>19.524999999999999</v>
      </c>
      <c r="B434" s="11">
        <v>32051</v>
      </c>
      <c r="C434" s="12">
        <f t="shared" si="26"/>
        <v>19.839569444444443</v>
      </c>
      <c r="D434" s="24">
        <f t="shared" si="27"/>
        <v>433</v>
      </c>
      <c r="E434" s="12">
        <v>30.104628722222227</v>
      </c>
      <c r="F434" s="12">
        <f t="shared" si="24"/>
        <v>0.40241635687732341</v>
      </c>
      <c r="G434" s="27">
        <f t="shared" si="25"/>
        <v>5906.5281553000004</v>
      </c>
    </row>
    <row r="435" spans="1:7" ht="13.8" x14ac:dyDescent="0.25">
      <c r="A435" s="22">
        <v>25.398599999999998</v>
      </c>
      <c r="B435" s="14">
        <v>32021</v>
      </c>
      <c r="C435" s="12">
        <f t="shared" si="26"/>
        <v>25.807799666666668</v>
      </c>
      <c r="D435" s="25">
        <f t="shared" si="27"/>
        <v>434</v>
      </c>
      <c r="E435" s="15">
        <v>29.992043611111114</v>
      </c>
      <c r="F435" s="15">
        <f t="shared" si="24"/>
        <v>0.40334572490706322</v>
      </c>
      <c r="G435" s="28">
        <f t="shared" si="25"/>
        <v>5884.4389565000001</v>
      </c>
    </row>
    <row r="436" spans="1:7" ht="13.8" x14ac:dyDescent="0.25">
      <c r="A436" s="21">
        <v>19.889800000000001</v>
      </c>
      <c r="B436" s="11">
        <v>31990</v>
      </c>
      <c r="C436" s="12">
        <f t="shared" si="26"/>
        <v>20.21024677777778</v>
      </c>
      <c r="D436" s="24">
        <f t="shared" si="27"/>
        <v>435</v>
      </c>
      <c r="E436" s="12">
        <v>29.981882500000001</v>
      </c>
      <c r="F436" s="12">
        <f t="shared" si="24"/>
        <v>0.40427509293680297</v>
      </c>
      <c r="G436" s="27">
        <f t="shared" si="25"/>
        <v>5882.4453465000006</v>
      </c>
    </row>
    <row r="437" spans="1:7" ht="13.8" x14ac:dyDescent="0.25">
      <c r="A437" s="22">
        <v>24.302700000000002</v>
      </c>
      <c r="B437" s="14">
        <v>31959</v>
      </c>
      <c r="C437" s="12">
        <f t="shared" si="26"/>
        <v>24.694243500000002</v>
      </c>
      <c r="D437" s="25">
        <f t="shared" si="27"/>
        <v>436</v>
      </c>
      <c r="E437" s="15">
        <v>29.947233111111114</v>
      </c>
      <c r="F437" s="15">
        <f t="shared" si="24"/>
        <v>0.40520446096654272</v>
      </c>
      <c r="G437" s="28">
        <f t="shared" si="25"/>
        <v>5875.6471363999999</v>
      </c>
    </row>
    <row r="438" spans="1:7" ht="13.8" x14ac:dyDescent="0.25">
      <c r="A438" s="21">
        <v>25.73</v>
      </c>
      <c r="B438" s="11">
        <v>31929</v>
      </c>
      <c r="C438" s="12">
        <f t="shared" si="26"/>
        <v>26.144538888888892</v>
      </c>
      <c r="D438" s="24">
        <f t="shared" si="27"/>
        <v>437</v>
      </c>
      <c r="E438" s="12">
        <v>29.932194666666668</v>
      </c>
      <c r="F438" s="12">
        <f t="shared" si="24"/>
        <v>0.40613382899628253</v>
      </c>
      <c r="G438" s="27">
        <f t="shared" si="25"/>
        <v>5872.6965936000006</v>
      </c>
    </row>
    <row r="439" spans="1:7" ht="13.8" x14ac:dyDescent="0.25">
      <c r="A439" s="22">
        <v>29.407900000000001</v>
      </c>
      <c r="B439" s="14">
        <v>31898</v>
      </c>
      <c r="C439" s="12">
        <f t="shared" si="26"/>
        <v>29.881693944444446</v>
      </c>
      <c r="D439" s="25">
        <f t="shared" si="27"/>
        <v>438</v>
      </c>
      <c r="E439" s="15">
        <v>29.901711333333338</v>
      </c>
      <c r="F439" s="15">
        <f t="shared" si="24"/>
        <v>0.40706319702602228</v>
      </c>
      <c r="G439" s="28">
        <f t="shared" si="25"/>
        <v>5866.715763600002</v>
      </c>
    </row>
    <row r="440" spans="1:7" ht="13.8" x14ac:dyDescent="0.25">
      <c r="A440" s="21">
        <v>56.082099999999997</v>
      </c>
      <c r="B440" s="11">
        <v>31868</v>
      </c>
      <c r="C440" s="12">
        <f t="shared" si="26"/>
        <v>56.985644944444445</v>
      </c>
      <c r="D440" s="24">
        <f t="shared" si="27"/>
        <v>439</v>
      </c>
      <c r="E440" s="15">
        <v>29.881693944444446</v>
      </c>
      <c r="F440" s="12">
        <f t="shared" si="24"/>
        <v>0.40799256505576209</v>
      </c>
      <c r="G440" s="27">
        <f t="shared" si="25"/>
        <v>5862.7883519000006</v>
      </c>
    </row>
    <row r="441" spans="1:7" ht="13.8" x14ac:dyDescent="0.25">
      <c r="A441" s="22">
        <v>64.605900000000005</v>
      </c>
      <c r="B441" s="14">
        <v>31837</v>
      </c>
      <c r="C441" s="12">
        <f t="shared" si="26"/>
        <v>65.646772833333344</v>
      </c>
      <c r="D441" s="25">
        <f t="shared" si="27"/>
        <v>440</v>
      </c>
      <c r="E441" s="12">
        <v>29.823572388888891</v>
      </c>
      <c r="F441" s="15">
        <f t="shared" si="24"/>
        <v>0.40892193308550184</v>
      </c>
      <c r="G441" s="28">
        <f t="shared" si="25"/>
        <v>5851.3849027000006</v>
      </c>
    </row>
    <row r="442" spans="1:7" ht="13.8" x14ac:dyDescent="0.25">
      <c r="A442" s="21">
        <v>58.645000000000003</v>
      </c>
      <c r="B442" s="11">
        <v>31809</v>
      </c>
      <c r="C442" s="12">
        <f t="shared" si="26"/>
        <v>59.589836111111119</v>
      </c>
      <c r="D442" s="24">
        <f t="shared" si="27"/>
        <v>441</v>
      </c>
      <c r="E442" s="15">
        <v>29.814325777777778</v>
      </c>
      <c r="F442" s="12">
        <f t="shared" si="24"/>
        <v>0.40985130111524165</v>
      </c>
      <c r="G442" s="27">
        <f t="shared" si="25"/>
        <v>5849.5707176000014</v>
      </c>
    </row>
    <row r="443" spans="1:7" ht="13.8" x14ac:dyDescent="0.25">
      <c r="A443" s="22">
        <v>73.202500000000001</v>
      </c>
      <c r="B443" s="14">
        <v>31778</v>
      </c>
      <c r="C443" s="12">
        <f t="shared" si="26"/>
        <v>74.381873611111118</v>
      </c>
      <c r="D443" s="25">
        <f t="shared" si="27"/>
        <v>442</v>
      </c>
      <c r="E443" s="12">
        <v>29.790345555555561</v>
      </c>
      <c r="F443" s="15">
        <f t="shared" si="24"/>
        <v>0.4107806691449814</v>
      </c>
      <c r="G443" s="28">
        <f t="shared" si="25"/>
        <v>5844.8657980000007</v>
      </c>
    </row>
    <row r="444" spans="1:7" ht="13.8" x14ac:dyDescent="0.25">
      <c r="A444" s="21">
        <v>85.008499999999998</v>
      </c>
      <c r="B444" s="11">
        <v>31747</v>
      </c>
      <c r="C444" s="12">
        <f t="shared" si="26"/>
        <v>86.378081388888887</v>
      </c>
      <c r="D444" s="24">
        <f t="shared" si="27"/>
        <v>443</v>
      </c>
      <c r="E444" s="12">
        <v>29.787195611111116</v>
      </c>
      <c r="F444" s="12">
        <f t="shared" si="24"/>
        <v>0.41171003717472121</v>
      </c>
      <c r="G444" s="27">
        <f t="shared" si="25"/>
        <v>5844.2477789000013</v>
      </c>
    </row>
    <row r="445" spans="1:7" ht="13.8" x14ac:dyDescent="0.25">
      <c r="A445" s="22">
        <v>15.3423</v>
      </c>
      <c r="B445" s="14">
        <v>31717</v>
      </c>
      <c r="C445" s="12">
        <f t="shared" si="26"/>
        <v>15.589481500000002</v>
      </c>
      <c r="D445" s="25">
        <f t="shared" si="27"/>
        <v>444</v>
      </c>
      <c r="E445" s="15">
        <v>29.729886944444448</v>
      </c>
      <c r="F445" s="15">
        <f t="shared" si="24"/>
        <v>0.41263940520446096</v>
      </c>
      <c r="G445" s="28">
        <f t="shared" si="25"/>
        <v>5833.0038185000012</v>
      </c>
    </row>
    <row r="446" spans="1:7" ht="13.8" x14ac:dyDescent="0.25">
      <c r="A446" s="21">
        <v>14.672800000000001</v>
      </c>
      <c r="B446" s="11">
        <v>31686</v>
      </c>
      <c r="C446" s="12">
        <f t="shared" si="26"/>
        <v>14.909195111111114</v>
      </c>
      <c r="D446" s="24">
        <f t="shared" si="27"/>
        <v>445</v>
      </c>
      <c r="E446" s="15">
        <v>29.723383833333333</v>
      </c>
      <c r="F446" s="12">
        <f t="shared" si="24"/>
        <v>0.41356877323420077</v>
      </c>
      <c r="G446" s="27">
        <f t="shared" si="25"/>
        <v>5831.7279080999997</v>
      </c>
    </row>
    <row r="447" spans="1:7" ht="13.8" x14ac:dyDescent="0.25">
      <c r="A447" s="22">
        <v>17.196300000000001</v>
      </c>
      <c r="B447" s="14">
        <v>31656</v>
      </c>
      <c r="C447" s="12">
        <f t="shared" si="26"/>
        <v>17.473351500000003</v>
      </c>
      <c r="D447" s="25">
        <f t="shared" si="27"/>
        <v>446</v>
      </c>
      <c r="E447" s="15">
        <v>29.710174388888891</v>
      </c>
      <c r="F447" s="15">
        <f t="shared" si="24"/>
        <v>0.41449814126394052</v>
      </c>
      <c r="G447" s="28">
        <f t="shared" si="25"/>
        <v>5829.1362151000003</v>
      </c>
    </row>
    <row r="448" spans="1:7" ht="13.8" x14ac:dyDescent="0.25">
      <c r="A448" s="21">
        <v>22.613800000000001</v>
      </c>
      <c r="B448" s="11">
        <v>31625</v>
      </c>
      <c r="C448" s="12">
        <f t="shared" si="26"/>
        <v>22.978133444444449</v>
      </c>
      <c r="D448" s="24">
        <f t="shared" si="27"/>
        <v>447</v>
      </c>
      <c r="E448" s="15">
        <v>29.654796333333334</v>
      </c>
      <c r="F448" s="12">
        <f t="shared" si="24"/>
        <v>0.41542750929368027</v>
      </c>
      <c r="G448" s="27">
        <f t="shared" si="25"/>
        <v>5818.2710405999997</v>
      </c>
    </row>
    <row r="449" spans="1:7" ht="13.8" x14ac:dyDescent="0.25">
      <c r="A449" s="22">
        <v>22.658100000000001</v>
      </c>
      <c r="B449" s="14">
        <v>31594</v>
      </c>
      <c r="C449" s="12">
        <f t="shared" si="26"/>
        <v>23.023147166666668</v>
      </c>
      <c r="D449" s="25">
        <f t="shared" si="27"/>
        <v>448</v>
      </c>
      <c r="E449" s="12">
        <v>29.618216333333333</v>
      </c>
      <c r="F449" s="15">
        <f t="shared" si="24"/>
        <v>0.41635687732342008</v>
      </c>
      <c r="G449" s="28">
        <f t="shared" si="25"/>
        <v>5811.0940446000004</v>
      </c>
    </row>
    <row r="450" spans="1:7" ht="13.8" x14ac:dyDescent="0.25">
      <c r="A450" s="21">
        <v>24.4101</v>
      </c>
      <c r="B450" s="11">
        <v>31564</v>
      </c>
      <c r="C450" s="12">
        <f t="shared" si="26"/>
        <v>24.803373833333335</v>
      </c>
      <c r="D450" s="24">
        <f t="shared" si="27"/>
        <v>449</v>
      </c>
      <c r="E450" s="12">
        <v>29.56263505555556</v>
      </c>
      <c r="F450" s="12">
        <f t="shared" ref="F450:F513" si="28">D450/1076</f>
        <v>0.41728624535315983</v>
      </c>
      <c r="G450" s="27">
        <f t="shared" ref="G450:G513" si="29">1000*E450*$J$2*9.81/1000</f>
        <v>5800.1889979000016</v>
      </c>
    </row>
    <row r="451" spans="1:7" ht="13.8" x14ac:dyDescent="0.25">
      <c r="A451" s="22">
        <v>34.2042</v>
      </c>
      <c r="B451" s="14">
        <v>31533</v>
      </c>
      <c r="C451" s="12">
        <f t="shared" ref="C451:C514" si="30">A451*($I$2/$H$2)</f>
        <v>34.755267666666668</v>
      </c>
      <c r="D451" s="25">
        <f t="shared" ref="D451:D514" si="31">D450+1</f>
        <v>450</v>
      </c>
      <c r="E451" s="15">
        <v>29.434909888888889</v>
      </c>
      <c r="F451" s="15">
        <f t="shared" si="28"/>
        <v>0.41821561338289964</v>
      </c>
      <c r="G451" s="28">
        <f t="shared" si="29"/>
        <v>5775.1293202000006</v>
      </c>
    </row>
    <row r="452" spans="1:7" ht="13.8" x14ac:dyDescent="0.25">
      <c r="A452" s="21">
        <v>36.956200000000003</v>
      </c>
      <c r="B452" s="11">
        <v>31503</v>
      </c>
      <c r="C452" s="12">
        <f t="shared" si="30"/>
        <v>37.551605444444448</v>
      </c>
      <c r="D452" s="24">
        <f t="shared" si="31"/>
        <v>451</v>
      </c>
      <c r="E452" s="12">
        <v>29.341732500000003</v>
      </c>
      <c r="F452" s="12">
        <f t="shared" si="28"/>
        <v>0.41914498141263939</v>
      </c>
      <c r="G452" s="27">
        <f t="shared" si="29"/>
        <v>5756.8479164999999</v>
      </c>
    </row>
    <row r="453" spans="1:7" ht="13.8" x14ac:dyDescent="0.25">
      <c r="A453" s="22">
        <v>67.053200000000004</v>
      </c>
      <c r="B453" s="14">
        <v>31472</v>
      </c>
      <c r="C453" s="12">
        <f t="shared" si="30"/>
        <v>68.133501555555569</v>
      </c>
      <c r="D453" s="25">
        <f t="shared" si="31"/>
        <v>452</v>
      </c>
      <c r="E453" s="12">
        <v>29.311045944444444</v>
      </c>
      <c r="F453" s="15">
        <f t="shared" si="28"/>
        <v>0.4200743494423792</v>
      </c>
      <c r="G453" s="28">
        <f t="shared" si="29"/>
        <v>5750.8272143000004</v>
      </c>
    </row>
    <row r="454" spans="1:7" ht="13.8" x14ac:dyDescent="0.25">
      <c r="A454" s="21">
        <v>81.883899999999997</v>
      </c>
      <c r="B454" s="11">
        <v>31444</v>
      </c>
      <c r="C454" s="12">
        <f t="shared" si="30"/>
        <v>83.20314061111111</v>
      </c>
      <c r="D454" s="24">
        <f t="shared" si="31"/>
        <v>453</v>
      </c>
      <c r="E454" s="12">
        <v>29.260545222222227</v>
      </c>
      <c r="F454" s="12">
        <f t="shared" si="28"/>
        <v>0.42100371747211895</v>
      </c>
      <c r="G454" s="27">
        <f t="shared" si="29"/>
        <v>5740.9189726000022</v>
      </c>
    </row>
    <row r="455" spans="1:7" ht="13.8" x14ac:dyDescent="0.25">
      <c r="A455" s="22">
        <v>74.480500000000006</v>
      </c>
      <c r="B455" s="14">
        <v>31413</v>
      </c>
      <c r="C455" s="12">
        <f t="shared" si="30"/>
        <v>75.680463611111122</v>
      </c>
      <c r="D455" s="25">
        <f t="shared" si="31"/>
        <v>454</v>
      </c>
      <c r="E455" s="12">
        <v>29.180272444444448</v>
      </c>
      <c r="F455" s="15">
        <f t="shared" si="28"/>
        <v>0.42193308550185876</v>
      </c>
      <c r="G455" s="28">
        <f t="shared" si="29"/>
        <v>5725.1694536000005</v>
      </c>
    </row>
    <row r="456" spans="1:7" ht="13.8" x14ac:dyDescent="0.25">
      <c r="A456" s="21">
        <v>60.509300000000003</v>
      </c>
      <c r="B456" s="11">
        <v>31382</v>
      </c>
      <c r="C456" s="12">
        <f t="shared" si="30"/>
        <v>61.484172055555561</v>
      </c>
      <c r="D456" s="24">
        <f t="shared" si="31"/>
        <v>455</v>
      </c>
      <c r="E456" s="12">
        <v>29.034663722222227</v>
      </c>
      <c r="F456" s="12">
        <f t="shared" si="28"/>
        <v>0.42286245353159851</v>
      </c>
      <c r="G456" s="27">
        <f t="shared" si="29"/>
        <v>5696.6010223000012</v>
      </c>
    </row>
    <row r="457" spans="1:7" ht="13.8" x14ac:dyDescent="0.25">
      <c r="A457" s="22">
        <v>29.847200000000001</v>
      </c>
      <c r="B457" s="14">
        <v>31352</v>
      </c>
      <c r="C457" s="12">
        <f t="shared" si="30"/>
        <v>30.32807155555556</v>
      </c>
      <c r="D457" s="25">
        <f t="shared" si="31"/>
        <v>456</v>
      </c>
      <c r="E457" s="12">
        <v>28.779416611111113</v>
      </c>
      <c r="F457" s="15">
        <f t="shared" si="28"/>
        <v>0.42379182156133827</v>
      </c>
      <c r="G457" s="28">
        <f t="shared" si="29"/>
        <v>5646.5215391000011</v>
      </c>
    </row>
    <row r="458" spans="1:7" ht="13.8" x14ac:dyDescent="0.25">
      <c r="A458" s="21">
        <v>16.616099999999999</v>
      </c>
      <c r="B458" s="11">
        <v>31321</v>
      </c>
      <c r="C458" s="12">
        <f t="shared" si="30"/>
        <v>16.883803833333335</v>
      </c>
      <c r="D458" s="24">
        <f t="shared" si="31"/>
        <v>457</v>
      </c>
      <c r="E458" s="15">
        <v>28.620395222222225</v>
      </c>
      <c r="F458" s="12">
        <f t="shared" si="28"/>
        <v>0.42472118959107807</v>
      </c>
      <c r="G458" s="27">
        <f t="shared" si="29"/>
        <v>5615.3215426000006</v>
      </c>
    </row>
    <row r="459" spans="1:7" ht="13.8" x14ac:dyDescent="0.25">
      <c r="A459" s="22">
        <v>16.440000000000001</v>
      </c>
      <c r="B459" s="14">
        <v>31291</v>
      </c>
      <c r="C459" s="12">
        <f t="shared" si="30"/>
        <v>16.704866666666668</v>
      </c>
      <c r="D459" s="25">
        <f t="shared" si="31"/>
        <v>458</v>
      </c>
      <c r="E459" s="15">
        <v>28.579445944444448</v>
      </c>
      <c r="F459" s="15">
        <f t="shared" si="28"/>
        <v>0.42565055762081783</v>
      </c>
      <c r="G459" s="28">
        <f t="shared" si="29"/>
        <v>5607.2872943000002</v>
      </c>
    </row>
    <row r="460" spans="1:7" ht="13.8" x14ac:dyDescent="0.25">
      <c r="A460" s="21">
        <v>16.291</v>
      </c>
      <c r="B460" s="11">
        <v>31260</v>
      </c>
      <c r="C460" s="12">
        <f t="shared" si="30"/>
        <v>16.553466111111113</v>
      </c>
      <c r="D460" s="24">
        <f t="shared" si="31"/>
        <v>459</v>
      </c>
      <c r="E460" s="12">
        <v>28.54621911111111</v>
      </c>
      <c r="F460" s="12">
        <f t="shared" si="28"/>
        <v>0.42657992565055763</v>
      </c>
      <c r="G460" s="27">
        <f t="shared" si="29"/>
        <v>5600.7681896000004</v>
      </c>
    </row>
    <row r="461" spans="1:7" ht="13.8" x14ac:dyDescent="0.25">
      <c r="A461" s="22">
        <v>19.302199999999999</v>
      </c>
      <c r="B461" s="14">
        <v>31229</v>
      </c>
      <c r="C461" s="12">
        <f t="shared" si="30"/>
        <v>19.61317988888889</v>
      </c>
      <c r="D461" s="25">
        <f t="shared" si="31"/>
        <v>460</v>
      </c>
      <c r="E461" s="15">
        <v>28.490739444444447</v>
      </c>
      <c r="F461" s="15">
        <f t="shared" si="28"/>
        <v>0.42750929368029739</v>
      </c>
      <c r="G461" s="28">
        <f t="shared" si="29"/>
        <v>5589.8830790000011</v>
      </c>
    </row>
    <row r="462" spans="1:7" ht="13.8" x14ac:dyDescent="0.25">
      <c r="A462" s="21">
        <v>23.7362</v>
      </c>
      <c r="B462" s="11">
        <v>31199</v>
      </c>
      <c r="C462" s="12">
        <f t="shared" si="30"/>
        <v>24.118616555555558</v>
      </c>
      <c r="D462" s="24">
        <f t="shared" si="31"/>
        <v>461</v>
      </c>
      <c r="E462" s="12">
        <v>28.390144444444449</v>
      </c>
      <c r="F462" s="12">
        <f t="shared" si="28"/>
        <v>0.42843866171003719</v>
      </c>
      <c r="G462" s="27">
        <f t="shared" si="29"/>
        <v>5570.1463400000021</v>
      </c>
    </row>
    <row r="463" spans="1:7" ht="13.8" x14ac:dyDescent="0.25">
      <c r="A463" s="22">
        <v>28.039000000000001</v>
      </c>
      <c r="B463" s="14">
        <v>31168</v>
      </c>
      <c r="C463" s="12">
        <f t="shared" si="30"/>
        <v>28.490739444444447</v>
      </c>
      <c r="D463" s="25">
        <f t="shared" si="31"/>
        <v>462</v>
      </c>
      <c r="E463" s="15">
        <v>28.332937388888894</v>
      </c>
      <c r="F463" s="15">
        <f t="shared" si="28"/>
        <v>0.42936802973977695</v>
      </c>
      <c r="G463" s="28">
        <f t="shared" si="29"/>
        <v>5558.9223157000024</v>
      </c>
    </row>
    <row r="464" spans="1:7" ht="13.8" x14ac:dyDescent="0.25">
      <c r="A464" s="21">
        <v>41.111199999999997</v>
      </c>
      <c r="B464" s="11">
        <v>31138</v>
      </c>
      <c r="C464" s="12">
        <f t="shared" si="30"/>
        <v>41.773547111111114</v>
      </c>
      <c r="D464" s="24">
        <f t="shared" si="31"/>
        <v>463</v>
      </c>
      <c r="E464" s="12">
        <v>28.326027833333335</v>
      </c>
      <c r="F464" s="12">
        <f t="shared" si="28"/>
        <v>0.43029739776951675</v>
      </c>
      <c r="G464" s="27">
        <f t="shared" si="29"/>
        <v>5557.5666609000009</v>
      </c>
    </row>
    <row r="465" spans="1:7" ht="13.8" x14ac:dyDescent="0.25">
      <c r="A465" s="22">
        <v>74.996799999999993</v>
      </c>
      <c r="B465" s="14">
        <v>31107</v>
      </c>
      <c r="C465" s="12">
        <f t="shared" si="30"/>
        <v>76.205081777777778</v>
      </c>
      <c r="D465" s="25">
        <f t="shared" si="31"/>
        <v>464</v>
      </c>
      <c r="E465" s="15">
        <v>28.238032611111112</v>
      </c>
      <c r="F465" s="15">
        <f t="shared" si="28"/>
        <v>0.43122676579925651</v>
      </c>
      <c r="G465" s="28">
        <f t="shared" si="29"/>
        <v>5540.3019983000013</v>
      </c>
    </row>
    <row r="466" spans="1:7" ht="13.8" x14ac:dyDescent="0.25">
      <c r="A466" s="21">
        <v>67.912099999999995</v>
      </c>
      <c r="B466" s="11">
        <v>31079</v>
      </c>
      <c r="C466" s="12">
        <f t="shared" si="30"/>
        <v>69.006239388888886</v>
      </c>
      <c r="D466" s="24">
        <f t="shared" si="31"/>
        <v>465</v>
      </c>
      <c r="E466" s="15">
        <v>28.183467444444446</v>
      </c>
      <c r="F466" s="12">
        <f t="shared" si="28"/>
        <v>0.43215613382899626</v>
      </c>
      <c r="G466" s="27">
        <f t="shared" si="29"/>
        <v>5529.5963126000006</v>
      </c>
    </row>
    <row r="467" spans="1:7" ht="13.8" x14ac:dyDescent="0.25">
      <c r="A467" s="22">
        <v>99.622600000000006</v>
      </c>
      <c r="B467" s="14">
        <v>31048</v>
      </c>
      <c r="C467" s="12">
        <f t="shared" si="30"/>
        <v>101.22763077777779</v>
      </c>
      <c r="D467" s="25">
        <f t="shared" si="31"/>
        <v>466</v>
      </c>
      <c r="E467" s="15">
        <v>28.133678000000003</v>
      </c>
      <c r="F467" s="15">
        <f t="shared" si="28"/>
        <v>0.43308550185873607</v>
      </c>
      <c r="G467" s="28">
        <f t="shared" si="29"/>
        <v>5519.8276236000002</v>
      </c>
    </row>
    <row r="468" spans="1:7" ht="13.8" x14ac:dyDescent="0.25">
      <c r="A468" s="21">
        <v>39.738300000000002</v>
      </c>
      <c r="B468" s="11">
        <v>31017</v>
      </c>
      <c r="C468" s="12">
        <f t="shared" si="30"/>
        <v>40.378528166666669</v>
      </c>
      <c r="D468" s="24">
        <f t="shared" si="31"/>
        <v>467</v>
      </c>
      <c r="E468" s="15">
        <v>28.084295000000001</v>
      </c>
      <c r="F468" s="12">
        <f t="shared" si="28"/>
        <v>0.43401486988847582</v>
      </c>
      <c r="G468" s="27">
        <f t="shared" si="29"/>
        <v>5510.1386790000006</v>
      </c>
    </row>
    <row r="469" spans="1:7" ht="13.8" x14ac:dyDescent="0.25">
      <c r="A469" s="22">
        <v>22.0578</v>
      </c>
      <c r="B469" s="14">
        <v>30987</v>
      </c>
      <c r="C469" s="12">
        <f t="shared" si="30"/>
        <v>22.413175666666667</v>
      </c>
      <c r="D469" s="25">
        <f t="shared" si="31"/>
        <v>468</v>
      </c>
      <c r="E469" s="15">
        <v>28.049645611111114</v>
      </c>
      <c r="F469" s="15">
        <f t="shared" si="28"/>
        <v>0.43494423791821563</v>
      </c>
      <c r="G469" s="28">
        <f t="shared" si="29"/>
        <v>5503.3404689000008</v>
      </c>
    </row>
    <row r="470" spans="1:7" ht="13.8" x14ac:dyDescent="0.25">
      <c r="A470" s="21">
        <v>15.369199999999999</v>
      </c>
      <c r="B470" s="11">
        <v>30956</v>
      </c>
      <c r="C470" s="12">
        <f t="shared" si="30"/>
        <v>15.616814888888889</v>
      </c>
      <c r="D470" s="24">
        <f t="shared" si="31"/>
        <v>469</v>
      </c>
      <c r="E470" s="12">
        <v>28.014793000000001</v>
      </c>
      <c r="F470" s="12">
        <f t="shared" si="28"/>
        <v>0.43587360594795538</v>
      </c>
      <c r="G470" s="27">
        <f t="shared" si="29"/>
        <v>5496.5023866000001</v>
      </c>
    </row>
    <row r="471" spans="1:7" ht="13.8" x14ac:dyDescent="0.25">
      <c r="A471" s="22">
        <v>17.8872</v>
      </c>
      <c r="B471" s="14">
        <v>30926</v>
      </c>
      <c r="C471" s="12">
        <f t="shared" si="30"/>
        <v>18.175382666666668</v>
      </c>
      <c r="D471" s="25">
        <f t="shared" si="31"/>
        <v>470</v>
      </c>
      <c r="E471" s="15">
        <v>27.970693777777779</v>
      </c>
      <c r="F471" s="15">
        <f t="shared" si="28"/>
        <v>0.43680297397769519</v>
      </c>
      <c r="G471" s="28">
        <f t="shared" si="29"/>
        <v>5487.8501192000003</v>
      </c>
    </row>
    <row r="472" spans="1:7" ht="13.8" x14ac:dyDescent="0.25">
      <c r="A472" s="21">
        <v>15.8934</v>
      </c>
      <c r="B472" s="11">
        <v>30895</v>
      </c>
      <c r="C472" s="12">
        <f t="shared" si="30"/>
        <v>16.149460333333334</v>
      </c>
      <c r="D472" s="24">
        <f t="shared" si="31"/>
        <v>471</v>
      </c>
      <c r="E472" s="12">
        <v>27.950168333333338</v>
      </c>
      <c r="F472" s="12">
        <f t="shared" si="28"/>
        <v>0.43773234200743494</v>
      </c>
      <c r="G472" s="27">
        <f t="shared" si="29"/>
        <v>5483.8230270000013</v>
      </c>
    </row>
    <row r="473" spans="1:7" ht="13.8" x14ac:dyDescent="0.25">
      <c r="A473" s="22">
        <v>16.844799999999999</v>
      </c>
      <c r="B473" s="14">
        <v>30864</v>
      </c>
      <c r="C473" s="12">
        <f t="shared" si="30"/>
        <v>17.116188444444447</v>
      </c>
      <c r="D473" s="25">
        <f t="shared" si="31"/>
        <v>472</v>
      </c>
      <c r="E473" s="15">
        <v>27.942344277777782</v>
      </c>
      <c r="F473" s="15">
        <f t="shared" si="28"/>
        <v>0.43866171003717475</v>
      </c>
      <c r="G473" s="28">
        <f t="shared" si="29"/>
        <v>5482.2879473000003</v>
      </c>
    </row>
    <row r="474" spans="1:7" ht="13.8" x14ac:dyDescent="0.25">
      <c r="A474" s="21">
        <v>19.964400000000001</v>
      </c>
      <c r="B474" s="11">
        <v>30834</v>
      </c>
      <c r="C474" s="12">
        <f t="shared" si="30"/>
        <v>20.28604866666667</v>
      </c>
      <c r="D474" s="24">
        <f t="shared" si="31"/>
        <v>473</v>
      </c>
      <c r="E474" s="12">
        <v>27.931979944444446</v>
      </c>
      <c r="F474" s="12">
        <f t="shared" si="28"/>
        <v>0.4395910780669145</v>
      </c>
      <c r="G474" s="27">
        <f t="shared" si="29"/>
        <v>5480.2544651000007</v>
      </c>
    </row>
    <row r="475" spans="1:7" ht="13.8" x14ac:dyDescent="0.25">
      <c r="A475" s="22">
        <v>26.777100000000001</v>
      </c>
      <c r="B475" s="14">
        <v>30803</v>
      </c>
      <c r="C475" s="12">
        <f t="shared" si="30"/>
        <v>27.208508833333337</v>
      </c>
      <c r="D475" s="25">
        <f t="shared" si="31"/>
        <v>474</v>
      </c>
      <c r="E475" s="12">
        <v>27.917652777777782</v>
      </c>
      <c r="F475" s="15">
        <f t="shared" si="28"/>
        <v>0.44052044609665425</v>
      </c>
      <c r="G475" s="28">
        <f t="shared" si="29"/>
        <v>5477.4434750000009</v>
      </c>
    </row>
    <row r="476" spans="1:7" ht="13.8" x14ac:dyDescent="0.25">
      <c r="A476" s="21">
        <v>28.846299999999999</v>
      </c>
      <c r="B476" s="11">
        <v>30773</v>
      </c>
      <c r="C476" s="12">
        <f t="shared" si="30"/>
        <v>29.311045944444444</v>
      </c>
      <c r="D476" s="24">
        <f t="shared" si="31"/>
        <v>475</v>
      </c>
      <c r="E476" s="12">
        <v>27.902919166666667</v>
      </c>
      <c r="F476" s="12">
        <f t="shared" si="28"/>
        <v>0.44144981412639406</v>
      </c>
      <c r="G476" s="27">
        <f t="shared" si="29"/>
        <v>5474.5527405000003</v>
      </c>
    </row>
    <row r="477" spans="1:7" ht="13.8" x14ac:dyDescent="0.25">
      <c r="A477" s="22">
        <v>35.778300000000002</v>
      </c>
      <c r="B477" s="14">
        <v>30742</v>
      </c>
      <c r="C477" s="12">
        <f t="shared" si="30"/>
        <v>36.354728166666668</v>
      </c>
      <c r="D477" s="25">
        <f t="shared" si="31"/>
        <v>476</v>
      </c>
      <c r="E477" s="12">
        <v>27.852215222222224</v>
      </c>
      <c r="F477" s="15">
        <f t="shared" si="28"/>
        <v>0.44237918215613381</v>
      </c>
      <c r="G477" s="28">
        <f t="shared" si="29"/>
        <v>5464.6046266000012</v>
      </c>
    </row>
    <row r="478" spans="1:7" ht="13.8" x14ac:dyDescent="0.25">
      <c r="A478" s="21">
        <v>41.111499999999999</v>
      </c>
      <c r="B478" s="11">
        <v>30713</v>
      </c>
      <c r="C478" s="12">
        <f t="shared" si="30"/>
        <v>41.773851944444445</v>
      </c>
      <c r="D478" s="24">
        <f t="shared" si="31"/>
        <v>477</v>
      </c>
      <c r="E478" s="15">
        <v>27.842968611111111</v>
      </c>
      <c r="F478" s="12">
        <f t="shared" si="28"/>
        <v>0.44330855018587362</v>
      </c>
      <c r="G478" s="27">
        <f t="shared" si="29"/>
        <v>5462.7904415000003</v>
      </c>
    </row>
    <row r="479" spans="1:7" ht="13.8" x14ac:dyDescent="0.25">
      <c r="A479" s="22">
        <v>67.34</v>
      </c>
      <c r="B479" s="14">
        <v>30682</v>
      </c>
      <c r="C479" s="12">
        <f t="shared" si="30"/>
        <v>68.424922222222236</v>
      </c>
      <c r="D479" s="25">
        <f t="shared" si="31"/>
        <v>478</v>
      </c>
      <c r="E479" s="12">
        <v>27.826914055555559</v>
      </c>
      <c r="F479" s="15">
        <f t="shared" si="28"/>
        <v>0.44423791821561337</v>
      </c>
      <c r="G479" s="28">
        <f t="shared" si="29"/>
        <v>5459.640537700001</v>
      </c>
    </row>
    <row r="480" spans="1:7" ht="13.8" x14ac:dyDescent="0.25">
      <c r="A480" s="21">
        <v>114.16249999999999</v>
      </c>
      <c r="B480" s="11">
        <v>30651</v>
      </c>
      <c r="C480" s="12">
        <f t="shared" si="30"/>
        <v>116.00178472222223</v>
      </c>
      <c r="D480" s="24">
        <f t="shared" si="31"/>
        <v>479</v>
      </c>
      <c r="E480" s="15">
        <v>27.799174222222224</v>
      </c>
      <c r="F480" s="12">
        <f t="shared" si="28"/>
        <v>0.44516728624535318</v>
      </c>
      <c r="G480" s="27">
        <f t="shared" si="29"/>
        <v>5454.1979824000009</v>
      </c>
    </row>
    <row r="481" spans="1:7" ht="13.8" x14ac:dyDescent="0.25">
      <c r="A481" s="22">
        <v>82.325400000000002</v>
      </c>
      <c r="B481" s="14">
        <v>30621</v>
      </c>
      <c r="C481" s="12">
        <f t="shared" si="30"/>
        <v>83.651753666666679</v>
      </c>
      <c r="D481" s="25">
        <f t="shared" si="31"/>
        <v>480</v>
      </c>
      <c r="E481" s="12">
        <v>27.773263388888889</v>
      </c>
      <c r="F481" s="15">
        <f t="shared" si="28"/>
        <v>0.44609665427509293</v>
      </c>
      <c r="G481" s="28">
        <f t="shared" si="29"/>
        <v>5449.1142768999998</v>
      </c>
    </row>
    <row r="482" spans="1:7" ht="13.8" x14ac:dyDescent="0.25">
      <c r="A482" s="21">
        <v>64.923699999999997</v>
      </c>
      <c r="B482" s="11">
        <v>30590</v>
      </c>
      <c r="C482" s="12">
        <f t="shared" si="30"/>
        <v>65.969692944444446</v>
      </c>
      <c r="D482" s="24">
        <f t="shared" si="31"/>
        <v>481</v>
      </c>
      <c r="E482" s="15">
        <v>27.663015333333334</v>
      </c>
      <c r="F482" s="12">
        <f t="shared" si="28"/>
        <v>0.44702602230483274</v>
      </c>
      <c r="G482" s="27">
        <f t="shared" si="29"/>
        <v>5427.4836083999999</v>
      </c>
    </row>
    <row r="483" spans="1:7" ht="13.8" x14ac:dyDescent="0.25">
      <c r="A483" s="22">
        <v>81.218400000000003</v>
      </c>
      <c r="B483" s="14">
        <v>30560</v>
      </c>
      <c r="C483" s="12">
        <f t="shared" si="30"/>
        <v>82.526918666666674</v>
      </c>
      <c r="D483" s="25">
        <f t="shared" si="31"/>
        <v>482</v>
      </c>
      <c r="E483" s="12">
        <v>27.642794722222224</v>
      </c>
      <c r="F483" s="15">
        <f t="shared" si="28"/>
        <v>0.44795539033457249</v>
      </c>
      <c r="G483" s="28">
        <f t="shared" si="29"/>
        <v>5423.5163245000003</v>
      </c>
    </row>
    <row r="484" spans="1:7" ht="13.8" x14ac:dyDescent="0.25">
      <c r="A484" s="21">
        <v>31.741900000000001</v>
      </c>
      <c r="B484" s="11">
        <v>30529</v>
      </c>
      <c r="C484" s="12">
        <f t="shared" si="30"/>
        <v>32.253297277777783</v>
      </c>
      <c r="D484" s="24">
        <f t="shared" si="31"/>
        <v>483</v>
      </c>
      <c r="E484" s="15">
        <v>27.641473777777779</v>
      </c>
      <c r="F484" s="12">
        <f t="shared" si="28"/>
        <v>0.44888475836431224</v>
      </c>
      <c r="G484" s="27">
        <f t="shared" si="29"/>
        <v>5423.2571552000018</v>
      </c>
    </row>
    <row r="485" spans="1:7" ht="13.8" x14ac:dyDescent="0.25">
      <c r="A485" s="22">
        <v>43.316899999999997</v>
      </c>
      <c r="B485" s="14">
        <v>30498</v>
      </c>
      <c r="C485" s="12">
        <f t="shared" si="30"/>
        <v>44.014783388888887</v>
      </c>
      <c r="D485" s="25">
        <f t="shared" si="31"/>
        <v>484</v>
      </c>
      <c r="E485" s="15">
        <v>27.621456388888891</v>
      </c>
      <c r="F485" s="15">
        <f t="shared" si="28"/>
        <v>0.44981412639405205</v>
      </c>
      <c r="G485" s="28">
        <f t="shared" si="29"/>
        <v>5419.3297435000004</v>
      </c>
    </row>
    <row r="486" spans="1:7" ht="13.8" x14ac:dyDescent="0.25">
      <c r="A486" s="21">
        <v>87.475800000000007</v>
      </c>
      <c r="B486" s="11">
        <v>30468</v>
      </c>
      <c r="C486" s="12">
        <f t="shared" si="30"/>
        <v>88.885132333333345</v>
      </c>
      <c r="D486" s="24">
        <f t="shared" si="31"/>
        <v>485</v>
      </c>
      <c r="E486" s="15">
        <v>27.590566611111111</v>
      </c>
      <c r="F486" s="12">
        <f t="shared" si="28"/>
        <v>0.4507434944237918</v>
      </c>
      <c r="G486" s="27">
        <f t="shared" si="29"/>
        <v>5413.2691691000009</v>
      </c>
    </row>
    <row r="487" spans="1:7" ht="13.8" x14ac:dyDescent="0.25">
      <c r="A487" s="22">
        <v>50.384399999999999</v>
      </c>
      <c r="B487" s="14">
        <v>30437</v>
      </c>
      <c r="C487" s="12">
        <f t="shared" si="30"/>
        <v>51.196148666666673</v>
      </c>
      <c r="D487" s="25">
        <f t="shared" si="31"/>
        <v>486</v>
      </c>
      <c r="E487" s="12">
        <v>27.567704111111116</v>
      </c>
      <c r="F487" s="15">
        <f t="shared" si="28"/>
        <v>0.45167286245353161</v>
      </c>
      <c r="G487" s="28">
        <f t="shared" si="29"/>
        <v>5408.7835466000015</v>
      </c>
    </row>
    <row r="488" spans="1:7" ht="13.8" x14ac:dyDescent="0.25">
      <c r="A488" s="21">
        <v>77.587800000000001</v>
      </c>
      <c r="B488" s="11">
        <v>30407</v>
      </c>
      <c r="C488" s="12">
        <f t="shared" si="30"/>
        <v>78.837825666666674</v>
      </c>
      <c r="D488" s="24">
        <f t="shared" si="31"/>
        <v>487</v>
      </c>
      <c r="E488" s="12">
        <v>27.460910833333337</v>
      </c>
      <c r="F488" s="12">
        <f t="shared" si="28"/>
        <v>0.45260223048327136</v>
      </c>
      <c r="G488" s="27">
        <f t="shared" si="29"/>
        <v>5387.8307055000005</v>
      </c>
    </row>
    <row r="489" spans="1:7" ht="13.8" x14ac:dyDescent="0.25">
      <c r="A489" s="22">
        <v>108.7567</v>
      </c>
      <c r="B489" s="14">
        <v>30376</v>
      </c>
      <c r="C489" s="12">
        <f t="shared" si="30"/>
        <v>110.50889127777778</v>
      </c>
      <c r="D489" s="25">
        <f t="shared" si="31"/>
        <v>488</v>
      </c>
      <c r="E489" s="12">
        <v>27.444856277777777</v>
      </c>
      <c r="F489" s="15">
        <f t="shared" si="28"/>
        <v>0.45353159851301117</v>
      </c>
      <c r="G489" s="28">
        <f t="shared" si="29"/>
        <v>5384.6808017000003</v>
      </c>
    </row>
    <row r="490" spans="1:7" ht="13.8" x14ac:dyDescent="0.25">
      <c r="A490" s="21">
        <v>105.97539999999999</v>
      </c>
      <c r="B490" s="11">
        <v>30348</v>
      </c>
      <c r="C490" s="12">
        <f t="shared" si="30"/>
        <v>107.68278144444444</v>
      </c>
      <c r="D490" s="24">
        <f t="shared" si="31"/>
        <v>489</v>
      </c>
      <c r="E490" s="15">
        <v>27.376370388888891</v>
      </c>
      <c r="F490" s="12">
        <f t="shared" si="28"/>
        <v>0.45446096654275092</v>
      </c>
      <c r="G490" s="27">
        <f t="shared" si="29"/>
        <v>5371.2438703000016</v>
      </c>
    </row>
    <row r="491" spans="1:7" ht="13.8" x14ac:dyDescent="0.25">
      <c r="A491" s="22">
        <v>134.04990000000001</v>
      </c>
      <c r="B491" s="14">
        <v>30317</v>
      </c>
      <c r="C491" s="12">
        <f t="shared" si="30"/>
        <v>136.20959283333335</v>
      </c>
      <c r="D491" s="25">
        <f t="shared" si="31"/>
        <v>490</v>
      </c>
      <c r="E491" s="12">
        <v>27.329934111111111</v>
      </c>
      <c r="F491" s="15">
        <f t="shared" si="28"/>
        <v>0.45539033457249073</v>
      </c>
      <c r="G491" s="28">
        <f t="shared" si="29"/>
        <v>5362.1330726000006</v>
      </c>
    </row>
    <row r="492" spans="1:7" ht="13.8" x14ac:dyDescent="0.25">
      <c r="A492" s="21">
        <v>79.781800000000004</v>
      </c>
      <c r="B492" s="11">
        <v>30286</v>
      </c>
      <c r="C492" s="12">
        <f t="shared" si="30"/>
        <v>81.06717344444445</v>
      </c>
      <c r="D492" s="24">
        <f t="shared" si="31"/>
        <v>491</v>
      </c>
      <c r="E492" s="15">
        <v>27.247730722222222</v>
      </c>
      <c r="F492" s="12">
        <f t="shared" si="28"/>
        <v>0.45631970260223048</v>
      </c>
      <c r="G492" s="27">
        <f t="shared" si="29"/>
        <v>5346.0047676999993</v>
      </c>
    </row>
    <row r="493" spans="1:7" ht="13.8" x14ac:dyDescent="0.25">
      <c r="A493" s="22">
        <v>29.4724</v>
      </c>
      <c r="B493" s="14">
        <v>30256</v>
      </c>
      <c r="C493" s="12">
        <f t="shared" si="30"/>
        <v>29.947233111111114</v>
      </c>
      <c r="D493" s="25">
        <f t="shared" si="31"/>
        <v>492</v>
      </c>
      <c r="E493" s="15">
        <v>27.234622888888893</v>
      </c>
      <c r="F493" s="15">
        <f t="shared" si="28"/>
        <v>0.45724907063197023</v>
      </c>
      <c r="G493" s="28">
        <f t="shared" si="29"/>
        <v>5343.4330108000013</v>
      </c>
    </row>
    <row r="494" spans="1:7" ht="13.8" x14ac:dyDescent="0.25">
      <c r="A494" s="21">
        <v>27.507000000000001</v>
      </c>
      <c r="B494" s="11">
        <v>30225</v>
      </c>
      <c r="C494" s="12">
        <f t="shared" si="30"/>
        <v>27.950168333333338</v>
      </c>
      <c r="D494" s="24">
        <f t="shared" si="31"/>
        <v>493</v>
      </c>
      <c r="E494" s="15">
        <v>27.208508833333337</v>
      </c>
      <c r="F494" s="12">
        <f t="shared" si="28"/>
        <v>0.45817843866171004</v>
      </c>
      <c r="G494" s="27">
        <f t="shared" si="29"/>
        <v>5338.3094331000011</v>
      </c>
    </row>
    <row r="495" spans="1:7" ht="13.8" x14ac:dyDescent="0.25">
      <c r="A495" s="22">
        <v>16.653600000000001</v>
      </c>
      <c r="B495" s="14">
        <v>30195</v>
      </c>
      <c r="C495" s="12">
        <f t="shared" si="30"/>
        <v>16.921908000000002</v>
      </c>
      <c r="D495" s="25">
        <f t="shared" si="31"/>
        <v>494</v>
      </c>
      <c r="E495" s="15">
        <v>27.163596722222223</v>
      </c>
      <c r="F495" s="15">
        <f t="shared" si="28"/>
        <v>0.45910780669144979</v>
      </c>
      <c r="G495" s="28">
        <f t="shared" si="29"/>
        <v>5329.4976769000004</v>
      </c>
    </row>
    <row r="496" spans="1:7" ht="13.8" x14ac:dyDescent="0.25">
      <c r="A496" s="21">
        <v>20.3704</v>
      </c>
      <c r="B496" s="11">
        <v>30164</v>
      </c>
      <c r="C496" s="12">
        <f t="shared" si="30"/>
        <v>20.69858977777778</v>
      </c>
      <c r="D496" s="24">
        <f t="shared" si="31"/>
        <v>495</v>
      </c>
      <c r="E496" s="13">
        <v>27.131182777777781</v>
      </c>
      <c r="F496" s="12">
        <f t="shared" si="28"/>
        <v>0.4600371747211896</v>
      </c>
      <c r="G496" s="27">
        <f t="shared" si="29"/>
        <v>5323.1380610000006</v>
      </c>
    </row>
    <row r="497" spans="1:7" ht="13.8" x14ac:dyDescent="0.25">
      <c r="A497" s="22">
        <v>24.221800000000002</v>
      </c>
      <c r="B497" s="14">
        <v>30133</v>
      </c>
      <c r="C497" s="12">
        <f t="shared" si="30"/>
        <v>24.612040111111114</v>
      </c>
      <c r="D497" s="25">
        <f t="shared" si="31"/>
        <v>496</v>
      </c>
      <c r="E497" s="15">
        <v>27.079462722222221</v>
      </c>
      <c r="F497" s="15">
        <f t="shared" si="28"/>
        <v>0.46096654275092935</v>
      </c>
      <c r="G497" s="28">
        <f t="shared" si="29"/>
        <v>5312.9905860999997</v>
      </c>
    </row>
    <row r="498" spans="1:7" ht="13.8" x14ac:dyDescent="0.25">
      <c r="A498" s="21">
        <v>29.627300000000002</v>
      </c>
      <c r="B498" s="11">
        <v>30103</v>
      </c>
      <c r="C498" s="12">
        <f t="shared" si="30"/>
        <v>30.104628722222227</v>
      </c>
      <c r="D498" s="24">
        <f t="shared" si="31"/>
        <v>497</v>
      </c>
      <c r="E498" s="16">
        <v>27.074890222222226</v>
      </c>
      <c r="F498" s="12">
        <f t="shared" si="28"/>
        <v>0.46189591078066916</v>
      </c>
      <c r="G498" s="27">
        <f t="shared" si="29"/>
        <v>5312.0934616000022</v>
      </c>
    </row>
    <row r="499" spans="1:7" ht="13.8" x14ac:dyDescent="0.25">
      <c r="A499" s="22">
        <v>35.495899999999999</v>
      </c>
      <c r="B499" s="14">
        <v>30072</v>
      </c>
      <c r="C499" s="12">
        <f t="shared" si="30"/>
        <v>36.06777838888889</v>
      </c>
      <c r="D499" s="25">
        <f t="shared" si="31"/>
        <v>498</v>
      </c>
      <c r="E499" s="12">
        <v>26.863539111111113</v>
      </c>
      <c r="F499" s="15">
        <f t="shared" si="28"/>
        <v>0.46282527881040891</v>
      </c>
      <c r="G499" s="28">
        <f t="shared" si="29"/>
        <v>5270.6263736000019</v>
      </c>
    </row>
    <row r="500" spans="1:7" ht="13.8" x14ac:dyDescent="0.25">
      <c r="A500" s="21">
        <v>57.377299999999998</v>
      </c>
      <c r="B500" s="11">
        <v>30042</v>
      </c>
      <c r="C500" s="12">
        <f t="shared" si="30"/>
        <v>58.301712055555555</v>
      </c>
      <c r="D500" s="24">
        <f t="shared" si="31"/>
        <v>499</v>
      </c>
      <c r="E500" s="12">
        <v>26.812123888888891</v>
      </c>
      <c r="F500" s="12">
        <f t="shared" si="28"/>
        <v>0.46375464684014872</v>
      </c>
      <c r="G500" s="27">
        <f t="shared" si="29"/>
        <v>5260.5387070000006</v>
      </c>
    </row>
    <row r="501" spans="1:7" ht="13.8" x14ac:dyDescent="0.25">
      <c r="A501" s="22">
        <v>99.601100000000002</v>
      </c>
      <c r="B501" s="14">
        <v>30011</v>
      </c>
      <c r="C501" s="12">
        <f t="shared" si="30"/>
        <v>101.2057843888889</v>
      </c>
      <c r="D501" s="25">
        <f t="shared" si="31"/>
        <v>500</v>
      </c>
      <c r="E501" s="15">
        <v>26.778389000000001</v>
      </c>
      <c r="F501" s="15">
        <f t="shared" si="28"/>
        <v>0.46468401486988847</v>
      </c>
      <c r="G501" s="28">
        <f t="shared" si="29"/>
        <v>5253.9199218000003</v>
      </c>
    </row>
    <row r="502" spans="1:7" ht="13.8" x14ac:dyDescent="0.25">
      <c r="A502" s="21">
        <v>60.388399999999997</v>
      </c>
      <c r="B502" s="11">
        <v>29983</v>
      </c>
      <c r="C502" s="12">
        <f t="shared" si="30"/>
        <v>61.361324222222223</v>
      </c>
      <c r="D502" s="24">
        <f t="shared" si="31"/>
        <v>501</v>
      </c>
      <c r="E502" s="15">
        <v>26.732460777777778</v>
      </c>
      <c r="F502" s="12">
        <f t="shared" si="28"/>
        <v>0.46561338289962823</v>
      </c>
      <c r="G502" s="27">
        <f t="shared" si="29"/>
        <v>5244.9088046000006</v>
      </c>
    </row>
    <row r="503" spans="1:7" ht="13.8" x14ac:dyDescent="0.25">
      <c r="A503" s="22">
        <v>80.709100000000007</v>
      </c>
      <c r="B503" s="14">
        <v>29952</v>
      </c>
      <c r="C503" s="12">
        <f t="shared" si="30"/>
        <v>82.009413277777796</v>
      </c>
      <c r="D503" s="25">
        <f t="shared" si="31"/>
        <v>502</v>
      </c>
      <c r="E503" s="12">
        <v>26.645989722222225</v>
      </c>
      <c r="F503" s="15">
        <f t="shared" si="28"/>
        <v>0.46654275092936803</v>
      </c>
      <c r="G503" s="28">
        <f t="shared" si="29"/>
        <v>5227.9431835000005</v>
      </c>
    </row>
    <row r="504" spans="1:7" ht="13.8" x14ac:dyDescent="0.25">
      <c r="A504" s="21">
        <v>79.559399999999997</v>
      </c>
      <c r="B504" s="11">
        <v>29921</v>
      </c>
      <c r="C504" s="12">
        <f t="shared" si="30"/>
        <v>80.84119033333333</v>
      </c>
      <c r="D504" s="24">
        <f t="shared" si="31"/>
        <v>503</v>
      </c>
      <c r="E504" s="15">
        <v>26.504953500000003</v>
      </c>
      <c r="F504" s="12">
        <f t="shared" si="28"/>
        <v>0.46747211895910779</v>
      </c>
      <c r="G504" s="27">
        <f t="shared" si="29"/>
        <v>5200.2718767000006</v>
      </c>
    </row>
    <row r="505" spans="1:7" ht="13.8" x14ac:dyDescent="0.25">
      <c r="A505" s="22">
        <v>51.276600000000002</v>
      </c>
      <c r="B505" s="14">
        <v>29891</v>
      </c>
      <c r="C505" s="12">
        <f t="shared" si="30"/>
        <v>52.102723000000005</v>
      </c>
      <c r="D505" s="25">
        <f t="shared" si="31"/>
        <v>504</v>
      </c>
      <c r="E505" s="12">
        <v>26.4116745</v>
      </c>
      <c r="F505" s="15">
        <f t="shared" si="28"/>
        <v>0.46840148698884759</v>
      </c>
      <c r="G505" s="28">
        <f t="shared" si="29"/>
        <v>5181.9705368999994</v>
      </c>
    </row>
    <row r="506" spans="1:7" ht="13.8" x14ac:dyDescent="0.25">
      <c r="A506" s="21">
        <v>25.5886</v>
      </c>
      <c r="B506" s="11">
        <v>29860</v>
      </c>
      <c r="C506" s="12">
        <f t="shared" si="30"/>
        <v>26.000860777777778</v>
      </c>
      <c r="D506" s="24">
        <f t="shared" si="31"/>
        <v>505</v>
      </c>
      <c r="E506" s="15">
        <v>26.40151338888889</v>
      </c>
      <c r="F506" s="12">
        <f t="shared" si="28"/>
        <v>0.46933085501858735</v>
      </c>
      <c r="G506" s="27">
        <f t="shared" si="29"/>
        <v>5179.9769269000017</v>
      </c>
    </row>
    <row r="507" spans="1:7" ht="13.8" x14ac:dyDescent="0.25">
      <c r="A507" s="22">
        <v>16.1188</v>
      </c>
      <c r="B507" s="14">
        <v>29830</v>
      </c>
      <c r="C507" s="12">
        <f t="shared" si="30"/>
        <v>16.378491777777779</v>
      </c>
      <c r="D507" s="25">
        <f t="shared" si="31"/>
        <v>506</v>
      </c>
      <c r="E507" s="15">
        <v>26.392876444444447</v>
      </c>
      <c r="F507" s="15">
        <f t="shared" si="28"/>
        <v>0.47026022304832715</v>
      </c>
      <c r="G507" s="28">
        <f t="shared" si="29"/>
        <v>5178.2823584000007</v>
      </c>
    </row>
    <row r="508" spans="1:7" ht="13.8" x14ac:dyDescent="0.25">
      <c r="A508" s="21">
        <v>18.328499999999998</v>
      </c>
      <c r="B508" s="11">
        <v>29799</v>
      </c>
      <c r="C508" s="12">
        <f t="shared" si="30"/>
        <v>18.6237925</v>
      </c>
      <c r="D508" s="24">
        <f t="shared" si="31"/>
        <v>507</v>
      </c>
      <c r="E508" s="12">
        <v>26.370826833333336</v>
      </c>
      <c r="F508" s="12">
        <f t="shared" si="28"/>
        <v>0.47118959107806691</v>
      </c>
      <c r="G508" s="27">
        <f t="shared" si="29"/>
        <v>5173.9562247000013</v>
      </c>
    </row>
    <row r="509" spans="1:7" ht="13.8" x14ac:dyDescent="0.25">
      <c r="A509" s="22">
        <v>19.9038</v>
      </c>
      <c r="B509" s="14">
        <v>29768</v>
      </c>
      <c r="C509" s="12">
        <f t="shared" si="30"/>
        <v>20.224472333333335</v>
      </c>
      <c r="D509" s="25">
        <f t="shared" si="31"/>
        <v>508</v>
      </c>
      <c r="E509" s="16">
        <v>26.256615944444444</v>
      </c>
      <c r="F509" s="15">
        <f t="shared" si="28"/>
        <v>0.47211895910780671</v>
      </c>
      <c r="G509" s="28">
        <f t="shared" si="29"/>
        <v>5151.548048300001</v>
      </c>
    </row>
    <row r="510" spans="1:7" ht="13.8" x14ac:dyDescent="0.25">
      <c r="A510" s="21">
        <v>24.9434</v>
      </c>
      <c r="B510" s="11">
        <v>29738</v>
      </c>
      <c r="C510" s="12">
        <f t="shared" si="30"/>
        <v>25.345265888888893</v>
      </c>
      <c r="D510" s="24">
        <f t="shared" si="31"/>
        <v>509</v>
      </c>
      <c r="E510" s="15">
        <v>26.2287745</v>
      </c>
      <c r="F510" s="12">
        <f t="shared" si="28"/>
        <v>0.47304832713754646</v>
      </c>
      <c r="G510" s="27">
        <f t="shared" si="29"/>
        <v>5146.0855569000005</v>
      </c>
    </row>
    <row r="511" spans="1:7" ht="13.8" x14ac:dyDescent="0.25">
      <c r="A511" s="22">
        <v>27.736599999999999</v>
      </c>
      <c r="B511" s="14">
        <v>29707</v>
      </c>
      <c r="C511" s="12">
        <f t="shared" si="30"/>
        <v>28.183467444444446</v>
      </c>
      <c r="D511" s="25">
        <f t="shared" si="31"/>
        <v>510</v>
      </c>
      <c r="E511" s="15">
        <v>26.226945500000003</v>
      </c>
      <c r="F511" s="15">
        <f t="shared" si="28"/>
        <v>0.47397769516728627</v>
      </c>
      <c r="G511" s="28">
        <f t="shared" si="29"/>
        <v>5145.7267071000006</v>
      </c>
    </row>
    <row r="512" spans="1:7" ht="13.8" x14ac:dyDescent="0.25">
      <c r="A512" s="21">
        <v>37.343899999999998</v>
      </c>
      <c r="B512" s="11">
        <v>29677</v>
      </c>
      <c r="C512" s="12">
        <f t="shared" si="30"/>
        <v>37.94555172222222</v>
      </c>
      <c r="D512" s="24">
        <f t="shared" si="31"/>
        <v>511</v>
      </c>
      <c r="E512" s="12">
        <v>26.220645611111113</v>
      </c>
      <c r="F512" s="12">
        <f t="shared" si="28"/>
        <v>0.47490706319702602</v>
      </c>
      <c r="G512" s="27">
        <f t="shared" si="29"/>
        <v>5144.4906689000009</v>
      </c>
    </row>
    <row r="513" spans="1:7" ht="13.8" x14ac:dyDescent="0.25">
      <c r="A513" s="22">
        <v>55.142899999999997</v>
      </c>
      <c r="B513" s="14">
        <v>29646</v>
      </c>
      <c r="C513" s="12">
        <f t="shared" si="30"/>
        <v>56.03131338888889</v>
      </c>
      <c r="D513" s="25">
        <f t="shared" si="31"/>
        <v>512</v>
      </c>
      <c r="E513" s="12">
        <v>26.144538888888892</v>
      </c>
      <c r="F513" s="15">
        <f t="shared" si="28"/>
        <v>0.47583643122676578</v>
      </c>
      <c r="G513" s="28">
        <f t="shared" si="29"/>
        <v>5129.5585300000012</v>
      </c>
    </row>
    <row r="514" spans="1:7" ht="13.8" x14ac:dyDescent="0.25">
      <c r="A514" s="21">
        <v>54.5154</v>
      </c>
      <c r="B514" s="11">
        <v>29618</v>
      </c>
      <c r="C514" s="12">
        <f t="shared" si="30"/>
        <v>55.393703666666667</v>
      </c>
      <c r="D514" s="24">
        <f t="shared" si="31"/>
        <v>513</v>
      </c>
      <c r="E514" s="15">
        <v>26.061929055555559</v>
      </c>
      <c r="F514" s="12">
        <f t="shared" ref="F514:F577" si="32">D514/1076</f>
        <v>0.47676579925650558</v>
      </c>
      <c r="G514" s="27">
        <f t="shared" ref="G514:G577" si="33">1000*E514*$J$2*9.81/1000</f>
        <v>5113.3504807000008</v>
      </c>
    </row>
    <row r="515" spans="1:7" ht="13.8" x14ac:dyDescent="0.25">
      <c r="A515" s="22">
        <v>125.7026</v>
      </c>
      <c r="B515" s="14">
        <v>29587</v>
      </c>
      <c r="C515" s="12">
        <f t="shared" ref="C515:C578" si="34">A515*($I$2/$H$2)</f>
        <v>127.72780855555557</v>
      </c>
      <c r="D515" s="25">
        <f t="shared" ref="D515:D578" si="35">D514+1</f>
        <v>514</v>
      </c>
      <c r="E515" s="12">
        <v>26.000860777777778</v>
      </c>
      <c r="F515" s="15">
        <f t="shared" si="32"/>
        <v>0.47769516728624534</v>
      </c>
      <c r="G515" s="28">
        <f t="shared" si="33"/>
        <v>5101.3688846000005</v>
      </c>
    </row>
    <row r="516" spans="1:7" ht="13.8" x14ac:dyDescent="0.25">
      <c r="A516" s="21">
        <v>95.47</v>
      </c>
      <c r="B516" s="11">
        <v>29556</v>
      </c>
      <c r="C516" s="12">
        <f t="shared" si="34"/>
        <v>97.008127777777787</v>
      </c>
      <c r="D516" s="24">
        <f t="shared" si="35"/>
        <v>515</v>
      </c>
      <c r="E516" s="15">
        <v>25.994764111111113</v>
      </c>
      <c r="F516" s="12">
        <f t="shared" si="32"/>
        <v>0.47862453531598514</v>
      </c>
      <c r="G516" s="27">
        <f t="shared" si="33"/>
        <v>5100.1727185999998</v>
      </c>
    </row>
    <row r="517" spans="1:7" ht="13.8" x14ac:dyDescent="0.25">
      <c r="A517" s="22">
        <v>43.930100000000003</v>
      </c>
      <c r="B517" s="14">
        <v>29526</v>
      </c>
      <c r="C517" s="12">
        <f t="shared" si="34"/>
        <v>44.637862722222231</v>
      </c>
      <c r="D517" s="25">
        <f t="shared" si="35"/>
        <v>516</v>
      </c>
      <c r="E517" s="12">
        <v>25.981961111111115</v>
      </c>
      <c r="F517" s="15">
        <f t="shared" si="32"/>
        <v>0.4795539033457249</v>
      </c>
      <c r="G517" s="28">
        <f t="shared" si="33"/>
        <v>5097.6607700000013</v>
      </c>
    </row>
    <row r="518" spans="1:7" ht="13.8" x14ac:dyDescent="0.25">
      <c r="A518" s="21">
        <v>15.786099999999999</v>
      </c>
      <c r="B518" s="11">
        <v>29495</v>
      </c>
      <c r="C518" s="12">
        <f t="shared" si="34"/>
        <v>16.04043161111111</v>
      </c>
      <c r="D518" s="24">
        <f t="shared" si="35"/>
        <v>517</v>
      </c>
      <c r="E518" s="15">
        <v>25.950868111111113</v>
      </c>
      <c r="F518" s="12">
        <f t="shared" si="32"/>
        <v>0.4804832713754647</v>
      </c>
      <c r="G518" s="27">
        <f t="shared" si="33"/>
        <v>5091.5603234000009</v>
      </c>
    </row>
    <row r="519" spans="1:7" ht="13.8" x14ac:dyDescent="0.25">
      <c r="A519" s="22">
        <v>15.9573</v>
      </c>
      <c r="B519" s="14">
        <v>29465</v>
      </c>
      <c r="C519" s="12">
        <f t="shared" si="34"/>
        <v>16.214389833333335</v>
      </c>
      <c r="D519" s="25">
        <f t="shared" si="35"/>
        <v>518</v>
      </c>
      <c r="E519" s="15">
        <v>25.920892833333333</v>
      </c>
      <c r="F519" s="15">
        <f t="shared" si="32"/>
        <v>0.48141263940520446</v>
      </c>
      <c r="G519" s="28">
        <f t="shared" si="33"/>
        <v>5085.6791739</v>
      </c>
    </row>
    <row r="520" spans="1:7" ht="13.8" x14ac:dyDescent="0.25">
      <c r="A520" s="21">
        <v>18.637799999999999</v>
      </c>
      <c r="B520" s="11">
        <v>29434</v>
      </c>
      <c r="C520" s="12">
        <f t="shared" si="34"/>
        <v>18.938075666666666</v>
      </c>
      <c r="D520" s="24">
        <f t="shared" si="35"/>
        <v>519</v>
      </c>
      <c r="E520" s="12">
        <v>25.890307888888891</v>
      </c>
      <c r="F520" s="12">
        <f t="shared" si="32"/>
        <v>0.48234200743494426</v>
      </c>
      <c r="G520" s="27">
        <f t="shared" si="33"/>
        <v>5079.678407800001</v>
      </c>
    </row>
    <row r="521" spans="1:7" ht="13.8" x14ac:dyDescent="0.25">
      <c r="A521" s="22">
        <v>22.056999999999999</v>
      </c>
      <c r="B521" s="14">
        <v>29403</v>
      </c>
      <c r="C521" s="12">
        <f t="shared" si="34"/>
        <v>22.412362777777776</v>
      </c>
      <c r="D521" s="25">
        <f t="shared" si="35"/>
        <v>520</v>
      </c>
      <c r="E521" s="15">
        <v>25.807799666666668</v>
      </c>
      <c r="F521" s="15">
        <f t="shared" si="32"/>
        <v>0.48327137546468402</v>
      </c>
      <c r="G521" s="28">
        <f t="shared" si="33"/>
        <v>5063.4902946000002</v>
      </c>
    </row>
    <row r="522" spans="1:7" ht="13.8" x14ac:dyDescent="0.25">
      <c r="A522" s="21">
        <v>26.896599999999999</v>
      </c>
      <c r="B522" s="11">
        <v>29373</v>
      </c>
      <c r="C522" s="12">
        <f t="shared" si="34"/>
        <v>27.329934111111111</v>
      </c>
      <c r="D522" s="24">
        <f t="shared" si="35"/>
        <v>521</v>
      </c>
      <c r="E522" s="15">
        <v>25.769085833333335</v>
      </c>
      <c r="F522" s="12">
        <f t="shared" si="32"/>
        <v>0.48420074349442377</v>
      </c>
      <c r="G522" s="27">
        <f t="shared" si="33"/>
        <v>5055.8946405000006</v>
      </c>
    </row>
    <row r="523" spans="1:7" ht="13.8" x14ac:dyDescent="0.25">
      <c r="A523" s="22">
        <v>29.8444</v>
      </c>
      <c r="B523" s="14">
        <v>29342</v>
      </c>
      <c r="C523" s="12">
        <f t="shared" si="34"/>
        <v>30.325226444444446</v>
      </c>
      <c r="D523" s="25">
        <f t="shared" si="35"/>
        <v>522</v>
      </c>
      <c r="E523" s="15">
        <v>25.76502138888889</v>
      </c>
      <c r="F523" s="15">
        <f t="shared" si="32"/>
        <v>0.48513011152416358</v>
      </c>
      <c r="G523" s="28">
        <f t="shared" si="33"/>
        <v>5055.0971965000008</v>
      </c>
    </row>
    <row r="524" spans="1:7" ht="13.8" x14ac:dyDescent="0.25">
      <c r="A524" s="21">
        <v>57.3123</v>
      </c>
      <c r="B524" s="11">
        <v>29312</v>
      </c>
      <c r="C524" s="12">
        <f t="shared" si="34"/>
        <v>58.235664833333338</v>
      </c>
      <c r="D524" s="24">
        <f t="shared" si="35"/>
        <v>523</v>
      </c>
      <c r="E524" s="15">
        <v>25.758924722222226</v>
      </c>
      <c r="F524" s="12">
        <f t="shared" si="32"/>
        <v>0.48605947955390333</v>
      </c>
      <c r="G524" s="27">
        <f t="shared" si="33"/>
        <v>5053.9010305000011</v>
      </c>
    </row>
    <row r="525" spans="1:7" ht="13.8" x14ac:dyDescent="0.25">
      <c r="A525" s="22">
        <v>43.7485</v>
      </c>
      <c r="B525" s="14">
        <v>29281</v>
      </c>
      <c r="C525" s="12">
        <f t="shared" si="34"/>
        <v>44.453336944444445</v>
      </c>
      <c r="D525" s="25">
        <f t="shared" si="35"/>
        <v>524</v>
      </c>
      <c r="E525" s="15">
        <v>25.700904777777779</v>
      </c>
      <c r="F525" s="15">
        <f t="shared" si="32"/>
        <v>0.48698884758364314</v>
      </c>
      <c r="G525" s="28">
        <f t="shared" si="33"/>
        <v>5042.5175174000005</v>
      </c>
    </row>
    <row r="526" spans="1:7" ht="13.8" x14ac:dyDescent="0.25">
      <c r="A526" s="21">
        <v>73.0488</v>
      </c>
      <c r="B526" s="11">
        <v>29252</v>
      </c>
      <c r="C526" s="12">
        <f t="shared" si="34"/>
        <v>74.225697333333343</v>
      </c>
      <c r="D526" s="24">
        <f t="shared" si="35"/>
        <v>525</v>
      </c>
      <c r="E526" s="12">
        <v>25.666966666666671</v>
      </c>
      <c r="F526" s="12">
        <f t="shared" si="32"/>
        <v>0.48791821561338289</v>
      </c>
      <c r="G526" s="27">
        <f t="shared" si="33"/>
        <v>5035.8588600000012</v>
      </c>
    </row>
    <row r="527" spans="1:7" ht="13.8" x14ac:dyDescent="0.25">
      <c r="A527" s="22">
        <v>102.55159999999999</v>
      </c>
      <c r="B527" s="14">
        <v>29221</v>
      </c>
      <c r="C527" s="12">
        <f t="shared" si="34"/>
        <v>104.20382022222222</v>
      </c>
      <c r="D527" s="25">
        <f t="shared" si="35"/>
        <v>526</v>
      </c>
      <c r="E527" s="15">
        <v>25.63323177777778</v>
      </c>
      <c r="F527" s="15">
        <f t="shared" si="32"/>
        <v>0.4888475836431227</v>
      </c>
      <c r="G527" s="28">
        <f t="shared" si="33"/>
        <v>5029.2400748000009</v>
      </c>
    </row>
    <row r="528" spans="1:7" ht="13.8" x14ac:dyDescent="0.25">
      <c r="A528" s="21">
        <v>68.104500000000002</v>
      </c>
      <c r="B528" s="11">
        <v>29190</v>
      </c>
      <c r="C528" s="12">
        <f t="shared" si="34"/>
        <v>69.20173916666667</v>
      </c>
      <c r="D528" s="24">
        <f t="shared" si="35"/>
        <v>527</v>
      </c>
      <c r="E528" s="12">
        <v>25.631199555555554</v>
      </c>
      <c r="F528" s="12">
        <f t="shared" si="32"/>
        <v>0.48977695167286245</v>
      </c>
      <c r="G528" s="27">
        <f t="shared" si="33"/>
        <v>5028.8413528000001</v>
      </c>
    </row>
    <row r="529" spans="1:7" ht="13.8" x14ac:dyDescent="0.25">
      <c r="A529" s="22">
        <v>27.183499999999999</v>
      </c>
      <c r="B529" s="14">
        <v>29160</v>
      </c>
      <c r="C529" s="12">
        <f t="shared" si="34"/>
        <v>27.621456388888891</v>
      </c>
      <c r="D529" s="25">
        <f t="shared" si="35"/>
        <v>528</v>
      </c>
      <c r="E529" s="15">
        <v>25.568810333333335</v>
      </c>
      <c r="F529" s="15">
        <f t="shared" si="32"/>
        <v>0.49070631970260226</v>
      </c>
      <c r="G529" s="28">
        <f t="shared" si="33"/>
        <v>5016.6005874000002</v>
      </c>
    </row>
    <row r="530" spans="1:7" ht="13.8" x14ac:dyDescent="0.25">
      <c r="A530" s="21">
        <v>20.636600000000001</v>
      </c>
      <c r="B530" s="11">
        <v>29129</v>
      </c>
      <c r="C530" s="12">
        <f t="shared" si="34"/>
        <v>20.969078555555559</v>
      </c>
      <c r="D530" s="24">
        <f t="shared" si="35"/>
        <v>529</v>
      </c>
      <c r="E530" s="12">
        <v>25.558039555555556</v>
      </c>
      <c r="F530" s="12">
        <f t="shared" si="32"/>
        <v>0.49163568773234201</v>
      </c>
      <c r="G530" s="27">
        <f t="shared" si="33"/>
        <v>5014.4873607999998</v>
      </c>
    </row>
    <row r="531" spans="1:7" ht="13.8" x14ac:dyDescent="0.25">
      <c r="A531" s="22">
        <v>23.96</v>
      </c>
      <c r="B531" s="14">
        <v>29099</v>
      </c>
      <c r="C531" s="12">
        <f t="shared" si="34"/>
        <v>24.346022222222224</v>
      </c>
      <c r="D531" s="25">
        <f t="shared" si="35"/>
        <v>530</v>
      </c>
      <c r="E531" s="12">
        <v>25.482339277777779</v>
      </c>
      <c r="F531" s="15">
        <f t="shared" si="32"/>
        <v>0.49256505576208176</v>
      </c>
      <c r="G531" s="28">
        <f t="shared" si="33"/>
        <v>4999.6349663000001</v>
      </c>
    </row>
    <row r="532" spans="1:7" ht="13.8" x14ac:dyDescent="0.25">
      <c r="A532" s="21">
        <v>18.5092</v>
      </c>
      <c r="B532" s="11">
        <v>29068</v>
      </c>
      <c r="C532" s="12">
        <f t="shared" si="34"/>
        <v>18.807403777777779</v>
      </c>
      <c r="D532" s="24">
        <f t="shared" si="35"/>
        <v>531</v>
      </c>
      <c r="E532" s="15">
        <v>25.47207655555556</v>
      </c>
      <c r="F532" s="12">
        <f t="shared" si="32"/>
        <v>0.49349442379182157</v>
      </c>
      <c r="G532" s="27">
        <f t="shared" si="33"/>
        <v>4997.6214202000001</v>
      </c>
    </row>
    <row r="533" spans="1:7" ht="13.8" x14ac:dyDescent="0.25">
      <c r="A533" s="22">
        <v>20.562200000000001</v>
      </c>
      <c r="B533" s="14">
        <v>29037</v>
      </c>
      <c r="C533" s="12">
        <f t="shared" si="34"/>
        <v>20.893479888888891</v>
      </c>
      <c r="D533" s="25">
        <f t="shared" si="35"/>
        <v>532</v>
      </c>
      <c r="E533" s="15">
        <v>25.428180555555556</v>
      </c>
      <c r="F533" s="15">
        <f t="shared" si="32"/>
        <v>0.49442379182156132</v>
      </c>
      <c r="G533" s="28">
        <f t="shared" si="33"/>
        <v>4989.0090250000003</v>
      </c>
    </row>
    <row r="534" spans="1:7" ht="13.8" x14ac:dyDescent="0.25">
      <c r="A534" s="21">
        <v>21.032900000000001</v>
      </c>
      <c r="B534" s="11">
        <v>29007</v>
      </c>
      <c r="C534" s="12">
        <f t="shared" si="34"/>
        <v>21.37176338888889</v>
      </c>
      <c r="D534" s="24">
        <f t="shared" si="35"/>
        <v>533</v>
      </c>
      <c r="E534" s="12">
        <v>25.361320444444445</v>
      </c>
      <c r="F534" s="12">
        <f t="shared" si="32"/>
        <v>0.49535315985130113</v>
      </c>
      <c r="G534" s="27">
        <f t="shared" si="33"/>
        <v>4975.8910711999997</v>
      </c>
    </row>
    <row r="535" spans="1:7" ht="13.8" x14ac:dyDescent="0.25">
      <c r="A535" s="22">
        <v>26.8157</v>
      </c>
      <c r="B535" s="14">
        <v>28976</v>
      </c>
      <c r="C535" s="12">
        <f t="shared" si="34"/>
        <v>27.247730722222222</v>
      </c>
      <c r="D535" s="25">
        <f t="shared" si="35"/>
        <v>534</v>
      </c>
      <c r="E535" s="12">
        <v>25.345265888888893</v>
      </c>
      <c r="F535" s="15">
        <f t="shared" si="32"/>
        <v>0.49628252788104088</v>
      </c>
      <c r="G535" s="28">
        <f t="shared" si="33"/>
        <v>4972.7411674000004</v>
      </c>
    </row>
    <row r="536" spans="1:7" ht="13.8" x14ac:dyDescent="0.25">
      <c r="A536" s="21">
        <v>32.807400000000001</v>
      </c>
      <c r="B536" s="11">
        <v>28946</v>
      </c>
      <c r="C536" s="12">
        <f t="shared" si="34"/>
        <v>33.335963666666672</v>
      </c>
      <c r="D536" s="24">
        <f t="shared" si="35"/>
        <v>535</v>
      </c>
      <c r="E536" s="12">
        <v>25.337645055555559</v>
      </c>
      <c r="F536" s="12">
        <f t="shared" si="32"/>
        <v>0.49721189591078069</v>
      </c>
      <c r="G536" s="27">
        <f t="shared" si="33"/>
        <v>4971.2459599000013</v>
      </c>
    </row>
    <row r="537" spans="1:7" ht="13.8" x14ac:dyDescent="0.25">
      <c r="A537" s="22">
        <v>53.183100000000003</v>
      </c>
      <c r="B537" s="14">
        <v>28915</v>
      </c>
      <c r="C537" s="12">
        <f t="shared" si="34"/>
        <v>54.039938833333338</v>
      </c>
      <c r="D537" s="25">
        <f t="shared" si="35"/>
        <v>536</v>
      </c>
      <c r="E537" s="12">
        <v>25.27566227777778</v>
      </c>
      <c r="F537" s="15">
        <f t="shared" si="32"/>
        <v>0.49814126394052044</v>
      </c>
      <c r="G537" s="28">
        <f t="shared" si="33"/>
        <v>4959.0849389000014</v>
      </c>
    </row>
    <row r="538" spans="1:7" ht="13.8" x14ac:dyDescent="0.25">
      <c r="A538" s="21">
        <v>84.436800000000005</v>
      </c>
      <c r="B538" s="11">
        <v>28887</v>
      </c>
      <c r="C538" s="12">
        <f t="shared" si="34"/>
        <v>85.797170666666673</v>
      </c>
      <c r="D538" s="24">
        <f t="shared" si="35"/>
        <v>537</v>
      </c>
      <c r="E538" s="15">
        <v>25.273020388888892</v>
      </c>
      <c r="F538" s="12">
        <f t="shared" si="32"/>
        <v>0.49907063197026025</v>
      </c>
      <c r="G538" s="27">
        <f t="shared" si="33"/>
        <v>4958.5666003000006</v>
      </c>
    </row>
    <row r="539" spans="1:7" ht="13.8" x14ac:dyDescent="0.25">
      <c r="A539" s="22">
        <v>40.164499999999997</v>
      </c>
      <c r="B539" s="14">
        <v>28856</v>
      </c>
      <c r="C539" s="12">
        <f t="shared" si="34"/>
        <v>40.811594722222225</v>
      </c>
      <c r="D539" s="25">
        <f t="shared" si="35"/>
        <v>538</v>
      </c>
      <c r="E539" s="12">
        <v>25.234509777777777</v>
      </c>
      <c r="F539" s="15">
        <f t="shared" si="32"/>
        <v>0.5</v>
      </c>
      <c r="G539" s="28">
        <f t="shared" si="33"/>
        <v>4951.0108184000001</v>
      </c>
    </row>
    <row r="540" spans="1:7" ht="13.8" x14ac:dyDescent="0.25">
      <c r="A540" s="21">
        <v>34.597299999999997</v>
      </c>
      <c r="B540" s="11">
        <v>28825</v>
      </c>
      <c r="C540" s="12">
        <f t="shared" si="34"/>
        <v>35.154700944444443</v>
      </c>
      <c r="D540" s="24">
        <f t="shared" si="35"/>
        <v>539</v>
      </c>
      <c r="E540" s="12">
        <v>25.217743944444447</v>
      </c>
      <c r="F540" s="12">
        <f t="shared" si="32"/>
        <v>0.50092936802973975</v>
      </c>
      <c r="G540" s="27">
        <f t="shared" si="33"/>
        <v>4947.7213619000013</v>
      </c>
    </row>
    <row r="541" spans="1:7" ht="13.8" x14ac:dyDescent="0.25">
      <c r="A541" s="22">
        <v>41.253399999999999</v>
      </c>
      <c r="B541" s="14">
        <v>28795</v>
      </c>
      <c r="C541" s="12">
        <f t="shared" si="34"/>
        <v>41.918038111111116</v>
      </c>
      <c r="D541" s="25">
        <f t="shared" si="35"/>
        <v>540</v>
      </c>
      <c r="E541" s="15">
        <v>25.187667055555558</v>
      </c>
      <c r="F541" s="15">
        <f t="shared" si="32"/>
        <v>0.5018587360594795</v>
      </c>
      <c r="G541" s="28">
        <f t="shared" si="33"/>
        <v>4941.8202763000008</v>
      </c>
    </row>
    <row r="542" spans="1:7" ht="13.8" x14ac:dyDescent="0.25">
      <c r="A542" s="21">
        <v>26.387</v>
      </c>
      <c r="B542" s="11">
        <v>28764</v>
      </c>
      <c r="C542" s="12">
        <f t="shared" si="34"/>
        <v>26.812123888888891</v>
      </c>
      <c r="D542" s="24">
        <f t="shared" si="35"/>
        <v>541</v>
      </c>
      <c r="E542" s="15">
        <v>25.150680611111113</v>
      </c>
      <c r="F542" s="12">
        <f t="shared" si="32"/>
        <v>0.50278810408921937</v>
      </c>
      <c r="G542" s="27">
        <f t="shared" si="33"/>
        <v>4934.5635359000007</v>
      </c>
    </row>
    <row r="543" spans="1:7" ht="13.8" x14ac:dyDescent="0.25">
      <c r="A543" s="22">
        <v>12.3489</v>
      </c>
      <c r="B543" s="14">
        <v>28734</v>
      </c>
      <c r="C543" s="12">
        <f t="shared" si="34"/>
        <v>12.547854500000001</v>
      </c>
      <c r="D543" s="25">
        <f t="shared" si="35"/>
        <v>542</v>
      </c>
      <c r="E543" s="12">
        <v>25.073049722222223</v>
      </c>
      <c r="F543" s="15">
        <f t="shared" si="32"/>
        <v>0.50371747211895912</v>
      </c>
      <c r="G543" s="28">
        <f t="shared" si="33"/>
        <v>4919.3323555000006</v>
      </c>
    </row>
    <row r="544" spans="1:7" ht="13.8" x14ac:dyDescent="0.25">
      <c r="A544" s="21">
        <v>13.574999999999999</v>
      </c>
      <c r="B544" s="11">
        <v>28703</v>
      </c>
      <c r="C544" s="12">
        <f t="shared" si="34"/>
        <v>13.793708333333333</v>
      </c>
      <c r="D544" s="24">
        <f t="shared" si="35"/>
        <v>543</v>
      </c>
      <c r="E544" s="15">
        <v>25.058519333333336</v>
      </c>
      <c r="F544" s="12">
        <f t="shared" si="32"/>
        <v>0.50464684014869887</v>
      </c>
      <c r="G544" s="27">
        <f t="shared" si="33"/>
        <v>4916.4814931999999</v>
      </c>
    </row>
    <row r="545" spans="1:7" ht="13.8" x14ac:dyDescent="0.25">
      <c r="A545" s="22">
        <v>16.7255</v>
      </c>
      <c r="B545" s="14">
        <v>28672</v>
      </c>
      <c r="C545" s="12">
        <f t="shared" si="34"/>
        <v>16.994966388888891</v>
      </c>
      <c r="D545" s="25">
        <f t="shared" si="35"/>
        <v>544</v>
      </c>
      <c r="E545" s="15">
        <v>24.940853666666669</v>
      </c>
      <c r="F545" s="15">
        <f t="shared" si="32"/>
        <v>0.50557620817843862</v>
      </c>
      <c r="G545" s="28">
        <f t="shared" si="33"/>
        <v>4893.3954893999999</v>
      </c>
    </row>
    <row r="546" spans="1:7" ht="13.8" x14ac:dyDescent="0.25">
      <c r="A546" s="21">
        <v>19.5931</v>
      </c>
      <c r="B546" s="11">
        <v>28642</v>
      </c>
      <c r="C546" s="12">
        <f t="shared" si="34"/>
        <v>19.908766611111112</v>
      </c>
      <c r="D546" s="24">
        <f t="shared" si="35"/>
        <v>545</v>
      </c>
      <c r="E546" s="15">
        <v>24.919108888888893</v>
      </c>
      <c r="F546" s="12">
        <f t="shared" si="32"/>
        <v>0.50650557620817849</v>
      </c>
      <c r="G546" s="27">
        <f t="shared" si="33"/>
        <v>4889.1291640000009</v>
      </c>
    </row>
    <row r="547" spans="1:7" ht="13.8" x14ac:dyDescent="0.25">
      <c r="A547" s="22">
        <v>20.5792</v>
      </c>
      <c r="B547" s="14">
        <v>28611</v>
      </c>
      <c r="C547" s="12">
        <f t="shared" si="34"/>
        <v>20.910753777777778</v>
      </c>
      <c r="D547" s="25">
        <f t="shared" si="35"/>
        <v>546</v>
      </c>
      <c r="E547" s="15">
        <v>24.917483111111114</v>
      </c>
      <c r="F547" s="15">
        <f t="shared" si="32"/>
        <v>0.50743494423791824</v>
      </c>
      <c r="G547" s="28">
        <f t="shared" si="33"/>
        <v>4888.8101864000009</v>
      </c>
    </row>
    <row r="548" spans="1:7" ht="13.8" x14ac:dyDescent="0.25">
      <c r="A548" s="21">
        <v>25.224799999999998</v>
      </c>
      <c r="B548" s="11">
        <v>28581</v>
      </c>
      <c r="C548" s="12">
        <f t="shared" si="34"/>
        <v>25.631199555555554</v>
      </c>
      <c r="D548" s="24">
        <f t="shared" si="35"/>
        <v>547</v>
      </c>
      <c r="E548" s="15">
        <v>24.849403666666671</v>
      </c>
      <c r="F548" s="12">
        <f t="shared" si="32"/>
        <v>0.50836431226765799</v>
      </c>
      <c r="G548" s="27">
        <f t="shared" si="33"/>
        <v>4875.4529994000022</v>
      </c>
    </row>
    <row r="549" spans="1:7" ht="13.8" x14ac:dyDescent="0.25">
      <c r="A549" s="22">
        <v>44.7485</v>
      </c>
      <c r="B549" s="14">
        <v>28550</v>
      </c>
      <c r="C549" s="12">
        <f t="shared" si="34"/>
        <v>45.46944805555556</v>
      </c>
      <c r="D549" s="25">
        <f t="shared" si="35"/>
        <v>548</v>
      </c>
      <c r="E549" s="12">
        <v>24.844119888888891</v>
      </c>
      <c r="F549" s="15">
        <f t="shared" si="32"/>
        <v>0.50929368029739774</v>
      </c>
      <c r="G549" s="28">
        <f t="shared" si="33"/>
        <v>4874.4163222000006</v>
      </c>
    </row>
    <row r="550" spans="1:7" ht="13.8" x14ac:dyDescent="0.25">
      <c r="A550" s="21">
        <v>42.261200000000002</v>
      </c>
      <c r="B550" s="11">
        <v>28522</v>
      </c>
      <c r="C550" s="12">
        <f t="shared" si="34"/>
        <v>42.942074888888897</v>
      </c>
      <c r="D550" s="24">
        <f t="shared" si="35"/>
        <v>549</v>
      </c>
      <c r="E550" s="12">
        <v>24.803373833333335</v>
      </c>
      <c r="F550" s="12">
        <f t="shared" si="32"/>
        <v>0.5102230483271375</v>
      </c>
      <c r="G550" s="27">
        <f t="shared" si="33"/>
        <v>4866.4219461000002</v>
      </c>
    </row>
    <row r="551" spans="1:7" ht="13.8" x14ac:dyDescent="0.25">
      <c r="A551" s="22">
        <v>92.824299999999994</v>
      </c>
      <c r="B551" s="14">
        <v>28491</v>
      </c>
      <c r="C551" s="12">
        <f t="shared" si="34"/>
        <v>94.319802611111115</v>
      </c>
      <c r="D551" s="25">
        <f t="shared" si="35"/>
        <v>550</v>
      </c>
      <c r="E551" s="15">
        <v>24.800630333333334</v>
      </c>
      <c r="F551" s="15">
        <f t="shared" si="32"/>
        <v>0.51115241635687736</v>
      </c>
      <c r="G551" s="28">
        <f t="shared" si="33"/>
        <v>4865.8836713999999</v>
      </c>
    </row>
    <row r="552" spans="1:7" ht="13.8" x14ac:dyDescent="0.25">
      <c r="A552" s="21">
        <v>39.866100000000003</v>
      </c>
      <c r="B552" s="11">
        <v>28460</v>
      </c>
      <c r="C552" s="12">
        <f t="shared" si="34"/>
        <v>40.508387166666672</v>
      </c>
      <c r="D552" s="24">
        <f t="shared" si="35"/>
        <v>551</v>
      </c>
      <c r="E552" s="15">
        <v>24.70034016666667</v>
      </c>
      <c r="F552" s="12">
        <f t="shared" si="32"/>
        <v>0.51208178438661711</v>
      </c>
      <c r="G552" s="27">
        <f t="shared" si="33"/>
        <v>4846.2067407000004</v>
      </c>
    </row>
    <row r="553" spans="1:7" ht="13.8" x14ac:dyDescent="0.25">
      <c r="A553" s="22">
        <v>27.153099999999998</v>
      </c>
      <c r="B553" s="14">
        <v>28430</v>
      </c>
      <c r="C553" s="12">
        <f t="shared" si="34"/>
        <v>27.590566611111111</v>
      </c>
      <c r="D553" s="25">
        <f t="shared" si="35"/>
        <v>552</v>
      </c>
      <c r="E553" s="15">
        <v>24.694243500000002</v>
      </c>
      <c r="F553" s="15">
        <f t="shared" si="32"/>
        <v>0.51301115241635686</v>
      </c>
      <c r="G553" s="28">
        <f t="shared" si="33"/>
        <v>4845.0105747000016</v>
      </c>
    </row>
    <row r="554" spans="1:7" ht="13.8" x14ac:dyDescent="0.25">
      <c r="A554" s="21">
        <v>14.570399999999999</v>
      </c>
      <c r="B554" s="11">
        <v>28399</v>
      </c>
      <c r="C554" s="12">
        <f t="shared" si="34"/>
        <v>14.805145333333334</v>
      </c>
      <c r="D554" s="24">
        <f t="shared" si="35"/>
        <v>553</v>
      </c>
      <c r="E554" s="12">
        <v>24.693227388888889</v>
      </c>
      <c r="F554" s="12">
        <f t="shared" si="32"/>
        <v>0.51394052044609662</v>
      </c>
      <c r="G554" s="27">
        <f t="shared" si="33"/>
        <v>4844.8112136999998</v>
      </c>
    </row>
    <row r="555" spans="1:7" ht="13.8" x14ac:dyDescent="0.25">
      <c r="A555" s="22">
        <v>18.113099999999999</v>
      </c>
      <c r="B555" s="14">
        <v>28369</v>
      </c>
      <c r="C555" s="12">
        <f t="shared" si="34"/>
        <v>18.404922166666669</v>
      </c>
      <c r="D555" s="25">
        <f t="shared" si="35"/>
        <v>554</v>
      </c>
      <c r="E555" s="12">
        <v>24.675242222222224</v>
      </c>
      <c r="F555" s="15">
        <f t="shared" si="32"/>
        <v>0.51486988847583648</v>
      </c>
      <c r="G555" s="28">
        <f t="shared" si="33"/>
        <v>4841.2825240000002</v>
      </c>
    </row>
    <row r="556" spans="1:7" ht="13.8" x14ac:dyDescent="0.25">
      <c r="A556" s="21">
        <v>13.548400000000001</v>
      </c>
      <c r="B556" s="11">
        <v>28338</v>
      </c>
      <c r="C556" s="12">
        <f t="shared" si="34"/>
        <v>13.76667977777778</v>
      </c>
      <c r="D556" s="24">
        <f t="shared" si="35"/>
        <v>555</v>
      </c>
      <c r="E556" s="15">
        <v>24.612040111111114</v>
      </c>
      <c r="F556" s="12">
        <f t="shared" si="32"/>
        <v>0.51579925650557623</v>
      </c>
      <c r="G556" s="27">
        <f t="shared" si="33"/>
        <v>4828.8822698000013</v>
      </c>
    </row>
    <row r="557" spans="1:7" ht="13.8" x14ac:dyDescent="0.25">
      <c r="A557" s="22">
        <v>15.5883</v>
      </c>
      <c r="B557" s="14">
        <v>28307</v>
      </c>
      <c r="C557" s="12">
        <f t="shared" si="34"/>
        <v>15.839444833333335</v>
      </c>
      <c r="D557" s="25">
        <f t="shared" si="35"/>
        <v>556</v>
      </c>
      <c r="E557" s="15">
        <v>24.48563588888889</v>
      </c>
      <c r="F557" s="15">
        <f t="shared" si="32"/>
        <v>0.51672862453531598</v>
      </c>
      <c r="G557" s="28">
        <f t="shared" si="33"/>
        <v>4804.0817613999998</v>
      </c>
    </row>
    <row r="558" spans="1:7" ht="13.8" x14ac:dyDescent="0.25">
      <c r="A558" s="21">
        <v>18.9482</v>
      </c>
      <c r="B558" s="11">
        <v>28277</v>
      </c>
      <c r="C558" s="12">
        <f t="shared" si="34"/>
        <v>19.253476555555558</v>
      </c>
      <c r="D558" s="24">
        <f t="shared" si="35"/>
        <v>557</v>
      </c>
      <c r="E558" s="15">
        <v>24.346022222222224</v>
      </c>
      <c r="F558" s="12">
        <f t="shared" si="32"/>
        <v>0.51765799256505574</v>
      </c>
      <c r="G558" s="27">
        <f t="shared" si="33"/>
        <v>4776.6895600000007</v>
      </c>
    </row>
    <row r="559" spans="1:7" ht="13.8" x14ac:dyDescent="0.25">
      <c r="A559" s="22">
        <v>23.373100000000001</v>
      </c>
      <c r="B559" s="14">
        <v>28246</v>
      </c>
      <c r="C559" s="12">
        <f t="shared" si="34"/>
        <v>23.749666611111113</v>
      </c>
      <c r="D559" s="25">
        <f t="shared" si="35"/>
        <v>558</v>
      </c>
      <c r="E559" s="15">
        <v>24.319400111111115</v>
      </c>
      <c r="F559" s="15">
        <f t="shared" si="32"/>
        <v>0.51858736059479549</v>
      </c>
      <c r="G559" s="28">
        <f t="shared" si="33"/>
        <v>4771.4663018000001</v>
      </c>
    </row>
    <row r="560" spans="1:7" ht="13.8" x14ac:dyDescent="0.25">
      <c r="A560" s="21">
        <v>36.591999999999999</v>
      </c>
      <c r="B560" s="11">
        <v>28216</v>
      </c>
      <c r="C560" s="12">
        <f t="shared" si="34"/>
        <v>37.181537777777777</v>
      </c>
      <c r="D560" s="24">
        <f t="shared" si="35"/>
        <v>559</v>
      </c>
      <c r="E560" s="12">
        <v>24.29541988888889</v>
      </c>
      <c r="F560" s="12">
        <f t="shared" si="32"/>
        <v>0.51951672862453535</v>
      </c>
      <c r="G560" s="27">
        <f t="shared" si="33"/>
        <v>4766.7613822000012</v>
      </c>
    </row>
    <row r="561" spans="1:7" ht="13.8" x14ac:dyDescent="0.25">
      <c r="A561" s="22">
        <v>44.595399999999998</v>
      </c>
      <c r="B561" s="14">
        <v>28185</v>
      </c>
      <c r="C561" s="12">
        <f t="shared" si="34"/>
        <v>45.313881444444448</v>
      </c>
      <c r="D561" s="25">
        <f t="shared" si="35"/>
        <v>560</v>
      </c>
      <c r="E561" s="12">
        <v>24.218398666666666</v>
      </c>
      <c r="F561" s="15">
        <f t="shared" si="32"/>
        <v>0.5204460966542751</v>
      </c>
      <c r="G561" s="28">
        <f t="shared" si="33"/>
        <v>4751.6498183999993</v>
      </c>
    </row>
    <row r="562" spans="1:7" ht="13.8" x14ac:dyDescent="0.25">
      <c r="A562" s="21">
        <v>56.958799999999997</v>
      </c>
      <c r="B562" s="11">
        <v>28157</v>
      </c>
      <c r="C562" s="12">
        <f t="shared" si="34"/>
        <v>57.876469555555559</v>
      </c>
      <c r="D562" s="24">
        <f t="shared" si="35"/>
        <v>561</v>
      </c>
      <c r="E562" s="12">
        <v>24.150420833333332</v>
      </c>
      <c r="F562" s="12">
        <f t="shared" si="32"/>
        <v>0.52137546468401486</v>
      </c>
      <c r="G562" s="27">
        <f t="shared" si="33"/>
        <v>4738.3125675000001</v>
      </c>
    </row>
    <row r="563" spans="1:7" ht="13.8" x14ac:dyDescent="0.25">
      <c r="A563" s="22">
        <v>67.495699999999999</v>
      </c>
      <c r="B563" s="14">
        <v>28126</v>
      </c>
      <c r="C563" s="12">
        <f t="shared" si="34"/>
        <v>68.583130722222222</v>
      </c>
      <c r="D563" s="25">
        <f t="shared" si="35"/>
        <v>562</v>
      </c>
      <c r="E563" s="12">
        <v>24.118616555555558</v>
      </c>
      <c r="F563" s="15">
        <f t="shared" si="32"/>
        <v>0.52230483271375461</v>
      </c>
      <c r="G563" s="28">
        <f t="shared" si="33"/>
        <v>4732.0725682000011</v>
      </c>
    </row>
    <row r="564" spans="1:7" ht="13.8" x14ac:dyDescent="0.25">
      <c r="A564" s="21">
        <v>73.159700000000001</v>
      </c>
      <c r="B564" s="11">
        <v>28095</v>
      </c>
      <c r="C564" s="12">
        <f t="shared" si="34"/>
        <v>74.338384055555565</v>
      </c>
      <c r="D564" s="24">
        <f t="shared" si="35"/>
        <v>563</v>
      </c>
      <c r="E564" s="15">
        <v>24.097684666666666</v>
      </c>
      <c r="F564" s="12">
        <f t="shared" si="32"/>
        <v>0.52323420074349447</v>
      </c>
      <c r="G564" s="27">
        <f t="shared" si="33"/>
        <v>4727.9657315999993</v>
      </c>
    </row>
    <row r="565" spans="1:7" ht="13.8" x14ac:dyDescent="0.25">
      <c r="A565" s="22">
        <v>44.647399999999998</v>
      </c>
      <c r="B565" s="14">
        <v>28065</v>
      </c>
      <c r="C565" s="12">
        <f t="shared" si="34"/>
        <v>45.366719222222223</v>
      </c>
      <c r="D565" s="25">
        <f t="shared" si="35"/>
        <v>564</v>
      </c>
      <c r="E565" s="12">
        <v>24.091079944444445</v>
      </c>
      <c r="F565" s="15">
        <f t="shared" si="32"/>
        <v>0.52416356877323422</v>
      </c>
      <c r="G565" s="28">
        <f t="shared" si="33"/>
        <v>4726.6698851000001</v>
      </c>
    </row>
    <row r="566" spans="1:7" ht="13.8" x14ac:dyDescent="0.25">
      <c r="A566" s="21">
        <v>24.959199999999999</v>
      </c>
      <c r="B566" s="11">
        <v>28034</v>
      </c>
      <c r="C566" s="12">
        <f t="shared" si="34"/>
        <v>25.361320444444445</v>
      </c>
      <c r="D566" s="24">
        <f t="shared" si="35"/>
        <v>565</v>
      </c>
      <c r="E566" s="12">
        <v>24.077464055555556</v>
      </c>
      <c r="F566" s="12">
        <f t="shared" si="32"/>
        <v>0.52509293680297398</v>
      </c>
      <c r="G566" s="27">
        <f t="shared" si="33"/>
        <v>4723.9984477000007</v>
      </c>
    </row>
    <row r="567" spans="1:7" ht="13.8" x14ac:dyDescent="0.25">
      <c r="A567" s="22">
        <v>29.854399999999998</v>
      </c>
      <c r="B567" s="14">
        <v>28004</v>
      </c>
      <c r="C567" s="12">
        <f t="shared" si="34"/>
        <v>30.335387555555556</v>
      </c>
      <c r="D567" s="25">
        <f t="shared" si="35"/>
        <v>566</v>
      </c>
      <c r="E567" s="15">
        <v>24.045964611111113</v>
      </c>
      <c r="F567" s="15">
        <f t="shared" si="32"/>
        <v>0.52602230483271373</v>
      </c>
      <c r="G567" s="28">
        <f t="shared" si="33"/>
        <v>4717.8182567000003</v>
      </c>
    </row>
    <row r="568" spans="1:7" ht="13.8" x14ac:dyDescent="0.25">
      <c r="A568" s="21">
        <v>22.419899999999998</v>
      </c>
      <c r="B568" s="11">
        <v>27973</v>
      </c>
      <c r="C568" s="12">
        <f t="shared" si="34"/>
        <v>22.781109499999999</v>
      </c>
      <c r="D568" s="24">
        <f t="shared" si="35"/>
        <v>567</v>
      </c>
      <c r="E568" s="15">
        <v>24.032145500000002</v>
      </c>
      <c r="F568" s="12">
        <f t="shared" si="32"/>
        <v>0.52695167286245348</v>
      </c>
      <c r="G568" s="27">
        <f t="shared" si="33"/>
        <v>4715.1069471000001</v>
      </c>
    </row>
    <row r="569" spans="1:7" ht="13.8" x14ac:dyDescent="0.25">
      <c r="A569" s="22">
        <v>21.626799999999999</v>
      </c>
      <c r="B569" s="14">
        <v>27942</v>
      </c>
      <c r="C569" s="12">
        <f t="shared" si="34"/>
        <v>21.975231777777779</v>
      </c>
      <c r="D569" s="25">
        <f t="shared" si="35"/>
        <v>568</v>
      </c>
      <c r="E569" s="12">
        <v>24.020358611111114</v>
      </c>
      <c r="F569" s="15">
        <f t="shared" si="32"/>
        <v>0.52788104089219334</v>
      </c>
      <c r="G569" s="28">
        <f t="shared" si="33"/>
        <v>4712.7943595000015</v>
      </c>
    </row>
    <row r="570" spans="1:7" ht="13.8" x14ac:dyDescent="0.25">
      <c r="A570" s="21">
        <v>22.345500000000001</v>
      </c>
      <c r="B570" s="11">
        <v>27912</v>
      </c>
      <c r="C570" s="12">
        <f t="shared" si="34"/>
        <v>22.705510833333335</v>
      </c>
      <c r="D570" s="24">
        <f t="shared" si="35"/>
        <v>569</v>
      </c>
      <c r="E570" s="15">
        <v>23.989875277777781</v>
      </c>
      <c r="F570" s="12">
        <f t="shared" si="32"/>
        <v>0.52881040892193309</v>
      </c>
      <c r="G570" s="27">
        <f t="shared" si="33"/>
        <v>4706.8135295000011</v>
      </c>
    </row>
    <row r="571" spans="1:7" ht="13.8" x14ac:dyDescent="0.25">
      <c r="A571" s="22">
        <v>24.545400000000001</v>
      </c>
      <c r="B571" s="14">
        <v>27881</v>
      </c>
      <c r="C571" s="12">
        <f t="shared" si="34"/>
        <v>24.940853666666669</v>
      </c>
      <c r="D571" s="25">
        <f t="shared" si="35"/>
        <v>570</v>
      </c>
      <c r="E571" s="12">
        <v>23.949129222222226</v>
      </c>
      <c r="F571" s="15">
        <f t="shared" si="32"/>
        <v>0.52973977695167285</v>
      </c>
      <c r="G571" s="28">
        <f t="shared" si="33"/>
        <v>4698.8191534000007</v>
      </c>
    </row>
    <row r="572" spans="1:7" ht="13.8" x14ac:dyDescent="0.25">
      <c r="A572" s="21">
        <v>29.731100000000001</v>
      </c>
      <c r="B572" s="11">
        <v>27851</v>
      </c>
      <c r="C572" s="12">
        <f t="shared" si="34"/>
        <v>30.210101055555558</v>
      </c>
      <c r="D572" s="24">
        <f t="shared" si="35"/>
        <v>571</v>
      </c>
      <c r="E572" s="15">
        <v>23.876477277777781</v>
      </c>
      <c r="F572" s="12">
        <f t="shared" si="32"/>
        <v>0.5306691449814126</v>
      </c>
      <c r="G572" s="27">
        <f t="shared" si="33"/>
        <v>4684.5648418999999</v>
      </c>
    </row>
    <row r="573" spans="1:7" ht="13.8" x14ac:dyDescent="0.25">
      <c r="A573" s="22">
        <v>44.618200000000002</v>
      </c>
      <c r="B573" s="14">
        <v>27820</v>
      </c>
      <c r="C573" s="12">
        <f t="shared" si="34"/>
        <v>45.337048777777781</v>
      </c>
      <c r="D573" s="25">
        <f t="shared" si="35"/>
        <v>572</v>
      </c>
      <c r="E573" s="12">
        <v>23.846705222222223</v>
      </c>
      <c r="F573" s="15">
        <f t="shared" si="32"/>
        <v>0.53159851301115246</v>
      </c>
      <c r="G573" s="28">
        <f t="shared" si="33"/>
        <v>4678.7235645999999</v>
      </c>
    </row>
    <row r="574" spans="1:7" ht="13.8" x14ac:dyDescent="0.25">
      <c r="A574" s="21">
        <v>33.788400000000003</v>
      </c>
      <c r="B574" s="11">
        <v>27791</v>
      </c>
      <c r="C574" s="12">
        <f t="shared" si="34"/>
        <v>34.332768666666674</v>
      </c>
      <c r="D574" s="24">
        <f t="shared" si="35"/>
        <v>573</v>
      </c>
      <c r="E574" s="12">
        <v>23.79315616666667</v>
      </c>
      <c r="F574" s="12">
        <f t="shared" si="32"/>
        <v>0.53252788104089221</v>
      </c>
      <c r="G574" s="27">
        <f t="shared" si="33"/>
        <v>4668.217239900001</v>
      </c>
    </row>
    <row r="575" spans="1:7" ht="13.8" x14ac:dyDescent="0.25">
      <c r="A575" s="22">
        <v>32.490900000000003</v>
      </c>
      <c r="B575" s="14">
        <v>27760</v>
      </c>
      <c r="C575" s="12">
        <f t="shared" si="34"/>
        <v>33.014364500000006</v>
      </c>
      <c r="D575" s="25">
        <f t="shared" si="35"/>
        <v>574</v>
      </c>
      <c r="E575" s="15">
        <v>23.749666611111113</v>
      </c>
      <c r="F575" s="15">
        <f t="shared" si="32"/>
        <v>0.53345724907063197</v>
      </c>
      <c r="G575" s="28">
        <f t="shared" si="33"/>
        <v>4659.6845891000003</v>
      </c>
    </row>
    <row r="576" spans="1:7" ht="13.8" x14ac:dyDescent="0.25">
      <c r="A576" s="21">
        <v>40.8035</v>
      </c>
      <c r="B576" s="11">
        <v>27729</v>
      </c>
      <c r="C576" s="12">
        <f t="shared" si="34"/>
        <v>41.460889722222227</v>
      </c>
      <c r="D576" s="24">
        <f t="shared" si="35"/>
        <v>575</v>
      </c>
      <c r="E576" s="15">
        <v>23.728633111111112</v>
      </c>
      <c r="F576" s="12">
        <f t="shared" si="32"/>
        <v>0.53438661710037172</v>
      </c>
      <c r="G576" s="27">
        <f t="shared" si="33"/>
        <v>4655.5578163999999</v>
      </c>
    </row>
    <row r="577" spans="1:7" ht="13.8" x14ac:dyDescent="0.25">
      <c r="A577" s="22">
        <v>41.292099999999998</v>
      </c>
      <c r="B577" s="14">
        <v>27699</v>
      </c>
      <c r="C577" s="12">
        <f t="shared" si="34"/>
        <v>41.957361611111111</v>
      </c>
      <c r="D577" s="25">
        <f t="shared" si="35"/>
        <v>576</v>
      </c>
      <c r="E577" s="12">
        <v>23.664821333333336</v>
      </c>
      <c r="F577" s="15">
        <f t="shared" si="32"/>
        <v>0.53531598513011147</v>
      </c>
      <c r="G577" s="28">
        <f t="shared" si="33"/>
        <v>4643.037945600001</v>
      </c>
    </row>
    <row r="578" spans="1:7" ht="13.8" x14ac:dyDescent="0.25">
      <c r="A578" s="21">
        <v>16.648900000000001</v>
      </c>
      <c r="B578" s="11">
        <v>27668</v>
      </c>
      <c r="C578" s="12">
        <f t="shared" si="34"/>
        <v>16.917132277777782</v>
      </c>
      <c r="D578" s="24">
        <f t="shared" si="35"/>
        <v>577</v>
      </c>
      <c r="E578" s="15">
        <v>23.629968722222223</v>
      </c>
      <c r="F578" s="12">
        <f t="shared" ref="F578:F641" si="36">D578/1076</f>
        <v>0.53624535315985133</v>
      </c>
      <c r="G578" s="27">
        <f t="shared" ref="G578:G641" si="37">1000*E578*$J$2*9.81/1000</f>
        <v>4636.1998633000003</v>
      </c>
    </row>
    <row r="579" spans="1:7" ht="13.8" x14ac:dyDescent="0.25">
      <c r="A579" s="22">
        <v>10.4444</v>
      </c>
      <c r="B579" s="14">
        <v>27638</v>
      </c>
      <c r="C579" s="12">
        <f t="shared" ref="C579:C642" si="38">A579*($I$2/$H$2)</f>
        <v>10.612670888888889</v>
      </c>
      <c r="D579" s="25">
        <f t="shared" ref="D579:D642" si="39">D578+1</f>
        <v>578</v>
      </c>
      <c r="E579" s="15">
        <v>23.557520000000004</v>
      </c>
      <c r="F579" s="15">
        <f t="shared" si="36"/>
        <v>0.53717472118959109</v>
      </c>
      <c r="G579" s="28">
        <f t="shared" si="37"/>
        <v>4621.9854240000004</v>
      </c>
    </row>
    <row r="580" spans="1:7" ht="13.8" x14ac:dyDescent="0.25">
      <c r="A580" s="21">
        <v>11.4518</v>
      </c>
      <c r="B580" s="11">
        <v>27607</v>
      </c>
      <c r="C580" s="12">
        <f t="shared" si="38"/>
        <v>11.636301222222224</v>
      </c>
      <c r="D580" s="24">
        <f t="shared" si="39"/>
        <v>579</v>
      </c>
      <c r="E580" s="15">
        <v>23.511083722222224</v>
      </c>
      <c r="F580" s="12">
        <f t="shared" si="36"/>
        <v>0.53810408921933084</v>
      </c>
      <c r="G580" s="27">
        <f t="shared" si="37"/>
        <v>4612.8746263000003</v>
      </c>
    </row>
    <row r="581" spans="1:7" ht="13.8" x14ac:dyDescent="0.25">
      <c r="A581" s="22">
        <v>14.353999999999999</v>
      </c>
      <c r="B581" s="14">
        <v>27576</v>
      </c>
      <c r="C581" s="12">
        <f t="shared" si="38"/>
        <v>14.585258888888889</v>
      </c>
      <c r="D581" s="25">
        <f t="shared" si="39"/>
        <v>580</v>
      </c>
      <c r="E581" s="15">
        <v>23.242627166666669</v>
      </c>
      <c r="F581" s="15">
        <f t="shared" si="36"/>
        <v>0.53903345724907059</v>
      </c>
      <c r="G581" s="28">
        <f t="shared" si="37"/>
        <v>4560.2034501000007</v>
      </c>
    </row>
    <row r="582" spans="1:7" ht="13.8" x14ac:dyDescent="0.25">
      <c r="A582" s="21">
        <v>14.7591</v>
      </c>
      <c r="B582" s="11">
        <v>27546</v>
      </c>
      <c r="C582" s="12">
        <f t="shared" si="38"/>
        <v>14.996885500000001</v>
      </c>
      <c r="D582" s="24">
        <f t="shared" si="39"/>
        <v>581</v>
      </c>
      <c r="E582" s="12">
        <v>23.233482166666668</v>
      </c>
      <c r="F582" s="12">
        <f t="shared" si="36"/>
        <v>0.53996282527881045</v>
      </c>
      <c r="G582" s="27">
        <f t="shared" si="37"/>
        <v>4558.4092011000002</v>
      </c>
    </row>
    <row r="583" spans="1:7" ht="13.8" x14ac:dyDescent="0.25">
      <c r="A583" s="22">
        <v>18.615100000000002</v>
      </c>
      <c r="B583" s="14">
        <v>27515</v>
      </c>
      <c r="C583" s="12">
        <f t="shared" si="38"/>
        <v>18.915009944444449</v>
      </c>
      <c r="D583" s="25">
        <f t="shared" si="39"/>
        <v>582</v>
      </c>
      <c r="E583" s="12">
        <v>23.180034722222224</v>
      </c>
      <c r="F583" s="15">
        <f t="shared" si="36"/>
        <v>0.54089219330855021</v>
      </c>
      <c r="G583" s="28">
        <f t="shared" si="37"/>
        <v>4547.9228125</v>
      </c>
    </row>
    <row r="584" spans="1:7" ht="13.8" x14ac:dyDescent="0.25">
      <c r="A584" s="21">
        <v>24.283999999999999</v>
      </c>
      <c r="B584" s="11">
        <v>27485</v>
      </c>
      <c r="C584" s="12">
        <f t="shared" si="38"/>
        <v>24.675242222222224</v>
      </c>
      <c r="D584" s="24">
        <f t="shared" si="39"/>
        <v>583</v>
      </c>
      <c r="E584" s="12">
        <v>23.128314666666668</v>
      </c>
      <c r="F584" s="12">
        <f t="shared" si="36"/>
        <v>0.54182156133828996</v>
      </c>
      <c r="G584" s="27">
        <f t="shared" si="37"/>
        <v>4537.775337600001</v>
      </c>
    </row>
    <row r="585" spans="1:7" ht="13.8" x14ac:dyDescent="0.25">
      <c r="A585" s="22">
        <v>46.976500000000001</v>
      </c>
      <c r="B585" s="14">
        <v>27454</v>
      </c>
      <c r="C585" s="12">
        <f t="shared" si="38"/>
        <v>47.733343611111117</v>
      </c>
      <c r="D585" s="25">
        <f t="shared" si="39"/>
        <v>584</v>
      </c>
      <c r="E585" s="15">
        <v>23.124859888888889</v>
      </c>
      <c r="F585" s="15">
        <f t="shared" si="36"/>
        <v>0.54275092936802971</v>
      </c>
      <c r="G585" s="28">
        <f t="shared" si="37"/>
        <v>4537.0975102000002</v>
      </c>
    </row>
    <row r="586" spans="1:7" ht="13.8" x14ac:dyDescent="0.25">
      <c r="A586" s="21">
        <v>54.464399999999998</v>
      </c>
      <c r="B586" s="11">
        <v>27426</v>
      </c>
      <c r="C586" s="12">
        <f t="shared" si="38"/>
        <v>55.341882000000005</v>
      </c>
      <c r="D586" s="24">
        <f t="shared" si="39"/>
        <v>585</v>
      </c>
      <c r="E586" s="15">
        <v>23.023147166666668</v>
      </c>
      <c r="F586" s="12">
        <f t="shared" si="36"/>
        <v>0.54368029739776946</v>
      </c>
      <c r="G586" s="27">
        <f t="shared" si="37"/>
        <v>4517.1414740999999</v>
      </c>
    </row>
    <row r="587" spans="1:7" ht="13.8" x14ac:dyDescent="0.25">
      <c r="A587" s="22">
        <v>51.854100000000003</v>
      </c>
      <c r="B587" s="14">
        <v>27395</v>
      </c>
      <c r="C587" s="12">
        <f t="shared" si="38"/>
        <v>52.689527166666672</v>
      </c>
      <c r="D587" s="25">
        <f t="shared" si="39"/>
        <v>586</v>
      </c>
      <c r="E587" s="15">
        <v>22.996220222222224</v>
      </c>
      <c r="F587" s="15">
        <f t="shared" si="36"/>
        <v>0.54460966542750933</v>
      </c>
      <c r="G587" s="28">
        <f t="shared" si="37"/>
        <v>4511.8584076000006</v>
      </c>
    </row>
    <row r="588" spans="1:7" ht="13.8" x14ac:dyDescent="0.25">
      <c r="A588" s="21">
        <v>41.761000000000003</v>
      </c>
      <c r="B588" s="11">
        <v>27364</v>
      </c>
      <c r="C588" s="12">
        <f t="shared" si="38"/>
        <v>42.433816111111121</v>
      </c>
      <c r="D588" s="24">
        <f t="shared" si="39"/>
        <v>587</v>
      </c>
      <c r="E588" s="12">
        <v>22.978133444444449</v>
      </c>
      <c r="F588" s="12">
        <f t="shared" si="36"/>
        <v>0.54553903345724908</v>
      </c>
      <c r="G588" s="27">
        <f t="shared" si="37"/>
        <v>4508.3097818000006</v>
      </c>
    </row>
    <row r="589" spans="1:7" ht="13.8" x14ac:dyDescent="0.25">
      <c r="A589" s="22">
        <v>15.200900000000001</v>
      </c>
      <c r="B589" s="14">
        <v>27334</v>
      </c>
      <c r="C589" s="12">
        <f t="shared" si="38"/>
        <v>15.445803388888891</v>
      </c>
      <c r="D589" s="25">
        <f t="shared" si="39"/>
        <v>588</v>
      </c>
      <c r="E589" s="12">
        <v>22.913305555555556</v>
      </c>
      <c r="F589" s="15">
        <f t="shared" si="36"/>
        <v>0.54646840148698883</v>
      </c>
      <c r="G589" s="28">
        <f t="shared" si="37"/>
        <v>4495.5905500000008</v>
      </c>
    </row>
    <row r="590" spans="1:7" ht="13.8" x14ac:dyDescent="0.25">
      <c r="A590" s="21">
        <v>14.9846</v>
      </c>
      <c r="B590" s="11">
        <v>27303</v>
      </c>
      <c r="C590" s="12">
        <f t="shared" si="38"/>
        <v>15.226018555555557</v>
      </c>
      <c r="D590" s="24">
        <f t="shared" si="39"/>
        <v>589</v>
      </c>
      <c r="E590" s="12">
        <v>22.893999444444447</v>
      </c>
      <c r="F590" s="12">
        <f t="shared" si="36"/>
        <v>0.54739776951672858</v>
      </c>
      <c r="G590" s="27">
        <f t="shared" si="37"/>
        <v>4491.8026910000008</v>
      </c>
    </row>
    <row r="591" spans="1:7" ht="13.8" x14ac:dyDescent="0.25">
      <c r="A591" s="22">
        <v>9.6879000000000008</v>
      </c>
      <c r="B591" s="14">
        <v>27273</v>
      </c>
      <c r="C591" s="12">
        <f t="shared" si="38"/>
        <v>9.8439828333333352</v>
      </c>
      <c r="D591" s="25">
        <f t="shared" si="39"/>
        <v>590</v>
      </c>
      <c r="E591" s="15">
        <v>22.862703222222223</v>
      </c>
      <c r="F591" s="15">
        <f t="shared" si="36"/>
        <v>0.54832713754646845</v>
      </c>
      <c r="G591" s="28">
        <f t="shared" si="37"/>
        <v>4485.6623722000004</v>
      </c>
    </row>
    <row r="592" spans="1:7" ht="13.8" x14ac:dyDescent="0.25">
      <c r="A592" s="21">
        <v>11.521000000000001</v>
      </c>
      <c r="B592" s="11">
        <v>27242</v>
      </c>
      <c r="C592" s="12">
        <f t="shared" si="38"/>
        <v>11.706616111111114</v>
      </c>
      <c r="D592" s="24">
        <f t="shared" si="39"/>
        <v>591</v>
      </c>
      <c r="E592" s="12">
        <v>22.831305388888889</v>
      </c>
      <c r="F592" s="12">
        <f t="shared" si="36"/>
        <v>0.5492565055762082</v>
      </c>
      <c r="G592" s="27">
        <f t="shared" si="37"/>
        <v>4479.5021173000014</v>
      </c>
    </row>
    <row r="593" spans="1:7" ht="13.8" x14ac:dyDescent="0.25">
      <c r="A593" s="22">
        <v>15.665800000000001</v>
      </c>
      <c r="B593" s="14">
        <v>27211</v>
      </c>
      <c r="C593" s="12">
        <f t="shared" si="38"/>
        <v>15.918193444444446</v>
      </c>
      <c r="D593" s="25">
        <f t="shared" si="39"/>
        <v>592</v>
      </c>
      <c r="E593" s="12">
        <v>22.781109499999999</v>
      </c>
      <c r="F593" s="15">
        <f t="shared" si="36"/>
        <v>0.55018587360594795</v>
      </c>
      <c r="G593" s="28">
        <f t="shared" si="37"/>
        <v>4469.6536839</v>
      </c>
    </row>
    <row r="594" spans="1:7" ht="13.8" x14ac:dyDescent="0.25">
      <c r="A594" s="21">
        <v>21.359500000000001</v>
      </c>
      <c r="B594" s="11">
        <v>27181</v>
      </c>
      <c r="C594" s="12">
        <f t="shared" si="38"/>
        <v>21.703625277777778</v>
      </c>
      <c r="D594" s="24">
        <f t="shared" si="39"/>
        <v>593</v>
      </c>
      <c r="E594" s="15">
        <v>22.7390425</v>
      </c>
      <c r="F594" s="12">
        <f t="shared" si="36"/>
        <v>0.5511152416356877</v>
      </c>
      <c r="G594" s="27">
        <f t="shared" si="37"/>
        <v>4461.4001385000001</v>
      </c>
    </row>
    <row r="595" spans="1:7" ht="13.8" x14ac:dyDescent="0.25">
      <c r="A595" s="22">
        <v>23.255299999999998</v>
      </c>
      <c r="B595" s="14">
        <v>27150</v>
      </c>
      <c r="C595" s="12">
        <f t="shared" si="38"/>
        <v>23.629968722222223</v>
      </c>
      <c r="D595" s="25">
        <f t="shared" si="39"/>
        <v>594</v>
      </c>
      <c r="E595" s="12">
        <v>22.734470000000002</v>
      </c>
      <c r="F595" s="15">
        <f t="shared" si="36"/>
        <v>0.55204460966542745</v>
      </c>
      <c r="G595" s="28">
        <f t="shared" si="37"/>
        <v>4460.5030140000008</v>
      </c>
    </row>
    <row r="596" spans="1:7" ht="13.8" x14ac:dyDescent="0.25">
      <c r="A596" s="21">
        <v>39.443199999999997</v>
      </c>
      <c r="B596" s="11">
        <v>27120</v>
      </c>
      <c r="C596" s="12">
        <f t="shared" si="38"/>
        <v>40.07867377777778</v>
      </c>
      <c r="D596" s="24">
        <f t="shared" si="39"/>
        <v>595</v>
      </c>
      <c r="E596" s="12">
        <v>22.705510833333335</v>
      </c>
      <c r="F596" s="12">
        <f t="shared" si="36"/>
        <v>0.55297397769516732</v>
      </c>
      <c r="G596" s="27">
        <f t="shared" si="37"/>
        <v>4454.8212255000008</v>
      </c>
    </row>
    <row r="597" spans="1:7" ht="13.8" x14ac:dyDescent="0.25">
      <c r="A597" s="22">
        <v>63.499000000000002</v>
      </c>
      <c r="B597" s="14">
        <v>27089</v>
      </c>
      <c r="C597" s="12">
        <f t="shared" si="38"/>
        <v>64.522039444444445</v>
      </c>
      <c r="D597" s="25">
        <f t="shared" si="39"/>
        <v>596</v>
      </c>
      <c r="E597" s="15">
        <v>22.674519444444446</v>
      </c>
      <c r="F597" s="15">
        <f t="shared" si="36"/>
        <v>0.55390334572490707</v>
      </c>
      <c r="G597" s="28">
        <f t="shared" si="37"/>
        <v>4448.7407150000008</v>
      </c>
    </row>
    <row r="598" spans="1:7" ht="13.8" x14ac:dyDescent="0.25">
      <c r="A598" s="21">
        <v>36.978700000000003</v>
      </c>
      <c r="B598" s="11">
        <v>27061</v>
      </c>
      <c r="C598" s="12">
        <f t="shared" si="38"/>
        <v>37.57446794444445</v>
      </c>
      <c r="D598" s="24">
        <f t="shared" si="39"/>
        <v>597</v>
      </c>
      <c r="E598" s="15">
        <v>22.647998944444449</v>
      </c>
      <c r="F598" s="12">
        <f t="shared" si="36"/>
        <v>0.55483271375464682</v>
      </c>
      <c r="G598" s="27">
        <f t="shared" si="37"/>
        <v>4443.5373929000016</v>
      </c>
    </row>
    <row r="599" spans="1:7" ht="13.8" x14ac:dyDescent="0.25">
      <c r="A599" s="22">
        <v>51.919899999999998</v>
      </c>
      <c r="B599" s="14">
        <v>27030</v>
      </c>
      <c r="C599" s="12">
        <f t="shared" si="38"/>
        <v>52.756387277777783</v>
      </c>
      <c r="D599" s="25">
        <f t="shared" si="39"/>
        <v>598</v>
      </c>
      <c r="E599" s="15">
        <v>22.633366944444447</v>
      </c>
      <c r="F599" s="15">
        <f t="shared" si="36"/>
        <v>0.55576208178438657</v>
      </c>
      <c r="G599" s="28">
        <f t="shared" si="37"/>
        <v>4440.6665945000004</v>
      </c>
    </row>
    <row r="600" spans="1:7" ht="13.8" x14ac:dyDescent="0.25">
      <c r="A600" s="21">
        <v>48.377400000000002</v>
      </c>
      <c r="B600" s="11">
        <v>26999</v>
      </c>
      <c r="C600" s="12">
        <f t="shared" si="38"/>
        <v>49.156813666666672</v>
      </c>
      <c r="D600" s="24">
        <f t="shared" si="39"/>
        <v>599</v>
      </c>
      <c r="E600" s="12">
        <v>22.539681500000004</v>
      </c>
      <c r="F600" s="12">
        <f t="shared" si="36"/>
        <v>0.55669144981412644</v>
      </c>
      <c r="G600" s="27">
        <f t="shared" si="37"/>
        <v>4422.2855103000011</v>
      </c>
    </row>
    <row r="601" spans="1:7" ht="13.8" x14ac:dyDescent="0.25">
      <c r="A601" s="22">
        <v>26.3538</v>
      </c>
      <c r="B601" s="14">
        <v>26969</v>
      </c>
      <c r="C601" s="12">
        <f t="shared" si="38"/>
        <v>26.778389000000001</v>
      </c>
      <c r="D601" s="25">
        <f t="shared" si="39"/>
        <v>600</v>
      </c>
      <c r="E601" s="12">
        <v>22.526268833333337</v>
      </c>
      <c r="F601" s="15">
        <f t="shared" si="36"/>
        <v>0.55762081784386619</v>
      </c>
      <c r="G601" s="28">
        <f t="shared" si="37"/>
        <v>4419.6539451000008</v>
      </c>
    </row>
    <row r="602" spans="1:7" ht="13.8" x14ac:dyDescent="0.25">
      <c r="A602" s="21">
        <v>17.931699999999999</v>
      </c>
      <c r="B602" s="11">
        <v>26938</v>
      </c>
      <c r="C602" s="12">
        <f t="shared" si="38"/>
        <v>18.220599611111112</v>
      </c>
      <c r="D602" s="24">
        <f t="shared" si="39"/>
        <v>601</v>
      </c>
      <c r="E602" s="15">
        <v>22.505641777777782</v>
      </c>
      <c r="F602" s="12">
        <f t="shared" si="36"/>
        <v>0.55855018587360594</v>
      </c>
      <c r="G602" s="27">
        <f t="shared" si="37"/>
        <v>4415.6069168000004</v>
      </c>
    </row>
    <row r="603" spans="1:7" ht="13.8" x14ac:dyDescent="0.25">
      <c r="A603" s="22">
        <v>8.1026000000000007</v>
      </c>
      <c r="B603" s="14">
        <v>26908</v>
      </c>
      <c r="C603" s="12">
        <f t="shared" si="38"/>
        <v>8.2331418888888894</v>
      </c>
      <c r="D603" s="25">
        <f t="shared" si="39"/>
        <v>602</v>
      </c>
      <c r="E603" s="15">
        <v>22.504625666666669</v>
      </c>
      <c r="F603" s="15">
        <f t="shared" si="36"/>
        <v>0.55947955390334569</v>
      </c>
      <c r="G603" s="28">
        <f t="shared" si="37"/>
        <v>4415.4075558000013</v>
      </c>
    </row>
    <row r="604" spans="1:7" ht="13.8" x14ac:dyDescent="0.25">
      <c r="A604" s="21">
        <v>9.9314</v>
      </c>
      <c r="B604" s="11">
        <v>26877</v>
      </c>
      <c r="C604" s="12">
        <f t="shared" si="38"/>
        <v>10.09140588888889</v>
      </c>
      <c r="D604" s="24">
        <f t="shared" si="39"/>
        <v>603</v>
      </c>
      <c r="E604" s="12">
        <v>22.50299988888889</v>
      </c>
      <c r="F604" s="12">
        <f t="shared" si="36"/>
        <v>0.56040892193308545</v>
      </c>
      <c r="G604" s="27">
        <f t="shared" si="37"/>
        <v>4415.0885782000014</v>
      </c>
    </row>
    <row r="605" spans="1:7" ht="13.8" x14ac:dyDescent="0.25">
      <c r="A605" s="22">
        <v>13.6508</v>
      </c>
      <c r="B605" s="14">
        <v>26846</v>
      </c>
      <c r="C605" s="12">
        <f t="shared" si="38"/>
        <v>13.870729555555556</v>
      </c>
      <c r="D605" s="25">
        <f t="shared" si="39"/>
        <v>604</v>
      </c>
      <c r="E605" s="15">
        <v>22.471906888888892</v>
      </c>
      <c r="F605" s="15">
        <f t="shared" si="36"/>
        <v>0.56133828996282531</v>
      </c>
      <c r="G605" s="28">
        <f t="shared" si="37"/>
        <v>4408.9881316000001</v>
      </c>
    </row>
    <row r="606" spans="1:7" ht="13.8" x14ac:dyDescent="0.25">
      <c r="A606" s="21">
        <v>14.209199999999999</v>
      </c>
      <c r="B606" s="11">
        <v>26816</v>
      </c>
      <c r="C606" s="12">
        <f t="shared" si="38"/>
        <v>14.438126</v>
      </c>
      <c r="D606" s="24">
        <f t="shared" si="39"/>
        <v>605</v>
      </c>
      <c r="E606" s="15">
        <v>22.413175666666667</v>
      </c>
      <c r="F606" s="12">
        <f t="shared" si="36"/>
        <v>0.56226765799256506</v>
      </c>
      <c r="G606" s="27">
        <f t="shared" si="37"/>
        <v>4397.4650658</v>
      </c>
    </row>
    <row r="607" spans="1:7" ht="13.8" x14ac:dyDescent="0.25">
      <c r="A607" s="22">
        <v>19.337599999999998</v>
      </c>
      <c r="B607" s="14">
        <v>26785</v>
      </c>
      <c r="C607" s="12">
        <f t="shared" si="38"/>
        <v>19.649150222222222</v>
      </c>
      <c r="D607" s="25">
        <f t="shared" si="39"/>
        <v>606</v>
      </c>
      <c r="E607" s="15">
        <v>22.412362777777776</v>
      </c>
      <c r="F607" s="15">
        <f t="shared" si="36"/>
        <v>0.56319702602230481</v>
      </c>
      <c r="G607" s="28">
        <f t="shared" si="37"/>
        <v>4397.3055769999992</v>
      </c>
    </row>
    <row r="608" spans="1:7" ht="13.8" x14ac:dyDescent="0.25">
      <c r="A608" s="21">
        <v>31.344899999999999</v>
      </c>
      <c r="B608" s="11">
        <v>26755</v>
      </c>
      <c r="C608" s="12">
        <f t="shared" si="38"/>
        <v>31.849901166666669</v>
      </c>
      <c r="D608" s="24">
        <f t="shared" si="39"/>
        <v>607</v>
      </c>
      <c r="E608" s="12">
        <v>22.306077555555557</v>
      </c>
      <c r="F608" s="12">
        <f t="shared" si="36"/>
        <v>0.56412639405204457</v>
      </c>
      <c r="G608" s="27">
        <f t="shared" si="37"/>
        <v>4376.4524164000004</v>
      </c>
    </row>
    <row r="609" spans="1:7" ht="13.8" x14ac:dyDescent="0.25">
      <c r="A609" s="22">
        <v>27.3584</v>
      </c>
      <c r="B609" s="14">
        <v>26724</v>
      </c>
      <c r="C609" s="12">
        <f t="shared" si="38"/>
        <v>27.799174222222224</v>
      </c>
      <c r="D609" s="25">
        <f t="shared" si="39"/>
        <v>608</v>
      </c>
      <c r="E609" s="12">
        <v>22.293274555555559</v>
      </c>
      <c r="F609" s="15">
        <f t="shared" si="36"/>
        <v>0.56505576208178443</v>
      </c>
      <c r="G609" s="28">
        <f t="shared" si="37"/>
        <v>4373.940467800001</v>
      </c>
    </row>
    <row r="610" spans="1:7" ht="13.8" x14ac:dyDescent="0.25">
      <c r="A610" s="21">
        <v>51.453800000000001</v>
      </c>
      <c r="B610" s="11">
        <v>26696</v>
      </c>
      <c r="C610" s="12">
        <f t="shared" si="38"/>
        <v>52.282777888888894</v>
      </c>
      <c r="D610" s="24">
        <f t="shared" si="39"/>
        <v>609</v>
      </c>
      <c r="E610" s="12">
        <v>22.276407111111116</v>
      </c>
      <c r="F610" s="12">
        <f t="shared" si="36"/>
        <v>0.56598513011152418</v>
      </c>
      <c r="G610" s="27">
        <f t="shared" si="37"/>
        <v>4370.6310752000009</v>
      </c>
    </row>
    <row r="611" spans="1:7" ht="13.8" x14ac:dyDescent="0.25">
      <c r="A611" s="22">
        <v>58.674500000000002</v>
      </c>
      <c r="B611" s="14">
        <v>26665</v>
      </c>
      <c r="C611" s="12">
        <f t="shared" si="38"/>
        <v>59.619811388888898</v>
      </c>
      <c r="D611" s="25">
        <f t="shared" si="39"/>
        <v>610</v>
      </c>
      <c r="E611" s="15">
        <v>22.262994444444445</v>
      </c>
      <c r="F611" s="15">
        <f t="shared" si="36"/>
        <v>0.56691449814126393</v>
      </c>
      <c r="G611" s="28">
        <f t="shared" si="37"/>
        <v>4367.9995099999996</v>
      </c>
    </row>
    <row r="612" spans="1:7" ht="13.8" x14ac:dyDescent="0.25">
      <c r="A612" s="21">
        <v>54.252299999999998</v>
      </c>
      <c r="B612" s="11">
        <v>26634</v>
      </c>
      <c r="C612" s="12">
        <f t="shared" si="38"/>
        <v>55.126364833333334</v>
      </c>
      <c r="D612" s="24">
        <f t="shared" si="39"/>
        <v>611</v>
      </c>
      <c r="E612" s="15">
        <v>22.26228316666667</v>
      </c>
      <c r="F612" s="12">
        <f t="shared" si="36"/>
        <v>0.56784386617100369</v>
      </c>
      <c r="G612" s="27">
        <f t="shared" si="37"/>
        <v>4367.859957300002</v>
      </c>
    </row>
    <row r="613" spans="1:7" ht="13.8" x14ac:dyDescent="0.25">
      <c r="A613" s="22">
        <v>57.877499999999998</v>
      </c>
      <c r="B613" s="14">
        <v>26604</v>
      </c>
      <c r="C613" s="12">
        <f t="shared" si="38"/>
        <v>58.809970833333338</v>
      </c>
      <c r="D613" s="25">
        <f t="shared" si="39"/>
        <v>612</v>
      </c>
      <c r="E613" s="15">
        <v>22.203450333333336</v>
      </c>
      <c r="F613" s="15">
        <f t="shared" si="36"/>
        <v>0.56877323420074355</v>
      </c>
      <c r="G613" s="28">
        <f t="shared" si="37"/>
        <v>4356.3169554000015</v>
      </c>
    </row>
    <row r="614" spans="1:7" ht="13.8" x14ac:dyDescent="0.25">
      <c r="A614" s="21">
        <v>24.8749</v>
      </c>
      <c r="B614" s="11">
        <v>26573</v>
      </c>
      <c r="C614" s="12">
        <f t="shared" si="38"/>
        <v>25.27566227777778</v>
      </c>
      <c r="D614" s="24">
        <f t="shared" si="39"/>
        <v>613</v>
      </c>
      <c r="E614" s="15">
        <v>22.15457538888889</v>
      </c>
      <c r="F614" s="12">
        <f t="shared" si="36"/>
        <v>0.5697026022304833</v>
      </c>
      <c r="G614" s="27">
        <f t="shared" si="37"/>
        <v>4346.7276913000005</v>
      </c>
    </row>
    <row r="615" spans="1:7" ht="13.8" x14ac:dyDescent="0.25">
      <c r="A615" s="22">
        <v>9.1182999999999996</v>
      </c>
      <c r="B615" s="14">
        <v>26543</v>
      </c>
      <c r="C615" s="12">
        <f t="shared" si="38"/>
        <v>9.2652059444444443</v>
      </c>
      <c r="D615" s="25">
        <f t="shared" si="39"/>
        <v>614</v>
      </c>
      <c r="E615" s="15">
        <v>22.13719988888889</v>
      </c>
      <c r="F615" s="15">
        <f t="shared" si="36"/>
        <v>0.57063197026022305</v>
      </c>
      <c r="G615" s="28">
        <f t="shared" si="37"/>
        <v>4343.3186181999999</v>
      </c>
    </row>
    <row r="616" spans="1:7" ht="13.8" x14ac:dyDescent="0.25">
      <c r="A616" s="21">
        <v>12.0421</v>
      </c>
      <c r="B616" s="11">
        <v>26512</v>
      </c>
      <c r="C616" s="12">
        <f t="shared" si="38"/>
        <v>12.236111611111111</v>
      </c>
      <c r="D616" s="24">
        <f t="shared" si="39"/>
        <v>615</v>
      </c>
      <c r="E616" s="12">
        <v>22.112305166666669</v>
      </c>
      <c r="F616" s="12">
        <f t="shared" si="36"/>
        <v>0.57156133828996281</v>
      </c>
      <c r="G616" s="27">
        <f t="shared" si="37"/>
        <v>4338.4342737000006</v>
      </c>
    </row>
    <row r="617" spans="1:7" ht="13.8" x14ac:dyDescent="0.25">
      <c r="A617" s="22">
        <v>17.680099999999999</v>
      </c>
      <c r="B617" s="14">
        <v>26481</v>
      </c>
      <c r="C617" s="12">
        <f t="shared" si="38"/>
        <v>17.964946055555558</v>
      </c>
      <c r="D617" s="25">
        <f t="shared" si="39"/>
        <v>616</v>
      </c>
      <c r="E617" s="12">
        <v>22.014860111111112</v>
      </c>
      <c r="F617" s="15">
        <f t="shared" si="36"/>
        <v>0.57249070631970256</v>
      </c>
      <c r="G617" s="28">
        <f t="shared" si="37"/>
        <v>4319.3155538000001</v>
      </c>
    </row>
    <row r="618" spans="1:7" ht="13.8" x14ac:dyDescent="0.25">
      <c r="A618" s="21">
        <v>12.9795</v>
      </c>
      <c r="B618" s="11">
        <v>26451</v>
      </c>
      <c r="C618" s="12">
        <f t="shared" si="38"/>
        <v>13.188614166666667</v>
      </c>
      <c r="D618" s="24">
        <f t="shared" si="39"/>
        <v>617</v>
      </c>
      <c r="E618" s="12">
        <v>21.990067000000003</v>
      </c>
      <c r="F618" s="12">
        <f t="shared" si="36"/>
        <v>0.57342007434944242</v>
      </c>
      <c r="G618" s="27">
        <f t="shared" si="37"/>
        <v>4314.4511454000003</v>
      </c>
    </row>
    <row r="619" spans="1:7" ht="13.8" x14ac:dyDescent="0.25">
      <c r="A619" s="22">
        <v>17.794799999999999</v>
      </c>
      <c r="B619" s="14">
        <v>26420</v>
      </c>
      <c r="C619" s="12">
        <f t="shared" si="38"/>
        <v>18.081493999999999</v>
      </c>
      <c r="D619" s="25">
        <f t="shared" si="39"/>
        <v>618</v>
      </c>
      <c r="E619" s="15">
        <v>21.975231777777779</v>
      </c>
      <c r="F619" s="15">
        <f t="shared" si="36"/>
        <v>0.57434944237918217</v>
      </c>
      <c r="G619" s="28">
        <f t="shared" si="37"/>
        <v>4311.540474800001</v>
      </c>
    </row>
    <row r="620" spans="1:7" ht="13.8" x14ac:dyDescent="0.25">
      <c r="A620" s="21">
        <v>27.876899999999999</v>
      </c>
      <c r="B620" s="11">
        <v>26390</v>
      </c>
      <c r="C620" s="12">
        <f t="shared" si="38"/>
        <v>28.326027833333335</v>
      </c>
      <c r="D620" s="24">
        <f t="shared" si="39"/>
        <v>619</v>
      </c>
      <c r="E620" s="12">
        <v>21.966493222222226</v>
      </c>
      <c r="F620" s="12">
        <f t="shared" si="36"/>
        <v>0.57527881040892193</v>
      </c>
      <c r="G620" s="27">
        <f t="shared" si="37"/>
        <v>4309.8259702000014</v>
      </c>
    </row>
    <row r="621" spans="1:7" ht="13.8" x14ac:dyDescent="0.25">
      <c r="A621" s="22">
        <v>56.818399999999997</v>
      </c>
      <c r="B621" s="14">
        <v>26359</v>
      </c>
      <c r="C621" s="12">
        <f t="shared" si="38"/>
        <v>57.733807555555558</v>
      </c>
      <c r="D621" s="25">
        <f t="shared" si="39"/>
        <v>620</v>
      </c>
      <c r="E621" s="15">
        <v>21.96344488888889</v>
      </c>
      <c r="F621" s="15">
        <f t="shared" si="36"/>
        <v>0.57620817843866168</v>
      </c>
      <c r="G621" s="28">
        <f t="shared" si="37"/>
        <v>4309.2278872000006</v>
      </c>
    </row>
    <row r="622" spans="1:7" ht="13.8" x14ac:dyDescent="0.25">
      <c r="A622" s="21">
        <v>57.792000000000002</v>
      </c>
      <c r="B622" s="11">
        <v>26330</v>
      </c>
      <c r="C622" s="12">
        <f t="shared" si="38"/>
        <v>58.723093333333338</v>
      </c>
      <c r="D622" s="24">
        <f t="shared" si="39"/>
        <v>621</v>
      </c>
      <c r="E622" s="15">
        <v>21.926661666666668</v>
      </c>
      <c r="F622" s="12">
        <f t="shared" si="36"/>
        <v>0.57713754646840154</v>
      </c>
      <c r="G622" s="27">
        <f t="shared" si="37"/>
        <v>4302.0110190000005</v>
      </c>
    </row>
    <row r="623" spans="1:7" ht="13.8" x14ac:dyDescent="0.25">
      <c r="A623" s="22">
        <v>32.880600000000001</v>
      </c>
      <c r="B623" s="14">
        <v>26299</v>
      </c>
      <c r="C623" s="12">
        <f t="shared" si="38"/>
        <v>33.410343000000005</v>
      </c>
      <c r="D623" s="25">
        <f t="shared" si="39"/>
        <v>622</v>
      </c>
      <c r="E623" s="12">
        <v>21.876567388888891</v>
      </c>
      <c r="F623" s="15">
        <f t="shared" si="36"/>
        <v>0.57806691449814129</v>
      </c>
      <c r="G623" s="28">
        <f t="shared" si="37"/>
        <v>4292.1825217000005</v>
      </c>
    </row>
    <row r="624" spans="1:7" ht="13.8" x14ac:dyDescent="0.25">
      <c r="A624" s="21">
        <v>49.987499999999997</v>
      </c>
      <c r="B624" s="11">
        <v>26268</v>
      </c>
      <c r="C624" s="12">
        <f t="shared" si="38"/>
        <v>50.792854166666665</v>
      </c>
      <c r="D624" s="24">
        <f t="shared" si="39"/>
        <v>623</v>
      </c>
      <c r="E624" s="15">
        <v>21.872299722222223</v>
      </c>
      <c r="F624" s="12">
        <f t="shared" si="36"/>
        <v>0.57899628252788105</v>
      </c>
      <c r="G624" s="27">
        <f t="shared" si="37"/>
        <v>4291.3452054999998</v>
      </c>
    </row>
    <row r="625" spans="1:7" ht="13.8" x14ac:dyDescent="0.25">
      <c r="A625" s="22">
        <v>17.717099999999999</v>
      </c>
      <c r="B625" s="14">
        <v>26238</v>
      </c>
      <c r="C625" s="12">
        <f t="shared" si="38"/>
        <v>18.002542166666668</v>
      </c>
      <c r="D625" s="25">
        <f t="shared" si="39"/>
        <v>624</v>
      </c>
      <c r="E625" s="12">
        <v>21.833585888888891</v>
      </c>
      <c r="F625" s="15">
        <f t="shared" si="36"/>
        <v>0.5799256505576208</v>
      </c>
      <c r="G625" s="28">
        <f t="shared" si="37"/>
        <v>4283.7495514000002</v>
      </c>
    </row>
    <row r="626" spans="1:7" ht="13.8" x14ac:dyDescent="0.25">
      <c r="A626" s="21">
        <v>15.6053</v>
      </c>
      <c r="B626" s="11">
        <v>26207</v>
      </c>
      <c r="C626" s="12">
        <f t="shared" si="38"/>
        <v>15.856718722222222</v>
      </c>
      <c r="D626" s="24">
        <f t="shared" si="39"/>
        <v>625</v>
      </c>
      <c r="E626" s="15">
        <v>21.798428444444447</v>
      </c>
      <c r="F626" s="12">
        <f t="shared" si="36"/>
        <v>0.58085501858736055</v>
      </c>
      <c r="G626" s="27">
        <f t="shared" si="37"/>
        <v>4276.8516608000009</v>
      </c>
    </row>
    <row r="627" spans="1:7" ht="13.8" x14ac:dyDescent="0.25">
      <c r="A627" s="22">
        <v>4.5983000000000001</v>
      </c>
      <c r="B627" s="14">
        <v>26177</v>
      </c>
      <c r="C627" s="12">
        <f t="shared" si="38"/>
        <v>4.6723837222222224</v>
      </c>
      <c r="D627" s="25">
        <f t="shared" si="39"/>
        <v>626</v>
      </c>
      <c r="E627" s="15">
        <v>21.789893111111116</v>
      </c>
      <c r="F627" s="15">
        <f t="shared" si="36"/>
        <v>0.58178438661710041</v>
      </c>
      <c r="G627" s="28">
        <f t="shared" si="37"/>
        <v>4275.1770284000013</v>
      </c>
    </row>
    <row r="628" spans="1:7" ht="13.8" x14ac:dyDescent="0.25">
      <c r="A628" s="21">
        <v>3.2749000000000001</v>
      </c>
      <c r="B628" s="11">
        <v>26146</v>
      </c>
      <c r="C628" s="12">
        <f t="shared" si="38"/>
        <v>3.3276622777777782</v>
      </c>
      <c r="D628" s="24">
        <f t="shared" si="39"/>
        <v>627</v>
      </c>
      <c r="E628" s="12">
        <v>21.781662611111113</v>
      </c>
      <c r="F628" s="12">
        <f t="shared" si="36"/>
        <v>0.58271375464684017</v>
      </c>
      <c r="G628" s="27">
        <f t="shared" si="37"/>
        <v>4273.5622043000003</v>
      </c>
    </row>
    <row r="629" spans="1:7" ht="13.8" x14ac:dyDescent="0.25">
      <c r="A629" s="22">
        <v>5.2569999999999997</v>
      </c>
      <c r="B629" s="14">
        <v>26115</v>
      </c>
      <c r="C629" s="12">
        <f t="shared" si="38"/>
        <v>5.3416961111111112</v>
      </c>
      <c r="D629" s="25">
        <f t="shared" si="39"/>
        <v>628</v>
      </c>
      <c r="E629" s="15">
        <v>21.732686055555558</v>
      </c>
      <c r="F629" s="15">
        <f t="shared" si="36"/>
        <v>0.58364312267657992</v>
      </c>
      <c r="G629" s="28">
        <f t="shared" si="37"/>
        <v>4263.9530041000007</v>
      </c>
    </row>
    <row r="630" spans="1:7" ht="13.8" x14ac:dyDescent="0.25">
      <c r="A630" s="21">
        <v>9.3138000000000005</v>
      </c>
      <c r="B630" s="11">
        <v>26085</v>
      </c>
      <c r="C630" s="12">
        <f t="shared" si="38"/>
        <v>9.4638556666666673</v>
      </c>
      <c r="D630" s="24">
        <f t="shared" si="39"/>
        <v>629</v>
      </c>
      <c r="E630" s="12">
        <v>21.703625277777778</v>
      </c>
      <c r="F630" s="12">
        <f t="shared" si="36"/>
        <v>0.58457249070631967</v>
      </c>
      <c r="G630" s="27">
        <f t="shared" si="37"/>
        <v>4258.2512795000002</v>
      </c>
    </row>
    <row r="631" spans="1:7" ht="13.8" x14ac:dyDescent="0.25">
      <c r="A631" s="22">
        <v>4.6227</v>
      </c>
      <c r="B631" s="14">
        <v>26054</v>
      </c>
      <c r="C631" s="12">
        <f t="shared" si="38"/>
        <v>4.6971768333333337</v>
      </c>
      <c r="D631" s="25">
        <f t="shared" si="39"/>
        <v>630</v>
      </c>
      <c r="E631" s="15">
        <v>21.688383611111114</v>
      </c>
      <c r="F631" s="15">
        <f t="shared" si="36"/>
        <v>0.58550185873605953</v>
      </c>
      <c r="G631" s="28">
        <f t="shared" si="37"/>
        <v>4255.2608645</v>
      </c>
    </row>
    <row r="632" spans="1:7" ht="13.8" x14ac:dyDescent="0.25">
      <c r="A632" s="21">
        <v>10.1648</v>
      </c>
      <c r="B632" s="11">
        <v>26024</v>
      </c>
      <c r="C632" s="12">
        <f t="shared" si="38"/>
        <v>10.328566222222223</v>
      </c>
      <c r="D632" s="24">
        <f t="shared" si="39"/>
        <v>631</v>
      </c>
      <c r="E632" s="15">
        <v>21.667858166666669</v>
      </c>
      <c r="F632" s="12">
        <f t="shared" si="36"/>
        <v>0.58643122676579928</v>
      </c>
      <c r="G632" s="27">
        <f t="shared" si="37"/>
        <v>4251.2337723000001</v>
      </c>
    </row>
    <row r="633" spans="1:7" ht="13.8" x14ac:dyDescent="0.25">
      <c r="A633" s="22">
        <v>13.568199999999999</v>
      </c>
      <c r="B633" s="14">
        <v>25993</v>
      </c>
      <c r="C633" s="12">
        <f t="shared" si="38"/>
        <v>13.786798777777777</v>
      </c>
      <c r="D633" s="25">
        <f t="shared" si="39"/>
        <v>632</v>
      </c>
      <c r="E633" s="12">
        <v>21.603233500000002</v>
      </c>
      <c r="F633" s="15">
        <f t="shared" si="36"/>
        <v>0.58736059479553904</v>
      </c>
      <c r="G633" s="28">
        <f t="shared" si="37"/>
        <v>4238.5544127000003</v>
      </c>
    </row>
    <row r="634" spans="1:7" ht="13.8" x14ac:dyDescent="0.25">
      <c r="A634" s="21">
        <v>8.3632000000000009</v>
      </c>
      <c r="B634" s="11">
        <v>25965</v>
      </c>
      <c r="C634" s="12">
        <f t="shared" si="38"/>
        <v>8.4979404444444455</v>
      </c>
      <c r="D634" s="24">
        <f t="shared" si="39"/>
        <v>633</v>
      </c>
      <c r="E634" s="12">
        <v>21.598762611111113</v>
      </c>
      <c r="F634" s="12">
        <f t="shared" si="36"/>
        <v>0.58828996282527879</v>
      </c>
      <c r="G634" s="27">
        <f t="shared" si="37"/>
        <v>4237.6772243000005</v>
      </c>
    </row>
    <row r="635" spans="1:7" ht="13.8" x14ac:dyDescent="0.25">
      <c r="A635" s="22">
        <v>19.925000000000001</v>
      </c>
      <c r="B635" s="14">
        <v>25934</v>
      </c>
      <c r="C635" s="12">
        <f t="shared" si="38"/>
        <v>20.246013888888893</v>
      </c>
      <c r="D635" s="25">
        <f t="shared" si="39"/>
        <v>634</v>
      </c>
      <c r="E635" s="15">
        <v>21.542774888888889</v>
      </c>
      <c r="F635" s="15">
        <f t="shared" si="36"/>
        <v>0.58921933085501854</v>
      </c>
      <c r="G635" s="28">
        <f t="shared" si="37"/>
        <v>4226.6924331999999</v>
      </c>
    </row>
    <row r="636" spans="1:7" ht="13.8" x14ac:dyDescent="0.25">
      <c r="A636" s="21">
        <v>19.355499999999999</v>
      </c>
      <c r="B636" s="11">
        <v>25903</v>
      </c>
      <c r="C636" s="12">
        <f t="shared" si="38"/>
        <v>19.667338611111113</v>
      </c>
      <c r="D636" s="24">
        <f t="shared" si="39"/>
        <v>635</v>
      </c>
      <c r="E636" s="15">
        <v>21.413423944444446</v>
      </c>
      <c r="F636" s="12">
        <f t="shared" si="36"/>
        <v>0.5901486988847584</v>
      </c>
      <c r="G636" s="27">
        <f t="shared" si="37"/>
        <v>4201.3137779000008</v>
      </c>
    </row>
    <row r="637" spans="1:7" ht="13.8" x14ac:dyDescent="0.25">
      <c r="A637" s="22">
        <v>23.933800000000002</v>
      </c>
      <c r="B637" s="14">
        <v>25873</v>
      </c>
      <c r="C637" s="12">
        <f t="shared" si="38"/>
        <v>24.319400111111115</v>
      </c>
      <c r="D637" s="25">
        <f t="shared" si="39"/>
        <v>636</v>
      </c>
      <c r="E637" s="15">
        <v>21.39300011111111</v>
      </c>
      <c r="F637" s="15">
        <f t="shared" si="36"/>
        <v>0.59107806691449816</v>
      </c>
      <c r="G637" s="28">
        <f t="shared" si="37"/>
        <v>4197.3066217999994</v>
      </c>
    </row>
    <row r="638" spans="1:7" ht="13.8" x14ac:dyDescent="0.25">
      <c r="A638" s="21">
        <v>14.1655</v>
      </c>
      <c r="B638" s="11">
        <v>25842</v>
      </c>
      <c r="C638" s="12">
        <f t="shared" si="38"/>
        <v>14.393721944444446</v>
      </c>
      <c r="D638" s="24">
        <f t="shared" si="39"/>
        <v>637</v>
      </c>
      <c r="E638" s="12">
        <v>21.37176338888889</v>
      </c>
      <c r="F638" s="12">
        <f t="shared" si="36"/>
        <v>0.59200743494423791</v>
      </c>
      <c r="G638" s="27">
        <f t="shared" si="37"/>
        <v>4193.1399769000009</v>
      </c>
    </row>
    <row r="639" spans="1:7" ht="13.8" x14ac:dyDescent="0.25">
      <c r="A639" s="22">
        <v>14.6013</v>
      </c>
      <c r="B639" s="14">
        <v>25812</v>
      </c>
      <c r="C639" s="12">
        <f t="shared" si="38"/>
        <v>14.836543166666669</v>
      </c>
      <c r="D639" s="25">
        <f t="shared" si="39"/>
        <v>638</v>
      </c>
      <c r="E639" s="15">
        <v>21.350526666666667</v>
      </c>
      <c r="F639" s="15">
        <f t="shared" si="36"/>
        <v>0.59293680297397766</v>
      </c>
      <c r="G639" s="28">
        <f t="shared" si="37"/>
        <v>4188.9733320000005</v>
      </c>
    </row>
    <row r="640" spans="1:7" ht="13.8" x14ac:dyDescent="0.25">
      <c r="A640" s="21">
        <v>10.147</v>
      </c>
      <c r="B640" s="11">
        <v>25781</v>
      </c>
      <c r="C640" s="12">
        <f t="shared" si="38"/>
        <v>10.310479444444445</v>
      </c>
      <c r="D640" s="24">
        <f t="shared" si="39"/>
        <v>639</v>
      </c>
      <c r="E640" s="15">
        <v>21.348900888888892</v>
      </c>
      <c r="F640" s="12">
        <f t="shared" si="36"/>
        <v>0.59386617100371752</v>
      </c>
      <c r="G640" s="27">
        <f t="shared" si="37"/>
        <v>4188.6543544000006</v>
      </c>
    </row>
    <row r="641" spans="1:7" ht="13.8" x14ac:dyDescent="0.25">
      <c r="A641" s="22">
        <v>10.543200000000001</v>
      </c>
      <c r="B641" s="14">
        <v>25750</v>
      </c>
      <c r="C641" s="12">
        <f t="shared" si="38"/>
        <v>10.713062666666668</v>
      </c>
      <c r="D641" s="25">
        <f t="shared" si="39"/>
        <v>640</v>
      </c>
      <c r="E641" s="15">
        <v>21.318011111111112</v>
      </c>
      <c r="F641" s="15">
        <f t="shared" si="36"/>
        <v>0.59479553903345728</v>
      </c>
      <c r="G641" s="28">
        <f t="shared" si="37"/>
        <v>4182.5937800000002</v>
      </c>
    </row>
    <row r="642" spans="1:7" ht="13.8" x14ac:dyDescent="0.25">
      <c r="A642" s="21">
        <v>11.280900000000001</v>
      </c>
      <c r="B642" s="11">
        <v>25720</v>
      </c>
      <c r="C642" s="12">
        <f t="shared" si="38"/>
        <v>11.462647833333335</v>
      </c>
      <c r="D642" s="24">
        <f t="shared" si="39"/>
        <v>641</v>
      </c>
      <c r="E642" s="15">
        <v>21.251557444444447</v>
      </c>
      <c r="F642" s="12">
        <f t="shared" ref="F642:F705" si="40">D642/1076</f>
        <v>0.59572490706319703</v>
      </c>
      <c r="G642" s="27">
        <f t="shared" ref="G642:G705" si="41">1000*E642*$J$2*9.81/1000</f>
        <v>4169.5555706000005</v>
      </c>
    </row>
    <row r="643" spans="1:7" ht="13.8" x14ac:dyDescent="0.25">
      <c r="A643" s="22">
        <v>14.8916</v>
      </c>
      <c r="B643" s="14">
        <v>25689</v>
      </c>
      <c r="C643" s="12">
        <f t="shared" ref="C643:C706" si="42">A643*($I$2/$H$2)</f>
        <v>15.131520222222223</v>
      </c>
      <c r="D643" s="25">
        <f t="shared" ref="D643:D706" si="43">D642+1</f>
        <v>642</v>
      </c>
      <c r="E643" s="15">
        <v>21.224528888888891</v>
      </c>
      <c r="F643" s="15">
        <f t="shared" si="40"/>
        <v>0.59665427509293678</v>
      </c>
      <c r="G643" s="28">
        <f t="shared" si="41"/>
        <v>4164.2525680000008</v>
      </c>
    </row>
    <row r="644" spans="1:7" ht="13.8" x14ac:dyDescent="0.25">
      <c r="A644" s="21">
        <v>23.468599999999999</v>
      </c>
      <c r="B644" s="11">
        <v>25659</v>
      </c>
      <c r="C644" s="12">
        <f t="shared" si="42"/>
        <v>23.846705222222223</v>
      </c>
      <c r="D644" s="24">
        <f t="shared" si="43"/>
        <v>643</v>
      </c>
      <c r="E644" s="15">
        <v>21.117329166666668</v>
      </c>
      <c r="F644" s="12">
        <f t="shared" si="40"/>
        <v>0.59758364312267653</v>
      </c>
      <c r="G644" s="27">
        <f t="shared" si="41"/>
        <v>4143.2199824999998</v>
      </c>
    </row>
    <row r="645" spans="1:7" ht="13.8" x14ac:dyDescent="0.25">
      <c r="A645" s="22">
        <v>32.397100000000002</v>
      </c>
      <c r="B645" s="14">
        <v>25628</v>
      </c>
      <c r="C645" s="12">
        <f t="shared" si="42"/>
        <v>32.919053277777785</v>
      </c>
      <c r="D645" s="25">
        <f t="shared" si="43"/>
        <v>644</v>
      </c>
      <c r="E645" s="15">
        <v>21.013584222222221</v>
      </c>
      <c r="F645" s="15">
        <f t="shared" si="40"/>
        <v>0.5985130111524164</v>
      </c>
      <c r="G645" s="28">
        <f t="shared" si="41"/>
        <v>4122.8652243999995</v>
      </c>
    </row>
    <row r="646" spans="1:7" ht="13.8" x14ac:dyDescent="0.25">
      <c r="A646" s="21">
        <v>41.345799999999997</v>
      </c>
      <c r="B646" s="11">
        <v>25600</v>
      </c>
      <c r="C646" s="12">
        <f t="shared" si="42"/>
        <v>42.011926777777781</v>
      </c>
      <c r="D646" s="24">
        <f t="shared" si="43"/>
        <v>645</v>
      </c>
      <c r="E646" s="15">
        <v>20.984117000000001</v>
      </c>
      <c r="F646" s="12">
        <f t="shared" si="40"/>
        <v>0.59944237918215615</v>
      </c>
      <c r="G646" s="27">
        <f t="shared" si="41"/>
        <v>4117.0837554000009</v>
      </c>
    </row>
    <row r="647" spans="1:7" ht="13.8" x14ac:dyDescent="0.25">
      <c r="A647" s="22">
        <v>53.380499999999998</v>
      </c>
      <c r="B647" s="14">
        <v>25569</v>
      </c>
      <c r="C647" s="12">
        <f t="shared" si="42"/>
        <v>54.240519166666665</v>
      </c>
      <c r="D647" s="25">
        <f t="shared" si="43"/>
        <v>646</v>
      </c>
      <c r="E647" s="12">
        <v>20.969078555555559</v>
      </c>
      <c r="F647" s="15">
        <f t="shared" si="40"/>
        <v>0.6003717472118959</v>
      </c>
      <c r="G647" s="28">
        <f t="shared" si="41"/>
        <v>4114.1332126000016</v>
      </c>
    </row>
    <row r="648" spans="1:7" ht="13.8" x14ac:dyDescent="0.25">
      <c r="A648" s="21">
        <v>37.146799999999999</v>
      </c>
      <c r="B648" s="11">
        <v>25538</v>
      </c>
      <c r="C648" s="12">
        <f t="shared" si="42"/>
        <v>37.745276222222223</v>
      </c>
      <c r="D648" s="24">
        <f t="shared" si="43"/>
        <v>647</v>
      </c>
      <c r="E648" s="15">
        <v>20.936563000000003</v>
      </c>
      <c r="F648" s="12">
        <f t="shared" si="40"/>
        <v>0.60130111524163565</v>
      </c>
      <c r="G648" s="27">
        <f t="shared" si="41"/>
        <v>4107.7536606000003</v>
      </c>
    </row>
    <row r="649" spans="1:7" ht="13.8" x14ac:dyDescent="0.25">
      <c r="A649" s="22">
        <v>30.935300000000002</v>
      </c>
      <c r="B649" s="14">
        <v>25508</v>
      </c>
      <c r="C649" s="12">
        <f t="shared" si="42"/>
        <v>31.43370205555556</v>
      </c>
      <c r="D649" s="25">
        <f t="shared" si="43"/>
        <v>648</v>
      </c>
      <c r="E649" s="15">
        <v>20.910753777777778</v>
      </c>
      <c r="F649" s="15">
        <f t="shared" si="40"/>
        <v>0.60223048327137552</v>
      </c>
      <c r="G649" s="28">
        <f t="shared" si="41"/>
        <v>4102.6898911999997</v>
      </c>
    </row>
    <row r="650" spans="1:7" ht="13.8" x14ac:dyDescent="0.25">
      <c r="A650" s="21">
        <v>11.540100000000001</v>
      </c>
      <c r="B650" s="11">
        <v>25477</v>
      </c>
      <c r="C650" s="12">
        <f t="shared" si="42"/>
        <v>11.726023833333334</v>
      </c>
      <c r="D650" s="24">
        <f t="shared" si="43"/>
        <v>649</v>
      </c>
      <c r="E650" s="16">
        <v>20.902523277777782</v>
      </c>
      <c r="F650" s="12">
        <f t="shared" si="40"/>
        <v>0.60315985130111527</v>
      </c>
      <c r="G650" s="27">
        <f t="shared" si="41"/>
        <v>4101.0750671000014</v>
      </c>
    </row>
    <row r="651" spans="1:7" ht="13.8" x14ac:dyDescent="0.25">
      <c r="A651" s="22">
        <v>6.3255999999999997</v>
      </c>
      <c r="B651" s="14">
        <v>25447</v>
      </c>
      <c r="C651" s="12">
        <f t="shared" si="42"/>
        <v>6.4275124444444449</v>
      </c>
      <c r="D651" s="25">
        <f t="shared" si="43"/>
        <v>650</v>
      </c>
      <c r="E651" s="15">
        <v>20.893479888888891</v>
      </c>
      <c r="F651" s="15">
        <f t="shared" si="40"/>
        <v>0.60408921933085502</v>
      </c>
      <c r="G651" s="28">
        <f t="shared" si="41"/>
        <v>4099.3007542000005</v>
      </c>
    </row>
    <row r="652" spans="1:7" ht="13.8" x14ac:dyDescent="0.25">
      <c r="A652" s="21">
        <v>10.0001</v>
      </c>
      <c r="B652" s="11">
        <v>25416</v>
      </c>
      <c r="C652" s="12">
        <f t="shared" si="42"/>
        <v>10.161212722222222</v>
      </c>
      <c r="D652" s="24">
        <f t="shared" si="43"/>
        <v>651</v>
      </c>
      <c r="E652" s="12">
        <v>20.832513222222222</v>
      </c>
      <c r="F652" s="12">
        <f t="shared" si="40"/>
        <v>0.60501858736059477</v>
      </c>
      <c r="G652" s="27">
        <f t="shared" si="41"/>
        <v>4087.3390941999996</v>
      </c>
    </row>
    <row r="653" spans="1:7" ht="13.8" x14ac:dyDescent="0.25">
      <c r="A653" s="22">
        <v>10.615</v>
      </c>
      <c r="B653" s="14">
        <v>25385</v>
      </c>
      <c r="C653" s="12">
        <f t="shared" si="42"/>
        <v>10.786019444444445</v>
      </c>
      <c r="D653" s="25">
        <f t="shared" si="43"/>
        <v>652</v>
      </c>
      <c r="E653" s="15">
        <v>20.826010111111113</v>
      </c>
      <c r="F653" s="15">
        <f t="shared" si="40"/>
        <v>0.60594795539033453</v>
      </c>
      <c r="G653" s="28">
        <f t="shared" si="41"/>
        <v>4086.0631838000008</v>
      </c>
    </row>
    <row r="654" spans="1:7" ht="13.8" x14ac:dyDescent="0.25">
      <c r="A654" s="21">
        <v>15.204800000000001</v>
      </c>
      <c r="B654" s="11">
        <v>25355</v>
      </c>
      <c r="C654" s="12">
        <f t="shared" si="42"/>
        <v>15.449766222222223</v>
      </c>
      <c r="D654" s="24">
        <f t="shared" si="43"/>
        <v>653</v>
      </c>
      <c r="E654" s="12">
        <v>20.811784555555558</v>
      </c>
      <c r="F654" s="12">
        <f t="shared" si="40"/>
        <v>0.60687732342007439</v>
      </c>
      <c r="G654" s="27">
        <f t="shared" si="41"/>
        <v>4083.2721298000006</v>
      </c>
    </row>
    <row r="655" spans="1:7" ht="13.8" x14ac:dyDescent="0.25">
      <c r="A655" s="22">
        <v>15.566000000000001</v>
      </c>
      <c r="B655" s="14">
        <v>25324</v>
      </c>
      <c r="C655" s="12">
        <f t="shared" si="42"/>
        <v>15.816785555555558</v>
      </c>
      <c r="D655" s="25">
        <f t="shared" si="43"/>
        <v>654</v>
      </c>
      <c r="E655" s="15">
        <v>20.795526777777781</v>
      </c>
      <c r="F655" s="15">
        <f t="shared" si="40"/>
        <v>0.60780669144981414</v>
      </c>
      <c r="G655" s="28">
        <f t="shared" si="41"/>
        <v>4080.0823538000004</v>
      </c>
    </row>
    <row r="656" spans="1:7" ht="13.8" x14ac:dyDescent="0.25">
      <c r="A656" s="21">
        <v>21.2563</v>
      </c>
      <c r="B656" s="11">
        <v>25294</v>
      </c>
      <c r="C656" s="12">
        <f t="shared" si="42"/>
        <v>21.598762611111113</v>
      </c>
      <c r="D656" s="24">
        <f t="shared" si="43"/>
        <v>655</v>
      </c>
      <c r="E656" s="15">
        <v>20.794205833333336</v>
      </c>
      <c r="F656" s="12">
        <f t="shared" si="40"/>
        <v>0.60873605947955389</v>
      </c>
      <c r="G656" s="27">
        <f t="shared" si="41"/>
        <v>4079.8231845000009</v>
      </c>
    </row>
    <row r="657" spans="1:7" ht="13.8" x14ac:dyDescent="0.25">
      <c r="A657" s="22">
        <v>39.613399999999999</v>
      </c>
      <c r="B657" s="14">
        <v>25263</v>
      </c>
      <c r="C657" s="12">
        <f t="shared" si="42"/>
        <v>40.251615888888892</v>
      </c>
      <c r="D657" s="25">
        <f t="shared" si="43"/>
        <v>656</v>
      </c>
      <c r="E657" s="12">
        <v>20.786076944444446</v>
      </c>
      <c r="F657" s="15">
        <f t="shared" si="40"/>
        <v>0.60966542750929364</v>
      </c>
      <c r="G657" s="28">
        <f t="shared" si="41"/>
        <v>4078.2282965000004</v>
      </c>
    </row>
    <row r="658" spans="1:7" ht="13.8" x14ac:dyDescent="0.25">
      <c r="A658" s="21">
        <v>46.723999999999997</v>
      </c>
      <c r="B658" s="11">
        <v>25235</v>
      </c>
      <c r="C658" s="12">
        <f t="shared" si="42"/>
        <v>47.476775555555555</v>
      </c>
      <c r="D658" s="24">
        <f t="shared" si="43"/>
        <v>657</v>
      </c>
      <c r="E658" s="12">
        <v>20.759454833333333</v>
      </c>
      <c r="F658" s="12">
        <f t="shared" si="40"/>
        <v>0.61059479553903351</v>
      </c>
      <c r="G658" s="27">
        <f t="shared" si="41"/>
        <v>4073.0050383000003</v>
      </c>
    </row>
    <row r="659" spans="1:7" ht="13.8" x14ac:dyDescent="0.25">
      <c r="A659" s="22">
        <v>40.800199999999997</v>
      </c>
      <c r="B659" s="14">
        <v>25204</v>
      </c>
      <c r="C659" s="12">
        <f t="shared" si="42"/>
        <v>41.457536555555556</v>
      </c>
      <c r="D659" s="25">
        <f t="shared" si="43"/>
        <v>658</v>
      </c>
      <c r="E659" s="12">
        <v>20.69858977777778</v>
      </c>
      <c r="F659" s="15">
        <f t="shared" si="40"/>
        <v>0.61152416356877326</v>
      </c>
      <c r="G659" s="28">
        <f t="shared" si="41"/>
        <v>4061.0633144000008</v>
      </c>
    </row>
    <row r="660" spans="1:7" ht="13.8" x14ac:dyDescent="0.25">
      <c r="A660" s="21">
        <v>45.397199999999998</v>
      </c>
      <c r="B660" s="11">
        <v>25173</v>
      </c>
      <c r="C660" s="12">
        <f t="shared" si="42"/>
        <v>46.128599333333334</v>
      </c>
      <c r="D660" s="24">
        <f t="shared" si="43"/>
        <v>659</v>
      </c>
      <c r="E660" s="15">
        <v>20.698488166666667</v>
      </c>
      <c r="F660" s="12">
        <f t="shared" si="40"/>
        <v>0.61245353159851301</v>
      </c>
      <c r="G660" s="27">
        <f t="shared" si="41"/>
        <v>4061.0433782999999</v>
      </c>
    </row>
    <row r="661" spans="1:7" ht="13.8" x14ac:dyDescent="0.25">
      <c r="A661" s="22">
        <v>8.6910000000000007</v>
      </c>
      <c r="B661" s="14">
        <v>25143</v>
      </c>
      <c r="C661" s="12">
        <f t="shared" si="42"/>
        <v>8.8310216666666683</v>
      </c>
      <c r="D661" s="25">
        <f t="shared" si="43"/>
        <v>660</v>
      </c>
      <c r="E661" s="15">
        <v>20.617504111111113</v>
      </c>
      <c r="F661" s="15">
        <f t="shared" si="40"/>
        <v>0.61338289962825276</v>
      </c>
      <c r="G661" s="28">
        <f t="shared" si="41"/>
        <v>4045.1543066000004</v>
      </c>
    </row>
    <row r="662" spans="1:7" ht="13.8" x14ac:dyDescent="0.25">
      <c r="A662" s="21">
        <v>14.9521</v>
      </c>
      <c r="B662" s="11">
        <v>25112</v>
      </c>
      <c r="C662" s="12">
        <f t="shared" si="42"/>
        <v>15.192994944444445</v>
      </c>
      <c r="D662" s="24">
        <f t="shared" si="43"/>
        <v>661</v>
      </c>
      <c r="E662" s="12">
        <v>20.563243777777782</v>
      </c>
      <c r="F662" s="12">
        <f t="shared" si="40"/>
        <v>0.61431226765799252</v>
      </c>
      <c r="G662" s="27">
        <f t="shared" si="41"/>
        <v>4034.508429200001</v>
      </c>
    </row>
    <row r="663" spans="1:7" ht="13.8" x14ac:dyDescent="0.25">
      <c r="A663" s="22">
        <v>10.304600000000001</v>
      </c>
      <c r="B663" s="14">
        <v>25082</v>
      </c>
      <c r="C663" s="12">
        <f t="shared" si="42"/>
        <v>10.470618555555557</v>
      </c>
      <c r="D663" s="25">
        <f t="shared" si="43"/>
        <v>662</v>
      </c>
      <c r="E663" s="12">
        <v>20.557451944444445</v>
      </c>
      <c r="F663" s="15">
        <f t="shared" si="40"/>
        <v>0.61524163568773238</v>
      </c>
      <c r="G663" s="28">
        <f t="shared" si="41"/>
        <v>4033.3720714999999</v>
      </c>
    </row>
    <row r="664" spans="1:7" ht="13.8" x14ac:dyDescent="0.25">
      <c r="A664" s="21">
        <v>9.3895</v>
      </c>
      <c r="B664" s="11">
        <v>25051</v>
      </c>
      <c r="C664" s="12">
        <f t="shared" si="42"/>
        <v>9.5407752777777777</v>
      </c>
      <c r="D664" s="24">
        <f t="shared" si="43"/>
        <v>663</v>
      </c>
      <c r="E664" s="15">
        <v>20.543124777777781</v>
      </c>
      <c r="F664" s="12">
        <f t="shared" si="40"/>
        <v>0.61617100371747213</v>
      </c>
      <c r="G664" s="27">
        <f t="shared" si="41"/>
        <v>4030.5610814000006</v>
      </c>
    </row>
    <row r="665" spans="1:7" ht="13.8" x14ac:dyDescent="0.25">
      <c r="A665" s="22">
        <v>9.4115000000000002</v>
      </c>
      <c r="B665" s="14">
        <v>25020</v>
      </c>
      <c r="C665" s="12">
        <f t="shared" si="42"/>
        <v>9.5631297222222234</v>
      </c>
      <c r="D665" s="25">
        <f t="shared" si="43"/>
        <v>664</v>
      </c>
      <c r="E665" s="12">
        <v>20.535300722222225</v>
      </c>
      <c r="F665" s="15">
        <f t="shared" si="40"/>
        <v>0.61710037174721188</v>
      </c>
      <c r="G665" s="28">
        <f t="shared" si="41"/>
        <v>4029.026001700001</v>
      </c>
    </row>
    <row r="666" spans="1:7" ht="13.8" x14ac:dyDescent="0.25">
      <c r="A666" s="21">
        <v>11.875</v>
      </c>
      <c r="B666" s="11">
        <v>24990</v>
      </c>
      <c r="C666" s="12">
        <f t="shared" si="42"/>
        <v>12.066319444444446</v>
      </c>
      <c r="D666" s="24">
        <f t="shared" si="43"/>
        <v>665</v>
      </c>
      <c r="E666" s="12">
        <v>20.472098611111115</v>
      </c>
      <c r="F666" s="12">
        <f t="shared" si="40"/>
        <v>0.61802973977695164</v>
      </c>
      <c r="G666" s="27">
        <f t="shared" si="41"/>
        <v>4016.6257475000011</v>
      </c>
    </row>
    <row r="667" spans="1:7" ht="13.8" x14ac:dyDescent="0.25">
      <c r="A667" s="22">
        <v>15.1655</v>
      </c>
      <c r="B667" s="14">
        <v>24959</v>
      </c>
      <c r="C667" s="12">
        <f t="shared" si="42"/>
        <v>15.409833055555556</v>
      </c>
      <c r="D667" s="25">
        <f t="shared" si="43"/>
        <v>666</v>
      </c>
      <c r="E667" s="15">
        <v>20.445273277777776</v>
      </c>
      <c r="F667" s="15">
        <f t="shared" si="40"/>
        <v>0.6189591078066915</v>
      </c>
      <c r="G667" s="28">
        <f t="shared" si="41"/>
        <v>4011.3626170999996</v>
      </c>
    </row>
    <row r="668" spans="1:7" ht="13.8" x14ac:dyDescent="0.25">
      <c r="A668" s="21">
        <v>20.430299999999999</v>
      </c>
      <c r="B668" s="11">
        <v>24929</v>
      </c>
      <c r="C668" s="12">
        <f t="shared" si="42"/>
        <v>20.759454833333333</v>
      </c>
      <c r="D668" s="24">
        <f t="shared" si="43"/>
        <v>667</v>
      </c>
      <c r="E668" s="12">
        <v>20.438871777777777</v>
      </c>
      <c r="F668" s="12">
        <f t="shared" si="40"/>
        <v>0.61988847583643125</v>
      </c>
      <c r="G668" s="27">
        <f t="shared" si="41"/>
        <v>4010.1066428000004</v>
      </c>
    </row>
    <row r="669" spans="1:7" ht="13.8" x14ac:dyDescent="0.25">
      <c r="A669" s="22">
        <v>35.587899999999998</v>
      </c>
      <c r="B669" s="14">
        <v>24898</v>
      </c>
      <c r="C669" s="12">
        <f t="shared" si="42"/>
        <v>36.161260611111111</v>
      </c>
      <c r="D669" s="25">
        <f t="shared" si="43"/>
        <v>668</v>
      </c>
      <c r="E669" s="12">
        <v>20.28604866666667</v>
      </c>
      <c r="F669" s="15">
        <f t="shared" si="40"/>
        <v>0.620817843866171</v>
      </c>
      <c r="G669" s="28">
        <f t="shared" si="41"/>
        <v>3980.122748400001</v>
      </c>
    </row>
    <row r="670" spans="1:7" ht="13.8" x14ac:dyDescent="0.25">
      <c r="A670" s="21">
        <v>39.600700000000003</v>
      </c>
      <c r="B670" s="11">
        <v>24869</v>
      </c>
      <c r="C670" s="12">
        <f t="shared" si="42"/>
        <v>40.238711277777782</v>
      </c>
      <c r="D670" s="24">
        <f t="shared" si="43"/>
        <v>669</v>
      </c>
      <c r="E670" s="15">
        <v>20.268266722222222</v>
      </c>
      <c r="F670" s="12">
        <f t="shared" si="40"/>
        <v>0.62174721189591076</v>
      </c>
      <c r="G670" s="27">
        <f t="shared" si="41"/>
        <v>3976.6339309000005</v>
      </c>
    </row>
    <row r="671" spans="1:7" ht="13.8" x14ac:dyDescent="0.25">
      <c r="A671" s="22">
        <v>45.882800000000003</v>
      </c>
      <c r="B671" s="14">
        <v>24838</v>
      </c>
      <c r="C671" s="12">
        <f t="shared" si="42"/>
        <v>46.622022888888893</v>
      </c>
      <c r="D671" s="25">
        <f t="shared" si="43"/>
        <v>670</v>
      </c>
      <c r="E671" s="12">
        <v>20.267250611111116</v>
      </c>
      <c r="F671" s="15">
        <f t="shared" si="40"/>
        <v>0.62267657992565051</v>
      </c>
      <c r="G671" s="28">
        <f t="shared" si="41"/>
        <v>3976.4345699000014</v>
      </c>
    </row>
    <row r="672" spans="1:7" ht="13.8" x14ac:dyDescent="0.25">
      <c r="A672" s="21">
        <v>40.7498</v>
      </c>
      <c r="B672" s="11">
        <v>24807</v>
      </c>
      <c r="C672" s="12">
        <f t="shared" si="42"/>
        <v>41.406324555555557</v>
      </c>
      <c r="D672" s="24">
        <f t="shared" si="43"/>
        <v>671</v>
      </c>
      <c r="E672" s="15">
        <v>20.266742555555556</v>
      </c>
      <c r="F672" s="12">
        <f t="shared" si="40"/>
        <v>0.62360594795539037</v>
      </c>
      <c r="G672" s="27">
        <f t="shared" si="41"/>
        <v>3976.3348894000001</v>
      </c>
    </row>
    <row r="673" spans="1:7" ht="13.8" x14ac:dyDescent="0.25">
      <c r="A673" s="22">
        <v>34.1524</v>
      </c>
      <c r="B673" s="14">
        <v>24777</v>
      </c>
      <c r="C673" s="12">
        <f t="shared" si="42"/>
        <v>34.702633111111112</v>
      </c>
      <c r="D673" s="25">
        <f t="shared" si="43"/>
        <v>672</v>
      </c>
      <c r="E673" s="15">
        <v>20.246013888888893</v>
      </c>
      <c r="F673" s="15">
        <f t="shared" si="40"/>
        <v>0.62453531598513012</v>
      </c>
      <c r="G673" s="28">
        <f t="shared" si="41"/>
        <v>3972.267925000001</v>
      </c>
    </row>
    <row r="674" spans="1:7" ht="13.8" x14ac:dyDescent="0.25">
      <c r="A674" s="21">
        <v>12.331099999999999</v>
      </c>
      <c r="B674" s="11">
        <v>24746</v>
      </c>
      <c r="C674" s="12">
        <f t="shared" si="42"/>
        <v>12.529767722222223</v>
      </c>
      <c r="D674" s="24">
        <f t="shared" si="43"/>
        <v>673</v>
      </c>
      <c r="E674" s="15">
        <v>20.224472333333335</v>
      </c>
      <c r="F674" s="12">
        <f t="shared" si="40"/>
        <v>0.62546468401486988</v>
      </c>
      <c r="G674" s="27">
        <f t="shared" si="41"/>
        <v>3968.0414718000011</v>
      </c>
    </row>
    <row r="675" spans="1:7" ht="13.8" x14ac:dyDescent="0.25">
      <c r="A675" s="22">
        <v>11.277799999999999</v>
      </c>
      <c r="B675" s="14">
        <v>24716</v>
      </c>
      <c r="C675" s="12">
        <f t="shared" si="42"/>
        <v>11.459497888888889</v>
      </c>
      <c r="D675" s="25">
        <f t="shared" si="43"/>
        <v>674</v>
      </c>
      <c r="E675" s="12">
        <v>20.21024677777778</v>
      </c>
      <c r="F675" s="15">
        <f t="shared" si="40"/>
        <v>0.62639405204460963</v>
      </c>
      <c r="G675" s="28">
        <f t="shared" si="41"/>
        <v>3965.2504178000004</v>
      </c>
    </row>
    <row r="676" spans="1:7" ht="13.8" x14ac:dyDescent="0.25">
      <c r="A676" s="21">
        <v>14.685700000000001</v>
      </c>
      <c r="B676" s="11">
        <v>24685</v>
      </c>
      <c r="C676" s="12">
        <f t="shared" si="42"/>
        <v>14.922302944444446</v>
      </c>
      <c r="D676" s="24">
        <f t="shared" si="43"/>
        <v>675</v>
      </c>
      <c r="E676" s="15">
        <v>20.206283944444447</v>
      </c>
      <c r="F676" s="12">
        <f t="shared" si="40"/>
        <v>0.62732342007434949</v>
      </c>
      <c r="G676" s="27">
        <f t="shared" si="41"/>
        <v>3964.4729099000001</v>
      </c>
    </row>
    <row r="677" spans="1:7" ht="13.8" x14ac:dyDescent="0.25">
      <c r="A677" s="22">
        <v>18.631399999999999</v>
      </c>
      <c r="B677" s="14">
        <v>24654</v>
      </c>
      <c r="C677" s="12">
        <f t="shared" si="42"/>
        <v>18.931572555555555</v>
      </c>
      <c r="D677" s="25">
        <f t="shared" si="43"/>
        <v>676</v>
      </c>
      <c r="E677" s="12">
        <v>20.203642055555555</v>
      </c>
      <c r="F677" s="15">
        <f t="shared" si="40"/>
        <v>0.62825278810408924</v>
      </c>
      <c r="G677" s="28">
        <f t="shared" si="41"/>
        <v>3963.9545712999998</v>
      </c>
    </row>
    <row r="678" spans="1:7" ht="13.8" x14ac:dyDescent="0.25">
      <c r="A678" s="21">
        <v>24.3017</v>
      </c>
      <c r="B678" s="11">
        <v>24624</v>
      </c>
      <c r="C678" s="12">
        <f t="shared" si="42"/>
        <v>24.693227388888889</v>
      </c>
      <c r="D678" s="24">
        <f t="shared" si="43"/>
        <v>677</v>
      </c>
      <c r="E678" s="12">
        <v>20.195106722222224</v>
      </c>
      <c r="F678" s="12">
        <f t="shared" si="40"/>
        <v>0.629182156133829</v>
      </c>
      <c r="G678" s="27">
        <f t="shared" si="41"/>
        <v>3962.2799389000002</v>
      </c>
    </row>
    <row r="679" spans="1:7" ht="13.8" x14ac:dyDescent="0.25">
      <c r="A679" s="22">
        <v>29.1846</v>
      </c>
      <c r="B679" s="14">
        <v>24593</v>
      </c>
      <c r="C679" s="12">
        <f t="shared" si="42"/>
        <v>29.654796333333334</v>
      </c>
      <c r="D679" s="25">
        <f t="shared" si="43"/>
        <v>678</v>
      </c>
      <c r="E679" s="12">
        <v>20.099795499999999</v>
      </c>
      <c r="F679" s="15">
        <f t="shared" si="40"/>
        <v>0.63011152416356875</v>
      </c>
      <c r="G679" s="28">
        <f t="shared" si="41"/>
        <v>3943.5798771000004</v>
      </c>
    </row>
    <row r="680" spans="1:7" ht="13.8" x14ac:dyDescent="0.25">
      <c r="A680" s="21">
        <v>38.226399999999998</v>
      </c>
      <c r="B680" s="11">
        <v>24563</v>
      </c>
      <c r="C680" s="12">
        <f t="shared" si="42"/>
        <v>38.84226977777778</v>
      </c>
      <c r="D680" s="24">
        <f t="shared" si="43"/>
        <v>679</v>
      </c>
      <c r="E680" s="12">
        <v>20.094105277777782</v>
      </c>
      <c r="F680" s="12">
        <f t="shared" si="40"/>
        <v>0.6310408921933085</v>
      </c>
      <c r="G680" s="27">
        <f t="shared" si="41"/>
        <v>3942.4634555000007</v>
      </c>
    </row>
    <row r="681" spans="1:7" ht="13.8" x14ac:dyDescent="0.25">
      <c r="A681" s="22">
        <v>59.829700000000003</v>
      </c>
      <c r="B681" s="14">
        <v>24532</v>
      </c>
      <c r="C681" s="12">
        <f t="shared" si="42"/>
        <v>60.793622944444451</v>
      </c>
      <c r="D681" s="25">
        <f t="shared" si="43"/>
        <v>680</v>
      </c>
      <c r="E681" s="12">
        <v>20.077644277777779</v>
      </c>
      <c r="F681" s="15">
        <f t="shared" si="40"/>
        <v>0.63197026022304836</v>
      </c>
      <c r="G681" s="28">
        <f t="shared" si="41"/>
        <v>3939.2338073000005</v>
      </c>
    </row>
    <row r="682" spans="1:7" ht="13.8" x14ac:dyDescent="0.25">
      <c r="A682" s="21">
        <v>81.429400000000001</v>
      </c>
      <c r="B682" s="11">
        <v>24504</v>
      </c>
      <c r="C682" s="12">
        <f t="shared" si="42"/>
        <v>82.741318111111113</v>
      </c>
      <c r="D682" s="24">
        <f t="shared" si="43"/>
        <v>681</v>
      </c>
      <c r="E682" s="15">
        <v>20.051225388888891</v>
      </c>
      <c r="F682" s="12">
        <f t="shared" si="40"/>
        <v>0.63289962825278812</v>
      </c>
      <c r="G682" s="27">
        <f t="shared" si="41"/>
        <v>3934.0504213000008</v>
      </c>
    </row>
    <row r="683" spans="1:7" ht="13.8" x14ac:dyDescent="0.25">
      <c r="A683" s="22">
        <v>95.465299999999999</v>
      </c>
      <c r="B683" s="14">
        <v>24473</v>
      </c>
      <c r="C683" s="12">
        <f t="shared" si="42"/>
        <v>97.003352055555567</v>
      </c>
      <c r="D683" s="25">
        <f t="shared" si="43"/>
        <v>682</v>
      </c>
      <c r="E683" s="12">
        <v>20.046043222222224</v>
      </c>
      <c r="F683" s="15">
        <f t="shared" si="40"/>
        <v>0.63382899628252787</v>
      </c>
      <c r="G683" s="28">
        <f t="shared" si="41"/>
        <v>3933.0336801999997</v>
      </c>
    </row>
    <row r="684" spans="1:7" ht="13.8" x14ac:dyDescent="0.25">
      <c r="A684" s="21">
        <v>58.213799999999999</v>
      </c>
      <c r="B684" s="11">
        <v>24442</v>
      </c>
      <c r="C684" s="12">
        <f t="shared" si="42"/>
        <v>59.151689000000005</v>
      </c>
      <c r="D684" s="24">
        <f t="shared" si="43"/>
        <v>683</v>
      </c>
      <c r="E684" s="15">
        <v>20.004484277777781</v>
      </c>
      <c r="F684" s="12">
        <f t="shared" si="40"/>
        <v>0.63475836431226762</v>
      </c>
      <c r="G684" s="27">
        <f t="shared" si="41"/>
        <v>3924.8798153000007</v>
      </c>
    </row>
    <row r="685" spans="1:7" ht="13.8" x14ac:dyDescent="0.25">
      <c r="A685" s="22">
        <v>60.685499999999998</v>
      </c>
      <c r="B685" s="14">
        <v>24412</v>
      </c>
      <c r="C685" s="12">
        <f t="shared" si="42"/>
        <v>61.663210833333338</v>
      </c>
      <c r="D685" s="25">
        <f t="shared" si="43"/>
        <v>684</v>
      </c>
      <c r="E685" s="12">
        <v>19.99787955555556</v>
      </c>
      <c r="F685" s="15">
        <f t="shared" si="40"/>
        <v>0.63568773234200748</v>
      </c>
      <c r="G685" s="28">
        <f t="shared" si="41"/>
        <v>3923.583968800001</v>
      </c>
    </row>
    <row r="686" spans="1:7" ht="13.8" x14ac:dyDescent="0.25">
      <c r="A686" s="21">
        <v>19.728200000000001</v>
      </c>
      <c r="B686" s="11">
        <v>24381</v>
      </c>
      <c r="C686" s="12">
        <f t="shared" si="42"/>
        <v>20.046043222222224</v>
      </c>
      <c r="D686" s="24">
        <f t="shared" si="43"/>
        <v>685</v>
      </c>
      <c r="E686" s="12">
        <v>19.971460666666669</v>
      </c>
      <c r="F686" s="12">
        <f t="shared" si="40"/>
        <v>0.63661710037174724</v>
      </c>
      <c r="G686" s="27">
        <f t="shared" si="41"/>
        <v>3918.4005828000004</v>
      </c>
    </row>
    <row r="687" spans="1:7" ht="13.8" x14ac:dyDescent="0.25">
      <c r="A687" s="22">
        <v>13.8583</v>
      </c>
      <c r="B687" s="14">
        <v>24351</v>
      </c>
      <c r="C687" s="12">
        <f t="shared" si="42"/>
        <v>14.081572611111111</v>
      </c>
      <c r="D687" s="25">
        <f t="shared" si="43"/>
        <v>686</v>
      </c>
      <c r="E687" s="12">
        <v>19.918826111111112</v>
      </c>
      <c r="F687" s="15">
        <f t="shared" si="40"/>
        <v>0.63754646840148699</v>
      </c>
      <c r="G687" s="28">
        <f t="shared" si="41"/>
        <v>3908.073683000001</v>
      </c>
    </row>
    <row r="688" spans="1:7" ht="13.8" x14ac:dyDescent="0.25">
      <c r="A688" s="21">
        <v>16.8613</v>
      </c>
      <c r="B688" s="11">
        <v>24320</v>
      </c>
      <c r="C688" s="12">
        <f t="shared" si="42"/>
        <v>17.132954277777777</v>
      </c>
      <c r="D688" s="24">
        <f t="shared" si="43"/>
        <v>687</v>
      </c>
      <c r="E688" s="12">
        <v>19.908766611111112</v>
      </c>
      <c r="F688" s="12">
        <f t="shared" si="40"/>
        <v>0.63847583643122674</v>
      </c>
      <c r="G688" s="27">
        <f t="shared" si="41"/>
        <v>3906.1000091000005</v>
      </c>
    </row>
    <row r="689" spans="1:7" ht="13.8" x14ac:dyDescent="0.25">
      <c r="A689" s="22">
        <v>20.217400000000001</v>
      </c>
      <c r="B689" s="14">
        <v>24289</v>
      </c>
      <c r="C689" s="12">
        <f t="shared" si="42"/>
        <v>20.543124777777781</v>
      </c>
      <c r="D689" s="25">
        <f t="shared" si="43"/>
        <v>688</v>
      </c>
      <c r="E689" s="12">
        <v>19.839569444444443</v>
      </c>
      <c r="F689" s="15">
        <f t="shared" si="40"/>
        <v>0.63940520446096649</v>
      </c>
      <c r="G689" s="28">
        <f t="shared" si="41"/>
        <v>3892.5235249999996</v>
      </c>
    </row>
    <row r="690" spans="1:7" ht="13.8" x14ac:dyDescent="0.25">
      <c r="A690" s="21">
        <v>25.078299999999999</v>
      </c>
      <c r="B690" s="11">
        <v>24259</v>
      </c>
      <c r="C690" s="12">
        <f t="shared" si="42"/>
        <v>25.482339277777779</v>
      </c>
      <c r="D690" s="24">
        <f t="shared" si="43"/>
        <v>689</v>
      </c>
      <c r="E690" s="12">
        <v>19.811524777777777</v>
      </c>
      <c r="F690" s="12">
        <f t="shared" si="40"/>
        <v>0.64033457249070636</v>
      </c>
      <c r="G690" s="27">
        <f t="shared" si="41"/>
        <v>3887.0211614</v>
      </c>
    </row>
    <row r="691" spans="1:7" ht="13.8" x14ac:dyDescent="0.25">
      <c r="A691" s="22">
        <v>33.232999999999997</v>
      </c>
      <c r="B691" s="14">
        <v>24228</v>
      </c>
      <c r="C691" s="12">
        <f t="shared" si="42"/>
        <v>33.768420555555558</v>
      </c>
      <c r="D691" s="25">
        <f t="shared" si="43"/>
        <v>690</v>
      </c>
      <c r="E691" s="12">
        <v>19.793031555555554</v>
      </c>
      <c r="F691" s="15">
        <f t="shared" si="40"/>
        <v>0.64126394052044611</v>
      </c>
      <c r="G691" s="28">
        <f t="shared" si="41"/>
        <v>3883.3927911999999</v>
      </c>
    </row>
    <row r="692" spans="1:7" ht="13.8" x14ac:dyDescent="0.25">
      <c r="A692" s="21">
        <v>44.951799999999999</v>
      </c>
      <c r="B692" s="11">
        <v>24198</v>
      </c>
      <c r="C692" s="12">
        <f t="shared" si="42"/>
        <v>45.676023444444446</v>
      </c>
      <c r="D692" s="24">
        <f t="shared" si="43"/>
        <v>691</v>
      </c>
      <c r="E692" s="12">
        <v>19.69182688888889</v>
      </c>
      <c r="F692" s="12">
        <f t="shared" si="40"/>
        <v>0.64219330855018586</v>
      </c>
      <c r="G692" s="27">
        <f t="shared" si="41"/>
        <v>3863.5364356</v>
      </c>
    </row>
    <row r="693" spans="1:7" ht="13.8" x14ac:dyDescent="0.25">
      <c r="A693" s="22">
        <v>96.330200000000005</v>
      </c>
      <c r="B693" s="14">
        <v>24167</v>
      </c>
      <c r="C693" s="12">
        <f t="shared" si="42"/>
        <v>97.882186555555563</v>
      </c>
      <c r="D693" s="25">
        <f t="shared" si="43"/>
        <v>692</v>
      </c>
      <c r="E693" s="15">
        <v>19.671911111111111</v>
      </c>
      <c r="F693" s="15">
        <f t="shared" si="40"/>
        <v>0.64312267657992561</v>
      </c>
      <c r="G693" s="28">
        <f t="shared" si="41"/>
        <v>3859.6289600000005</v>
      </c>
    </row>
    <row r="694" spans="1:7" ht="13.8" x14ac:dyDescent="0.25">
      <c r="A694" s="21">
        <v>68.823400000000007</v>
      </c>
      <c r="B694" s="11">
        <v>24139</v>
      </c>
      <c r="C694" s="12">
        <f t="shared" si="42"/>
        <v>69.932221444444451</v>
      </c>
      <c r="D694" s="24">
        <f t="shared" si="43"/>
        <v>693</v>
      </c>
      <c r="E694" s="12">
        <v>19.667338611111113</v>
      </c>
      <c r="F694" s="12">
        <f t="shared" si="40"/>
        <v>0.64405204460966547</v>
      </c>
      <c r="G694" s="27">
        <f t="shared" si="41"/>
        <v>3858.7318355000011</v>
      </c>
    </row>
    <row r="695" spans="1:7" ht="13.8" x14ac:dyDescent="0.25">
      <c r="A695" s="22">
        <v>115.6863</v>
      </c>
      <c r="B695" s="14">
        <v>24108</v>
      </c>
      <c r="C695" s="12">
        <f t="shared" si="42"/>
        <v>117.55013483333335</v>
      </c>
      <c r="D695" s="25">
        <f t="shared" si="43"/>
        <v>694</v>
      </c>
      <c r="E695" s="15">
        <v>19.655754944444446</v>
      </c>
      <c r="F695" s="15">
        <f t="shared" si="40"/>
        <v>0.64498141263940523</v>
      </c>
      <c r="G695" s="28">
        <f t="shared" si="41"/>
        <v>3856.4591201000003</v>
      </c>
    </row>
    <row r="696" spans="1:7" ht="13.8" x14ac:dyDescent="0.25">
      <c r="A696" s="21">
        <v>50.093499999999999</v>
      </c>
      <c r="B696" s="11">
        <v>24077</v>
      </c>
      <c r="C696" s="12">
        <f t="shared" si="42"/>
        <v>50.900561944444448</v>
      </c>
      <c r="D696" s="24">
        <f t="shared" si="43"/>
        <v>695</v>
      </c>
      <c r="E696" s="15">
        <v>19.649150222222222</v>
      </c>
      <c r="F696" s="12">
        <f t="shared" si="40"/>
        <v>0.64591078066914498</v>
      </c>
      <c r="G696" s="27">
        <f t="shared" si="41"/>
        <v>3855.1632736000001</v>
      </c>
    </row>
    <row r="697" spans="1:7" ht="13.8" x14ac:dyDescent="0.25">
      <c r="A697" s="22">
        <v>38.314999999999998</v>
      </c>
      <c r="B697" s="14">
        <v>24047</v>
      </c>
      <c r="C697" s="12">
        <f t="shared" si="42"/>
        <v>38.932297222222225</v>
      </c>
      <c r="D697" s="25">
        <f t="shared" si="43"/>
        <v>696</v>
      </c>
      <c r="E697" s="12">
        <v>19.635635944444449</v>
      </c>
      <c r="F697" s="15">
        <f t="shared" si="40"/>
        <v>0.64684014869888473</v>
      </c>
      <c r="G697" s="28">
        <f t="shared" si="41"/>
        <v>3852.5117723000012</v>
      </c>
    </row>
    <row r="698" spans="1:7" ht="13.8" x14ac:dyDescent="0.25">
      <c r="A698" s="21">
        <v>30.613499999999998</v>
      </c>
      <c r="B698" s="11">
        <v>24016</v>
      </c>
      <c r="C698" s="12">
        <f t="shared" si="42"/>
        <v>31.106717500000002</v>
      </c>
      <c r="D698" s="24">
        <f t="shared" si="43"/>
        <v>697</v>
      </c>
      <c r="E698" s="15">
        <v>19.61317988888889</v>
      </c>
      <c r="F698" s="12">
        <f t="shared" si="40"/>
        <v>0.64776951672862448</v>
      </c>
      <c r="G698" s="27">
        <f t="shared" si="41"/>
        <v>3848.1058942000004</v>
      </c>
    </row>
    <row r="699" spans="1:7" ht="13.8" x14ac:dyDescent="0.25">
      <c r="A699" s="22">
        <v>19.946899999999999</v>
      </c>
      <c r="B699" s="14">
        <v>23986</v>
      </c>
      <c r="C699" s="12">
        <f t="shared" si="42"/>
        <v>20.268266722222222</v>
      </c>
      <c r="D699" s="25">
        <f t="shared" si="43"/>
        <v>698</v>
      </c>
      <c r="E699" s="15">
        <v>19.544795611111113</v>
      </c>
      <c r="F699" s="15">
        <f t="shared" si="40"/>
        <v>0.64869888475836435</v>
      </c>
      <c r="G699" s="28">
        <f t="shared" si="41"/>
        <v>3834.6888989000004</v>
      </c>
    </row>
    <row r="700" spans="1:7" ht="13.8" x14ac:dyDescent="0.25">
      <c r="A700" s="21">
        <v>22.761600000000001</v>
      </c>
      <c r="B700" s="11">
        <v>23955</v>
      </c>
      <c r="C700" s="12">
        <f t="shared" si="42"/>
        <v>23.128314666666668</v>
      </c>
      <c r="D700" s="24">
        <f t="shared" si="43"/>
        <v>699</v>
      </c>
      <c r="E700" s="15">
        <v>19.490128833333337</v>
      </c>
      <c r="F700" s="12">
        <f t="shared" si="40"/>
        <v>0.6496282527881041</v>
      </c>
      <c r="G700" s="27">
        <f t="shared" si="41"/>
        <v>3823.9632771000006</v>
      </c>
    </row>
    <row r="701" spans="1:7" ht="13.8" x14ac:dyDescent="0.25">
      <c r="A701" s="22">
        <v>29.427600000000002</v>
      </c>
      <c r="B701" s="14">
        <v>23924</v>
      </c>
      <c r="C701" s="12">
        <f t="shared" si="42"/>
        <v>29.901711333333338</v>
      </c>
      <c r="D701" s="25">
        <f t="shared" si="43"/>
        <v>700</v>
      </c>
      <c r="E701" s="15">
        <v>19.282232500000003</v>
      </c>
      <c r="F701" s="15">
        <f t="shared" si="40"/>
        <v>0.65055762081784385</v>
      </c>
      <c r="G701" s="28">
        <f t="shared" si="41"/>
        <v>3783.1740165000006</v>
      </c>
    </row>
    <row r="702" spans="1:7" ht="13.8" x14ac:dyDescent="0.25">
      <c r="A702" s="21">
        <v>33.469200000000001</v>
      </c>
      <c r="B702" s="11">
        <v>23894</v>
      </c>
      <c r="C702" s="12">
        <f t="shared" si="42"/>
        <v>34.008426</v>
      </c>
      <c r="D702" s="24">
        <f t="shared" si="43"/>
        <v>701</v>
      </c>
      <c r="E702" s="12">
        <v>19.279590611111114</v>
      </c>
      <c r="F702" s="12">
        <f t="shared" si="40"/>
        <v>0.6514869888475836</v>
      </c>
      <c r="G702" s="27">
        <f t="shared" si="41"/>
        <v>3782.6556779000007</v>
      </c>
    </row>
    <row r="703" spans="1:7" ht="13.8" x14ac:dyDescent="0.25">
      <c r="A703" s="22">
        <v>42.483899999999998</v>
      </c>
      <c r="B703" s="14">
        <v>23863</v>
      </c>
      <c r="C703" s="12">
        <f t="shared" si="42"/>
        <v>43.168362833333333</v>
      </c>
      <c r="D703" s="25">
        <f t="shared" si="43"/>
        <v>702</v>
      </c>
      <c r="E703" s="15">
        <v>19.26566988888889</v>
      </c>
      <c r="F703" s="15">
        <f t="shared" si="40"/>
        <v>0.65241635687732347</v>
      </c>
      <c r="G703" s="28">
        <f t="shared" si="41"/>
        <v>3779.9244322000004</v>
      </c>
    </row>
    <row r="704" spans="1:7" ht="13.8" x14ac:dyDescent="0.25">
      <c r="A704" s="21">
        <v>48.668199999999999</v>
      </c>
      <c r="B704" s="11">
        <v>23833</v>
      </c>
      <c r="C704" s="12">
        <f t="shared" si="42"/>
        <v>49.452298777777777</v>
      </c>
      <c r="D704" s="24">
        <f t="shared" si="43"/>
        <v>703</v>
      </c>
      <c r="E704" s="12">
        <v>19.253476555555558</v>
      </c>
      <c r="F704" s="12">
        <f t="shared" si="40"/>
        <v>0.65334572490706322</v>
      </c>
      <c r="G704" s="27">
        <f t="shared" si="41"/>
        <v>3777.5321002000005</v>
      </c>
    </row>
    <row r="705" spans="1:7" ht="13.8" x14ac:dyDescent="0.25">
      <c r="A705" s="22">
        <v>103.3424</v>
      </c>
      <c r="B705" s="14">
        <v>23802</v>
      </c>
      <c r="C705" s="12">
        <f t="shared" si="42"/>
        <v>105.0073608888889</v>
      </c>
      <c r="D705" s="25">
        <f t="shared" si="43"/>
        <v>704</v>
      </c>
      <c r="E705" s="15">
        <v>19.237015555555555</v>
      </c>
      <c r="F705" s="15">
        <f t="shared" si="40"/>
        <v>0.65427509293680297</v>
      </c>
      <c r="G705" s="28">
        <f t="shared" si="41"/>
        <v>3774.3024519999999</v>
      </c>
    </row>
    <row r="706" spans="1:7" ht="13.8" x14ac:dyDescent="0.25">
      <c r="A706" s="21">
        <v>131.05000000000001</v>
      </c>
      <c r="B706" s="11">
        <v>23774</v>
      </c>
      <c r="C706" s="12">
        <f t="shared" si="42"/>
        <v>133.16136111111112</v>
      </c>
      <c r="D706" s="24">
        <f t="shared" si="43"/>
        <v>705</v>
      </c>
      <c r="E706" s="12">
        <v>19.222180333333334</v>
      </c>
      <c r="F706" s="12">
        <f t="shared" ref="F706:F769" si="44">D706/1076</f>
        <v>0.65520446096654272</v>
      </c>
      <c r="G706" s="27">
        <f t="shared" ref="G706:G769" si="45">1000*E706*$J$2*9.81/1000</f>
        <v>3771.3917814000001</v>
      </c>
    </row>
    <row r="707" spans="1:7" ht="13.8" x14ac:dyDescent="0.25">
      <c r="A707" s="22">
        <v>98.677400000000006</v>
      </c>
      <c r="B707" s="14">
        <v>23743</v>
      </c>
      <c r="C707" s="12">
        <f t="shared" ref="C707:C770" si="46">A707*($I$2/$H$2)</f>
        <v>100.26720255555557</v>
      </c>
      <c r="D707" s="25">
        <f t="shared" ref="D707:D770" si="47">D706+1</f>
        <v>706</v>
      </c>
      <c r="E707" s="12">
        <v>19.19616788888889</v>
      </c>
      <c r="F707" s="15">
        <f t="shared" si="44"/>
        <v>0.65613382899628248</v>
      </c>
      <c r="G707" s="28">
        <f t="shared" si="45"/>
        <v>3766.2881398</v>
      </c>
    </row>
    <row r="708" spans="1:7" ht="13.8" x14ac:dyDescent="0.25">
      <c r="A708" s="21">
        <v>53.581600000000002</v>
      </c>
      <c r="B708" s="11">
        <v>23712</v>
      </c>
      <c r="C708" s="12">
        <f t="shared" si="46"/>
        <v>54.444859111111114</v>
      </c>
      <c r="D708" s="24">
        <f t="shared" si="47"/>
        <v>707</v>
      </c>
      <c r="E708" s="15">
        <v>19.190172833333335</v>
      </c>
      <c r="F708" s="12">
        <f t="shared" si="44"/>
        <v>0.65706319702602234</v>
      </c>
      <c r="G708" s="27">
        <f t="shared" si="45"/>
        <v>3765.1119099000002</v>
      </c>
    </row>
    <row r="709" spans="1:7" ht="13.8" x14ac:dyDescent="0.25">
      <c r="A709" s="22">
        <v>27.604900000000001</v>
      </c>
      <c r="B709" s="14">
        <v>23682</v>
      </c>
      <c r="C709" s="12">
        <f t="shared" si="46"/>
        <v>28.049645611111114</v>
      </c>
      <c r="D709" s="25">
        <f t="shared" si="47"/>
        <v>708</v>
      </c>
      <c r="E709" s="15">
        <v>19.148715500000002</v>
      </c>
      <c r="F709" s="15">
        <f t="shared" si="44"/>
        <v>0.65799256505576209</v>
      </c>
      <c r="G709" s="28">
        <f t="shared" si="45"/>
        <v>3756.9779811000008</v>
      </c>
    </row>
    <row r="710" spans="1:7" ht="13.8" x14ac:dyDescent="0.25">
      <c r="A710" s="21">
        <v>25.26</v>
      </c>
      <c r="B710" s="11">
        <v>23651</v>
      </c>
      <c r="C710" s="12">
        <f t="shared" si="46"/>
        <v>25.666966666666671</v>
      </c>
      <c r="D710" s="24">
        <f t="shared" si="47"/>
        <v>709</v>
      </c>
      <c r="E710" s="12">
        <v>19.12575138888889</v>
      </c>
      <c r="F710" s="12">
        <f t="shared" si="44"/>
        <v>0.65892193308550184</v>
      </c>
      <c r="G710" s="27">
        <f t="shared" si="45"/>
        <v>3752.4724225000004</v>
      </c>
    </row>
    <row r="711" spans="1:7" ht="13.8" x14ac:dyDescent="0.25">
      <c r="A711" s="22">
        <v>5.8094000000000001</v>
      </c>
      <c r="B711" s="14">
        <v>23621</v>
      </c>
      <c r="C711" s="12">
        <f t="shared" si="46"/>
        <v>5.9029958888888894</v>
      </c>
      <c r="D711" s="25">
        <f t="shared" si="47"/>
        <v>710</v>
      </c>
      <c r="E711" s="12">
        <v>19.088968166666668</v>
      </c>
      <c r="F711" s="15">
        <f t="shared" si="44"/>
        <v>0.6598513011152416</v>
      </c>
      <c r="G711" s="28">
        <f t="shared" si="45"/>
        <v>3745.2555543000008</v>
      </c>
    </row>
    <row r="712" spans="1:7" ht="13.8" x14ac:dyDescent="0.25">
      <c r="A712" s="21">
        <v>8.1202000000000005</v>
      </c>
      <c r="B712" s="11">
        <v>23590</v>
      </c>
      <c r="C712" s="12">
        <f t="shared" si="46"/>
        <v>8.251025444444446</v>
      </c>
      <c r="D712" s="24">
        <f t="shared" si="47"/>
        <v>711</v>
      </c>
      <c r="E712" s="12">
        <v>19.078299000000001</v>
      </c>
      <c r="F712" s="12">
        <f t="shared" si="44"/>
        <v>0.66078066914498146</v>
      </c>
      <c r="G712" s="27">
        <f t="shared" si="45"/>
        <v>3743.1622638000008</v>
      </c>
    </row>
    <row r="713" spans="1:7" ht="13.8" x14ac:dyDescent="0.25">
      <c r="A713" s="22">
        <v>10.7959</v>
      </c>
      <c r="B713" s="14">
        <v>23559</v>
      </c>
      <c r="C713" s="12">
        <f t="shared" si="46"/>
        <v>10.969833944444446</v>
      </c>
      <c r="D713" s="25">
        <f t="shared" si="47"/>
        <v>712</v>
      </c>
      <c r="E713" s="12">
        <v>19.071999111111111</v>
      </c>
      <c r="F713" s="15">
        <f t="shared" si="44"/>
        <v>0.66171003717472121</v>
      </c>
      <c r="G713" s="28">
        <f t="shared" si="45"/>
        <v>3741.9262256000006</v>
      </c>
    </row>
    <row r="714" spans="1:7" ht="13.8" x14ac:dyDescent="0.25">
      <c r="A714" s="21">
        <v>11.8019</v>
      </c>
      <c r="B714" s="11">
        <v>23529</v>
      </c>
      <c r="C714" s="12">
        <f t="shared" si="46"/>
        <v>11.992041722222224</v>
      </c>
      <c r="D714" s="24">
        <f t="shared" si="47"/>
        <v>713</v>
      </c>
      <c r="E714" s="12">
        <v>19.03795938888889</v>
      </c>
      <c r="F714" s="12">
        <f t="shared" si="44"/>
        <v>0.66263940520446096</v>
      </c>
      <c r="G714" s="27">
        <f t="shared" si="45"/>
        <v>3735.2476320999999</v>
      </c>
    </row>
    <row r="715" spans="1:7" ht="13.8" x14ac:dyDescent="0.25">
      <c r="A715" s="22">
        <v>20.121099999999998</v>
      </c>
      <c r="B715" s="14">
        <v>23498</v>
      </c>
      <c r="C715" s="12">
        <f t="shared" si="46"/>
        <v>20.445273277777776</v>
      </c>
      <c r="D715" s="25">
        <f t="shared" si="47"/>
        <v>714</v>
      </c>
      <c r="E715" s="12">
        <v>19.01712911111111</v>
      </c>
      <c r="F715" s="15">
        <f t="shared" si="44"/>
        <v>0.66356877323420072</v>
      </c>
      <c r="G715" s="28">
        <f t="shared" si="45"/>
        <v>3731.1607315999995</v>
      </c>
    </row>
    <row r="716" spans="1:7" ht="13.8" x14ac:dyDescent="0.25">
      <c r="A716" s="21">
        <v>29.318000000000001</v>
      </c>
      <c r="B716" s="11">
        <v>23468</v>
      </c>
      <c r="C716" s="12">
        <f t="shared" si="46"/>
        <v>29.790345555555561</v>
      </c>
      <c r="D716" s="24">
        <f t="shared" si="47"/>
        <v>715</v>
      </c>
      <c r="E716" s="15">
        <v>18.996400444444447</v>
      </c>
      <c r="F716" s="12">
        <f t="shared" si="44"/>
        <v>0.66449814126394047</v>
      </c>
      <c r="G716" s="27">
        <f t="shared" si="45"/>
        <v>3727.0937672000005</v>
      </c>
    </row>
    <row r="717" spans="1:7" ht="13.8" x14ac:dyDescent="0.25">
      <c r="A717" s="22">
        <v>54.233199999999997</v>
      </c>
      <c r="B717" s="14">
        <v>23437</v>
      </c>
      <c r="C717" s="12">
        <f t="shared" si="46"/>
        <v>55.106957111111115</v>
      </c>
      <c r="D717" s="25">
        <f t="shared" si="47"/>
        <v>716</v>
      </c>
      <c r="E717" s="12">
        <v>18.938075666666666</v>
      </c>
      <c r="F717" s="15">
        <f t="shared" si="44"/>
        <v>0.66542750929368033</v>
      </c>
      <c r="G717" s="28">
        <f t="shared" si="45"/>
        <v>3715.6504458000004</v>
      </c>
    </row>
    <row r="718" spans="1:7" ht="13.8" x14ac:dyDescent="0.25">
      <c r="A718" s="21">
        <v>137.1054</v>
      </c>
      <c r="B718" s="11">
        <v>23408</v>
      </c>
      <c r="C718" s="12">
        <f t="shared" si="46"/>
        <v>139.31432033333334</v>
      </c>
      <c r="D718" s="24">
        <f t="shared" si="47"/>
        <v>717</v>
      </c>
      <c r="E718" s="15">
        <v>18.931572555555555</v>
      </c>
      <c r="F718" s="12">
        <f t="shared" si="44"/>
        <v>0.66635687732342008</v>
      </c>
      <c r="G718" s="27">
        <f t="shared" si="45"/>
        <v>3714.3745353999998</v>
      </c>
    </row>
    <row r="719" spans="1:7" ht="13.8" x14ac:dyDescent="0.25">
      <c r="A719" s="22">
        <v>77.131100000000004</v>
      </c>
      <c r="B719" s="14">
        <v>23377</v>
      </c>
      <c r="C719" s="12">
        <f t="shared" si="46"/>
        <v>78.373767722222226</v>
      </c>
      <c r="D719" s="25">
        <f t="shared" si="47"/>
        <v>718</v>
      </c>
      <c r="E719" s="15">
        <v>18.915009944444449</v>
      </c>
      <c r="F719" s="15">
        <f t="shared" si="44"/>
        <v>0.66728624535315983</v>
      </c>
      <c r="G719" s="28">
        <f t="shared" si="45"/>
        <v>3711.124951100001</v>
      </c>
    </row>
    <row r="720" spans="1:7" ht="13.8" x14ac:dyDescent="0.25">
      <c r="A720" s="21">
        <v>16.047699999999999</v>
      </c>
      <c r="B720" s="11">
        <v>23346</v>
      </c>
      <c r="C720" s="12">
        <f t="shared" si="46"/>
        <v>16.306246277777777</v>
      </c>
      <c r="D720" s="24">
        <f t="shared" si="47"/>
        <v>719</v>
      </c>
      <c r="E720" s="15">
        <v>18.910234222222222</v>
      </c>
      <c r="F720" s="12">
        <f t="shared" si="44"/>
        <v>0.66821561338289959</v>
      </c>
      <c r="G720" s="27">
        <f t="shared" si="45"/>
        <v>3710.1879544000003</v>
      </c>
    </row>
    <row r="721" spans="1:7" ht="13.8" x14ac:dyDescent="0.25">
      <c r="A721" s="22">
        <v>22.148800000000001</v>
      </c>
      <c r="B721" s="14">
        <v>23316</v>
      </c>
      <c r="C721" s="12">
        <f t="shared" si="46"/>
        <v>22.505641777777782</v>
      </c>
      <c r="D721" s="25">
        <f t="shared" si="47"/>
        <v>720</v>
      </c>
      <c r="E721" s="12">
        <v>18.888489444444446</v>
      </c>
      <c r="F721" s="15">
        <f t="shared" si="44"/>
        <v>0.66914498141263945</v>
      </c>
      <c r="G721" s="28">
        <f t="shared" si="45"/>
        <v>3705.9216290000008</v>
      </c>
    </row>
    <row r="722" spans="1:7" ht="13.8" x14ac:dyDescent="0.25">
      <c r="A722" s="21">
        <v>16.114100000000001</v>
      </c>
      <c r="B722" s="11">
        <v>23285</v>
      </c>
      <c r="C722" s="12">
        <f t="shared" si="46"/>
        <v>16.373716055555558</v>
      </c>
      <c r="D722" s="24">
        <f t="shared" si="47"/>
        <v>721</v>
      </c>
      <c r="E722" s="15">
        <v>18.861664111111111</v>
      </c>
      <c r="F722" s="12">
        <f t="shared" si="44"/>
        <v>0.6700743494423792</v>
      </c>
      <c r="G722" s="27">
        <f t="shared" si="45"/>
        <v>3700.6584986000003</v>
      </c>
    </row>
    <row r="723" spans="1:7" ht="13.8" x14ac:dyDescent="0.25">
      <c r="A723" s="22">
        <v>7.3259999999999996</v>
      </c>
      <c r="B723" s="14">
        <v>23255</v>
      </c>
      <c r="C723" s="12">
        <f t="shared" si="46"/>
        <v>7.4440300000000006</v>
      </c>
      <c r="D723" s="25">
        <f t="shared" si="47"/>
        <v>722</v>
      </c>
      <c r="E723" s="15">
        <v>18.815532666666666</v>
      </c>
      <c r="F723" s="15">
        <f t="shared" si="44"/>
        <v>0.67100371747211895</v>
      </c>
      <c r="G723" s="28">
        <f t="shared" si="45"/>
        <v>3691.6075092000001</v>
      </c>
    </row>
    <row r="724" spans="1:7" ht="13.8" x14ac:dyDescent="0.25">
      <c r="A724" s="21">
        <v>10.779199999999999</v>
      </c>
      <c r="B724" s="11">
        <v>23224</v>
      </c>
      <c r="C724" s="12">
        <f t="shared" si="46"/>
        <v>10.95286488888889</v>
      </c>
      <c r="D724" s="24">
        <f t="shared" si="47"/>
        <v>723</v>
      </c>
      <c r="E724" s="12">
        <v>18.807403777777779</v>
      </c>
      <c r="F724" s="12">
        <f t="shared" si="44"/>
        <v>0.67193308550185871</v>
      </c>
      <c r="G724" s="27">
        <f t="shared" si="45"/>
        <v>3690.0126212</v>
      </c>
    </row>
    <row r="725" spans="1:7" ht="13.8" x14ac:dyDescent="0.25">
      <c r="A725" s="22">
        <v>14.329800000000001</v>
      </c>
      <c r="B725" s="14">
        <v>23193</v>
      </c>
      <c r="C725" s="12">
        <f t="shared" si="46"/>
        <v>14.560669000000001</v>
      </c>
      <c r="D725" s="25">
        <f t="shared" si="47"/>
        <v>724</v>
      </c>
      <c r="E725" s="15">
        <v>18.797445888888891</v>
      </c>
      <c r="F725" s="15">
        <f t="shared" si="44"/>
        <v>0.67286245353159846</v>
      </c>
      <c r="G725" s="28">
        <f t="shared" si="45"/>
        <v>3688.0588834000005</v>
      </c>
    </row>
    <row r="726" spans="1:7" ht="13.8" x14ac:dyDescent="0.25">
      <c r="A726" s="21">
        <v>16.912800000000001</v>
      </c>
      <c r="B726" s="11">
        <v>23163</v>
      </c>
      <c r="C726" s="12">
        <f t="shared" si="46"/>
        <v>17.185284000000003</v>
      </c>
      <c r="D726" s="24">
        <f t="shared" si="47"/>
        <v>725</v>
      </c>
      <c r="E726" s="12">
        <v>18.784236444444446</v>
      </c>
      <c r="F726" s="12">
        <f t="shared" si="44"/>
        <v>0.67379182156133832</v>
      </c>
      <c r="G726" s="27">
        <f t="shared" si="45"/>
        <v>3685.4671904000006</v>
      </c>
    </row>
    <row r="727" spans="1:7" ht="13.8" x14ac:dyDescent="0.25">
      <c r="A727" s="22">
        <v>19.885899999999999</v>
      </c>
      <c r="B727" s="14">
        <v>23132</v>
      </c>
      <c r="C727" s="12">
        <f t="shared" si="46"/>
        <v>20.206283944444447</v>
      </c>
      <c r="D727" s="25">
        <f t="shared" si="47"/>
        <v>726</v>
      </c>
      <c r="E727" s="12">
        <v>18.72520038888889</v>
      </c>
      <c r="F727" s="15">
        <f t="shared" si="44"/>
        <v>0.67472118959107807</v>
      </c>
      <c r="G727" s="28">
        <f t="shared" si="45"/>
        <v>3673.8843163000006</v>
      </c>
    </row>
    <row r="728" spans="1:7" ht="13.8" x14ac:dyDescent="0.25">
      <c r="A728" s="21">
        <v>31.291399999999999</v>
      </c>
      <c r="B728" s="11">
        <v>23102</v>
      </c>
      <c r="C728" s="12">
        <f t="shared" si="46"/>
        <v>31.795539222222224</v>
      </c>
      <c r="D728" s="24">
        <f t="shared" si="47"/>
        <v>727</v>
      </c>
      <c r="E728" s="15">
        <v>18.686689777777779</v>
      </c>
      <c r="F728" s="12">
        <f t="shared" si="44"/>
        <v>0.67565055762081783</v>
      </c>
      <c r="G728" s="27">
        <f t="shared" si="45"/>
        <v>3666.3285344000001</v>
      </c>
    </row>
    <row r="729" spans="1:7" ht="13.8" x14ac:dyDescent="0.25">
      <c r="A729" s="22">
        <v>42.084499999999998</v>
      </c>
      <c r="B729" s="14">
        <v>23071</v>
      </c>
      <c r="C729" s="12">
        <f t="shared" si="46"/>
        <v>42.762528055555556</v>
      </c>
      <c r="D729" s="25">
        <f t="shared" si="47"/>
        <v>728</v>
      </c>
      <c r="E729" s="15">
        <v>18.661795055555558</v>
      </c>
      <c r="F729" s="15">
        <f t="shared" si="44"/>
        <v>0.67657992565055758</v>
      </c>
      <c r="G729" s="28">
        <f t="shared" si="45"/>
        <v>3661.4441899000008</v>
      </c>
    </row>
    <row r="730" spans="1:7" ht="13.8" x14ac:dyDescent="0.25">
      <c r="A730" s="21">
        <v>61.027900000000002</v>
      </c>
      <c r="B730" s="11">
        <v>23043</v>
      </c>
      <c r="C730" s="12">
        <f t="shared" si="46"/>
        <v>62.011127277777788</v>
      </c>
      <c r="D730" s="24">
        <f t="shared" si="47"/>
        <v>729</v>
      </c>
      <c r="E730" s="12">
        <v>18.635172944444445</v>
      </c>
      <c r="F730" s="12">
        <f t="shared" si="44"/>
        <v>0.67750929368029744</v>
      </c>
      <c r="G730" s="27">
        <f t="shared" si="45"/>
        <v>3656.2209317000006</v>
      </c>
    </row>
    <row r="731" spans="1:7" ht="13.8" x14ac:dyDescent="0.25">
      <c r="A731" s="22">
        <v>77.364800000000002</v>
      </c>
      <c r="B731" s="14">
        <v>23012</v>
      </c>
      <c r="C731" s="12">
        <f t="shared" si="46"/>
        <v>78.611232888888892</v>
      </c>
      <c r="D731" s="25">
        <f t="shared" si="47"/>
        <v>730</v>
      </c>
      <c r="E731" s="12">
        <v>18.6237925</v>
      </c>
      <c r="F731" s="15">
        <f t="shared" si="44"/>
        <v>0.67843866171003719</v>
      </c>
      <c r="G731" s="28">
        <f t="shared" si="45"/>
        <v>3653.9880885000002</v>
      </c>
    </row>
    <row r="732" spans="1:7" ht="13.8" x14ac:dyDescent="0.25">
      <c r="A732" s="21">
        <v>99.776300000000006</v>
      </c>
      <c r="B732" s="11">
        <v>22981</v>
      </c>
      <c r="C732" s="12">
        <f t="shared" si="46"/>
        <v>101.38380705555556</v>
      </c>
      <c r="D732" s="24">
        <f t="shared" si="47"/>
        <v>731</v>
      </c>
      <c r="E732" s="15">
        <v>18.601844499999999</v>
      </c>
      <c r="F732" s="12">
        <f t="shared" si="44"/>
        <v>0.67936802973977695</v>
      </c>
      <c r="G732" s="27">
        <f t="shared" si="45"/>
        <v>3649.6818909000003</v>
      </c>
    </row>
    <row r="733" spans="1:7" ht="13.8" x14ac:dyDescent="0.25">
      <c r="A733" s="22">
        <v>38.2423</v>
      </c>
      <c r="B733" s="14">
        <v>22951</v>
      </c>
      <c r="C733" s="12">
        <f t="shared" si="46"/>
        <v>38.858425944444448</v>
      </c>
      <c r="D733" s="25">
        <f t="shared" si="47"/>
        <v>732</v>
      </c>
      <c r="E733" s="15">
        <v>18.559472666666668</v>
      </c>
      <c r="F733" s="15">
        <f t="shared" si="44"/>
        <v>0.6802973977695167</v>
      </c>
      <c r="G733" s="28">
        <f t="shared" si="45"/>
        <v>3641.3685372000004</v>
      </c>
    </row>
    <row r="734" spans="1:7" ht="13.8" x14ac:dyDescent="0.25">
      <c r="A734" s="21">
        <v>19.883299999999998</v>
      </c>
      <c r="B734" s="11">
        <v>22920</v>
      </c>
      <c r="C734" s="12">
        <f t="shared" si="46"/>
        <v>20.203642055555555</v>
      </c>
      <c r="D734" s="24">
        <f t="shared" si="47"/>
        <v>733</v>
      </c>
      <c r="E734" s="15">
        <v>18.404922166666669</v>
      </c>
      <c r="F734" s="12">
        <f t="shared" si="44"/>
        <v>0.68122676579925645</v>
      </c>
      <c r="G734" s="27">
        <f t="shared" si="45"/>
        <v>3611.0457291000007</v>
      </c>
    </row>
    <row r="735" spans="1:7" ht="13.8" x14ac:dyDescent="0.25">
      <c r="A735" s="22">
        <v>6.5674999999999999</v>
      </c>
      <c r="B735" s="14">
        <v>22890</v>
      </c>
      <c r="C735" s="12">
        <f t="shared" si="46"/>
        <v>6.6733097222222222</v>
      </c>
      <c r="D735" s="25">
        <f t="shared" si="47"/>
        <v>734</v>
      </c>
      <c r="E735" s="12">
        <v>18.381754833333336</v>
      </c>
      <c r="F735" s="15">
        <f t="shared" si="44"/>
        <v>0.68215613382899631</v>
      </c>
      <c r="G735" s="28">
        <f t="shared" si="45"/>
        <v>3606.5002983000008</v>
      </c>
    </row>
    <row r="736" spans="1:7" ht="13.8" x14ac:dyDescent="0.25">
      <c r="A736" s="21">
        <v>6.7629999999999999</v>
      </c>
      <c r="B736" s="11">
        <v>22859</v>
      </c>
      <c r="C736" s="12">
        <f t="shared" si="46"/>
        <v>6.8719594444444452</v>
      </c>
      <c r="D736" s="24">
        <f t="shared" si="47"/>
        <v>735</v>
      </c>
      <c r="E736" s="15">
        <v>18.371390500000004</v>
      </c>
      <c r="F736" s="12">
        <f t="shared" si="44"/>
        <v>0.68308550185873607</v>
      </c>
      <c r="G736" s="27">
        <f t="shared" si="45"/>
        <v>3604.4668161000013</v>
      </c>
    </row>
    <row r="737" spans="1:7" ht="13.8" x14ac:dyDescent="0.25">
      <c r="A737" s="22">
        <v>7.1722999999999999</v>
      </c>
      <c r="B737" s="14">
        <v>22828</v>
      </c>
      <c r="C737" s="12">
        <f t="shared" si="46"/>
        <v>7.2878537222222226</v>
      </c>
      <c r="D737" s="25">
        <f t="shared" si="47"/>
        <v>736</v>
      </c>
      <c r="E737" s="12">
        <v>18.247221722222221</v>
      </c>
      <c r="F737" s="15">
        <f t="shared" si="44"/>
        <v>0.68401486988847582</v>
      </c>
      <c r="G737" s="28">
        <f t="shared" si="45"/>
        <v>3580.1049018999997</v>
      </c>
    </row>
    <row r="738" spans="1:7" ht="13.8" x14ac:dyDescent="0.25">
      <c r="A738" s="21">
        <v>10.1067</v>
      </c>
      <c r="B738" s="11">
        <v>22798</v>
      </c>
      <c r="C738" s="12">
        <f t="shared" si="46"/>
        <v>10.269530166666668</v>
      </c>
      <c r="D738" s="24">
        <f t="shared" si="47"/>
        <v>737</v>
      </c>
      <c r="E738" s="12">
        <v>18.231776833333335</v>
      </c>
      <c r="F738" s="12">
        <f t="shared" si="44"/>
        <v>0.68494423791821557</v>
      </c>
      <c r="G738" s="27">
        <f t="shared" si="45"/>
        <v>3577.0746147000004</v>
      </c>
    </row>
    <row r="739" spans="1:7" ht="13.8" x14ac:dyDescent="0.25">
      <c r="A739" s="22">
        <v>17.7713</v>
      </c>
      <c r="B739" s="14">
        <v>22767</v>
      </c>
      <c r="C739" s="12">
        <f t="shared" si="46"/>
        <v>18.057615388888891</v>
      </c>
      <c r="D739" s="25">
        <f t="shared" si="47"/>
        <v>738</v>
      </c>
      <c r="E739" s="12">
        <v>18.220599611111112</v>
      </c>
      <c r="F739" s="15">
        <f t="shared" si="44"/>
        <v>0.68587360594795543</v>
      </c>
      <c r="G739" s="28">
        <f t="shared" si="45"/>
        <v>3574.881643700001</v>
      </c>
    </row>
    <row r="740" spans="1:7" ht="13.8" x14ac:dyDescent="0.25">
      <c r="A740" s="21">
        <v>22.8125</v>
      </c>
      <c r="B740" s="11">
        <v>22737</v>
      </c>
      <c r="C740" s="12">
        <f t="shared" si="46"/>
        <v>23.180034722222224</v>
      </c>
      <c r="D740" s="24">
        <f t="shared" si="47"/>
        <v>739</v>
      </c>
      <c r="E740" s="15">
        <v>18.175382666666668</v>
      </c>
      <c r="F740" s="12">
        <f t="shared" si="44"/>
        <v>0.68680297397769519</v>
      </c>
      <c r="G740" s="27">
        <f t="shared" si="45"/>
        <v>3566.0100792000003</v>
      </c>
    </row>
    <row r="741" spans="1:7" ht="13.8" x14ac:dyDescent="0.25">
      <c r="A741" s="22">
        <v>50.041400000000003</v>
      </c>
      <c r="B741" s="14">
        <v>22706</v>
      </c>
      <c r="C741" s="12">
        <f t="shared" si="46"/>
        <v>50.84762255555556</v>
      </c>
      <c r="D741" s="25">
        <f t="shared" si="47"/>
        <v>740</v>
      </c>
      <c r="E741" s="12">
        <v>18.151605666666669</v>
      </c>
      <c r="F741" s="15">
        <f t="shared" si="44"/>
        <v>0.68773234200743494</v>
      </c>
      <c r="G741" s="28">
        <f t="shared" si="45"/>
        <v>3561.3450318000009</v>
      </c>
    </row>
    <row r="742" spans="1:7" ht="13.8" x14ac:dyDescent="0.25">
      <c r="A742" s="21">
        <v>143.11080000000001</v>
      </c>
      <c r="B742" s="11">
        <v>22678</v>
      </c>
      <c r="C742" s="12">
        <f t="shared" si="46"/>
        <v>145.41647400000002</v>
      </c>
      <c r="D742" s="24">
        <f t="shared" si="47"/>
        <v>741</v>
      </c>
      <c r="E742" s="12">
        <v>18.106287111111111</v>
      </c>
      <c r="F742" s="12">
        <f t="shared" si="44"/>
        <v>0.68866171003717469</v>
      </c>
      <c r="G742" s="27">
        <f t="shared" si="45"/>
        <v>3552.4535312000007</v>
      </c>
    </row>
    <row r="743" spans="1:7" ht="13.8" x14ac:dyDescent="0.25">
      <c r="A743" s="22">
        <v>56.489100000000001</v>
      </c>
      <c r="B743" s="14">
        <v>22647</v>
      </c>
      <c r="C743" s="12">
        <f t="shared" si="46"/>
        <v>57.399202166666669</v>
      </c>
      <c r="D743" s="25">
        <f t="shared" si="47"/>
        <v>742</v>
      </c>
      <c r="E743" s="15">
        <v>18.081493999999999</v>
      </c>
      <c r="F743" s="15">
        <f t="shared" si="44"/>
        <v>0.68959107806691455</v>
      </c>
      <c r="G743" s="28">
        <f t="shared" si="45"/>
        <v>3547.5891228</v>
      </c>
    </row>
    <row r="744" spans="1:7" ht="13.8" x14ac:dyDescent="0.25">
      <c r="A744" s="21">
        <v>22.1462</v>
      </c>
      <c r="B744" s="11">
        <v>22616</v>
      </c>
      <c r="C744" s="12">
        <f t="shared" si="46"/>
        <v>22.50299988888889</v>
      </c>
      <c r="D744" s="24">
        <f t="shared" si="47"/>
        <v>743</v>
      </c>
      <c r="E744" s="15">
        <v>18.057615388888891</v>
      </c>
      <c r="F744" s="12">
        <f t="shared" si="44"/>
        <v>0.69052044609665431</v>
      </c>
      <c r="G744" s="27">
        <f t="shared" si="45"/>
        <v>3542.9041393000007</v>
      </c>
    </row>
    <row r="745" spans="1:7" ht="13.8" x14ac:dyDescent="0.25">
      <c r="A745" s="22">
        <v>10.950200000000001</v>
      </c>
      <c r="B745" s="14">
        <v>22586</v>
      </c>
      <c r="C745" s="12">
        <f t="shared" si="46"/>
        <v>11.126619888888891</v>
      </c>
      <c r="D745" s="25">
        <f t="shared" si="47"/>
        <v>744</v>
      </c>
      <c r="E745" s="15">
        <v>18.002542166666668</v>
      </c>
      <c r="F745" s="15">
        <f t="shared" si="44"/>
        <v>0.69144981412639406</v>
      </c>
      <c r="G745" s="28">
        <f t="shared" si="45"/>
        <v>3532.0987731000009</v>
      </c>
    </row>
    <row r="746" spans="1:7" ht="13.8" x14ac:dyDescent="0.25">
      <c r="A746" s="21">
        <v>4.1119000000000003</v>
      </c>
      <c r="B746" s="11">
        <v>22555</v>
      </c>
      <c r="C746" s="12">
        <f t="shared" si="46"/>
        <v>4.1781472777777786</v>
      </c>
      <c r="D746" s="24">
        <f t="shared" si="47"/>
        <v>745</v>
      </c>
      <c r="E746" s="15">
        <v>18.002440555555555</v>
      </c>
      <c r="F746" s="12">
        <f t="shared" si="44"/>
        <v>0.69237918215613381</v>
      </c>
      <c r="G746" s="27">
        <f t="shared" si="45"/>
        <v>3532.0788370000005</v>
      </c>
    </row>
    <row r="747" spans="1:7" ht="13.8" x14ac:dyDescent="0.25">
      <c r="A747" s="22">
        <v>12.288600000000001</v>
      </c>
      <c r="B747" s="14">
        <v>22525</v>
      </c>
      <c r="C747" s="12">
        <f t="shared" si="46"/>
        <v>12.486583000000001</v>
      </c>
      <c r="D747" s="25">
        <f t="shared" si="47"/>
        <v>746</v>
      </c>
      <c r="E747" s="12">
        <v>17.992990722222224</v>
      </c>
      <c r="F747" s="15">
        <f t="shared" si="44"/>
        <v>0.69330855018587356</v>
      </c>
      <c r="G747" s="28">
        <f t="shared" si="45"/>
        <v>3530.2247797000009</v>
      </c>
    </row>
    <row r="748" spans="1:7" ht="13.8" x14ac:dyDescent="0.25">
      <c r="A748" s="21">
        <v>8.3122000000000007</v>
      </c>
      <c r="B748" s="11">
        <v>22494</v>
      </c>
      <c r="C748" s="12">
        <f t="shared" si="46"/>
        <v>8.4461187777777784</v>
      </c>
      <c r="D748" s="24">
        <f t="shared" si="47"/>
        <v>747</v>
      </c>
      <c r="E748" s="15">
        <v>17.964946055555558</v>
      </c>
      <c r="F748" s="12">
        <f t="shared" si="44"/>
        <v>0.69423791821561343</v>
      </c>
      <c r="G748" s="27">
        <f t="shared" si="45"/>
        <v>3524.7224161000004</v>
      </c>
    </row>
    <row r="749" spans="1:7" ht="13.8" x14ac:dyDescent="0.25">
      <c r="A749" s="22">
        <v>11.549099999999999</v>
      </c>
      <c r="B749" s="14">
        <v>22463</v>
      </c>
      <c r="C749" s="12">
        <f t="shared" si="46"/>
        <v>11.735168833333333</v>
      </c>
      <c r="D749" s="25">
        <f t="shared" si="47"/>
        <v>748</v>
      </c>
      <c r="E749" s="15">
        <v>17.885181333333335</v>
      </c>
      <c r="F749" s="15">
        <f t="shared" si="44"/>
        <v>0.69516728624535318</v>
      </c>
      <c r="G749" s="28">
        <f t="shared" si="45"/>
        <v>3509.0725776000004</v>
      </c>
    </row>
    <row r="750" spans="1:7" ht="13.8" x14ac:dyDescent="0.25">
      <c r="A750" s="21">
        <v>17.197600000000001</v>
      </c>
      <c r="B750" s="11">
        <v>22433</v>
      </c>
      <c r="C750" s="12">
        <f t="shared" si="46"/>
        <v>17.474672444444447</v>
      </c>
      <c r="D750" s="24">
        <f t="shared" si="47"/>
        <v>749</v>
      </c>
      <c r="E750" s="12">
        <v>17.874715388888891</v>
      </c>
      <c r="F750" s="12">
        <f t="shared" si="44"/>
        <v>0.69609665427509293</v>
      </c>
      <c r="G750" s="27">
        <f t="shared" si="45"/>
        <v>3507.0191593000004</v>
      </c>
    </row>
    <row r="751" spans="1:7" ht="13.8" x14ac:dyDescent="0.25">
      <c r="A751" s="22">
        <v>34.4</v>
      </c>
      <c r="B751" s="14">
        <v>22402</v>
      </c>
      <c r="C751" s="12">
        <f t="shared" si="46"/>
        <v>34.954222222222221</v>
      </c>
      <c r="D751" s="25">
        <f t="shared" si="47"/>
        <v>750</v>
      </c>
      <c r="E751" s="12">
        <v>17.847585222222222</v>
      </c>
      <c r="F751" s="15">
        <f t="shared" si="44"/>
        <v>0.69702602230483268</v>
      </c>
      <c r="G751" s="28">
        <f t="shared" si="45"/>
        <v>3501.6962205999998</v>
      </c>
    </row>
    <row r="752" spans="1:7" ht="13.8" x14ac:dyDescent="0.25">
      <c r="A752" s="21">
        <v>50.2273</v>
      </c>
      <c r="B752" s="11">
        <v>22372</v>
      </c>
      <c r="C752" s="12">
        <f t="shared" si="46"/>
        <v>51.036517611111115</v>
      </c>
      <c r="D752" s="24">
        <f t="shared" si="47"/>
        <v>751</v>
      </c>
      <c r="E752" s="15">
        <v>17.843012722222223</v>
      </c>
      <c r="F752" s="12">
        <f t="shared" si="44"/>
        <v>0.69795539033457255</v>
      </c>
      <c r="G752" s="27">
        <f t="shared" si="45"/>
        <v>3500.7990961</v>
      </c>
    </row>
    <row r="753" spans="1:7" ht="13.8" x14ac:dyDescent="0.25">
      <c r="A753" s="22">
        <v>113.1942</v>
      </c>
      <c r="B753" s="14">
        <v>22341</v>
      </c>
      <c r="C753" s="12">
        <f t="shared" si="46"/>
        <v>115.01788433333334</v>
      </c>
      <c r="D753" s="25">
        <f t="shared" si="47"/>
        <v>752</v>
      </c>
      <c r="E753" s="15">
        <v>17.832241944444444</v>
      </c>
      <c r="F753" s="15">
        <f t="shared" si="44"/>
        <v>0.6988847583643123</v>
      </c>
      <c r="G753" s="28">
        <f t="shared" si="45"/>
        <v>3498.685869500001</v>
      </c>
    </row>
    <row r="754" spans="1:7" ht="13.8" x14ac:dyDescent="0.25">
      <c r="A754" s="21">
        <v>129.21530000000001</v>
      </c>
      <c r="B754" s="11">
        <v>22313</v>
      </c>
      <c r="C754" s="12">
        <f t="shared" si="46"/>
        <v>131.29710205555557</v>
      </c>
      <c r="D754" s="24">
        <f t="shared" si="47"/>
        <v>753</v>
      </c>
      <c r="E754" s="15">
        <v>17.809887500000002</v>
      </c>
      <c r="F754" s="12">
        <f t="shared" si="44"/>
        <v>0.69981412639405205</v>
      </c>
      <c r="G754" s="27">
        <f t="shared" si="45"/>
        <v>3494.2999275000002</v>
      </c>
    </row>
    <row r="755" spans="1:7" ht="13.8" x14ac:dyDescent="0.25">
      <c r="A755" s="22">
        <v>138.35990000000001</v>
      </c>
      <c r="B755" s="14">
        <v>22282</v>
      </c>
      <c r="C755" s="12">
        <f t="shared" si="46"/>
        <v>140.58903172222224</v>
      </c>
      <c r="D755" s="25">
        <f t="shared" si="47"/>
        <v>754</v>
      </c>
      <c r="E755" s="12">
        <v>17.772596222222223</v>
      </c>
      <c r="F755" s="15">
        <f t="shared" si="44"/>
        <v>0.7007434944237918</v>
      </c>
      <c r="G755" s="28">
        <f t="shared" si="45"/>
        <v>3486.9833788000005</v>
      </c>
    </row>
    <row r="756" spans="1:7" ht="13.8" x14ac:dyDescent="0.25">
      <c r="A756" s="21">
        <v>79.578699999999998</v>
      </c>
      <c r="B756" s="11">
        <v>22251</v>
      </c>
      <c r="C756" s="12">
        <f t="shared" si="46"/>
        <v>80.860801277777782</v>
      </c>
      <c r="D756" s="24">
        <f t="shared" si="47"/>
        <v>755</v>
      </c>
      <c r="E756" s="12">
        <v>17.747599888888892</v>
      </c>
      <c r="F756" s="12">
        <f t="shared" si="44"/>
        <v>0.70167286245353155</v>
      </c>
      <c r="G756" s="27">
        <f t="shared" si="45"/>
        <v>3482.0790982000008</v>
      </c>
    </row>
    <row r="757" spans="1:7" ht="13.8" x14ac:dyDescent="0.25">
      <c r="A757" s="22">
        <v>29.239100000000001</v>
      </c>
      <c r="B757" s="14">
        <v>22221</v>
      </c>
      <c r="C757" s="12">
        <f t="shared" si="46"/>
        <v>29.710174388888891</v>
      </c>
      <c r="D757" s="25">
        <f t="shared" si="47"/>
        <v>756</v>
      </c>
      <c r="E757" s="12">
        <v>17.741096777777781</v>
      </c>
      <c r="F757" s="15">
        <f t="shared" si="44"/>
        <v>0.70260223048327142</v>
      </c>
      <c r="G757" s="28">
        <f t="shared" si="45"/>
        <v>3480.8031878000011</v>
      </c>
    </row>
    <row r="758" spans="1:7" ht="13.8" x14ac:dyDescent="0.25">
      <c r="A758" s="21">
        <v>7.6181000000000001</v>
      </c>
      <c r="B758" s="11">
        <v>22190</v>
      </c>
      <c r="C758" s="12">
        <f t="shared" si="46"/>
        <v>7.7408360555555564</v>
      </c>
      <c r="D758" s="24">
        <f t="shared" si="47"/>
        <v>757</v>
      </c>
      <c r="E758" s="15">
        <v>17.711324722222223</v>
      </c>
      <c r="F758" s="12">
        <f t="shared" si="44"/>
        <v>0.70353159851301117</v>
      </c>
      <c r="G758" s="27">
        <f t="shared" si="45"/>
        <v>3474.9619105000006</v>
      </c>
    </row>
    <row r="759" spans="1:7" ht="13.8" x14ac:dyDescent="0.25">
      <c r="A759" s="22">
        <v>5.1714000000000002</v>
      </c>
      <c r="B759" s="14">
        <v>22160</v>
      </c>
      <c r="C759" s="12">
        <f t="shared" si="46"/>
        <v>5.2547170000000003</v>
      </c>
      <c r="D759" s="25">
        <f t="shared" si="47"/>
        <v>758</v>
      </c>
      <c r="E759" s="12">
        <v>17.704923222222224</v>
      </c>
      <c r="F759" s="15">
        <f t="shared" si="44"/>
        <v>0.70446096654275092</v>
      </c>
      <c r="G759" s="28">
        <f t="shared" si="45"/>
        <v>3473.7059362000005</v>
      </c>
    </row>
    <row r="760" spans="1:7" ht="13.8" x14ac:dyDescent="0.25">
      <c r="A760" s="21">
        <v>7.2178000000000004</v>
      </c>
      <c r="B760" s="11">
        <v>22129</v>
      </c>
      <c r="C760" s="12">
        <f t="shared" si="46"/>
        <v>7.3340867777777792</v>
      </c>
      <c r="D760" s="24">
        <f t="shared" si="47"/>
        <v>759</v>
      </c>
      <c r="E760" s="15">
        <v>17.698115277777781</v>
      </c>
      <c r="F760" s="12">
        <f t="shared" si="44"/>
        <v>0.70539033457249067</v>
      </c>
      <c r="G760" s="27">
        <f t="shared" si="45"/>
        <v>3472.3702175000008</v>
      </c>
    </row>
    <row r="761" spans="1:7" ht="13.8" x14ac:dyDescent="0.25">
      <c r="A761" s="22">
        <v>11.1312</v>
      </c>
      <c r="B761" s="14">
        <v>22098</v>
      </c>
      <c r="C761" s="12">
        <f t="shared" si="46"/>
        <v>11.310536000000001</v>
      </c>
      <c r="D761" s="25">
        <f t="shared" si="47"/>
        <v>760</v>
      </c>
      <c r="E761" s="12">
        <v>17.663872333333334</v>
      </c>
      <c r="F761" s="15">
        <f t="shared" si="44"/>
        <v>0.70631970260223054</v>
      </c>
      <c r="G761" s="28">
        <f t="shared" si="45"/>
        <v>3465.6517518000001</v>
      </c>
    </row>
    <row r="762" spans="1:7" ht="13.8" x14ac:dyDescent="0.25">
      <c r="A762" s="21">
        <v>15.436299999999999</v>
      </c>
      <c r="B762" s="11">
        <v>22068</v>
      </c>
      <c r="C762" s="12">
        <f t="shared" si="46"/>
        <v>15.684995944444445</v>
      </c>
      <c r="D762" s="24">
        <f t="shared" si="47"/>
        <v>761</v>
      </c>
      <c r="E762" s="15">
        <v>17.620281166666668</v>
      </c>
      <c r="F762" s="12">
        <f t="shared" si="44"/>
        <v>0.70724907063197029</v>
      </c>
      <c r="G762" s="27">
        <f t="shared" si="45"/>
        <v>3457.0991649000002</v>
      </c>
    </row>
    <row r="763" spans="1:7" ht="13.8" x14ac:dyDescent="0.25">
      <c r="A763" s="22">
        <v>24.308700000000002</v>
      </c>
      <c r="B763" s="14">
        <v>22037</v>
      </c>
      <c r="C763" s="12">
        <f t="shared" si="46"/>
        <v>24.70034016666667</v>
      </c>
      <c r="D763" s="25">
        <f t="shared" si="47"/>
        <v>762</v>
      </c>
      <c r="E763" s="15">
        <v>17.605039500000004</v>
      </c>
      <c r="F763" s="15">
        <f t="shared" si="44"/>
        <v>0.70817843866171004</v>
      </c>
      <c r="G763" s="28">
        <f t="shared" si="45"/>
        <v>3454.1087499000005</v>
      </c>
    </row>
    <row r="764" spans="1:7" ht="13.8" x14ac:dyDescent="0.25">
      <c r="A764" s="21">
        <v>30.7042</v>
      </c>
      <c r="B764" s="11">
        <v>22007</v>
      </c>
      <c r="C764" s="12">
        <f t="shared" si="46"/>
        <v>31.198878777777779</v>
      </c>
      <c r="D764" s="24">
        <f t="shared" si="47"/>
        <v>763</v>
      </c>
      <c r="E764" s="12">
        <v>17.56896755555556</v>
      </c>
      <c r="F764" s="12">
        <f t="shared" si="44"/>
        <v>0.70910780669144979</v>
      </c>
      <c r="G764" s="27">
        <f t="shared" si="45"/>
        <v>3447.0314344000008</v>
      </c>
    </row>
    <row r="765" spans="1:7" ht="13.8" x14ac:dyDescent="0.25">
      <c r="A765" s="22">
        <v>88.057900000000004</v>
      </c>
      <c r="B765" s="14">
        <v>21976</v>
      </c>
      <c r="C765" s="12">
        <f t="shared" si="46"/>
        <v>89.476610611111127</v>
      </c>
      <c r="D765" s="25">
        <f t="shared" si="47"/>
        <v>764</v>
      </c>
      <c r="E765" s="12">
        <v>17.505155777777777</v>
      </c>
      <c r="F765" s="15">
        <f t="shared" si="44"/>
        <v>0.71003717472118955</v>
      </c>
      <c r="G765" s="28">
        <f t="shared" si="45"/>
        <v>3434.5115636</v>
      </c>
    </row>
    <row r="766" spans="1:7" ht="13.8" x14ac:dyDescent="0.25">
      <c r="A766" s="21">
        <v>51.433</v>
      </c>
      <c r="B766" s="11">
        <v>21947</v>
      </c>
      <c r="C766" s="12">
        <f t="shared" si="46"/>
        <v>52.26164277777778</v>
      </c>
      <c r="D766" s="24">
        <f t="shared" si="47"/>
        <v>765</v>
      </c>
      <c r="E766" s="12">
        <v>17.474672444444447</v>
      </c>
      <c r="F766" s="12">
        <f t="shared" si="44"/>
        <v>0.71096654275092941</v>
      </c>
      <c r="G766" s="27">
        <f t="shared" si="45"/>
        <v>3428.5307336000005</v>
      </c>
    </row>
    <row r="767" spans="1:7" ht="13.8" x14ac:dyDescent="0.25">
      <c r="A767" s="22">
        <v>96.759100000000004</v>
      </c>
      <c r="B767" s="14">
        <v>21916</v>
      </c>
      <c r="C767" s="12">
        <f t="shared" si="46"/>
        <v>98.317996611111127</v>
      </c>
      <c r="D767" s="25">
        <f t="shared" si="47"/>
        <v>766</v>
      </c>
      <c r="E767" s="15">
        <v>17.473351500000003</v>
      </c>
      <c r="F767" s="15">
        <f t="shared" si="44"/>
        <v>0.71189591078066916</v>
      </c>
      <c r="G767" s="28">
        <f t="shared" si="45"/>
        <v>3428.271564300001</v>
      </c>
    </row>
    <row r="768" spans="1:7" ht="13.8" x14ac:dyDescent="0.25">
      <c r="A768" s="21">
        <v>40.8264</v>
      </c>
      <c r="B768" s="11">
        <v>21885</v>
      </c>
      <c r="C768" s="12">
        <f t="shared" si="46"/>
        <v>41.484158666666673</v>
      </c>
      <c r="D768" s="24">
        <f t="shared" si="47"/>
        <v>767</v>
      </c>
      <c r="E768" s="12">
        <v>17.444697166666668</v>
      </c>
      <c r="F768" s="12">
        <f t="shared" si="44"/>
        <v>0.71282527881040891</v>
      </c>
      <c r="G768" s="27">
        <f t="shared" si="45"/>
        <v>3422.6495841000005</v>
      </c>
    </row>
    <row r="769" spans="1:7" ht="13.8" x14ac:dyDescent="0.25">
      <c r="A769" s="22">
        <v>43.651200000000003</v>
      </c>
      <c r="B769" s="14">
        <v>21855</v>
      </c>
      <c r="C769" s="12">
        <f t="shared" si="46"/>
        <v>44.354469333333341</v>
      </c>
      <c r="D769" s="25">
        <f t="shared" si="47"/>
        <v>768</v>
      </c>
      <c r="E769" s="12">
        <v>17.401207611111111</v>
      </c>
      <c r="F769" s="15">
        <f t="shared" si="44"/>
        <v>0.71375464684014867</v>
      </c>
      <c r="G769" s="28">
        <f t="shared" si="45"/>
        <v>3414.1169333000003</v>
      </c>
    </row>
    <row r="770" spans="1:7" ht="13.8" x14ac:dyDescent="0.25">
      <c r="A770" s="21">
        <v>11.352</v>
      </c>
      <c r="B770" s="11">
        <v>21824</v>
      </c>
      <c r="C770" s="12">
        <f t="shared" si="46"/>
        <v>11.534893333333335</v>
      </c>
      <c r="D770" s="24">
        <f t="shared" si="47"/>
        <v>769</v>
      </c>
      <c r="E770" s="16">
        <v>17.325608944444443</v>
      </c>
      <c r="F770" s="12">
        <f t="shared" ref="F770:F833" si="48">D770/1076</f>
        <v>0.71468401486988853</v>
      </c>
      <c r="G770" s="27">
        <f t="shared" ref="G770:G833" si="49">1000*E770*$J$2*9.81/1000</f>
        <v>3399.2844749000001</v>
      </c>
    </row>
    <row r="771" spans="1:7" ht="13.8" x14ac:dyDescent="0.25">
      <c r="A771" s="22">
        <v>9.4016000000000002</v>
      </c>
      <c r="B771" s="14">
        <v>21794</v>
      </c>
      <c r="C771" s="12">
        <f t="shared" ref="C771:C834" si="50">A771*($I$2/$H$2)</f>
        <v>9.5530702222222228</v>
      </c>
      <c r="D771" s="25">
        <f t="shared" ref="D771:D834" si="51">D770+1</f>
        <v>770</v>
      </c>
      <c r="E771" s="12">
        <v>17.273888888888891</v>
      </c>
      <c r="F771" s="15">
        <f t="shared" si="48"/>
        <v>0.71561338289962828</v>
      </c>
      <c r="G771" s="28">
        <f t="shared" si="49"/>
        <v>3389.1370000000006</v>
      </c>
    </row>
    <row r="772" spans="1:7" ht="13.8" x14ac:dyDescent="0.25">
      <c r="A772" s="21">
        <v>11.7049</v>
      </c>
      <c r="B772" s="11">
        <v>21763</v>
      </c>
      <c r="C772" s="12">
        <f t="shared" si="50"/>
        <v>11.893478944444446</v>
      </c>
      <c r="D772" s="24">
        <f t="shared" si="51"/>
        <v>771</v>
      </c>
      <c r="E772" s="15">
        <v>17.264743888888891</v>
      </c>
      <c r="F772" s="12">
        <f t="shared" si="48"/>
        <v>0.71654275092936803</v>
      </c>
      <c r="G772" s="27">
        <f t="shared" si="49"/>
        <v>3387.3427510000001</v>
      </c>
    </row>
    <row r="773" spans="1:7" ht="13.8" x14ac:dyDescent="0.25">
      <c r="A773" s="22">
        <v>11.9062</v>
      </c>
      <c r="B773" s="14">
        <v>21732</v>
      </c>
      <c r="C773" s="12">
        <f t="shared" si="50"/>
        <v>12.098022111111112</v>
      </c>
      <c r="D773" s="25">
        <f t="shared" si="51"/>
        <v>772</v>
      </c>
      <c r="E773" s="12">
        <v>17.185284000000003</v>
      </c>
      <c r="F773" s="15">
        <f t="shared" si="48"/>
        <v>0.71747211895910779</v>
      </c>
      <c r="G773" s="28">
        <f t="shared" si="49"/>
        <v>3371.7527208000006</v>
      </c>
    </row>
    <row r="774" spans="1:7" ht="13.8" x14ac:dyDescent="0.25">
      <c r="A774" s="21">
        <v>15.5983</v>
      </c>
      <c r="B774" s="11">
        <v>21702</v>
      </c>
      <c r="C774" s="12">
        <f t="shared" si="50"/>
        <v>15.849605944444445</v>
      </c>
      <c r="D774" s="24">
        <f t="shared" si="51"/>
        <v>773</v>
      </c>
      <c r="E774" s="12">
        <v>17.132954277777777</v>
      </c>
      <c r="F774" s="12">
        <f t="shared" si="48"/>
        <v>0.71840148698884754</v>
      </c>
      <c r="G774" s="27">
        <f t="shared" si="49"/>
        <v>3361.4856293000007</v>
      </c>
    </row>
    <row r="775" spans="1:7" ht="13.8" x14ac:dyDescent="0.25">
      <c r="A775" s="22">
        <v>22.115600000000001</v>
      </c>
      <c r="B775" s="14">
        <v>21671</v>
      </c>
      <c r="C775" s="12">
        <f t="shared" si="50"/>
        <v>22.471906888888892</v>
      </c>
      <c r="D775" s="25">
        <f t="shared" si="51"/>
        <v>774</v>
      </c>
      <c r="E775" s="15">
        <v>17.116188444444447</v>
      </c>
      <c r="F775" s="15">
        <f t="shared" si="48"/>
        <v>0.7193308550185874</v>
      </c>
      <c r="G775" s="28">
        <f t="shared" si="49"/>
        <v>3358.1961728000006</v>
      </c>
    </row>
    <row r="776" spans="1:7" ht="13.8" x14ac:dyDescent="0.25">
      <c r="A776" s="21">
        <v>43.456600000000002</v>
      </c>
      <c r="B776" s="11">
        <v>21641</v>
      </c>
      <c r="C776" s="12">
        <f t="shared" si="50"/>
        <v>44.156734111111113</v>
      </c>
      <c r="D776" s="24">
        <f t="shared" si="51"/>
        <v>775</v>
      </c>
      <c r="E776" s="12">
        <v>17.107348277777778</v>
      </c>
      <c r="F776" s="12">
        <f t="shared" si="48"/>
        <v>0.72026022304832715</v>
      </c>
      <c r="G776" s="27">
        <f t="shared" si="49"/>
        <v>3356.4617321000005</v>
      </c>
    </row>
    <row r="777" spans="1:7" ht="13.8" x14ac:dyDescent="0.25">
      <c r="A777" s="22">
        <v>39.8172</v>
      </c>
      <c r="B777" s="14">
        <v>21610</v>
      </c>
      <c r="C777" s="12">
        <f t="shared" si="50"/>
        <v>40.458699333333335</v>
      </c>
      <c r="D777" s="25">
        <f t="shared" si="51"/>
        <v>776</v>
      </c>
      <c r="E777" s="12">
        <v>17.101556444444448</v>
      </c>
      <c r="F777" s="15">
        <f t="shared" si="48"/>
        <v>0.72118959107806691</v>
      </c>
      <c r="G777" s="28">
        <f t="shared" si="49"/>
        <v>3355.3253744000003</v>
      </c>
    </row>
    <row r="778" spans="1:7" ht="13.8" x14ac:dyDescent="0.25">
      <c r="A778" s="21">
        <v>36.2652</v>
      </c>
      <c r="B778" s="11">
        <v>21582</v>
      </c>
      <c r="C778" s="12">
        <f t="shared" si="50"/>
        <v>36.849472666666671</v>
      </c>
      <c r="D778" s="24">
        <f t="shared" si="51"/>
        <v>777</v>
      </c>
      <c r="E778" s="15">
        <v>17.053291166666668</v>
      </c>
      <c r="F778" s="12">
        <f t="shared" si="48"/>
        <v>0.72211895910780666</v>
      </c>
      <c r="G778" s="27">
        <f t="shared" si="49"/>
        <v>3345.8557269000007</v>
      </c>
    </row>
    <row r="779" spans="1:7" ht="13.8" x14ac:dyDescent="0.25">
      <c r="A779" s="22">
        <v>73.112700000000004</v>
      </c>
      <c r="B779" s="14">
        <v>21551</v>
      </c>
      <c r="C779" s="12">
        <f t="shared" si="50"/>
        <v>74.290626833333349</v>
      </c>
      <c r="D779" s="25">
        <f t="shared" si="51"/>
        <v>778</v>
      </c>
      <c r="E779" s="12">
        <v>17.023112666666666</v>
      </c>
      <c r="F779" s="15">
        <f t="shared" si="48"/>
        <v>0.72304832713754652</v>
      </c>
      <c r="G779" s="28">
        <f t="shared" si="49"/>
        <v>3339.9347052000003</v>
      </c>
    </row>
    <row r="780" spans="1:7" ht="13.8" x14ac:dyDescent="0.25">
      <c r="A780" s="21">
        <v>41.868400000000001</v>
      </c>
      <c r="B780" s="11">
        <v>21520</v>
      </c>
      <c r="C780" s="12">
        <f t="shared" si="50"/>
        <v>42.542946444444446</v>
      </c>
      <c r="D780" s="24">
        <f t="shared" si="51"/>
        <v>779</v>
      </c>
      <c r="E780" s="15">
        <v>16.995169611111113</v>
      </c>
      <c r="F780" s="12">
        <f t="shared" si="48"/>
        <v>0.72397769516728627</v>
      </c>
      <c r="G780" s="27">
        <f t="shared" si="49"/>
        <v>3334.4522777000006</v>
      </c>
    </row>
    <row r="781" spans="1:7" ht="13.8" x14ac:dyDescent="0.25">
      <c r="A781" s="22">
        <v>34.195399999999999</v>
      </c>
      <c r="B781" s="14">
        <v>21490</v>
      </c>
      <c r="C781" s="12">
        <f t="shared" si="50"/>
        <v>34.74632588888889</v>
      </c>
      <c r="D781" s="25">
        <f t="shared" si="51"/>
        <v>780</v>
      </c>
      <c r="E781" s="15">
        <v>16.994966388888891</v>
      </c>
      <c r="F781" s="15">
        <f t="shared" si="48"/>
        <v>0.72490706319702602</v>
      </c>
      <c r="G781" s="28">
        <f t="shared" si="49"/>
        <v>3334.4124055000002</v>
      </c>
    </row>
    <row r="782" spans="1:7" ht="13.8" x14ac:dyDescent="0.25">
      <c r="A782" s="21">
        <v>40.197699999999998</v>
      </c>
      <c r="B782" s="11">
        <v>21459</v>
      </c>
      <c r="C782" s="12">
        <f t="shared" si="50"/>
        <v>40.845329611111111</v>
      </c>
      <c r="D782" s="24">
        <f t="shared" si="51"/>
        <v>781</v>
      </c>
      <c r="E782" s="15">
        <v>16.937251277777779</v>
      </c>
      <c r="F782" s="12">
        <f t="shared" si="48"/>
        <v>0.72583643122676578</v>
      </c>
      <c r="G782" s="27">
        <f t="shared" si="49"/>
        <v>3323.0887007000006</v>
      </c>
    </row>
    <row r="783" spans="1:7" ht="13.8" x14ac:dyDescent="0.25">
      <c r="A783" s="22">
        <v>25.226800000000001</v>
      </c>
      <c r="B783" s="14">
        <v>21429</v>
      </c>
      <c r="C783" s="12">
        <f t="shared" si="50"/>
        <v>25.63323177777778</v>
      </c>
      <c r="D783" s="25">
        <f t="shared" si="51"/>
        <v>782</v>
      </c>
      <c r="E783" s="15">
        <v>16.928512722222223</v>
      </c>
      <c r="F783" s="15">
        <f t="shared" si="48"/>
        <v>0.72676579925650553</v>
      </c>
      <c r="G783" s="28">
        <f t="shared" si="49"/>
        <v>3321.3741961000005</v>
      </c>
    </row>
    <row r="784" spans="1:7" ht="13.8" x14ac:dyDescent="0.25">
      <c r="A784" s="21">
        <v>22.530999999999999</v>
      </c>
      <c r="B784" s="11">
        <v>21398</v>
      </c>
      <c r="C784" s="12">
        <f t="shared" si="50"/>
        <v>22.893999444444447</v>
      </c>
      <c r="D784" s="24">
        <f t="shared" si="51"/>
        <v>783</v>
      </c>
      <c r="E784" s="12">
        <v>16.923838611111112</v>
      </c>
      <c r="F784" s="12">
        <f t="shared" si="48"/>
        <v>0.72769516728624539</v>
      </c>
      <c r="G784" s="27">
        <f t="shared" si="49"/>
        <v>3320.4571354999998</v>
      </c>
    </row>
    <row r="785" spans="1:7" ht="13.8" x14ac:dyDescent="0.25">
      <c r="A785" s="22">
        <v>27.499300000000002</v>
      </c>
      <c r="B785" s="14">
        <v>21367</v>
      </c>
      <c r="C785" s="12">
        <f t="shared" si="50"/>
        <v>27.942344277777782</v>
      </c>
      <c r="D785" s="25">
        <f t="shared" si="51"/>
        <v>784</v>
      </c>
      <c r="E785" s="15">
        <v>16.921908000000002</v>
      </c>
      <c r="F785" s="15">
        <f t="shared" si="48"/>
        <v>0.72862453531598514</v>
      </c>
      <c r="G785" s="28">
        <f t="shared" si="49"/>
        <v>3320.0783496000004</v>
      </c>
    </row>
    <row r="786" spans="1:7" ht="13.8" x14ac:dyDescent="0.25">
      <c r="A786" s="21">
        <v>31.072299999999998</v>
      </c>
      <c r="B786" s="11">
        <v>21337</v>
      </c>
      <c r="C786" s="12">
        <f t="shared" si="50"/>
        <v>31.572909277777779</v>
      </c>
      <c r="D786" s="24">
        <f t="shared" si="51"/>
        <v>785</v>
      </c>
      <c r="E786" s="12">
        <v>16.917132277777782</v>
      </c>
      <c r="F786" s="12">
        <f t="shared" si="48"/>
        <v>0.7295539033457249</v>
      </c>
      <c r="G786" s="27">
        <f t="shared" si="49"/>
        <v>3319.141352900001</v>
      </c>
    </row>
    <row r="787" spans="1:7" ht="13.8" x14ac:dyDescent="0.25">
      <c r="A787" s="22">
        <v>33.588200000000001</v>
      </c>
      <c r="B787" s="14">
        <v>21306</v>
      </c>
      <c r="C787" s="12">
        <f t="shared" si="50"/>
        <v>34.129343222222225</v>
      </c>
      <c r="D787" s="25">
        <f t="shared" si="51"/>
        <v>786</v>
      </c>
      <c r="E787" s="12">
        <v>16.913575888888889</v>
      </c>
      <c r="F787" s="15">
        <f t="shared" si="48"/>
        <v>0.73048327137546465</v>
      </c>
      <c r="G787" s="28">
        <f t="shared" si="49"/>
        <v>3318.4435893999998</v>
      </c>
    </row>
    <row r="788" spans="1:7" ht="13.8" x14ac:dyDescent="0.25">
      <c r="A788" s="21">
        <v>34.119100000000003</v>
      </c>
      <c r="B788" s="11">
        <v>21276</v>
      </c>
      <c r="C788" s="12">
        <f t="shared" si="50"/>
        <v>34.668796611111119</v>
      </c>
      <c r="D788" s="24">
        <f t="shared" si="51"/>
        <v>787</v>
      </c>
      <c r="E788" s="12">
        <v>16.883803833333335</v>
      </c>
      <c r="F788" s="12">
        <f t="shared" si="48"/>
        <v>0.73141263940520451</v>
      </c>
      <c r="G788" s="27">
        <f t="shared" si="49"/>
        <v>3312.6023121000007</v>
      </c>
    </row>
    <row r="789" spans="1:7" ht="13.8" x14ac:dyDescent="0.25">
      <c r="A789" s="22">
        <v>38.1935</v>
      </c>
      <c r="B789" s="14">
        <v>21245</v>
      </c>
      <c r="C789" s="12">
        <f t="shared" si="50"/>
        <v>38.808839722222224</v>
      </c>
      <c r="D789" s="25">
        <f t="shared" si="51"/>
        <v>788</v>
      </c>
      <c r="E789" s="12">
        <v>16.877503944444445</v>
      </c>
      <c r="F789" s="15">
        <f t="shared" si="48"/>
        <v>0.73234200743494426</v>
      </c>
      <c r="G789" s="28">
        <f t="shared" si="49"/>
        <v>3311.3662739000001</v>
      </c>
    </row>
    <row r="790" spans="1:7" ht="13.8" x14ac:dyDescent="0.25">
      <c r="A790" s="21">
        <v>42.256300000000003</v>
      </c>
      <c r="B790" s="11">
        <v>21217</v>
      </c>
      <c r="C790" s="12">
        <f t="shared" si="50"/>
        <v>42.937095944444451</v>
      </c>
      <c r="D790" s="24">
        <f t="shared" si="51"/>
        <v>789</v>
      </c>
      <c r="E790" s="15">
        <v>16.809119666666668</v>
      </c>
      <c r="F790" s="12">
        <f t="shared" si="48"/>
        <v>0.73327137546468402</v>
      </c>
      <c r="G790" s="27">
        <f t="shared" si="49"/>
        <v>3297.9492786000005</v>
      </c>
    </row>
    <row r="791" spans="1:7" ht="13.8" x14ac:dyDescent="0.25">
      <c r="A791" s="22">
        <v>40.527799999999999</v>
      </c>
      <c r="B791" s="14">
        <v>21186</v>
      </c>
      <c r="C791" s="12">
        <f t="shared" si="50"/>
        <v>41.180747888888888</v>
      </c>
      <c r="D791" s="25">
        <f t="shared" si="51"/>
        <v>790</v>
      </c>
      <c r="E791" s="12">
        <v>16.807697111111111</v>
      </c>
      <c r="F791" s="15">
        <f t="shared" si="48"/>
        <v>0.73420074349442377</v>
      </c>
      <c r="G791" s="28">
        <f t="shared" si="49"/>
        <v>3297.6701732000001</v>
      </c>
    </row>
    <row r="792" spans="1:7" ht="13.8" x14ac:dyDescent="0.25">
      <c r="A792" s="21">
        <v>42.078299999999999</v>
      </c>
      <c r="B792" s="11">
        <v>21155</v>
      </c>
      <c r="C792" s="12">
        <f t="shared" si="50"/>
        <v>42.756228166666666</v>
      </c>
      <c r="D792" s="24">
        <f t="shared" si="51"/>
        <v>791</v>
      </c>
      <c r="E792" s="15">
        <v>16.797637611111114</v>
      </c>
      <c r="F792" s="12">
        <f t="shared" si="48"/>
        <v>0.73513011152416352</v>
      </c>
      <c r="G792" s="27">
        <f t="shared" si="49"/>
        <v>3295.6964993000006</v>
      </c>
    </row>
    <row r="793" spans="1:7" ht="13.8" x14ac:dyDescent="0.25">
      <c r="A793" s="22">
        <v>43.595199999999998</v>
      </c>
      <c r="B793" s="14">
        <v>21125</v>
      </c>
      <c r="C793" s="12">
        <f t="shared" si="50"/>
        <v>44.297567111111114</v>
      </c>
      <c r="D793" s="25">
        <f t="shared" si="51"/>
        <v>792</v>
      </c>
      <c r="E793" s="12">
        <v>16.740938611111112</v>
      </c>
      <c r="F793" s="15">
        <f t="shared" si="48"/>
        <v>0.73605947955390338</v>
      </c>
      <c r="G793" s="28">
        <f t="shared" si="49"/>
        <v>3284.5721555000005</v>
      </c>
    </row>
    <row r="794" spans="1:7" ht="13.8" x14ac:dyDescent="0.25">
      <c r="A794" s="21">
        <v>25.8049</v>
      </c>
      <c r="B794" s="11">
        <v>21094</v>
      </c>
      <c r="C794" s="12">
        <f t="shared" si="50"/>
        <v>26.220645611111113</v>
      </c>
      <c r="D794" s="24">
        <f t="shared" si="51"/>
        <v>793</v>
      </c>
      <c r="E794" s="15">
        <v>16.719092222222223</v>
      </c>
      <c r="F794" s="12">
        <f t="shared" si="48"/>
        <v>0.73698884758364314</v>
      </c>
      <c r="G794" s="27">
        <f t="shared" si="49"/>
        <v>3280.2858939999996</v>
      </c>
    </row>
    <row r="795" spans="1:7" ht="13.8" x14ac:dyDescent="0.25">
      <c r="A795" s="22">
        <v>38.2438</v>
      </c>
      <c r="B795" s="14">
        <v>21064</v>
      </c>
      <c r="C795" s="12">
        <f t="shared" si="50"/>
        <v>38.859950111111111</v>
      </c>
      <c r="D795" s="25">
        <f t="shared" si="51"/>
        <v>794</v>
      </c>
      <c r="E795" s="15">
        <v>16.711369777777779</v>
      </c>
      <c r="F795" s="15">
        <f t="shared" si="48"/>
        <v>0.73791821561338289</v>
      </c>
      <c r="G795" s="28">
        <f t="shared" si="49"/>
        <v>3278.7707504000005</v>
      </c>
    </row>
    <row r="796" spans="1:7" ht="13.8" x14ac:dyDescent="0.25">
      <c r="A796" s="21">
        <v>28.3231</v>
      </c>
      <c r="B796" s="11">
        <v>21033</v>
      </c>
      <c r="C796" s="12">
        <f t="shared" si="50"/>
        <v>28.779416611111113</v>
      </c>
      <c r="D796" s="24">
        <f t="shared" si="51"/>
        <v>795</v>
      </c>
      <c r="E796" s="15">
        <v>16.704866666666668</v>
      </c>
      <c r="F796" s="12">
        <f t="shared" si="48"/>
        <v>0.73884758364312264</v>
      </c>
      <c r="G796" s="27">
        <f t="shared" si="49"/>
        <v>3277.4948400000003</v>
      </c>
    </row>
    <row r="797" spans="1:7" ht="13.8" x14ac:dyDescent="0.25">
      <c r="A797" s="22">
        <v>37.6447</v>
      </c>
      <c r="B797" s="14">
        <v>21002</v>
      </c>
      <c r="C797" s="12">
        <f t="shared" si="50"/>
        <v>38.251197944444449</v>
      </c>
      <c r="D797" s="25">
        <f t="shared" si="51"/>
        <v>796</v>
      </c>
      <c r="E797" s="15">
        <v>16.698871611111112</v>
      </c>
      <c r="F797" s="15">
        <f t="shared" si="48"/>
        <v>0.7397769516728625</v>
      </c>
      <c r="G797" s="28">
        <f t="shared" si="49"/>
        <v>3276.3186101000006</v>
      </c>
    </row>
    <row r="798" spans="1:7" ht="13.8" x14ac:dyDescent="0.25">
      <c r="A798" s="21">
        <v>39.559899999999999</v>
      </c>
      <c r="B798" s="11">
        <v>20972</v>
      </c>
      <c r="C798" s="12">
        <f t="shared" si="50"/>
        <v>40.197253944444448</v>
      </c>
      <c r="D798" s="24">
        <f t="shared" si="51"/>
        <v>797</v>
      </c>
      <c r="E798" s="12">
        <v>16.553466111111113</v>
      </c>
      <c r="F798" s="12">
        <f t="shared" si="48"/>
        <v>0.74070631970260226</v>
      </c>
      <c r="G798" s="27">
        <f t="shared" si="49"/>
        <v>3247.7900509999999</v>
      </c>
    </row>
    <row r="799" spans="1:7" ht="13.8" x14ac:dyDescent="0.25">
      <c r="A799" s="22">
        <v>49.092399999999998</v>
      </c>
      <c r="B799" s="14">
        <v>20941</v>
      </c>
      <c r="C799" s="12">
        <f t="shared" si="50"/>
        <v>49.883333111111114</v>
      </c>
      <c r="D799" s="25">
        <f t="shared" si="51"/>
        <v>798</v>
      </c>
      <c r="E799" s="15">
        <v>16.517495777777778</v>
      </c>
      <c r="F799" s="15">
        <f t="shared" si="48"/>
        <v>0.74163568773234201</v>
      </c>
      <c r="G799" s="28">
        <f t="shared" si="49"/>
        <v>3240.7326715999998</v>
      </c>
    </row>
    <row r="800" spans="1:7" ht="13.8" x14ac:dyDescent="0.25">
      <c r="A800" s="21">
        <v>69.389399999999995</v>
      </c>
      <c r="B800" s="11">
        <v>20911</v>
      </c>
      <c r="C800" s="12">
        <f t="shared" si="50"/>
        <v>70.507340333333332</v>
      </c>
      <c r="D800" s="24">
        <f t="shared" si="51"/>
        <v>799</v>
      </c>
      <c r="E800" s="15">
        <v>16.472888500000003</v>
      </c>
      <c r="F800" s="12">
        <f t="shared" si="48"/>
        <v>0.74256505576208176</v>
      </c>
      <c r="G800" s="27">
        <f t="shared" si="49"/>
        <v>3231.9807237000009</v>
      </c>
    </row>
    <row r="801" spans="1:7" ht="13.8" x14ac:dyDescent="0.25">
      <c r="A801" s="22">
        <v>73.252399999999994</v>
      </c>
      <c r="B801" s="14">
        <v>20880</v>
      </c>
      <c r="C801" s="12">
        <f t="shared" si="50"/>
        <v>74.432577555555554</v>
      </c>
      <c r="D801" s="25">
        <f t="shared" si="51"/>
        <v>800</v>
      </c>
      <c r="E801" s="12">
        <v>16.466487000000001</v>
      </c>
      <c r="F801" s="15">
        <f t="shared" si="48"/>
        <v>0.74349442379182151</v>
      </c>
      <c r="G801" s="28">
        <f t="shared" si="49"/>
        <v>3230.7247494000003</v>
      </c>
    </row>
    <row r="802" spans="1:7" ht="13.8" x14ac:dyDescent="0.25">
      <c r="A802" s="21">
        <v>74.3566</v>
      </c>
      <c r="B802" s="11">
        <v>20852</v>
      </c>
      <c r="C802" s="12">
        <f t="shared" si="50"/>
        <v>75.554567444444444</v>
      </c>
      <c r="D802" s="24">
        <f t="shared" si="51"/>
        <v>801</v>
      </c>
      <c r="E802" s="15">
        <v>16.378491777777779</v>
      </c>
      <c r="F802" s="12">
        <f t="shared" si="48"/>
        <v>0.74442379182156138</v>
      </c>
      <c r="G802" s="27">
        <f t="shared" si="49"/>
        <v>3213.4600868000007</v>
      </c>
    </row>
    <row r="803" spans="1:7" ht="13.8" x14ac:dyDescent="0.25">
      <c r="A803" s="22">
        <v>81.178100000000001</v>
      </c>
      <c r="B803" s="14">
        <v>20821</v>
      </c>
      <c r="C803" s="12">
        <f t="shared" si="50"/>
        <v>82.48596938888889</v>
      </c>
      <c r="D803" s="25">
        <f t="shared" si="51"/>
        <v>802</v>
      </c>
      <c r="E803" s="12">
        <v>16.373716055555558</v>
      </c>
      <c r="F803" s="15">
        <f t="shared" si="48"/>
        <v>0.74535315985130113</v>
      </c>
      <c r="G803" s="28">
        <f t="shared" si="49"/>
        <v>3212.5230901000004</v>
      </c>
    </row>
    <row r="804" spans="1:7" ht="13.8" x14ac:dyDescent="0.25">
      <c r="A804" s="21">
        <v>55.901200000000003</v>
      </c>
      <c r="B804" s="11">
        <v>20790</v>
      </c>
      <c r="C804" s="12">
        <f t="shared" si="50"/>
        <v>56.801830444444448</v>
      </c>
      <c r="D804" s="24">
        <f t="shared" si="51"/>
        <v>803</v>
      </c>
      <c r="E804" s="15">
        <v>16.33632316666667</v>
      </c>
      <c r="F804" s="12">
        <f t="shared" si="48"/>
        <v>0.74628252788104088</v>
      </c>
      <c r="G804" s="27">
        <f t="shared" si="49"/>
        <v>3205.1866053000012</v>
      </c>
    </row>
    <row r="805" spans="1:7" ht="13.8" x14ac:dyDescent="0.25">
      <c r="A805" s="22">
        <v>25.293399999999998</v>
      </c>
      <c r="B805" s="14">
        <v>20760</v>
      </c>
      <c r="C805" s="12">
        <f t="shared" si="50"/>
        <v>25.700904777777779</v>
      </c>
      <c r="D805" s="25">
        <f t="shared" si="51"/>
        <v>804</v>
      </c>
      <c r="E805" s="12">
        <v>16.306246277777777</v>
      </c>
      <c r="F805" s="15">
        <f t="shared" si="48"/>
        <v>0.74721189591078063</v>
      </c>
      <c r="G805" s="28">
        <f t="shared" si="49"/>
        <v>3199.2855196999999</v>
      </c>
    </row>
    <row r="806" spans="1:7" ht="13.8" x14ac:dyDescent="0.25">
      <c r="A806" s="21">
        <v>18.715599999999998</v>
      </c>
      <c r="B806" s="11">
        <v>20729</v>
      </c>
      <c r="C806" s="12">
        <f t="shared" si="50"/>
        <v>19.01712911111111</v>
      </c>
      <c r="D806" s="24">
        <f t="shared" si="51"/>
        <v>805</v>
      </c>
      <c r="E806" s="12">
        <v>16.278303222222224</v>
      </c>
      <c r="F806" s="12">
        <f t="shared" si="48"/>
        <v>0.7481412639405205</v>
      </c>
      <c r="G806" s="27">
        <f t="shared" si="49"/>
        <v>3193.8030922000007</v>
      </c>
    </row>
    <row r="807" spans="1:7" ht="13.8" x14ac:dyDescent="0.25">
      <c r="A807" s="22">
        <v>22.288900000000002</v>
      </c>
      <c r="B807" s="14">
        <v>20699</v>
      </c>
      <c r="C807" s="12">
        <f t="shared" si="50"/>
        <v>22.647998944444449</v>
      </c>
      <c r="D807" s="25">
        <f t="shared" si="51"/>
        <v>806</v>
      </c>
      <c r="E807" s="15">
        <v>16.254323000000003</v>
      </c>
      <c r="F807" s="15">
        <f t="shared" si="48"/>
        <v>0.74907063197026025</v>
      </c>
      <c r="G807" s="28">
        <f t="shared" si="49"/>
        <v>3189.0981726</v>
      </c>
    </row>
    <row r="808" spans="1:7" ht="13.8" x14ac:dyDescent="0.25">
      <c r="A808" s="21">
        <v>22.865100000000002</v>
      </c>
      <c r="B808" s="11">
        <v>20668</v>
      </c>
      <c r="C808" s="12">
        <f t="shared" si="50"/>
        <v>23.233482166666668</v>
      </c>
      <c r="D808" s="24">
        <f t="shared" si="51"/>
        <v>807</v>
      </c>
      <c r="E808" s="15">
        <v>16.237252333333334</v>
      </c>
      <c r="F808" s="12">
        <f t="shared" si="48"/>
        <v>0.75</v>
      </c>
      <c r="G808" s="27">
        <f t="shared" si="49"/>
        <v>3185.7489078000008</v>
      </c>
    </row>
    <row r="809" spans="1:7" ht="13.8" x14ac:dyDescent="0.25">
      <c r="A809" s="22">
        <v>22.2745</v>
      </c>
      <c r="B809" s="14">
        <v>20637</v>
      </c>
      <c r="C809" s="12">
        <f t="shared" si="50"/>
        <v>22.633366944444447</v>
      </c>
      <c r="D809" s="25">
        <f t="shared" si="51"/>
        <v>808</v>
      </c>
      <c r="E809" s="15">
        <v>16.214389833333335</v>
      </c>
      <c r="F809" s="15">
        <f t="shared" si="48"/>
        <v>0.75092936802973975</v>
      </c>
      <c r="G809" s="28">
        <f t="shared" si="49"/>
        <v>3181.2632853000005</v>
      </c>
    </row>
    <row r="810" spans="1:7" ht="13.8" x14ac:dyDescent="0.25">
      <c r="A810" s="21">
        <v>26.223500000000001</v>
      </c>
      <c r="B810" s="11">
        <v>20607</v>
      </c>
      <c r="C810" s="12">
        <f t="shared" si="50"/>
        <v>26.645989722222225</v>
      </c>
      <c r="D810" s="24">
        <f t="shared" si="51"/>
        <v>809</v>
      </c>
      <c r="E810" s="15">
        <v>16.188479000000001</v>
      </c>
      <c r="F810" s="12">
        <f t="shared" si="48"/>
        <v>0.7518587360594795</v>
      </c>
      <c r="G810" s="27">
        <f t="shared" si="49"/>
        <v>3176.1795798000003</v>
      </c>
    </row>
    <row r="811" spans="1:7" ht="13.8" x14ac:dyDescent="0.25">
      <c r="A811" s="22">
        <v>27.883700000000001</v>
      </c>
      <c r="B811" s="14">
        <v>20576</v>
      </c>
      <c r="C811" s="12">
        <f t="shared" si="50"/>
        <v>28.332937388888894</v>
      </c>
      <c r="D811" s="25">
        <f t="shared" si="51"/>
        <v>810</v>
      </c>
      <c r="E811" s="12">
        <v>16.18380488888889</v>
      </c>
      <c r="F811" s="15">
        <f t="shared" si="48"/>
        <v>0.75278810408921937</v>
      </c>
      <c r="G811" s="28">
        <f t="shared" si="49"/>
        <v>3175.2625192000005</v>
      </c>
    </row>
    <row r="812" spans="1:7" ht="13.8" x14ac:dyDescent="0.25">
      <c r="A812" s="21">
        <v>32.314999999999998</v>
      </c>
      <c r="B812" s="11">
        <v>20546</v>
      </c>
      <c r="C812" s="12">
        <f t="shared" si="50"/>
        <v>32.835630555555554</v>
      </c>
      <c r="D812" s="24">
        <f t="shared" si="51"/>
        <v>811</v>
      </c>
      <c r="E812" s="12">
        <v>16.149460333333334</v>
      </c>
      <c r="F812" s="12">
        <f t="shared" si="48"/>
        <v>0.75371747211895912</v>
      </c>
      <c r="G812" s="27">
        <f t="shared" si="49"/>
        <v>3168.5241174000003</v>
      </c>
    </row>
    <row r="813" spans="1:7" ht="13.8" x14ac:dyDescent="0.25">
      <c r="A813" s="22">
        <v>52.096800000000002</v>
      </c>
      <c r="B813" s="14">
        <v>20515</v>
      </c>
      <c r="C813" s="12">
        <f t="shared" si="50"/>
        <v>52.936137333333342</v>
      </c>
      <c r="D813" s="25">
        <f t="shared" si="51"/>
        <v>812</v>
      </c>
      <c r="E813" s="12">
        <v>16.080364777777778</v>
      </c>
      <c r="F813" s="15">
        <f t="shared" si="48"/>
        <v>0.75464684014869887</v>
      </c>
      <c r="G813" s="28">
        <f t="shared" si="49"/>
        <v>3154.9675693999998</v>
      </c>
    </row>
    <row r="814" spans="1:7" ht="13.8" x14ac:dyDescent="0.25">
      <c r="A814" s="21">
        <v>36.001100000000001</v>
      </c>
      <c r="B814" s="11">
        <v>20486</v>
      </c>
      <c r="C814" s="12">
        <f t="shared" si="50"/>
        <v>36.581117722222224</v>
      </c>
      <c r="D814" s="24">
        <f t="shared" si="51"/>
        <v>813</v>
      </c>
      <c r="E814" s="12">
        <v>16.04043161111111</v>
      </c>
      <c r="F814" s="12">
        <f t="shared" si="48"/>
        <v>0.75557620817843862</v>
      </c>
      <c r="G814" s="27">
        <f t="shared" si="49"/>
        <v>3147.1326820999993</v>
      </c>
    </row>
    <row r="815" spans="1:7" ht="13.8" x14ac:dyDescent="0.25">
      <c r="A815" s="22">
        <v>41.985700000000001</v>
      </c>
      <c r="B815" s="14">
        <v>20455</v>
      </c>
      <c r="C815" s="12">
        <f t="shared" si="50"/>
        <v>42.662136277777783</v>
      </c>
      <c r="D815" s="25">
        <f t="shared" si="51"/>
        <v>814</v>
      </c>
      <c r="E815" s="15">
        <v>16.035147833333337</v>
      </c>
      <c r="F815" s="15">
        <f t="shared" si="48"/>
        <v>0.75650557620817849</v>
      </c>
      <c r="G815" s="28">
        <f t="shared" si="49"/>
        <v>3146.0960049000005</v>
      </c>
    </row>
    <row r="816" spans="1:7" ht="13.8" x14ac:dyDescent="0.25">
      <c r="A816" s="21">
        <v>61.053899999999999</v>
      </c>
      <c r="B816" s="11">
        <v>20424</v>
      </c>
      <c r="C816" s="12">
        <f t="shared" si="50"/>
        <v>62.037546166666672</v>
      </c>
      <c r="D816" s="24">
        <f t="shared" si="51"/>
        <v>815</v>
      </c>
      <c r="E816" s="15">
        <v>15.948676777777779</v>
      </c>
      <c r="F816" s="12">
        <f t="shared" si="48"/>
        <v>0.75743494423791824</v>
      </c>
      <c r="G816" s="27">
        <f t="shared" si="49"/>
        <v>3129.1303838000003</v>
      </c>
    </row>
    <row r="817" spans="1:7" ht="13.8" x14ac:dyDescent="0.25">
      <c r="A817" s="22">
        <v>17.549499999999998</v>
      </c>
      <c r="B817" s="14">
        <v>20394</v>
      </c>
      <c r="C817" s="12">
        <f t="shared" si="50"/>
        <v>17.832241944444444</v>
      </c>
      <c r="D817" s="25">
        <f t="shared" si="51"/>
        <v>816</v>
      </c>
      <c r="E817" s="15">
        <v>15.918193444444446</v>
      </c>
      <c r="F817" s="15">
        <f t="shared" si="48"/>
        <v>0.75836431226765799</v>
      </c>
      <c r="G817" s="28">
        <f t="shared" si="49"/>
        <v>3123.1495538000004</v>
      </c>
    </row>
    <row r="818" spans="1:7" ht="13.8" x14ac:dyDescent="0.25">
      <c r="A818" s="21">
        <v>15.8254</v>
      </c>
      <c r="B818" s="11">
        <v>20363</v>
      </c>
      <c r="C818" s="12">
        <f t="shared" si="50"/>
        <v>16.080364777777778</v>
      </c>
      <c r="D818" s="24">
        <f t="shared" si="51"/>
        <v>817</v>
      </c>
      <c r="E818" s="15">
        <v>15.911690333333334</v>
      </c>
      <c r="F818" s="12">
        <f t="shared" si="48"/>
        <v>0.75929368029739774</v>
      </c>
      <c r="G818" s="27">
        <f t="shared" si="49"/>
        <v>3121.8736434000002</v>
      </c>
    </row>
    <row r="819" spans="1:7" ht="13.8" x14ac:dyDescent="0.25">
      <c r="A819" s="22">
        <v>11.199400000000001</v>
      </c>
      <c r="B819" s="14">
        <v>20333</v>
      </c>
      <c r="C819" s="12">
        <f t="shared" si="50"/>
        <v>11.379834777777779</v>
      </c>
      <c r="D819" s="25">
        <f t="shared" si="51"/>
        <v>818</v>
      </c>
      <c r="E819" s="12">
        <v>15.896143833333335</v>
      </c>
      <c r="F819" s="15">
        <f t="shared" si="48"/>
        <v>0.7602230483271375</v>
      </c>
      <c r="G819" s="28">
        <f t="shared" si="49"/>
        <v>3118.8234201000005</v>
      </c>
    </row>
    <row r="820" spans="1:7" ht="13.8" x14ac:dyDescent="0.25">
      <c r="A820" s="21">
        <v>14.3302</v>
      </c>
      <c r="B820" s="11">
        <v>20302</v>
      </c>
      <c r="C820" s="12">
        <f t="shared" si="50"/>
        <v>14.561075444444445</v>
      </c>
      <c r="D820" s="24">
        <f t="shared" si="51"/>
        <v>819</v>
      </c>
      <c r="E820" s="12">
        <v>15.856718722222222</v>
      </c>
      <c r="F820" s="12">
        <f t="shared" si="48"/>
        <v>0.76115241635687736</v>
      </c>
      <c r="G820" s="27">
        <f t="shared" si="49"/>
        <v>3111.0882133</v>
      </c>
    </row>
    <row r="821" spans="1:7" ht="13.8" x14ac:dyDescent="0.25">
      <c r="A821" s="22">
        <v>15.173299999999999</v>
      </c>
      <c r="B821" s="14">
        <v>20271</v>
      </c>
      <c r="C821" s="12">
        <f t="shared" si="50"/>
        <v>15.417758722222223</v>
      </c>
      <c r="D821" s="25">
        <f t="shared" si="51"/>
        <v>820</v>
      </c>
      <c r="E821" s="12">
        <v>15.849605944444445</v>
      </c>
      <c r="F821" s="15">
        <f t="shared" si="48"/>
        <v>0.76208178438661711</v>
      </c>
      <c r="G821" s="28">
        <f t="shared" si="49"/>
        <v>3109.6926863000008</v>
      </c>
    </row>
    <row r="822" spans="1:7" ht="13.8" x14ac:dyDescent="0.25">
      <c r="A822" s="21">
        <v>18.4283</v>
      </c>
      <c r="B822" s="11">
        <v>20241</v>
      </c>
      <c r="C822" s="12">
        <f t="shared" si="50"/>
        <v>18.72520038888889</v>
      </c>
      <c r="D822" s="24">
        <f t="shared" si="51"/>
        <v>821</v>
      </c>
      <c r="E822" s="15">
        <v>15.839444833333335</v>
      </c>
      <c r="F822" s="12">
        <f t="shared" si="48"/>
        <v>0.76301115241635686</v>
      </c>
      <c r="G822" s="27">
        <f t="shared" si="49"/>
        <v>3107.6990763000008</v>
      </c>
    </row>
    <row r="823" spans="1:7" ht="13.8" x14ac:dyDescent="0.25">
      <c r="A823" s="22">
        <v>20.651399999999999</v>
      </c>
      <c r="B823" s="14">
        <v>20210</v>
      </c>
      <c r="C823" s="12">
        <f t="shared" si="50"/>
        <v>20.984117000000001</v>
      </c>
      <c r="D823" s="25">
        <f t="shared" si="51"/>
        <v>822</v>
      </c>
      <c r="E823" s="15">
        <v>15.833551388888889</v>
      </c>
      <c r="F823" s="15">
        <f t="shared" si="48"/>
        <v>0.76394052044609662</v>
      </c>
      <c r="G823" s="28">
        <f t="shared" si="49"/>
        <v>3106.5427824999997</v>
      </c>
    </row>
    <row r="824" spans="1:7" ht="13.8" x14ac:dyDescent="0.25">
      <c r="A824" s="21">
        <v>30.7485</v>
      </c>
      <c r="B824" s="11">
        <v>20180</v>
      </c>
      <c r="C824" s="12">
        <f t="shared" si="50"/>
        <v>31.243892500000001</v>
      </c>
      <c r="D824" s="24">
        <f t="shared" si="51"/>
        <v>823</v>
      </c>
      <c r="E824" s="15">
        <v>15.819325833333334</v>
      </c>
      <c r="F824" s="12">
        <f t="shared" si="48"/>
        <v>0.76486988847583648</v>
      </c>
      <c r="G824" s="27">
        <f t="shared" si="49"/>
        <v>3103.7517285000004</v>
      </c>
    </row>
    <row r="825" spans="1:7" ht="13.8" x14ac:dyDescent="0.25">
      <c r="A825" s="22">
        <v>46.061799999999998</v>
      </c>
      <c r="B825" s="14">
        <v>20149</v>
      </c>
      <c r="C825" s="12">
        <f t="shared" si="50"/>
        <v>46.803906777777776</v>
      </c>
      <c r="D825" s="25">
        <f t="shared" si="51"/>
        <v>824</v>
      </c>
      <c r="E825" s="15">
        <v>15.816785555555558</v>
      </c>
      <c r="F825" s="15">
        <f t="shared" si="48"/>
        <v>0.76579925650557623</v>
      </c>
      <c r="G825" s="28">
        <f t="shared" si="49"/>
        <v>3103.2533260000009</v>
      </c>
    </row>
    <row r="826" spans="1:7" ht="13.8" x14ac:dyDescent="0.25">
      <c r="A826" s="21">
        <v>28.796600000000002</v>
      </c>
      <c r="B826" s="11">
        <v>20121</v>
      </c>
      <c r="C826" s="12">
        <f t="shared" si="50"/>
        <v>29.260545222222227</v>
      </c>
      <c r="D826" s="24">
        <f t="shared" si="51"/>
        <v>825</v>
      </c>
      <c r="E826" s="15">
        <v>15.809876000000001</v>
      </c>
      <c r="F826" s="12">
        <f t="shared" si="48"/>
        <v>0.76672862453531598</v>
      </c>
      <c r="G826" s="27">
        <f t="shared" si="49"/>
        <v>3101.8976712000003</v>
      </c>
    </row>
    <row r="827" spans="1:7" ht="13.8" x14ac:dyDescent="0.25">
      <c r="A827" s="22">
        <v>43.951999999999998</v>
      </c>
      <c r="B827" s="14">
        <v>20090</v>
      </c>
      <c r="C827" s="12">
        <f t="shared" si="50"/>
        <v>44.660115555555556</v>
      </c>
      <c r="D827" s="25">
        <f t="shared" si="51"/>
        <v>826</v>
      </c>
      <c r="E827" s="15">
        <v>15.698510222222223</v>
      </c>
      <c r="F827" s="15">
        <f t="shared" si="48"/>
        <v>0.76765799256505574</v>
      </c>
      <c r="G827" s="28">
        <f t="shared" si="49"/>
        <v>3080.0477056</v>
      </c>
    </row>
    <row r="828" spans="1:7" ht="13.8" x14ac:dyDescent="0.25">
      <c r="A828" s="21">
        <v>17.942699999999999</v>
      </c>
      <c r="B828" s="11">
        <v>20059</v>
      </c>
      <c r="C828" s="12">
        <f t="shared" si="50"/>
        <v>18.231776833333335</v>
      </c>
      <c r="D828" s="24">
        <f t="shared" si="51"/>
        <v>827</v>
      </c>
      <c r="E828" s="12">
        <v>15.692210333333335</v>
      </c>
      <c r="F828" s="12">
        <f t="shared" si="48"/>
        <v>0.76858736059479549</v>
      </c>
      <c r="G828" s="27">
        <f t="shared" si="49"/>
        <v>3078.8116674000007</v>
      </c>
    </row>
    <row r="829" spans="1:7" ht="13.8" x14ac:dyDescent="0.25">
      <c r="A829" s="22">
        <v>12.918799999999999</v>
      </c>
      <c r="B829" s="14">
        <v>20029</v>
      </c>
      <c r="C829" s="12">
        <f t="shared" si="50"/>
        <v>13.126936222222222</v>
      </c>
      <c r="D829" s="25">
        <f t="shared" si="51"/>
        <v>828</v>
      </c>
      <c r="E829" s="12">
        <v>15.684995944444445</v>
      </c>
      <c r="F829" s="15">
        <f t="shared" si="48"/>
        <v>0.76951672862453535</v>
      </c>
      <c r="G829" s="28">
        <f t="shared" si="49"/>
        <v>3077.3962043000001</v>
      </c>
    </row>
    <row r="830" spans="1:7" ht="13.8" x14ac:dyDescent="0.25">
      <c r="A830" s="21">
        <v>12.0183</v>
      </c>
      <c r="B830" s="11">
        <v>19998</v>
      </c>
      <c r="C830" s="12">
        <f t="shared" si="50"/>
        <v>12.211928166666668</v>
      </c>
      <c r="D830" s="24">
        <f t="shared" si="51"/>
        <v>829</v>
      </c>
      <c r="E830" s="12">
        <v>15.670262333333334</v>
      </c>
      <c r="F830" s="12">
        <f t="shared" si="48"/>
        <v>0.7704460966542751</v>
      </c>
      <c r="G830" s="27">
        <f t="shared" si="49"/>
        <v>3074.5054698000004</v>
      </c>
    </row>
    <row r="831" spans="1:7" ht="13.8" x14ac:dyDescent="0.25">
      <c r="A831" s="22">
        <v>8.9994999999999994</v>
      </c>
      <c r="B831" s="14">
        <v>19968</v>
      </c>
      <c r="C831" s="12">
        <f t="shared" si="50"/>
        <v>9.1444919444444448</v>
      </c>
      <c r="D831" s="25">
        <f t="shared" si="51"/>
        <v>830</v>
      </c>
      <c r="E831" s="12">
        <v>15.662844722222223</v>
      </c>
      <c r="F831" s="15">
        <f t="shared" si="48"/>
        <v>0.77137546468401486</v>
      </c>
      <c r="G831" s="28">
        <f t="shared" si="49"/>
        <v>3073.0501345000002</v>
      </c>
    </row>
    <row r="832" spans="1:7" ht="13.8" x14ac:dyDescent="0.25">
      <c r="A832" s="21">
        <v>8.1104000000000003</v>
      </c>
      <c r="B832" s="11">
        <v>19937</v>
      </c>
      <c r="C832" s="12">
        <f t="shared" si="50"/>
        <v>8.2410675555555564</v>
      </c>
      <c r="D832" s="24">
        <f t="shared" si="51"/>
        <v>831</v>
      </c>
      <c r="E832" s="12">
        <v>15.616814888888889</v>
      </c>
      <c r="F832" s="12">
        <f t="shared" si="48"/>
        <v>0.77230483271375461</v>
      </c>
      <c r="G832" s="27">
        <f t="shared" si="49"/>
        <v>3064.0190812000001</v>
      </c>
    </row>
    <row r="833" spans="1:7" ht="13.8" x14ac:dyDescent="0.25">
      <c r="A833" s="22">
        <v>9.1530000000000005</v>
      </c>
      <c r="B833" s="14">
        <v>19906</v>
      </c>
      <c r="C833" s="12">
        <f t="shared" si="50"/>
        <v>9.3004650000000009</v>
      </c>
      <c r="D833" s="25">
        <f t="shared" si="51"/>
        <v>832</v>
      </c>
      <c r="E833" s="15">
        <v>15.607060222222223</v>
      </c>
      <c r="F833" s="15">
        <f t="shared" si="48"/>
        <v>0.77323420074349447</v>
      </c>
      <c r="G833" s="28">
        <f t="shared" si="49"/>
        <v>3062.1052156000005</v>
      </c>
    </row>
    <row r="834" spans="1:7" ht="13.8" x14ac:dyDescent="0.25">
      <c r="A834" s="21">
        <v>11.4025</v>
      </c>
      <c r="B834" s="11">
        <v>19876</v>
      </c>
      <c r="C834" s="12">
        <f t="shared" si="50"/>
        <v>11.586206944444445</v>
      </c>
      <c r="D834" s="24">
        <f t="shared" si="51"/>
        <v>833</v>
      </c>
      <c r="E834" s="12">
        <v>15.598931333333335</v>
      </c>
      <c r="F834" s="12">
        <f t="shared" ref="F834:F897" si="52">D834/1076</f>
        <v>0.77416356877323422</v>
      </c>
      <c r="G834" s="27">
        <f t="shared" ref="G834:G897" si="53">1000*E834*$J$2*9.81/1000</f>
        <v>3060.5103276000004</v>
      </c>
    </row>
    <row r="835" spans="1:7" ht="13.8" x14ac:dyDescent="0.25">
      <c r="A835" s="22">
        <v>14.9041</v>
      </c>
      <c r="B835" s="14">
        <v>19845</v>
      </c>
      <c r="C835" s="12">
        <f t="shared" ref="C835:C898" si="54">A835*($I$2/$H$2)</f>
        <v>15.144221611111112</v>
      </c>
      <c r="D835" s="25">
        <f t="shared" ref="D835:D898" si="55">D834+1</f>
        <v>834</v>
      </c>
      <c r="E835" s="15">
        <v>15.597305555555556</v>
      </c>
      <c r="F835" s="15">
        <f t="shared" si="52"/>
        <v>0.77509293680297398</v>
      </c>
      <c r="G835" s="28">
        <f t="shared" si="53"/>
        <v>3060.1913500000001</v>
      </c>
    </row>
    <row r="836" spans="1:7" ht="13.8" x14ac:dyDescent="0.25">
      <c r="A836" s="21">
        <v>13.592499999999999</v>
      </c>
      <c r="B836" s="11">
        <v>19815</v>
      </c>
      <c r="C836" s="12">
        <f t="shared" si="54"/>
        <v>13.811490277777779</v>
      </c>
      <c r="D836" s="24">
        <f t="shared" si="55"/>
        <v>835</v>
      </c>
      <c r="E836" s="12">
        <v>15.59303788888889</v>
      </c>
      <c r="F836" s="12">
        <f t="shared" si="52"/>
        <v>0.77602230483271373</v>
      </c>
      <c r="G836" s="27">
        <f t="shared" si="53"/>
        <v>3059.3540338000003</v>
      </c>
    </row>
    <row r="837" spans="1:7" ht="13.8" x14ac:dyDescent="0.25">
      <c r="A837" s="22">
        <v>16.6601</v>
      </c>
      <c r="B837" s="14">
        <v>19784</v>
      </c>
      <c r="C837" s="12">
        <f t="shared" si="54"/>
        <v>16.928512722222223</v>
      </c>
      <c r="D837" s="25">
        <f t="shared" si="55"/>
        <v>836</v>
      </c>
      <c r="E837" s="15">
        <v>15.589481500000002</v>
      </c>
      <c r="F837" s="15">
        <f t="shared" si="52"/>
        <v>0.77695167286245348</v>
      </c>
      <c r="G837" s="28">
        <f t="shared" si="53"/>
        <v>3058.6562703</v>
      </c>
    </row>
    <row r="838" spans="1:7" ht="13.8" x14ac:dyDescent="0.25">
      <c r="A838" s="21">
        <v>46.315100000000001</v>
      </c>
      <c r="B838" s="11">
        <v>19756</v>
      </c>
      <c r="C838" s="12">
        <f t="shared" si="54"/>
        <v>47.061287722222225</v>
      </c>
      <c r="D838" s="24">
        <f t="shared" si="55"/>
        <v>837</v>
      </c>
      <c r="E838" s="12">
        <v>15.576170444444445</v>
      </c>
      <c r="F838" s="12">
        <f t="shared" si="52"/>
        <v>0.77788104089219334</v>
      </c>
      <c r="G838" s="27">
        <f t="shared" si="53"/>
        <v>3056.0446412000006</v>
      </c>
    </row>
    <row r="839" spans="1:7" ht="13.8" x14ac:dyDescent="0.25">
      <c r="A839" s="22">
        <v>22.1478</v>
      </c>
      <c r="B839" s="14">
        <v>19725</v>
      </c>
      <c r="C839" s="12">
        <f t="shared" si="54"/>
        <v>22.504625666666669</v>
      </c>
      <c r="D839" s="25">
        <f t="shared" si="55"/>
        <v>838</v>
      </c>
      <c r="E839" s="12">
        <v>15.567228666666667</v>
      </c>
      <c r="F839" s="15">
        <f t="shared" si="52"/>
        <v>0.77881040892193309</v>
      </c>
      <c r="G839" s="28">
        <f t="shared" si="53"/>
        <v>3054.2902643999996</v>
      </c>
    </row>
    <row r="840" spans="1:7" ht="13.8" x14ac:dyDescent="0.25">
      <c r="A840" s="21">
        <v>30.7074</v>
      </c>
      <c r="B840" s="11">
        <v>19694</v>
      </c>
      <c r="C840" s="12">
        <f t="shared" si="54"/>
        <v>31.202130333333336</v>
      </c>
      <c r="D840" s="24">
        <f t="shared" si="55"/>
        <v>839</v>
      </c>
      <c r="E840" s="12">
        <v>15.554324055555558</v>
      </c>
      <c r="F840" s="12">
        <f t="shared" si="52"/>
        <v>0.77973977695167285</v>
      </c>
      <c r="G840" s="27">
        <f t="shared" si="53"/>
        <v>3051.7583797000007</v>
      </c>
    </row>
    <row r="841" spans="1:7" ht="13.8" x14ac:dyDescent="0.25">
      <c r="A841" s="22">
        <v>23.6511</v>
      </c>
      <c r="B841" s="14">
        <v>19664</v>
      </c>
      <c r="C841" s="12">
        <f t="shared" si="54"/>
        <v>24.032145500000002</v>
      </c>
      <c r="D841" s="25">
        <f t="shared" si="55"/>
        <v>840</v>
      </c>
      <c r="E841" s="15">
        <v>15.527092277777779</v>
      </c>
      <c r="F841" s="15">
        <f t="shared" si="52"/>
        <v>0.7806691449814126</v>
      </c>
      <c r="G841" s="28">
        <f t="shared" si="53"/>
        <v>3046.4155049000005</v>
      </c>
    </row>
    <row r="842" spans="1:7" ht="13.8" x14ac:dyDescent="0.25">
      <c r="A842" s="21">
        <v>13.7569</v>
      </c>
      <c r="B842" s="11">
        <v>19633</v>
      </c>
      <c r="C842" s="12">
        <f t="shared" si="54"/>
        <v>13.978538944444445</v>
      </c>
      <c r="D842" s="24">
        <f t="shared" si="55"/>
        <v>841</v>
      </c>
      <c r="E842" s="12">
        <v>15.517947277777779</v>
      </c>
      <c r="F842" s="12">
        <f t="shared" si="52"/>
        <v>0.78159851301115246</v>
      </c>
      <c r="G842" s="27">
        <f t="shared" si="53"/>
        <v>3044.6212559000001</v>
      </c>
    </row>
    <row r="843" spans="1:7" ht="13.8" x14ac:dyDescent="0.25">
      <c r="A843" s="22">
        <v>13.318300000000001</v>
      </c>
      <c r="B843" s="14">
        <v>19603</v>
      </c>
      <c r="C843" s="12">
        <f t="shared" si="54"/>
        <v>13.532872611111113</v>
      </c>
      <c r="D843" s="25">
        <f t="shared" si="55"/>
        <v>842</v>
      </c>
      <c r="E843" s="12">
        <v>15.449766222222223</v>
      </c>
      <c r="F843" s="15">
        <f t="shared" si="52"/>
        <v>0.78252788104089221</v>
      </c>
      <c r="G843" s="28">
        <f t="shared" si="53"/>
        <v>3031.2441328000004</v>
      </c>
    </row>
    <row r="844" spans="1:7" ht="13.8" x14ac:dyDescent="0.25">
      <c r="A844" s="21">
        <v>15.345800000000001</v>
      </c>
      <c r="B844" s="11">
        <v>19572</v>
      </c>
      <c r="C844" s="12">
        <f t="shared" si="54"/>
        <v>15.59303788888889</v>
      </c>
      <c r="D844" s="24">
        <f t="shared" si="55"/>
        <v>843</v>
      </c>
      <c r="E844" s="12">
        <v>15.448445277777779</v>
      </c>
      <c r="F844" s="12">
        <f t="shared" si="52"/>
        <v>0.78345724907063197</v>
      </c>
      <c r="G844" s="27">
        <f t="shared" si="53"/>
        <v>3030.9849635000005</v>
      </c>
    </row>
    <row r="845" spans="1:7" ht="13.8" x14ac:dyDescent="0.25">
      <c r="A845" s="22">
        <v>16.991</v>
      </c>
      <c r="B845" s="14">
        <v>19541</v>
      </c>
      <c r="C845" s="12">
        <f t="shared" si="54"/>
        <v>17.264743888888891</v>
      </c>
      <c r="D845" s="25">
        <f t="shared" si="55"/>
        <v>844</v>
      </c>
      <c r="E845" s="15">
        <v>15.445803388888891</v>
      </c>
      <c r="F845" s="15">
        <f t="shared" si="52"/>
        <v>0.78438661710037172</v>
      </c>
      <c r="G845" s="28">
        <f t="shared" si="53"/>
        <v>3030.4666249000006</v>
      </c>
    </row>
    <row r="846" spans="1:7" ht="13.8" x14ac:dyDescent="0.25">
      <c r="A846" s="21">
        <v>20.114799999999999</v>
      </c>
      <c r="B846" s="11">
        <v>19511</v>
      </c>
      <c r="C846" s="12">
        <f t="shared" si="54"/>
        <v>20.438871777777777</v>
      </c>
      <c r="D846" s="24">
        <f t="shared" si="55"/>
        <v>845</v>
      </c>
      <c r="E846" s="12">
        <v>15.438893833333335</v>
      </c>
      <c r="F846" s="12">
        <f t="shared" si="52"/>
        <v>0.78531598513011147</v>
      </c>
      <c r="G846" s="27">
        <f t="shared" si="53"/>
        <v>3029.1109701000005</v>
      </c>
    </row>
    <row r="847" spans="1:7" ht="13.8" x14ac:dyDescent="0.25">
      <c r="A847" s="22">
        <v>24.0974</v>
      </c>
      <c r="B847" s="14">
        <v>19480</v>
      </c>
      <c r="C847" s="12">
        <f t="shared" si="54"/>
        <v>24.48563588888889</v>
      </c>
      <c r="D847" s="25">
        <f t="shared" si="55"/>
        <v>846</v>
      </c>
      <c r="E847" s="15">
        <v>15.417758722222223</v>
      </c>
      <c r="F847" s="15">
        <f t="shared" si="52"/>
        <v>0.78624535315985133</v>
      </c>
      <c r="G847" s="28">
        <f t="shared" si="53"/>
        <v>3024.9642613000005</v>
      </c>
    </row>
    <row r="848" spans="1:7" ht="13.8" x14ac:dyDescent="0.25">
      <c r="A848" s="21">
        <v>40.051600000000001</v>
      </c>
      <c r="B848" s="11">
        <v>19450</v>
      </c>
      <c r="C848" s="12">
        <f t="shared" si="54"/>
        <v>40.696875777777784</v>
      </c>
      <c r="D848" s="24">
        <f t="shared" si="55"/>
        <v>847</v>
      </c>
      <c r="E848" s="12">
        <v>15.412373333333333</v>
      </c>
      <c r="F848" s="12">
        <f t="shared" si="52"/>
        <v>0.78717472118959109</v>
      </c>
      <c r="G848" s="27">
        <f t="shared" si="53"/>
        <v>3023.9076479999999</v>
      </c>
    </row>
    <row r="849" spans="1:7" ht="13.8" x14ac:dyDescent="0.25">
      <c r="A849" s="22">
        <v>34.835299999999997</v>
      </c>
      <c r="B849" s="14">
        <v>19419</v>
      </c>
      <c r="C849" s="12">
        <f t="shared" si="54"/>
        <v>35.396535388888886</v>
      </c>
      <c r="D849" s="25">
        <f t="shared" si="55"/>
        <v>848</v>
      </c>
      <c r="E849" s="15">
        <v>15.409833055555556</v>
      </c>
      <c r="F849" s="15">
        <f t="shared" si="52"/>
        <v>0.78810408921933084</v>
      </c>
      <c r="G849" s="28">
        <f t="shared" si="53"/>
        <v>3023.4092455</v>
      </c>
    </row>
    <row r="850" spans="1:7" ht="13.8" x14ac:dyDescent="0.25">
      <c r="A850" s="21">
        <v>29.148599999999998</v>
      </c>
      <c r="B850" s="11">
        <v>19391</v>
      </c>
      <c r="C850" s="12">
        <f t="shared" si="54"/>
        <v>29.618216333333333</v>
      </c>
      <c r="D850" s="24">
        <f t="shared" si="55"/>
        <v>849</v>
      </c>
      <c r="E850" s="12">
        <v>15.402618666666669</v>
      </c>
      <c r="F850" s="12">
        <f t="shared" si="52"/>
        <v>0.78903345724907059</v>
      </c>
      <c r="G850" s="27">
        <f t="shared" si="53"/>
        <v>3021.9937824000008</v>
      </c>
    </row>
    <row r="851" spans="1:7" ht="13.8" x14ac:dyDescent="0.25">
      <c r="A851" s="22">
        <v>25.3505</v>
      </c>
      <c r="B851" s="14">
        <v>19360</v>
      </c>
      <c r="C851" s="12">
        <f t="shared" si="54"/>
        <v>25.758924722222226</v>
      </c>
      <c r="D851" s="25">
        <f t="shared" si="55"/>
        <v>850</v>
      </c>
      <c r="E851" s="15">
        <v>15.388291500000001</v>
      </c>
      <c r="F851" s="15">
        <f t="shared" si="52"/>
        <v>0.78996282527881045</v>
      </c>
      <c r="G851" s="28">
        <f t="shared" si="53"/>
        <v>3019.1827923000005</v>
      </c>
    </row>
    <row r="852" spans="1:7" ht="13.8" x14ac:dyDescent="0.25">
      <c r="A852" s="21">
        <v>36.664999999999999</v>
      </c>
      <c r="B852" s="11">
        <v>19329</v>
      </c>
      <c r="C852" s="12">
        <f t="shared" si="54"/>
        <v>37.255713888888891</v>
      </c>
      <c r="D852" s="24">
        <f t="shared" si="55"/>
        <v>851</v>
      </c>
      <c r="E852" s="15">
        <v>15.350288944444445</v>
      </c>
      <c r="F852" s="12">
        <f t="shared" si="52"/>
        <v>0.79089219330855021</v>
      </c>
      <c r="G852" s="27">
        <f t="shared" si="53"/>
        <v>3011.7266909000004</v>
      </c>
    </row>
    <row r="853" spans="1:7" ht="13.8" x14ac:dyDescent="0.25">
      <c r="A853" s="22">
        <v>28.9682</v>
      </c>
      <c r="B853" s="14">
        <v>19299</v>
      </c>
      <c r="C853" s="12">
        <f t="shared" si="54"/>
        <v>29.434909888888889</v>
      </c>
      <c r="D853" s="25">
        <f t="shared" si="55"/>
        <v>852</v>
      </c>
      <c r="E853" s="12">
        <v>15.301617222222223</v>
      </c>
      <c r="F853" s="15">
        <f t="shared" si="52"/>
        <v>0.79182156133828996</v>
      </c>
      <c r="G853" s="28">
        <f t="shared" si="53"/>
        <v>3002.1772989999999</v>
      </c>
    </row>
    <row r="854" spans="1:7" ht="13.8" x14ac:dyDescent="0.25">
      <c r="A854" s="21">
        <v>13.0852</v>
      </c>
      <c r="B854" s="11">
        <v>19268</v>
      </c>
      <c r="C854" s="12">
        <f t="shared" si="54"/>
        <v>13.296017111111112</v>
      </c>
      <c r="D854" s="24">
        <f t="shared" si="55"/>
        <v>853</v>
      </c>
      <c r="E854" s="12">
        <v>15.238618333333335</v>
      </c>
      <c r="F854" s="12">
        <f t="shared" si="52"/>
        <v>0.79275092936802971</v>
      </c>
      <c r="G854" s="27">
        <f t="shared" si="53"/>
        <v>2989.8169170000006</v>
      </c>
    </row>
    <row r="855" spans="1:7" ht="13.8" x14ac:dyDescent="0.25">
      <c r="A855" s="22">
        <v>13.6937</v>
      </c>
      <c r="B855" s="14">
        <v>19238</v>
      </c>
      <c r="C855" s="12">
        <f t="shared" si="54"/>
        <v>13.914320722222223</v>
      </c>
      <c r="D855" s="25">
        <f t="shared" si="55"/>
        <v>854</v>
      </c>
      <c r="E855" s="12">
        <v>15.226018555555557</v>
      </c>
      <c r="F855" s="15">
        <f t="shared" si="52"/>
        <v>0.79368029739776946</v>
      </c>
      <c r="G855" s="28">
        <f t="shared" si="53"/>
        <v>2987.3448406000002</v>
      </c>
    </row>
    <row r="856" spans="1:7" ht="13.8" x14ac:dyDescent="0.25">
      <c r="A856" s="21">
        <v>13.0428</v>
      </c>
      <c r="B856" s="11">
        <v>19207</v>
      </c>
      <c r="C856" s="12">
        <f t="shared" si="54"/>
        <v>13.252934000000002</v>
      </c>
      <c r="D856" s="24">
        <f t="shared" si="55"/>
        <v>855</v>
      </c>
      <c r="E856" s="12">
        <v>15.192994944444445</v>
      </c>
      <c r="F856" s="12">
        <f t="shared" si="52"/>
        <v>0.79460966542750933</v>
      </c>
      <c r="G856" s="27">
        <f t="shared" si="53"/>
        <v>2980.8656081000004</v>
      </c>
    </row>
    <row r="857" spans="1:7" ht="13.8" x14ac:dyDescent="0.25">
      <c r="A857" s="22">
        <v>15.4496</v>
      </c>
      <c r="B857" s="14">
        <v>19176</v>
      </c>
      <c r="C857" s="12">
        <f t="shared" si="54"/>
        <v>15.698510222222223</v>
      </c>
      <c r="D857" s="25">
        <f t="shared" si="55"/>
        <v>856</v>
      </c>
      <c r="E857" s="12">
        <v>15.176737166666667</v>
      </c>
      <c r="F857" s="15">
        <f t="shared" si="52"/>
        <v>0.79553903345724908</v>
      </c>
      <c r="G857" s="28">
        <f t="shared" si="53"/>
        <v>2977.6758321000002</v>
      </c>
    </row>
    <row r="858" spans="1:7" ht="13.8" x14ac:dyDescent="0.25">
      <c r="A858" s="21">
        <v>21.529699999999998</v>
      </c>
      <c r="B858" s="11">
        <v>19146</v>
      </c>
      <c r="C858" s="12">
        <f t="shared" si="54"/>
        <v>21.876567388888891</v>
      </c>
      <c r="D858" s="24">
        <f t="shared" si="55"/>
        <v>857</v>
      </c>
      <c r="E858" s="12">
        <v>15.146050611111113</v>
      </c>
      <c r="F858" s="12">
        <f t="shared" si="52"/>
        <v>0.79646840148698883</v>
      </c>
      <c r="G858" s="27">
        <f t="shared" si="53"/>
        <v>2971.6551299000002</v>
      </c>
    </row>
    <row r="859" spans="1:7" ht="13.8" x14ac:dyDescent="0.25">
      <c r="A859" s="22">
        <v>21.91</v>
      </c>
      <c r="B859" s="14">
        <v>19115</v>
      </c>
      <c r="C859" s="12">
        <f t="shared" si="54"/>
        <v>22.262994444444445</v>
      </c>
      <c r="D859" s="25">
        <f t="shared" si="55"/>
        <v>858</v>
      </c>
      <c r="E859" s="15">
        <v>15.144221611111112</v>
      </c>
      <c r="F859" s="15">
        <f t="shared" si="52"/>
        <v>0.79739776951672858</v>
      </c>
      <c r="G859" s="28">
        <f t="shared" si="53"/>
        <v>2971.2962800999999</v>
      </c>
    </row>
    <row r="860" spans="1:7" ht="13.8" x14ac:dyDescent="0.25">
      <c r="A860" s="21">
        <v>36.148400000000002</v>
      </c>
      <c r="B860" s="11">
        <v>19085</v>
      </c>
      <c r="C860" s="12">
        <f t="shared" si="54"/>
        <v>36.730790888888897</v>
      </c>
      <c r="D860" s="24">
        <f t="shared" si="55"/>
        <v>859</v>
      </c>
      <c r="E860" s="15">
        <v>15.136499166666667</v>
      </c>
      <c r="F860" s="12">
        <f t="shared" si="52"/>
        <v>0.79832713754646845</v>
      </c>
      <c r="G860" s="27">
        <f t="shared" si="53"/>
        <v>2969.7811365000002</v>
      </c>
    </row>
    <row r="861" spans="1:7" ht="13.8" x14ac:dyDescent="0.25">
      <c r="A861" s="22">
        <v>75.939400000000006</v>
      </c>
      <c r="B861" s="14">
        <v>19054</v>
      </c>
      <c r="C861" s="12">
        <f t="shared" si="54"/>
        <v>77.162868111111123</v>
      </c>
      <c r="D861" s="25">
        <f t="shared" si="55"/>
        <v>860</v>
      </c>
      <c r="E861" s="15">
        <v>15.131520222222223</v>
      </c>
      <c r="F861" s="15">
        <f t="shared" si="52"/>
        <v>0.7992565055762082</v>
      </c>
      <c r="G861" s="28">
        <f t="shared" si="53"/>
        <v>2968.8042676000005</v>
      </c>
    </row>
    <row r="862" spans="1:7" ht="13.8" x14ac:dyDescent="0.25">
      <c r="A862" s="21">
        <v>65.070400000000006</v>
      </c>
      <c r="B862" s="11">
        <v>19025</v>
      </c>
      <c r="C862" s="12">
        <f t="shared" si="54"/>
        <v>66.118756444444458</v>
      </c>
      <c r="D862" s="24">
        <f t="shared" si="55"/>
        <v>861</v>
      </c>
      <c r="E862" s="12">
        <v>15.106015833333334</v>
      </c>
      <c r="F862" s="12">
        <f t="shared" si="52"/>
        <v>0.80018587360594795</v>
      </c>
      <c r="G862" s="27">
        <f t="shared" si="53"/>
        <v>2963.8003065000003</v>
      </c>
    </row>
    <row r="863" spans="1:7" ht="13.8" x14ac:dyDescent="0.25">
      <c r="A863" s="22">
        <v>88.938699999999997</v>
      </c>
      <c r="B863" s="14">
        <v>18994</v>
      </c>
      <c r="C863" s="12">
        <f t="shared" si="54"/>
        <v>90.371601277777785</v>
      </c>
      <c r="D863" s="25">
        <f t="shared" si="55"/>
        <v>862</v>
      </c>
      <c r="E863" s="12">
        <v>15.105812611111112</v>
      </c>
      <c r="F863" s="15">
        <f t="shared" si="52"/>
        <v>0.8011152416356877</v>
      </c>
      <c r="G863" s="28">
        <f t="shared" si="53"/>
        <v>2963.7604343000007</v>
      </c>
    </row>
    <row r="864" spans="1:7" ht="13.8" x14ac:dyDescent="0.25">
      <c r="A864" s="21">
        <v>29.457599999999999</v>
      </c>
      <c r="B864" s="11">
        <v>18963</v>
      </c>
      <c r="C864" s="12">
        <f t="shared" si="54"/>
        <v>29.932194666666668</v>
      </c>
      <c r="D864" s="24">
        <f t="shared" si="55"/>
        <v>863</v>
      </c>
      <c r="E864" s="12">
        <v>15.093314444444445</v>
      </c>
      <c r="F864" s="12">
        <f t="shared" si="52"/>
        <v>0.80204460966542745</v>
      </c>
      <c r="G864" s="27">
        <f t="shared" si="53"/>
        <v>2961.3082940000004</v>
      </c>
    </row>
    <row r="865" spans="1:7" ht="13.8" x14ac:dyDescent="0.25">
      <c r="A865" s="22">
        <v>21.579000000000001</v>
      </c>
      <c r="B865" s="14">
        <v>18933</v>
      </c>
      <c r="C865" s="12">
        <f t="shared" si="54"/>
        <v>21.926661666666668</v>
      </c>
      <c r="D865" s="25">
        <f t="shared" si="55"/>
        <v>864</v>
      </c>
      <c r="E865" s="15">
        <v>15.072992222222222</v>
      </c>
      <c r="F865" s="15">
        <f t="shared" si="52"/>
        <v>0.80297397769516732</v>
      </c>
      <c r="G865" s="28">
        <f t="shared" si="53"/>
        <v>2957.3210739999995</v>
      </c>
    </row>
    <row r="866" spans="1:7" ht="13.8" x14ac:dyDescent="0.25">
      <c r="A866" s="21">
        <v>21.618200000000002</v>
      </c>
      <c r="B866" s="11">
        <v>18902</v>
      </c>
      <c r="C866" s="12">
        <f t="shared" si="54"/>
        <v>21.966493222222226</v>
      </c>
      <c r="D866" s="24">
        <f t="shared" si="55"/>
        <v>865</v>
      </c>
      <c r="E866" s="12">
        <v>15.007961111111111</v>
      </c>
      <c r="F866" s="12">
        <f t="shared" si="52"/>
        <v>0.80390334572490707</v>
      </c>
      <c r="G866" s="27">
        <f t="shared" si="53"/>
        <v>2944.5619700000002</v>
      </c>
    </row>
    <row r="867" spans="1:7" ht="13.8" x14ac:dyDescent="0.25">
      <c r="A867" s="22">
        <v>11.729799999999999</v>
      </c>
      <c r="B867" s="14">
        <v>18872</v>
      </c>
      <c r="C867" s="12">
        <f t="shared" si="54"/>
        <v>11.918780111111111</v>
      </c>
      <c r="D867" s="25">
        <f t="shared" si="55"/>
        <v>866</v>
      </c>
      <c r="E867" s="12">
        <v>14.996885500000001</v>
      </c>
      <c r="F867" s="15">
        <f t="shared" si="52"/>
        <v>0.80483271375464682</v>
      </c>
      <c r="G867" s="28">
        <f t="shared" si="53"/>
        <v>2942.3889351000003</v>
      </c>
    </row>
    <row r="868" spans="1:7" ht="13.8" x14ac:dyDescent="0.25">
      <c r="A868" s="21">
        <v>13.385</v>
      </c>
      <c r="B868" s="11">
        <v>18841</v>
      </c>
      <c r="C868" s="12">
        <f t="shared" si="54"/>
        <v>13.600647222222223</v>
      </c>
      <c r="D868" s="24">
        <f t="shared" si="55"/>
        <v>867</v>
      </c>
      <c r="E868" s="12">
        <v>14.922302944444446</v>
      </c>
      <c r="F868" s="12">
        <f t="shared" si="52"/>
        <v>0.80576208178438657</v>
      </c>
      <c r="G868" s="27">
        <f t="shared" si="53"/>
        <v>2927.7558377000005</v>
      </c>
    </row>
    <row r="869" spans="1:7" ht="13.8" x14ac:dyDescent="0.25">
      <c r="A869" s="22">
        <v>15.6594</v>
      </c>
      <c r="B869" s="14">
        <v>18810</v>
      </c>
      <c r="C869" s="12">
        <f t="shared" si="54"/>
        <v>15.911690333333334</v>
      </c>
      <c r="D869" s="25">
        <f t="shared" si="55"/>
        <v>868</v>
      </c>
      <c r="E869" s="12">
        <v>14.910312833333334</v>
      </c>
      <c r="F869" s="15">
        <f t="shared" si="52"/>
        <v>0.80669144981412644</v>
      </c>
      <c r="G869" s="28">
        <f t="shared" si="53"/>
        <v>2925.4033779000001</v>
      </c>
    </row>
    <row r="870" spans="1:7" ht="13.8" x14ac:dyDescent="0.25">
      <c r="A870" s="21">
        <v>17.819199999999999</v>
      </c>
      <c r="B870" s="11">
        <v>18780</v>
      </c>
      <c r="C870" s="12">
        <f t="shared" si="54"/>
        <v>18.106287111111111</v>
      </c>
      <c r="D870" s="24">
        <f t="shared" si="55"/>
        <v>869</v>
      </c>
      <c r="E870" s="12">
        <v>14.909195111111114</v>
      </c>
      <c r="F870" s="12">
        <f t="shared" si="52"/>
        <v>0.80762081784386619</v>
      </c>
      <c r="G870" s="27">
        <f t="shared" si="53"/>
        <v>2925.1840808000011</v>
      </c>
    </row>
    <row r="871" spans="1:7" ht="13.8" x14ac:dyDescent="0.25">
      <c r="A871" s="22">
        <v>20.680399999999999</v>
      </c>
      <c r="B871" s="14">
        <v>18749</v>
      </c>
      <c r="C871" s="12">
        <f t="shared" si="54"/>
        <v>21.013584222222221</v>
      </c>
      <c r="D871" s="25">
        <f t="shared" si="55"/>
        <v>870</v>
      </c>
      <c r="E871" s="15">
        <v>14.836543166666669</v>
      </c>
      <c r="F871" s="15">
        <f t="shared" si="52"/>
        <v>0.80855018587360594</v>
      </c>
      <c r="G871" s="28">
        <f t="shared" si="53"/>
        <v>2910.9297693000003</v>
      </c>
    </row>
    <row r="872" spans="1:7" ht="13.8" x14ac:dyDescent="0.25">
      <c r="A872" s="21">
        <v>31.5456</v>
      </c>
      <c r="B872" s="11">
        <v>18719</v>
      </c>
      <c r="C872" s="12">
        <f t="shared" si="54"/>
        <v>32.053834666666667</v>
      </c>
      <c r="D872" s="24">
        <f t="shared" si="55"/>
        <v>871</v>
      </c>
      <c r="E872" s="12">
        <v>14.805145333333334</v>
      </c>
      <c r="F872" s="12">
        <f t="shared" si="52"/>
        <v>0.80947955390334569</v>
      </c>
      <c r="G872" s="27">
        <f t="shared" si="53"/>
        <v>2904.7695144000004</v>
      </c>
    </row>
    <row r="873" spans="1:7" ht="13.8" x14ac:dyDescent="0.25">
      <c r="A873" s="22">
        <v>48.186</v>
      </c>
      <c r="B873" s="14">
        <v>18688</v>
      </c>
      <c r="C873" s="12">
        <f t="shared" si="54"/>
        <v>48.962330000000001</v>
      </c>
      <c r="D873" s="25">
        <f t="shared" si="55"/>
        <v>872</v>
      </c>
      <c r="E873" s="12">
        <v>14.777710333333335</v>
      </c>
      <c r="F873" s="15">
        <f t="shared" si="52"/>
        <v>0.81040892193308545</v>
      </c>
      <c r="G873" s="28">
        <f t="shared" si="53"/>
        <v>2899.3867674000003</v>
      </c>
    </row>
    <row r="874" spans="1:7" ht="13.8" x14ac:dyDescent="0.25">
      <c r="A874" s="21">
        <v>57.753799999999998</v>
      </c>
      <c r="B874" s="11">
        <v>18660</v>
      </c>
      <c r="C874" s="12">
        <f t="shared" si="54"/>
        <v>58.684277888888893</v>
      </c>
      <c r="D874" s="24">
        <f t="shared" si="55"/>
        <v>873</v>
      </c>
      <c r="E874" s="12">
        <v>14.775678111111112</v>
      </c>
      <c r="F874" s="12">
        <f t="shared" si="52"/>
        <v>0.81133828996282531</v>
      </c>
      <c r="G874" s="27">
        <f t="shared" si="53"/>
        <v>2898.9880454000004</v>
      </c>
    </row>
    <row r="875" spans="1:7" ht="13.8" x14ac:dyDescent="0.25">
      <c r="A875" s="22">
        <v>51.094900000000003</v>
      </c>
      <c r="B875" s="14">
        <v>18629</v>
      </c>
      <c r="C875" s="12">
        <f t="shared" si="54"/>
        <v>51.91809561111112</v>
      </c>
      <c r="D875" s="25">
        <f t="shared" si="55"/>
        <v>874</v>
      </c>
      <c r="E875" s="12">
        <v>14.767955666666667</v>
      </c>
      <c r="F875" s="15">
        <f t="shared" si="52"/>
        <v>0.81226765799256506</v>
      </c>
      <c r="G875" s="28">
        <f t="shared" si="53"/>
        <v>2897.4729018000003</v>
      </c>
    </row>
    <row r="876" spans="1:7" ht="13.8" x14ac:dyDescent="0.25">
      <c r="A876" s="21">
        <v>46.730400000000003</v>
      </c>
      <c r="B876" s="11">
        <v>18598</v>
      </c>
      <c r="C876" s="12">
        <f t="shared" si="54"/>
        <v>47.483278666666671</v>
      </c>
      <c r="D876" s="24">
        <f t="shared" si="55"/>
        <v>875</v>
      </c>
      <c r="E876" s="15">
        <v>14.673762166666668</v>
      </c>
      <c r="F876" s="12">
        <f t="shared" si="52"/>
        <v>0.81319702602230481</v>
      </c>
      <c r="G876" s="27">
        <f t="shared" si="53"/>
        <v>2878.9921371000005</v>
      </c>
    </row>
    <row r="877" spans="1:7" ht="13.8" x14ac:dyDescent="0.25">
      <c r="A877" s="22">
        <v>44.973700000000001</v>
      </c>
      <c r="B877" s="14">
        <v>18568</v>
      </c>
      <c r="C877" s="12">
        <f t="shared" si="54"/>
        <v>45.698276277777779</v>
      </c>
      <c r="D877" s="25">
        <f t="shared" si="55"/>
        <v>876</v>
      </c>
      <c r="E877" s="15">
        <v>14.666039722222223</v>
      </c>
      <c r="F877" s="15">
        <f t="shared" si="52"/>
        <v>0.81412639405204457</v>
      </c>
      <c r="G877" s="28">
        <f t="shared" si="53"/>
        <v>2877.4769935000004</v>
      </c>
    </row>
    <row r="878" spans="1:7" ht="13.8" x14ac:dyDescent="0.25">
      <c r="A878" s="21">
        <v>17.564599999999999</v>
      </c>
      <c r="B878" s="11">
        <v>18537</v>
      </c>
      <c r="C878" s="12">
        <f t="shared" si="54"/>
        <v>17.847585222222222</v>
      </c>
      <c r="D878" s="24">
        <f t="shared" si="55"/>
        <v>877</v>
      </c>
      <c r="E878" s="15">
        <v>14.585258888888889</v>
      </c>
      <c r="F878" s="12">
        <f t="shared" si="52"/>
        <v>0.81505576208178443</v>
      </c>
      <c r="G878" s="27">
        <f t="shared" si="53"/>
        <v>2861.6277940000004</v>
      </c>
    </row>
    <row r="879" spans="1:7" ht="13.8" x14ac:dyDescent="0.25">
      <c r="A879" s="22">
        <v>13.632199999999999</v>
      </c>
      <c r="B879" s="14">
        <v>18507</v>
      </c>
      <c r="C879" s="12">
        <f t="shared" si="54"/>
        <v>13.85182988888889</v>
      </c>
      <c r="D879" s="25">
        <f t="shared" si="55"/>
        <v>878</v>
      </c>
      <c r="E879" s="12">
        <v>14.561075444444445</v>
      </c>
      <c r="F879" s="15">
        <f t="shared" si="52"/>
        <v>0.81598513011152418</v>
      </c>
      <c r="G879" s="28">
        <f t="shared" si="53"/>
        <v>2856.8830022000002</v>
      </c>
    </row>
    <row r="880" spans="1:7" ht="13.8" x14ac:dyDescent="0.25">
      <c r="A880" s="21">
        <v>15.1584</v>
      </c>
      <c r="B880" s="11">
        <v>18476</v>
      </c>
      <c r="C880" s="12">
        <f t="shared" si="54"/>
        <v>15.402618666666669</v>
      </c>
      <c r="D880" s="24">
        <f t="shared" si="55"/>
        <v>879</v>
      </c>
      <c r="E880" s="15">
        <v>14.560669000000001</v>
      </c>
      <c r="F880" s="12">
        <f t="shared" si="52"/>
        <v>0.81691449814126393</v>
      </c>
      <c r="G880" s="27">
        <f t="shared" si="53"/>
        <v>2856.8032578000002</v>
      </c>
    </row>
    <row r="881" spans="1:7" ht="13.8" x14ac:dyDescent="0.25">
      <c r="A881" s="22">
        <v>18.845099999999999</v>
      </c>
      <c r="B881" s="14">
        <v>18445</v>
      </c>
      <c r="C881" s="12">
        <f t="shared" si="54"/>
        <v>19.148715500000002</v>
      </c>
      <c r="D881" s="25">
        <f t="shared" si="55"/>
        <v>880</v>
      </c>
      <c r="E881" s="12">
        <v>14.438126</v>
      </c>
      <c r="F881" s="15">
        <f t="shared" si="52"/>
        <v>0.81784386617100369</v>
      </c>
      <c r="G881" s="28">
        <f t="shared" si="53"/>
        <v>2832.7603211999999</v>
      </c>
    </row>
    <row r="882" spans="1:7" ht="13.8" x14ac:dyDescent="0.25">
      <c r="A882" s="21">
        <v>23.709099999999999</v>
      </c>
      <c r="B882" s="11">
        <v>18415</v>
      </c>
      <c r="C882" s="12">
        <f t="shared" si="54"/>
        <v>24.091079944444445</v>
      </c>
      <c r="D882" s="24">
        <f t="shared" si="55"/>
        <v>881</v>
      </c>
      <c r="E882" s="15">
        <v>14.429184222222224</v>
      </c>
      <c r="F882" s="12">
        <f t="shared" si="52"/>
        <v>0.81877323420074355</v>
      </c>
      <c r="G882" s="27">
        <f t="shared" si="53"/>
        <v>2831.0059444000003</v>
      </c>
    </row>
    <row r="883" spans="1:7" ht="13.8" x14ac:dyDescent="0.25">
      <c r="A883" s="22">
        <v>30.1935</v>
      </c>
      <c r="B883" s="14">
        <v>18384</v>
      </c>
      <c r="C883" s="12">
        <f t="shared" si="54"/>
        <v>30.679950833333336</v>
      </c>
      <c r="D883" s="25">
        <f t="shared" si="55"/>
        <v>882</v>
      </c>
      <c r="E883" s="12">
        <v>14.393721944444446</v>
      </c>
      <c r="F883" s="15">
        <f t="shared" si="52"/>
        <v>0.8197026022304833</v>
      </c>
      <c r="G883" s="28">
        <f t="shared" si="53"/>
        <v>2824.0482455000006</v>
      </c>
    </row>
    <row r="884" spans="1:7" ht="13.8" x14ac:dyDescent="0.25">
      <c r="A884" s="21">
        <v>40.296700000000001</v>
      </c>
      <c r="B884" s="11">
        <v>18354</v>
      </c>
      <c r="C884" s="12">
        <f t="shared" si="54"/>
        <v>40.945924611111117</v>
      </c>
      <c r="D884" s="24">
        <f t="shared" si="55"/>
        <v>883</v>
      </c>
      <c r="E884" s="12">
        <v>14.321476444444446</v>
      </c>
      <c r="F884" s="12">
        <f t="shared" si="52"/>
        <v>0.82063197026022305</v>
      </c>
      <c r="G884" s="27">
        <f t="shared" si="53"/>
        <v>2809.8736784000007</v>
      </c>
    </row>
    <row r="885" spans="1:7" ht="13.8" x14ac:dyDescent="0.25">
      <c r="A885" s="22">
        <v>61.511099999999999</v>
      </c>
      <c r="B885" s="14">
        <v>18323</v>
      </c>
      <c r="C885" s="12">
        <f t="shared" si="54"/>
        <v>62.50211216666667</v>
      </c>
      <c r="D885" s="25">
        <f t="shared" si="55"/>
        <v>884</v>
      </c>
      <c r="E885" s="15">
        <v>14.317005555555557</v>
      </c>
      <c r="F885" s="15">
        <f t="shared" si="52"/>
        <v>0.82156133828996281</v>
      </c>
      <c r="G885" s="28">
        <f t="shared" si="53"/>
        <v>2808.9964900000004</v>
      </c>
    </row>
    <row r="886" spans="1:7" ht="13.8" x14ac:dyDescent="0.25">
      <c r="A886" s="21">
        <v>79.366600000000005</v>
      </c>
      <c r="B886" s="11">
        <v>18295</v>
      </c>
      <c r="C886" s="12">
        <f t="shared" si="54"/>
        <v>80.645284111111124</v>
      </c>
      <c r="D886" s="24">
        <f t="shared" si="55"/>
        <v>885</v>
      </c>
      <c r="E886" s="15">
        <v>14.315684611111111</v>
      </c>
      <c r="F886" s="12">
        <f t="shared" si="52"/>
        <v>0.82249070631970256</v>
      </c>
      <c r="G886" s="27">
        <f t="shared" si="53"/>
        <v>2808.7373207000001</v>
      </c>
    </row>
    <row r="887" spans="1:7" ht="13.8" x14ac:dyDescent="0.25">
      <c r="A887" s="22">
        <v>64.324399999999997</v>
      </c>
      <c r="B887" s="14">
        <v>18264</v>
      </c>
      <c r="C887" s="12">
        <f t="shared" si="54"/>
        <v>65.360737555555559</v>
      </c>
      <c r="D887" s="25">
        <f t="shared" si="55"/>
        <v>886</v>
      </c>
      <c r="E887" s="12">
        <v>14.314871722222223</v>
      </c>
      <c r="F887" s="15">
        <f t="shared" si="52"/>
        <v>0.82342007434944242</v>
      </c>
      <c r="G887" s="28">
        <f t="shared" si="53"/>
        <v>2808.5778319000005</v>
      </c>
    </row>
    <row r="888" spans="1:7" ht="13.8" x14ac:dyDescent="0.25">
      <c r="A888" s="21">
        <v>38.667099999999998</v>
      </c>
      <c r="B888" s="11">
        <v>18233</v>
      </c>
      <c r="C888" s="12">
        <f t="shared" si="54"/>
        <v>39.290069944444447</v>
      </c>
      <c r="D888" s="24">
        <f t="shared" si="55"/>
        <v>887</v>
      </c>
      <c r="E888" s="15">
        <v>14.306844444444446</v>
      </c>
      <c r="F888" s="12">
        <f t="shared" si="52"/>
        <v>0.82434944237918217</v>
      </c>
      <c r="G888" s="27">
        <f t="shared" si="53"/>
        <v>2807.00288</v>
      </c>
    </row>
    <row r="889" spans="1:7" ht="13.8" x14ac:dyDescent="0.25">
      <c r="A889" s="22">
        <v>12.876099999999999</v>
      </c>
      <c r="B889" s="14">
        <v>18203</v>
      </c>
      <c r="C889" s="12">
        <f t="shared" si="54"/>
        <v>13.083548277777778</v>
      </c>
      <c r="D889" s="25">
        <f t="shared" si="55"/>
        <v>888</v>
      </c>
      <c r="E889" s="12">
        <v>14.279409444444447</v>
      </c>
      <c r="F889" s="15">
        <f t="shared" si="52"/>
        <v>0.82527881040892193</v>
      </c>
      <c r="G889" s="28">
        <f t="shared" si="53"/>
        <v>2801.6201330000004</v>
      </c>
    </row>
    <row r="890" spans="1:7" ht="13.8" x14ac:dyDescent="0.25">
      <c r="A890" s="21">
        <v>12.010300000000001</v>
      </c>
      <c r="B890" s="11">
        <v>18172</v>
      </c>
      <c r="C890" s="12">
        <f t="shared" si="54"/>
        <v>12.20379927777778</v>
      </c>
      <c r="D890" s="24">
        <f t="shared" si="55"/>
        <v>889</v>
      </c>
      <c r="E890" s="12">
        <v>14.22494588888889</v>
      </c>
      <c r="F890" s="12">
        <f t="shared" si="52"/>
        <v>0.82620817843866168</v>
      </c>
      <c r="G890" s="27">
        <f t="shared" si="53"/>
        <v>2790.9343834000001</v>
      </c>
    </row>
    <row r="891" spans="1:7" ht="13.8" x14ac:dyDescent="0.25">
      <c r="A891" s="22">
        <v>11.823499999999999</v>
      </c>
      <c r="B891" s="14">
        <v>18142</v>
      </c>
      <c r="C891" s="12">
        <f t="shared" si="54"/>
        <v>12.013989722222222</v>
      </c>
      <c r="D891" s="25">
        <f t="shared" si="55"/>
        <v>890</v>
      </c>
      <c r="E891" s="15">
        <v>14.170583944444445</v>
      </c>
      <c r="F891" s="15">
        <f t="shared" si="52"/>
        <v>0.82713754646840154</v>
      </c>
      <c r="G891" s="28">
        <f t="shared" si="53"/>
        <v>2780.2685699000003</v>
      </c>
    </row>
    <row r="892" spans="1:7" ht="13.8" x14ac:dyDescent="0.25">
      <c r="A892" s="21">
        <v>16.4755</v>
      </c>
      <c r="B892" s="11">
        <v>18111</v>
      </c>
      <c r="C892" s="12">
        <f t="shared" si="54"/>
        <v>16.740938611111112</v>
      </c>
      <c r="D892" s="24">
        <f t="shared" si="55"/>
        <v>891</v>
      </c>
      <c r="E892" s="12">
        <v>14.142742500000001</v>
      </c>
      <c r="F892" s="12">
        <f t="shared" si="52"/>
        <v>0.82806691449814129</v>
      </c>
      <c r="G892" s="27">
        <f t="shared" si="53"/>
        <v>2774.8060784999998</v>
      </c>
    </row>
    <row r="893" spans="1:7" ht="13.8" x14ac:dyDescent="0.25">
      <c r="A893" s="22">
        <v>21.786200000000001</v>
      </c>
      <c r="B893" s="14">
        <v>18080</v>
      </c>
      <c r="C893" s="12">
        <f t="shared" si="54"/>
        <v>22.13719988888889</v>
      </c>
      <c r="D893" s="25">
        <f t="shared" si="55"/>
        <v>892</v>
      </c>
      <c r="E893" s="15">
        <v>14.107178611111111</v>
      </c>
      <c r="F893" s="15">
        <f t="shared" si="52"/>
        <v>0.82899628252788105</v>
      </c>
      <c r="G893" s="28">
        <f t="shared" si="53"/>
        <v>2767.8284435</v>
      </c>
    </row>
    <row r="894" spans="1:7" ht="13.8" x14ac:dyDescent="0.25">
      <c r="A894" s="21">
        <v>26.4376</v>
      </c>
      <c r="B894" s="11">
        <v>18050</v>
      </c>
      <c r="C894" s="12">
        <f t="shared" si="54"/>
        <v>26.863539111111113</v>
      </c>
      <c r="D894" s="24">
        <f t="shared" si="55"/>
        <v>893</v>
      </c>
      <c r="E894" s="15">
        <v>14.081572611111111</v>
      </c>
      <c r="F894" s="12">
        <f t="shared" si="52"/>
        <v>0.8299256505576208</v>
      </c>
      <c r="G894" s="27">
        <f t="shared" si="53"/>
        <v>2762.8045462999999</v>
      </c>
    </row>
    <row r="895" spans="1:7" ht="13.8" x14ac:dyDescent="0.25">
      <c r="A895" s="22">
        <v>29.516500000000001</v>
      </c>
      <c r="B895" s="14">
        <v>18019</v>
      </c>
      <c r="C895" s="12">
        <f t="shared" si="54"/>
        <v>29.992043611111114</v>
      </c>
      <c r="D895" s="25">
        <f t="shared" si="55"/>
        <v>894</v>
      </c>
      <c r="E895" s="15">
        <v>14.04753288888889</v>
      </c>
      <c r="F895" s="15">
        <f t="shared" si="52"/>
        <v>0.83085501858736055</v>
      </c>
      <c r="G895" s="28">
        <f t="shared" si="53"/>
        <v>2756.1259528000005</v>
      </c>
    </row>
    <row r="896" spans="1:7" ht="13.8" x14ac:dyDescent="0.25">
      <c r="A896" s="21">
        <v>34.189700000000002</v>
      </c>
      <c r="B896" s="11">
        <v>17989</v>
      </c>
      <c r="C896" s="12">
        <f t="shared" si="54"/>
        <v>34.740534055555557</v>
      </c>
      <c r="D896" s="24">
        <f t="shared" si="55"/>
        <v>895</v>
      </c>
      <c r="E896" s="12">
        <v>13.978538944444445</v>
      </c>
      <c r="F896" s="12">
        <f t="shared" si="52"/>
        <v>0.83178438661710041</v>
      </c>
      <c r="G896" s="27">
        <f t="shared" si="53"/>
        <v>2742.5893409</v>
      </c>
    </row>
    <row r="897" spans="1:7" ht="13.8" x14ac:dyDescent="0.25">
      <c r="A897" s="22">
        <v>44.141100000000002</v>
      </c>
      <c r="B897" s="14">
        <v>17958</v>
      </c>
      <c r="C897" s="12">
        <f t="shared" si="54"/>
        <v>44.852262166666669</v>
      </c>
      <c r="D897" s="25">
        <f t="shared" si="55"/>
        <v>896</v>
      </c>
      <c r="E897" s="15">
        <v>13.914320722222223</v>
      </c>
      <c r="F897" s="15">
        <f t="shared" si="52"/>
        <v>0.83271375464684017</v>
      </c>
      <c r="G897" s="28">
        <f t="shared" si="53"/>
        <v>2729.9897257000002</v>
      </c>
    </row>
    <row r="898" spans="1:7" ht="13.8" x14ac:dyDescent="0.25">
      <c r="A898" s="21">
        <v>69.481700000000004</v>
      </c>
      <c r="B898" s="11">
        <v>17930</v>
      </c>
      <c r="C898" s="12">
        <f t="shared" si="54"/>
        <v>70.601127388888898</v>
      </c>
      <c r="D898" s="24">
        <f t="shared" si="55"/>
        <v>897</v>
      </c>
      <c r="E898" s="15">
        <v>13.870729555555556</v>
      </c>
      <c r="F898" s="12">
        <f t="shared" ref="F898:F961" si="56">D898/1076</f>
        <v>0.83364312267657992</v>
      </c>
      <c r="G898" s="27">
        <f t="shared" ref="G898:G961" si="57">1000*E898*$J$2*9.81/1000</f>
        <v>2721.4371388000004</v>
      </c>
    </row>
    <row r="899" spans="1:7" ht="13.8" x14ac:dyDescent="0.25">
      <c r="A899" s="22">
        <v>67.704899999999995</v>
      </c>
      <c r="B899" s="14">
        <v>17899</v>
      </c>
      <c r="C899" s="12">
        <f t="shared" ref="C899:C962" si="58">A899*($I$2/$H$2)</f>
        <v>68.79570116666666</v>
      </c>
      <c r="D899" s="25">
        <f t="shared" ref="D899:D962" si="59">D898+1</f>
        <v>898</v>
      </c>
      <c r="E899" s="15">
        <v>13.85182988888889</v>
      </c>
      <c r="F899" s="15">
        <f t="shared" si="56"/>
        <v>0.83457249070631967</v>
      </c>
      <c r="G899" s="28">
        <f t="shared" si="57"/>
        <v>2717.7290242000004</v>
      </c>
    </row>
    <row r="900" spans="1:7" ht="13.8" x14ac:dyDescent="0.25">
      <c r="A900" s="21">
        <v>58.325200000000002</v>
      </c>
      <c r="B900" s="11">
        <v>17868</v>
      </c>
      <c r="C900" s="12">
        <f t="shared" si="58"/>
        <v>59.264883777777783</v>
      </c>
      <c r="D900" s="24">
        <f t="shared" si="59"/>
        <v>899</v>
      </c>
      <c r="E900" s="15">
        <v>13.851017000000001</v>
      </c>
      <c r="F900" s="12">
        <f t="shared" si="56"/>
        <v>0.83550185873605953</v>
      </c>
      <c r="G900" s="27">
        <f t="shared" si="57"/>
        <v>2717.5695353999999</v>
      </c>
    </row>
    <row r="901" spans="1:7" ht="13.8" x14ac:dyDescent="0.25">
      <c r="A901" s="22">
        <v>34.790399999999998</v>
      </c>
      <c r="B901" s="14">
        <v>17838</v>
      </c>
      <c r="C901" s="12">
        <f t="shared" si="58"/>
        <v>35.350912000000001</v>
      </c>
      <c r="D901" s="25">
        <f t="shared" si="59"/>
        <v>900</v>
      </c>
      <c r="E901" s="12">
        <v>13.841465555555557</v>
      </c>
      <c r="F901" s="15">
        <f t="shared" si="56"/>
        <v>0.83643122676579928</v>
      </c>
      <c r="G901" s="28">
        <f t="shared" si="57"/>
        <v>2715.6955420000004</v>
      </c>
    </row>
    <row r="902" spans="1:7" ht="13.8" x14ac:dyDescent="0.25">
      <c r="A902" s="21">
        <v>17.5913</v>
      </c>
      <c r="B902" s="11">
        <v>17807</v>
      </c>
      <c r="C902" s="12">
        <f t="shared" si="58"/>
        <v>17.874715388888891</v>
      </c>
      <c r="D902" s="24">
        <f t="shared" si="59"/>
        <v>901</v>
      </c>
      <c r="E902" s="12">
        <v>13.829678666666668</v>
      </c>
      <c r="F902" s="12">
        <f t="shared" si="56"/>
        <v>0.83736059479553904</v>
      </c>
      <c r="G902" s="27">
        <f t="shared" si="57"/>
        <v>2713.3829544000005</v>
      </c>
    </row>
    <row r="903" spans="1:7" ht="13.8" x14ac:dyDescent="0.25">
      <c r="A903" s="22">
        <v>13.8248</v>
      </c>
      <c r="B903" s="14">
        <v>17777</v>
      </c>
      <c r="C903" s="12">
        <f t="shared" si="58"/>
        <v>14.04753288888889</v>
      </c>
      <c r="D903" s="25">
        <f t="shared" si="59"/>
        <v>902</v>
      </c>
      <c r="E903" s="15">
        <v>13.815249888888889</v>
      </c>
      <c r="F903" s="15">
        <f t="shared" si="56"/>
        <v>0.83828996282527879</v>
      </c>
      <c r="G903" s="28">
        <f t="shared" si="57"/>
        <v>2710.5520282000002</v>
      </c>
    </row>
    <row r="904" spans="1:7" ht="13.8" x14ac:dyDescent="0.25">
      <c r="A904" s="21">
        <v>15.6441</v>
      </c>
      <c r="B904" s="11">
        <v>17746</v>
      </c>
      <c r="C904" s="12">
        <f t="shared" si="58"/>
        <v>15.896143833333335</v>
      </c>
      <c r="D904" s="24">
        <f t="shared" si="59"/>
        <v>903</v>
      </c>
      <c r="E904" s="12">
        <v>13.811490277777779</v>
      </c>
      <c r="F904" s="12">
        <f t="shared" si="56"/>
        <v>0.83921933085501854</v>
      </c>
      <c r="G904" s="27">
        <f t="shared" si="57"/>
        <v>2709.8143924999999</v>
      </c>
    </row>
    <row r="905" spans="1:7" ht="13.8" x14ac:dyDescent="0.25">
      <c r="A905" s="22">
        <v>18.3904</v>
      </c>
      <c r="B905" s="14">
        <v>17715</v>
      </c>
      <c r="C905" s="12">
        <f t="shared" si="58"/>
        <v>18.686689777777779</v>
      </c>
      <c r="D905" s="25">
        <f t="shared" si="59"/>
        <v>904</v>
      </c>
      <c r="E905" s="12">
        <v>13.793708333333333</v>
      </c>
      <c r="F905" s="15">
        <f t="shared" si="56"/>
        <v>0.8401486988847584</v>
      </c>
      <c r="G905" s="28">
        <f t="shared" si="57"/>
        <v>2706.3255749999998</v>
      </c>
    </row>
    <row r="906" spans="1:7" ht="13.8" x14ac:dyDescent="0.25">
      <c r="A906" s="21">
        <v>22.1691</v>
      </c>
      <c r="B906" s="11">
        <v>17685</v>
      </c>
      <c r="C906" s="12">
        <f t="shared" si="58"/>
        <v>22.526268833333337</v>
      </c>
      <c r="D906" s="24">
        <f t="shared" si="59"/>
        <v>905</v>
      </c>
      <c r="E906" s="15">
        <v>13.786798777777777</v>
      </c>
      <c r="F906" s="12">
        <f t="shared" si="56"/>
        <v>0.84107806691449816</v>
      </c>
      <c r="G906" s="27">
        <f t="shared" si="57"/>
        <v>2704.9699202000002</v>
      </c>
    </row>
    <row r="907" spans="1:7" ht="13.8" x14ac:dyDescent="0.25">
      <c r="A907" s="22">
        <v>25.982900000000001</v>
      </c>
      <c r="B907" s="14">
        <v>17654</v>
      </c>
      <c r="C907" s="12">
        <f t="shared" si="58"/>
        <v>26.40151338888889</v>
      </c>
      <c r="D907" s="25">
        <f t="shared" si="59"/>
        <v>906</v>
      </c>
      <c r="E907" s="12">
        <v>13.76667977777778</v>
      </c>
      <c r="F907" s="15">
        <f t="shared" si="56"/>
        <v>0.84200743494423791</v>
      </c>
      <c r="G907" s="28">
        <f t="shared" si="57"/>
        <v>2701.0225724000006</v>
      </c>
    </row>
    <row r="908" spans="1:7" ht="13.8" x14ac:dyDescent="0.25">
      <c r="A908" s="21">
        <v>35.554299999999998</v>
      </c>
      <c r="B908" s="11">
        <v>17624</v>
      </c>
      <c r="C908" s="12">
        <f t="shared" si="58"/>
        <v>36.12711927777778</v>
      </c>
      <c r="D908" s="24">
        <f t="shared" si="59"/>
        <v>907</v>
      </c>
      <c r="E908" s="12">
        <v>13.723698277777778</v>
      </c>
      <c r="F908" s="12">
        <f t="shared" si="56"/>
        <v>0.84293680297397766</v>
      </c>
      <c r="G908" s="27">
        <f t="shared" si="57"/>
        <v>2692.5896020999999</v>
      </c>
    </row>
    <row r="909" spans="1:7" ht="13.8" x14ac:dyDescent="0.25">
      <c r="A909" s="22">
        <v>66.353200000000001</v>
      </c>
      <c r="B909" s="14">
        <v>17593</v>
      </c>
      <c r="C909" s="12">
        <f t="shared" si="58"/>
        <v>67.422223777777788</v>
      </c>
      <c r="D909" s="25">
        <f t="shared" si="59"/>
        <v>908</v>
      </c>
      <c r="E909" s="15">
        <v>13.715264555555557</v>
      </c>
      <c r="F909" s="15">
        <f t="shared" si="56"/>
        <v>0.84386617100371752</v>
      </c>
      <c r="G909" s="28">
        <f t="shared" si="57"/>
        <v>2690.9349058000007</v>
      </c>
    </row>
    <row r="910" spans="1:7" ht="13.8" x14ac:dyDescent="0.25">
      <c r="A910" s="21">
        <v>58.277799999999999</v>
      </c>
      <c r="B910" s="11">
        <v>17564</v>
      </c>
      <c r="C910" s="12">
        <f t="shared" si="58"/>
        <v>59.216720111111115</v>
      </c>
      <c r="D910" s="24">
        <f t="shared" si="59"/>
        <v>909</v>
      </c>
      <c r="E910" s="12">
        <v>13.710895277777778</v>
      </c>
      <c r="F910" s="12">
        <f t="shared" si="56"/>
        <v>0.84479553903345728</v>
      </c>
      <c r="G910" s="27">
        <f t="shared" si="57"/>
        <v>2690.0776535</v>
      </c>
    </row>
    <row r="911" spans="1:7" ht="13.8" x14ac:dyDescent="0.25">
      <c r="A911" s="22">
        <v>46.322000000000003</v>
      </c>
      <c r="B911" s="14">
        <v>17533</v>
      </c>
      <c r="C911" s="12">
        <f t="shared" si="58"/>
        <v>47.068298888888897</v>
      </c>
      <c r="D911" s="25">
        <f t="shared" si="59"/>
        <v>910</v>
      </c>
      <c r="E911" s="12">
        <v>13.701547055555556</v>
      </c>
      <c r="F911" s="15">
        <f t="shared" si="56"/>
        <v>0.84572490706319703</v>
      </c>
      <c r="G911" s="28">
        <f t="shared" si="57"/>
        <v>2688.2435323000004</v>
      </c>
    </row>
    <row r="912" spans="1:7" ht="14.4" customHeight="1" x14ac:dyDescent="0.25">
      <c r="A912" s="21">
        <v>49.642299999999999</v>
      </c>
      <c r="B912" s="11">
        <v>17502</v>
      </c>
      <c r="C912" s="12">
        <f t="shared" si="58"/>
        <v>50.442092611111114</v>
      </c>
      <c r="D912" s="24">
        <f t="shared" si="59"/>
        <v>911</v>
      </c>
      <c r="E912" s="12">
        <v>13.69636488888889</v>
      </c>
      <c r="F912" s="12">
        <f t="shared" si="56"/>
        <v>0.84665427509293678</v>
      </c>
      <c r="G912" s="27">
        <f t="shared" si="57"/>
        <v>2687.2267912000007</v>
      </c>
    </row>
    <row r="913" spans="1:7" ht="13.8" x14ac:dyDescent="0.25">
      <c r="A913" s="22">
        <v>25.163399999999999</v>
      </c>
      <c r="B913" s="14">
        <v>17472</v>
      </c>
      <c r="C913" s="12">
        <f t="shared" si="58"/>
        <v>25.568810333333335</v>
      </c>
      <c r="D913" s="25">
        <f t="shared" si="59"/>
        <v>912</v>
      </c>
      <c r="E913" s="15">
        <v>13.642307777777779</v>
      </c>
      <c r="F913" s="15">
        <f t="shared" si="56"/>
        <v>0.84758364312267653</v>
      </c>
      <c r="G913" s="28">
        <f t="shared" si="57"/>
        <v>2676.620786</v>
      </c>
    </row>
    <row r="914" spans="1:7" ht="13.8" x14ac:dyDescent="0.25">
      <c r="A914" s="21">
        <v>19.3796</v>
      </c>
      <c r="B914" s="11">
        <v>17441</v>
      </c>
      <c r="C914" s="12">
        <f t="shared" si="58"/>
        <v>19.69182688888889</v>
      </c>
      <c r="D914" s="24">
        <f t="shared" si="59"/>
        <v>913</v>
      </c>
      <c r="E914" s="15">
        <v>13.637227222222222</v>
      </c>
      <c r="F914" s="12">
        <f t="shared" si="56"/>
        <v>0.8485130111524164</v>
      </c>
      <c r="G914" s="27">
        <f t="shared" si="57"/>
        <v>2675.6239809999997</v>
      </c>
    </row>
    <row r="915" spans="1:7" ht="13.8" x14ac:dyDescent="0.25">
      <c r="A915" s="22">
        <v>22.5002</v>
      </c>
      <c r="B915" s="14">
        <v>17411</v>
      </c>
      <c r="C915" s="12">
        <f t="shared" si="58"/>
        <v>22.862703222222223</v>
      </c>
      <c r="D915" s="25">
        <f t="shared" si="59"/>
        <v>914</v>
      </c>
      <c r="E915" s="15">
        <v>13.628285444444446</v>
      </c>
      <c r="F915" s="15">
        <f t="shared" si="56"/>
        <v>0.84944237918215615</v>
      </c>
      <c r="G915" s="28">
        <f t="shared" si="57"/>
        <v>2673.869604200001</v>
      </c>
    </row>
    <row r="916" spans="1:7" ht="13.8" x14ac:dyDescent="0.25">
      <c r="A916" s="21">
        <v>21.761700000000001</v>
      </c>
      <c r="B916" s="11">
        <v>17380</v>
      </c>
      <c r="C916" s="12">
        <f t="shared" si="58"/>
        <v>22.112305166666669</v>
      </c>
      <c r="D916" s="24">
        <f t="shared" si="59"/>
        <v>915</v>
      </c>
      <c r="E916" s="12">
        <v>13.600647222222223</v>
      </c>
      <c r="F916" s="12">
        <f t="shared" si="56"/>
        <v>0.8503717472118959</v>
      </c>
      <c r="G916" s="27">
        <f t="shared" si="57"/>
        <v>2668.446985000001</v>
      </c>
    </row>
    <row r="917" spans="1:7" ht="13.8" x14ac:dyDescent="0.25">
      <c r="A917" s="22">
        <v>23.715599999999998</v>
      </c>
      <c r="B917" s="14">
        <v>17349</v>
      </c>
      <c r="C917" s="12">
        <f t="shared" si="58"/>
        <v>24.097684666666666</v>
      </c>
      <c r="D917" s="25">
        <f t="shared" si="59"/>
        <v>916</v>
      </c>
      <c r="E917" s="15">
        <v>13.532872611111113</v>
      </c>
      <c r="F917" s="15">
        <f t="shared" si="56"/>
        <v>0.85130111524163565</v>
      </c>
      <c r="G917" s="28">
        <f t="shared" si="57"/>
        <v>2655.1496063000004</v>
      </c>
    </row>
    <row r="918" spans="1:7" ht="13.8" x14ac:dyDescent="0.25">
      <c r="A918" s="21">
        <v>25.479800000000001</v>
      </c>
      <c r="B918" s="11">
        <v>17319</v>
      </c>
      <c r="C918" s="12">
        <f t="shared" si="58"/>
        <v>25.890307888888891</v>
      </c>
      <c r="D918" s="24">
        <f t="shared" si="59"/>
        <v>917</v>
      </c>
      <c r="E918" s="15">
        <v>13.473430111111112</v>
      </c>
      <c r="F918" s="12">
        <f t="shared" si="56"/>
        <v>0.85223048327137552</v>
      </c>
      <c r="G918" s="27">
        <f t="shared" si="57"/>
        <v>2643.4869878000004</v>
      </c>
    </row>
    <row r="919" spans="1:7" ht="13.8" x14ac:dyDescent="0.25">
      <c r="A919" s="22">
        <v>30.119199999999999</v>
      </c>
      <c r="B919" s="14">
        <v>17288</v>
      </c>
      <c r="C919" s="12">
        <f t="shared" si="58"/>
        <v>30.604453777777778</v>
      </c>
      <c r="D919" s="25">
        <f t="shared" si="59"/>
        <v>918</v>
      </c>
      <c r="E919" s="12">
        <v>13.457172333333334</v>
      </c>
      <c r="F919" s="15">
        <f t="shared" si="56"/>
        <v>0.85315985130111527</v>
      </c>
      <c r="G919" s="28">
        <f t="shared" si="57"/>
        <v>2640.2972118000002</v>
      </c>
    </row>
    <row r="920" spans="1:7" ht="13.8" x14ac:dyDescent="0.25">
      <c r="A920" s="21">
        <v>43.281300000000002</v>
      </c>
      <c r="B920" s="11">
        <v>17258</v>
      </c>
      <c r="C920" s="12">
        <f t="shared" si="58"/>
        <v>43.978609833333337</v>
      </c>
      <c r="D920" s="24">
        <f t="shared" si="59"/>
        <v>919</v>
      </c>
      <c r="E920" s="12">
        <v>13.376391500000002</v>
      </c>
      <c r="F920" s="12">
        <f t="shared" si="56"/>
        <v>0.85408921933085502</v>
      </c>
      <c r="G920" s="27">
        <f t="shared" si="57"/>
        <v>2624.4480122999998</v>
      </c>
    </row>
    <row r="921" spans="1:7" ht="13.8" x14ac:dyDescent="0.25">
      <c r="A921" s="22">
        <v>110.23820000000001</v>
      </c>
      <c r="B921" s="14">
        <v>17227</v>
      </c>
      <c r="C921" s="12">
        <f t="shared" si="58"/>
        <v>112.0142598888889</v>
      </c>
      <c r="D921" s="25">
        <f t="shared" si="59"/>
        <v>920</v>
      </c>
      <c r="E921" s="12">
        <v>13.338998611111112</v>
      </c>
      <c r="F921" s="15">
        <f t="shared" si="56"/>
        <v>0.85501858736059477</v>
      </c>
      <c r="G921" s="28">
        <f t="shared" si="57"/>
        <v>2617.1115275000002</v>
      </c>
    </row>
    <row r="922" spans="1:7" ht="13.8" x14ac:dyDescent="0.25">
      <c r="A922" s="21">
        <v>47.825899999999997</v>
      </c>
      <c r="B922" s="11">
        <v>17199</v>
      </c>
      <c r="C922" s="12">
        <f t="shared" si="58"/>
        <v>48.596428388888889</v>
      </c>
      <c r="D922" s="24">
        <f t="shared" si="59"/>
        <v>921</v>
      </c>
      <c r="E922" s="15">
        <v>13.310242666666667</v>
      </c>
      <c r="F922" s="12">
        <f t="shared" si="56"/>
        <v>0.85594795539033453</v>
      </c>
      <c r="G922" s="27">
        <f t="shared" si="57"/>
        <v>2611.4696112000001</v>
      </c>
    </row>
    <row r="923" spans="1:7" ht="13.8" x14ac:dyDescent="0.25">
      <c r="A923" s="22">
        <v>43.582799999999999</v>
      </c>
      <c r="B923" s="14">
        <v>17168</v>
      </c>
      <c r="C923" s="12">
        <f t="shared" si="58"/>
        <v>44.284967333333334</v>
      </c>
      <c r="D923" s="25">
        <f t="shared" si="59"/>
        <v>922</v>
      </c>
      <c r="E923" s="12">
        <v>13.296017111111112</v>
      </c>
      <c r="F923" s="15">
        <f t="shared" si="56"/>
        <v>0.85687732342007439</v>
      </c>
      <c r="G923" s="28">
        <f t="shared" si="57"/>
        <v>2608.6785572000003</v>
      </c>
    </row>
    <row r="924" spans="1:7" ht="13.8" x14ac:dyDescent="0.25">
      <c r="A924" s="21">
        <v>25.992899999999999</v>
      </c>
      <c r="B924" s="11">
        <v>17137</v>
      </c>
      <c r="C924" s="12">
        <f t="shared" si="58"/>
        <v>26.4116745</v>
      </c>
      <c r="D924" s="24">
        <f t="shared" si="59"/>
        <v>923</v>
      </c>
      <c r="E924" s="12">
        <v>13.252934000000002</v>
      </c>
      <c r="F924" s="12">
        <f t="shared" si="56"/>
        <v>0.85780669144981414</v>
      </c>
      <c r="G924" s="27">
        <f t="shared" si="57"/>
        <v>2600.2256508000005</v>
      </c>
    </row>
    <row r="925" spans="1:7" ht="13.8" x14ac:dyDescent="0.25">
      <c r="A925" s="22">
        <v>26.942299999999999</v>
      </c>
      <c r="B925" s="14">
        <v>17107</v>
      </c>
      <c r="C925" s="12">
        <f t="shared" si="58"/>
        <v>27.376370388888891</v>
      </c>
      <c r="D925" s="25">
        <f t="shared" si="59"/>
        <v>924</v>
      </c>
      <c r="E925" s="12">
        <v>13.188614166666667</v>
      </c>
      <c r="F925" s="15">
        <f t="shared" si="56"/>
        <v>0.85873605947955389</v>
      </c>
      <c r="G925" s="28">
        <f t="shared" si="57"/>
        <v>2587.6060995000003</v>
      </c>
    </row>
    <row r="926" spans="1:7" ht="13.8" x14ac:dyDescent="0.25">
      <c r="A926" s="21">
        <v>18.588999999999999</v>
      </c>
      <c r="B926" s="11">
        <v>17076</v>
      </c>
      <c r="C926" s="12">
        <f t="shared" si="58"/>
        <v>18.888489444444446</v>
      </c>
      <c r="D926" s="24">
        <f t="shared" si="59"/>
        <v>925</v>
      </c>
      <c r="E926" s="12">
        <v>13.170324166666667</v>
      </c>
      <c r="F926" s="12">
        <f t="shared" si="56"/>
        <v>0.85966542750929364</v>
      </c>
      <c r="G926" s="27">
        <f t="shared" si="57"/>
        <v>2584.0176015000002</v>
      </c>
    </row>
    <row r="927" spans="1:7" ht="13.8" x14ac:dyDescent="0.25">
      <c r="A927" s="22">
        <v>13.631399999999999</v>
      </c>
      <c r="B927" s="14">
        <v>17046</v>
      </c>
      <c r="C927" s="12">
        <f t="shared" si="58"/>
        <v>13.851017000000001</v>
      </c>
      <c r="D927" s="25">
        <f t="shared" si="59"/>
        <v>926</v>
      </c>
      <c r="E927" s="15">
        <v>13.126936222222222</v>
      </c>
      <c r="F927" s="15">
        <f t="shared" si="56"/>
        <v>0.86059479553903351</v>
      </c>
      <c r="G927" s="28">
        <f t="shared" si="57"/>
        <v>2575.5048868000003</v>
      </c>
    </row>
    <row r="928" spans="1:7" ht="13.8" x14ac:dyDescent="0.25">
      <c r="A928" s="21">
        <v>14.905900000000001</v>
      </c>
      <c r="B928" s="11">
        <v>17015</v>
      </c>
      <c r="C928" s="12">
        <f t="shared" si="58"/>
        <v>15.146050611111113</v>
      </c>
      <c r="D928" s="24">
        <f t="shared" si="59"/>
        <v>927</v>
      </c>
      <c r="E928" s="12">
        <v>13.117791222222223</v>
      </c>
      <c r="F928" s="12">
        <f t="shared" si="56"/>
        <v>0.86152416356877326</v>
      </c>
      <c r="G928" s="27">
        <f t="shared" si="57"/>
        <v>2573.7106378000008</v>
      </c>
    </row>
    <row r="929" spans="1:7" ht="13.8" x14ac:dyDescent="0.25">
      <c r="A929" s="22">
        <v>18.499400000000001</v>
      </c>
      <c r="B929" s="14">
        <v>16984</v>
      </c>
      <c r="C929" s="12">
        <f t="shared" si="58"/>
        <v>18.797445888888891</v>
      </c>
      <c r="D929" s="25">
        <f t="shared" si="59"/>
        <v>928</v>
      </c>
      <c r="E929" s="15">
        <v>13.113625166666667</v>
      </c>
      <c r="F929" s="15">
        <f t="shared" si="56"/>
        <v>0.86245353159851301</v>
      </c>
      <c r="G929" s="28">
        <f t="shared" si="57"/>
        <v>2572.8932577000005</v>
      </c>
    </row>
    <row r="930" spans="1:7" ht="13.8" x14ac:dyDescent="0.25">
      <c r="A930" s="21">
        <v>19.7593</v>
      </c>
      <c r="B930" s="11">
        <v>16954</v>
      </c>
      <c r="C930" s="12">
        <f t="shared" si="58"/>
        <v>20.077644277777779</v>
      </c>
      <c r="D930" s="24">
        <f t="shared" si="59"/>
        <v>929</v>
      </c>
      <c r="E930" s="15">
        <v>13.083548277777778</v>
      </c>
      <c r="F930" s="12">
        <f t="shared" si="56"/>
        <v>0.86338289962825276</v>
      </c>
      <c r="G930" s="27">
        <f t="shared" si="57"/>
        <v>2566.9921721000001</v>
      </c>
    </row>
    <row r="931" spans="1:7" ht="13.8" x14ac:dyDescent="0.25">
      <c r="A931" s="22">
        <v>23.352399999999999</v>
      </c>
      <c r="B931" s="14">
        <v>16923</v>
      </c>
      <c r="C931" s="12">
        <f t="shared" si="58"/>
        <v>23.728633111111112</v>
      </c>
      <c r="D931" s="25">
        <f t="shared" si="59"/>
        <v>930</v>
      </c>
      <c r="E931" s="15">
        <v>13.062718000000002</v>
      </c>
      <c r="F931" s="15">
        <f t="shared" si="56"/>
        <v>0.86431226765799252</v>
      </c>
      <c r="G931" s="28">
        <f t="shared" si="57"/>
        <v>2562.9052716000006</v>
      </c>
    </row>
    <row r="932" spans="1:7" ht="13.8" x14ac:dyDescent="0.25">
      <c r="A932" s="21">
        <v>38.358400000000003</v>
      </c>
      <c r="B932" s="11">
        <v>16893</v>
      </c>
      <c r="C932" s="12">
        <f t="shared" si="58"/>
        <v>38.976396444444454</v>
      </c>
      <c r="D932" s="24">
        <f t="shared" si="59"/>
        <v>931</v>
      </c>
      <c r="E932" s="12">
        <v>13.007644777777777</v>
      </c>
      <c r="F932" s="12">
        <f t="shared" si="56"/>
        <v>0.86524163568773238</v>
      </c>
      <c r="G932" s="27">
        <f t="shared" si="57"/>
        <v>2552.0999053999999</v>
      </c>
    </row>
    <row r="933" spans="1:7" ht="13.8" x14ac:dyDescent="0.25">
      <c r="A933" s="22">
        <v>42.159199999999998</v>
      </c>
      <c r="B933" s="14">
        <v>16862</v>
      </c>
      <c r="C933" s="12">
        <f t="shared" si="58"/>
        <v>42.838431555555559</v>
      </c>
      <c r="D933" s="25">
        <f t="shared" si="59"/>
        <v>932</v>
      </c>
      <c r="E933" s="15">
        <v>12.998296555555555</v>
      </c>
      <c r="F933" s="15">
        <f t="shared" si="56"/>
        <v>0.86617100371747213</v>
      </c>
      <c r="G933" s="28">
        <f t="shared" si="57"/>
        <v>2550.2657842000003</v>
      </c>
    </row>
    <row r="934" spans="1:7" ht="13.8" x14ac:dyDescent="0.25">
      <c r="A934" s="21">
        <v>47.359000000000002</v>
      </c>
      <c r="B934" s="11">
        <v>16834</v>
      </c>
      <c r="C934" s="12">
        <f t="shared" si="58"/>
        <v>48.122006111111119</v>
      </c>
      <c r="D934" s="24">
        <f t="shared" si="59"/>
        <v>933</v>
      </c>
      <c r="E934" s="12">
        <v>12.995248222222223</v>
      </c>
      <c r="F934" s="12">
        <f t="shared" si="56"/>
        <v>0.86710037174721188</v>
      </c>
      <c r="G934" s="27">
        <f t="shared" si="57"/>
        <v>2549.6677012000005</v>
      </c>
    </row>
    <row r="935" spans="1:7" ht="13.8" x14ac:dyDescent="0.25">
      <c r="A935" s="22">
        <v>100.759</v>
      </c>
      <c r="B935" s="14">
        <v>16803</v>
      </c>
      <c r="C935" s="12">
        <f t="shared" si="58"/>
        <v>102.38233944444445</v>
      </c>
      <c r="D935" s="25">
        <f t="shared" si="59"/>
        <v>934</v>
      </c>
      <c r="E935" s="15">
        <v>12.888963</v>
      </c>
      <c r="F935" s="15">
        <f t="shared" si="56"/>
        <v>0.86802973977695164</v>
      </c>
      <c r="G935" s="28">
        <f t="shared" si="57"/>
        <v>2528.8145406000003</v>
      </c>
    </row>
    <row r="936" spans="1:7" ht="13.8" x14ac:dyDescent="0.25">
      <c r="A936" s="21">
        <v>62.548999999999999</v>
      </c>
      <c r="B936" s="11">
        <v>16772</v>
      </c>
      <c r="C936" s="12">
        <f t="shared" si="58"/>
        <v>63.556733888888893</v>
      </c>
      <c r="D936" s="24">
        <f t="shared" si="59"/>
        <v>935</v>
      </c>
      <c r="E936" s="15">
        <v>12.728112611111113</v>
      </c>
      <c r="F936" s="12">
        <f t="shared" si="56"/>
        <v>0.8689591078066915</v>
      </c>
      <c r="G936" s="27">
        <f t="shared" si="57"/>
        <v>2497.2556943000004</v>
      </c>
    </row>
    <row r="937" spans="1:7" ht="13.8" x14ac:dyDescent="0.25">
      <c r="A937" s="22">
        <v>26.308599999999998</v>
      </c>
      <c r="B937" s="14">
        <v>16742</v>
      </c>
      <c r="C937" s="12">
        <f t="shared" si="58"/>
        <v>26.732460777777778</v>
      </c>
      <c r="D937" s="25">
        <f t="shared" si="59"/>
        <v>936</v>
      </c>
      <c r="E937" s="15">
        <v>12.723743333333335</v>
      </c>
      <c r="F937" s="15">
        <f t="shared" si="56"/>
        <v>0.86988847583643125</v>
      </c>
      <c r="G937" s="28">
        <f t="shared" si="57"/>
        <v>2496.3984420000002</v>
      </c>
    </row>
    <row r="938" spans="1:7" ht="13.8" x14ac:dyDescent="0.25">
      <c r="A938" s="21">
        <v>11.132300000000001</v>
      </c>
      <c r="B938" s="11">
        <v>16711</v>
      </c>
      <c r="C938" s="12">
        <f t="shared" si="58"/>
        <v>11.311653722222223</v>
      </c>
      <c r="D938" s="24">
        <f t="shared" si="59"/>
        <v>937</v>
      </c>
      <c r="E938" s="15">
        <v>12.642352833333335</v>
      </c>
      <c r="F938" s="12">
        <f t="shared" si="56"/>
        <v>0.870817843866171</v>
      </c>
      <c r="G938" s="27">
        <f t="shared" si="57"/>
        <v>2480.4296259000007</v>
      </c>
    </row>
    <row r="939" spans="1:7" ht="13.8" x14ac:dyDescent="0.25">
      <c r="A939" s="22">
        <v>10.0419</v>
      </c>
      <c r="B939" s="14">
        <v>16681</v>
      </c>
      <c r="C939" s="12">
        <f t="shared" si="58"/>
        <v>10.203686166666667</v>
      </c>
      <c r="D939" s="25">
        <f t="shared" si="59"/>
        <v>938</v>
      </c>
      <c r="E939" s="12">
        <v>12.629549833333334</v>
      </c>
      <c r="F939" s="15">
        <f t="shared" si="56"/>
        <v>0.87174721189591076</v>
      </c>
      <c r="G939" s="28">
        <f t="shared" si="57"/>
        <v>2477.9176773000004</v>
      </c>
    </row>
    <row r="940" spans="1:7" ht="13.8" x14ac:dyDescent="0.25">
      <c r="A940" s="21">
        <v>10.6845</v>
      </c>
      <c r="B940" s="11">
        <v>16650</v>
      </c>
      <c r="C940" s="12">
        <f t="shared" si="58"/>
        <v>10.856639166666668</v>
      </c>
      <c r="D940" s="24">
        <f t="shared" si="59"/>
        <v>939</v>
      </c>
      <c r="E940" s="12">
        <v>12.624469277777779</v>
      </c>
      <c r="F940" s="12">
        <f t="shared" si="56"/>
        <v>0.87267657992565051</v>
      </c>
      <c r="G940" s="27">
        <f t="shared" si="57"/>
        <v>2476.9208723000006</v>
      </c>
    </row>
    <row r="941" spans="1:7" ht="13.8" x14ac:dyDescent="0.25">
      <c r="A941" s="22">
        <v>13.0992</v>
      </c>
      <c r="B941" s="14">
        <v>16619</v>
      </c>
      <c r="C941" s="12">
        <f t="shared" si="58"/>
        <v>13.310242666666667</v>
      </c>
      <c r="D941" s="25">
        <f t="shared" si="59"/>
        <v>940</v>
      </c>
      <c r="E941" s="15">
        <v>12.60435027777778</v>
      </c>
      <c r="F941" s="15">
        <f t="shared" si="56"/>
        <v>0.87360594795539037</v>
      </c>
      <c r="G941" s="28">
        <f t="shared" si="57"/>
        <v>2472.9735245000002</v>
      </c>
    </row>
    <row r="942" spans="1:7" ht="13.8" x14ac:dyDescent="0.25">
      <c r="A942" s="21">
        <v>16.836099999999998</v>
      </c>
      <c r="B942" s="11">
        <v>16589</v>
      </c>
      <c r="C942" s="12">
        <f t="shared" si="58"/>
        <v>17.107348277777778</v>
      </c>
      <c r="D942" s="24">
        <f t="shared" si="59"/>
        <v>941</v>
      </c>
      <c r="E942" s="12">
        <v>12.550293166666668</v>
      </c>
      <c r="F942" s="12">
        <f t="shared" si="56"/>
        <v>0.87453531598513012</v>
      </c>
      <c r="G942" s="27">
        <f t="shared" si="57"/>
        <v>2462.3675193000004</v>
      </c>
    </row>
    <row r="943" spans="1:7" ht="13.8" x14ac:dyDescent="0.25">
      <c r="A943" s="22">
        <v>17.4175</v>
      </c>
      <c r="B943" s="14">
        <v>16558</v>
      </c>
      <c r="C943" s="12">
        <f t="shared" si="58"/>
        <v>17.698115277777781</v>
      </c>
      <c r="D943" s="25">
        <f t="shared" si="59"/>
        <v>942</v>
      </c>
      <c r="E943" s="15">
        <v>12.547854500000001</v>
      </c>
      <c r="F943" s="15">
        <f t="shared" si="56"/>
        <v>0.87546468401486988</v>
      </c>
      <c r="G943" s="28">
        <f t="shared" si="57"/>
        <v>2461.8890529000005</v>
      </c>
    </row>
    <row r="944" spans="1:7" ht="13.8" x14ac:dyDescent="0.25">
      <c r="A944" s="21">
        <v>24.834399999999999</v>
      </c>
      <c r="B944" s="11">
        <v>16528</v>
      </c>
      <c r="C944" s="12">
        <f t="shared" si="58"/>
        <v>25.234509777777777</v>
      </c>
      <c r="D944" s="24">
        <f t="shared" si="59"/>
        <v>943</v>
      </c>
      <c r="E944" s="12">
        <v>12.529767722222223</v>
      </c>
      <c r="F944" s="12">
        <f t="shared" si="56"/>
        <v>0.87639405204460963</v>
      </c>
      <c r="G944" s="27">
        <f t="shared" si="57"/>
        <v>2458.3404271000004</v>
      </c>
    </row>
    <row r="945" spans="1:7" ht="13.8" x14ac:dyDescent="0.25">
      <c r="A945" s="22">
        <v>30.476800000000001</v>
      </c>
      <c r="B945" s="14">
        <v>16497</v>
      </c>
      <c r="C945" s="12">
        <f t="shared" si="58"/>
        <v>30.967815111111115</v>
      </c>
      <c r="D945" s="25">
        <f t="shared" si="59"/>
        <v>944</v>
      </c>
      <c r="E945" s="12">
        <v>12.507006833333334</v>
      </c>
      <c r="F945" s="15">
        <f t="shared" si="56"/>
        <v>0.87732342007434949</v>
      </c>
      <c r="G945" s="28">
        <f t="shared" si="57"/>
        <v>2453.8747407000001</v>
      </c>
    </row>
    <row r="946" spans="1:7" ht="13.8" x14ac:dyDescent="0.25">
      <c r="A946" s="21">
        <v>54.852800000000002</v>
      </c>
      <c r="B946" s="11">
        <v>16469</v>
      </c>
      <c r="C946" s="12">
        <f t="shared" si="58"/>
        <v>55.736539555555559</v>
      </c>
      <c r="D946" s="24">
        <f t="shared" si="59"/>
        <v>945</v>
      </c>
      <c r="E946" s="15">
        <v>12.486583000000001</v>
      </c>
      <c r="F946" s="12">
        <f t="shared" si="56"/>
        <v>0.87825278810408924</v>
      </c>
      <c r="G946" s="27">
        <f t="shared" si="57"/>
        <v>2449.8675846000001</v>
      </c>
    </row>
    <row r="947" spans="1:7" ht="13.8" x14ac:dyDescent="0.25">
      <c r="A947" s="22">
        <v>25.509899999999998</v>
      </c>
      <c r="B947" s="14">
        <v>16438</v>
      </c>
      <c r="C947" s="12">
        <f t="shared" si="58"/>
        <v>25.920892833333333</v>
      </c>
      <c r="D947" s="25">
        <f t="shared" si="59"/>
        <v>946</v>
      </c>
      <c r="E947" s="15">
        <v>12.484245944444446</v>
      </c>
      <c r="F947" s="15">
        <f t="shared" si="56"/>
        <v>0.879182156133829</v>
      </c>
      <c r="G947" s="28">
        <f t="shared" si="57"/>
        <v>2449.4090543000002</v>
      </c>
    </row>
    <row r="948" spans="1:7" ht="13.8" x14ac:dyDescent="0.25">
      <c r="A948" s="21">
        <v>17.168099999999999</v>
      </c>
      <c r="B948" s="11">
        <v>16407</v>
      </c>
      <c r="C948" s="12">
        <f t="shared" si="58"/>
        <v>17.444697166666668</v>
      </c>
      <c r="D948" s="24">
        <f t="shared" si="59"/>
        <v>947</v>
      </c>
      <c r="E948" s="15">
        <v>12.446649833333334</v>
      </c>
      <c r="F948" s="12">
        <f t="shared" si="56"/>
        <v>0.88011152416356875</v>
      </c>
      <c r="G948" s="27">
        <f t="shared" si="57"/>
        <v>2442.0326973000001</v>
      </c>
    </row>
    <row r="949" spans="1:7" ht="13.8" x14ac:dyDescent="0.25">
      <c r="A949" s="22">
        <v>15.35</v>
      </c>
      <c r="B949" s="14">
        <v>16377</v>
      </c>
      <c r="C949" s="12">
        <f t="shared" si="58"/>
        <v>15.597305555555556</v>
      </c>
      <c r="D949" s="25">
        <f t="shared" si="59"/>
        <v>948</v>
      </c>
      <c r="E949" s="15">
        <v>12.426022777777778</v>
      </c>
      <c r="F949" s="15">
        <f t="shared" si="56"/>
        <v>0.8810408921933085</v>
      </c>
      <c r="G949" s="28">
        <f t="shared" si="57"/>
        <v>2437.9856690000001</v>
      </c>
    </row>
    <row r="950" spans="1:7" ht="13.8" x14ac:dyDescent="0.25">
      <c r="A950" s="21">
        <v>13.493499999999999</v>
      </c>
      <c r="B950" s="11">
        <v>16346</v>
      </c>
      <c r="C950" s="12">
        <f t="shared" si="58"/>
        <v>13.710895277777778</v>
      </c>
      <c r="D950" s="24">
        <f t="shared" si="59"/>
        <v>949</v>
      </c>
      <c r="E950" s="15">
        <v>12.300431444444445</v>
      </c>
      <c r="F950" s="12">
        <f t="shared" si="56"/>
        <v>0.88197026022304836</v>
      </c>
      <c r="G950" s="27">
        <f t="shared" si="57"/>
        <v>2413.3446494000004</v>
      </c>
    </row>
    <row r="951" spans="1:7" ht="13.8" x14ac:dyDescent="0.25">
      <c r="A951" s="22">
        <v>12.4419</v>
      </c>
      <c r="B951" s="14">
        <v>16316</v>
      </c>
      <c r="C951" s="12">
        <f t="shared" si="58"/>
        <v>12.642352833333335</v>
      </c>
      <c r="D951" s="25">
        <f t="shared" si="59"/>
        <v>950</v>
      </c>
      <c r="E951" s="12">
        <v>12.27248838888889</v>
      </c>
      <c r="F951" s="15">
        <f t="shared" si="56"/>
        <v>0.88289962825278812</v>
      </c>
      <c r="G951" s="28">
        <f t="shared" si="57"/>
        <v>2407.8622219000003</v>
      </c>
    </row>
    <row r="952" spans="1:7" ht="13.8" x14ac:dyDescent="0.25">
      <c r="A952" s="21">
        <v>13.2438</v>
      </c>
      <c r="B952" s="11">
        <v>16285</v>
      </c>
      <c r="C952" s="12">
        <f t="shared" si="58"/>
        <v>13.457172333333334</v>
      </c>
      <c r="D952" s="24">
        <f t="shared" si="59"/>
        <v>951</v>
      </c>
      <c r="E952" s="15">
        <v>12.25877088888889</v>
      </c>
      <c r="F952" s="12">
        <f t="shared" si="56"/>
        <v>0.88382899628252787</v>
      </c>
      <c r="G952" s="27">
        <f t="shared" si="57"/>
        <v>2405.1708484000005</v>
      </c>
    </row>
    <row r="953" spans="1:7" ht="13.8" x14ac:dyDescent="0.25">
      <c r="A953" s="22">
        <v>15.5825</v>
      </c>
      <c r="B953" s="14">
        <v>16254</v>
      </c>
      <c r="C953" s="12">
        <f t="shared" si="58"/>
        <v>15.833551388888889</v>
      </c>
      <c r="D953" s="25">
        <f t="shared" si="59"/>
        <v>952</v>
      </c>
      <c r="E953" s="15">
        <v>12.241801833333335</v>
      </c>
      <c r="F953" s="15">
        <f t="shared" si="56"/>
        <v>0.88475836431226762</v>
      </c>
      <c r="G953" s="28">
        <f t="shared" si="57"/>
        <v>2401.8415196999999</v>
      </c>
    </row>
    <row r="954" spans="1:7" ht="13.8" x14ac:dyDescent="0.25">
      <c r="A954" s="21">
        <v>17.863800000000001</v>
      </c>
      <c r="B954" s="11">
        <v>16224</v>
      </c>
      <c r="C954" s="12">
        <f t="shared" si="58"/>
        <v>18.151605666666669</v>
      </c>
      <c r="D954" s="24">
        <f t="shared" si="59"/>
        <v>953</v>
      </c>
      <c r="E954" s="12">
        <v>12.236111611111111</v>
      </c>
      <c r="F954" s="12">
        <f t="shared" si="56"/>
        <v>0.88568773234200748</v>
      </c>
      <c r="G954" s="27">
        <f t="shared" si="57"/>
        <v>2400.7250981000002</v>
      </c>
    </row>
    <row r="955" spans="1:7" ht="13.8" x14ac:dyDescent="0.25">
      <c r="A955" s="22">
        <v>21.324300000000001</v>
      </c>
      <c r="B955" s="14">
        <v>16193</v>
      </c>
      <c r="C955" s="12">
        <f t="shared" si="58"/>
        <v>21.667858166666669</v>
      </c>
      <c r="D955" s="25">
        <f t="shared" si="59"/>
        <v>954</v>
      </c>
      <c r="E955" s="15">
        <v>12.217516777777778</v>
      </c>
      <c r="F955" s="15">
        <f t="shared" si="56"/>
        <v>0.88661710037174724</v>
      </c>
      <c r="G955" s="28">
        <f t="shared" si="57"/>
        <v>2397.0767918000001</v>
      </c>
    </row>
    <row r="956" spans="1:7" ht="13.8" x14ac:dyDescent="0.25">
      <c r="A956" s="21">
        <v>30.181999999999999</v>
      </c>
      <c r="B956" s="11">
        <v>16163</v>
      </c>
      <c r="C956" s="12">
        <f t="shared" si="58"/>
        <v>30.668265555555557</v>
      </c>
      <c r="D956" s="24">
        <f t="shared" si="59"/>
        <v>955</v>
      </c>
      <c r="E956" s="12">
        <v>12.211928166666668</v>
      </c>
      <c r="F956" s="12">
        <f t="shared" si="56"/>
        <v>0.88754646840148699</v>
      </c>
      <c r="G956" s="27">
        <f t="shared" si="57"/>
        <v>2395.9803063000004</v>
      </c>
    </row>
    <row r="957" spans="1:7" ht="13.8" x14ac:dyDescent="0.25">
      <c r="A957" s="22">
        <v>54.681399999999996</v>
      </c>
      <c r="B957" s="14">
        <v>16132</v>
      </c>
      <c r="C957" s="12">
        <f t="shared" si="58"/>
        <v>55.562378111111109</v>
      </c>
      <c r="D957" s="25">
        <f t="shared" si="59"/>
        <v>956</v>
      </c>
      <c r="E957" s="12">
        <v>12.20379927777778</v>
      </c>
      <c r="F957" s="15">
        <f t="shared" si="56"/>
        <v>0.88847583643122674</v>
      </c>
      <c r="G957" s="28">
        <f t="shared" si="57"/>
        <v>2394.3854183000003</v>
      </c>
    </row>
    <row r="958" spans="1:7" ht="13.8" x14ac:dyDescent="0.25">
      <c r="A958" s="21">
        <v>55.884099999999997</v>
      </c>
      <c r="B958" s="11">
        <v>16103</v>
      </c>
      <c r="C958" s="12">
        <f t="shared" si="58"/>
        <v>56.784454944444448</v>
      </c>
      <c r="D958" s="24">
        <f t="shared" si="59"/>
        <v>957</v>
      </c>
      <c r="E958" s="15">
        <v>12.165491888888889</v>
      </c>
      <c r="F958" s="12">
        <f t="shared" si="56"/>
        <v>0.88940520446096649</v>
      </c>
      <c r="G958" s="27">
        <f t="shared" si="57"/>
        <v>2386.8695086000002</v>
      </c>
    </row>
    <row r="959" spans="1:7" ht="13.8" x14ac:dyDescent="0.25">
      <c r="A959" s="22">
        <v>36.605699999999999</v>
      </c>
      <c r="B959" s="14">
        <v>16072</v>
      </c>
      <c r="C959" s="12">
        <f t="shared" si="58"/>
        <v>37.195458500000001</v>
      </c>
      <c r="D959" s="25">
        <f t="shared" si="59"/>
        <v>958</v>
      </c>
      <c r="E959" s="15">
        <v>12.098022111111112</v>
      </c>
      <c r="F959" s="15">
        <f t="shared" si="56"/>
        <v>0.89033457249070636</v>
      </c>
      <c r="G959" s="28">
        <f t="shared" si="57"/>
        <v>2373.6319382000001</v>
      </c>
    </row>
    <row r="960" spans="1:7" ht="13.8" x14ac:dyDescent="0.25">
      <c r="A960" s="21">
        <v>41.407699999999998</v>
      </c>
      <c r="B960" s="11">
        <v>16041</v>
      </c>
      <c r="C960" s="12">
        <f t="shared" si="58"/>
        <v>42.07482405555556</v>
      </c>
      <c r="D960" s="24">
        <f t="shared" si="59"/>
        <v>959</v>
      </c>
      <c r="E960" s="12">
        <v>12.066319444444446</v>
      </c>
      <c r="F960" s="12">
        <f t="shared" si="56"/>
        <v>0.89126394052044611</v>
      </c>
      <c r="G960" s="27">
        <f t="shared" si="57"/>
        <v>2367.4118750000007</v>
      </c>
    </row>
    <row r="961" spans="1:7" ht="13.8" x14ac:dyDescent="0.25">
      <c r="A961" s="22">
        <v>21.525500000000001</v>
      </c>
      <c r="B961" s="14">
        <v>16011</v>
      </c>
      <c r="C961" s="12">
        <f t="shared" si="58"/>
        <v>21.872299722222223</v>
      </c>
      <c r="D961" s="25">
        <f t="shared" si="59"/>
        <v>960</v>
      </c>
      <c r="E961" s="15">
        <v>12.013989722222222</v>
      </c>
      <c r="F961" s="15">
        <f t="shared" si="56"/>
        <v>0.89219330855018586</v>
      </c>
      <c r="G961" s="28">
        <f t="shared" si="57"/>
        <v>2357.1447834999999</v>
      </c>
    </row>
    <row r="962" spans="1:7" ht="13.8" x14ac:dyDescent="0.25">
      <c r="A962" s="21">
        <v>23.2896</v>
      </c>
      <c r="B962" s="11">
        <v>15980</v>
      </c>
      <c r="C962" s="12">
        <f t="shared" si="58"/>
        <v>23.664821333333336</v>
      </c>
      <c r="D962" s="24">
        <f t="shared" si="59"/>
        <v>961</v>
      </c>
      <c r="E962" s="12">
        <v>11.992041722222224</v>
      </c>
      <c r="F962" s="12">
        <f t="shared" ref="F962:F1025" si="60">D962/1076</f>
        <v>0.89312267657992561</v>
      </c>
      <c r="G962" s="27">
        <f t="shared" ref="G962:G1025" si="61">1000*E962*$J$2*9.81/1000</f>
        <v>2352.8385859000005</v>
      </c>
    </row>
    <row r="963" spans="1:7" ht="13.8" x14ac:dyDescent="0.25">
      <c r="A963" s="22">
        <v>14.8965</v>
      </c>
      <c r="B963" s="14">
        <v>15950</v>
      </c>
      <c r="C963" s="12">
        <f t="shared" ref="C963:C1026" si="62">A963*($I$2/$H$2)</f>
        <v>15.136499166666667</v>
      </c>
      <c r="D963" s="25">
        <f t="shared" ref="D963:D1026" si="63">D962+1</f>
        <v>962</v>
      </c>
      <c r="E963" s="15">
        <v>11.918780111111111</v>
      </c>
      <c r="F963" s="15">
        <f t="shared" si="60"/>
        <v>0.89405204460966547</v>
      </c>
      <c r="G963" s="28">
        <f t="shared" si="61"/>
        <v>2338.4646578000002</v>
      </c>
    </row>
    <row r="964" spans="1:7" ht="13.8" x14ac:dyDescent="0.25">
      <c r="A964" s="21">
        <v>15.4434</v>
      </c>
      <c r="B964" s="11">
        <v>15919</v>
      </c>
      <c r="C964" s="12">
        <f t="shared" si="62"/>
        <v>15.692210333333335</v>
      </c>
      <c r="D964" s="24">
        <f t="shared" si="63"/>
        <v>963</v>
      </c>
      <c r="E964" s="12">
        <v>11.917154333333334</v>
      </c>
      <c r="F964" s="12">
        <f t="shared" si="60"/>
        <v>0.89498141263940523</v>
      </c>
      <c r="G964" s="27">
        <f t="shared" si="61"/>
        <v>2338.1456802000002</v>
      </c>
    </row>
    <row r="965" spans="1:7" ht="13.8" x14ac:dyDescent="0.25">
      <c r="A965" s="22">
        <v>16.668700000000001</v>
      </c>
      <c r="B965" s="14">
        <v>15888</v>
      </c>
      <c r="C965" s="12">
        <f t="shared" si="62"/>
        <v>16.937251277777779</v>
      </c>
      <c r="D965" s="25">
        <f t="shared" si="63"/>
        <v>964</v>
      </c>
      <c r="E965" s="12">
        <v>11.908619</v>
      </c>
      <c r="F965" s="15">
        <f t="shared" si="60"/>
        <v>0.89591078066914498</v>
      </c>
      <c r="G965" s="28">
        <f t="shared" si="61"/>
        <v>2336.4710478000002</v>
      </c>
    </row>
    <row r="966" spans="1:7" ht="13.8" x14ac:dyDescent="0.25">
      <c r="A966" s="21">
        <v>19.680800000000001</v>
      </c>
      <c r="B966" s="11">
        <v>15858</v>
      </c>
      <c r="C966" s="12">
        <f t="shared" si="62"/>
        <v>19.99787955555556</v>
      </c>
      <c r="D966" s="24">
        <f t="shared" si="63"/>
        <v>965</v>
      </c>
      <c r="E966" s="12">
        <v>11.893478944444446</v>
      </c>
      <c r="F966" s="12">
        <f t="shared" si="60"/>
        <v>0.89684014869888473</v>
      </c>
      <c r="G966" s="27">
        <f t="shared" si="61"/>
        <v>2333.5005689000009</v>
      </c>
    </row>
    <row r="967" spans="1:7" ht="13.8" x14ac:dyDescent="0.25">
      <c r="A967" s="22">
        <v>22.631599999999999</v>
      </c>
      <c r="B967" s="14">
        <v>15827</v>
      </c>
      <c r="C967" s="12">
        <f t="shared" si="62"/>
        <v>22.996220222222224</v>
      </c>
      <c r="D967" s="25">
        <f t="shared" si="63"/>
        <v>966</v>
      </c>
      <c r="E967" s="15">
        <v>11.861369833333333</v>
      </c>
      <c r="F967" s="15">
        <f t="shared" si="60"/>
        <v>0.89776951672862448</v>
      </c>
      <c r="G967" s="28">
        <f t="shared" si="61"/>
        <v>2327.2007613000001</v>
      </c>
    </row>
    <row r="968" spans="1:7" ht="14.4" customHeight="1" x14ac:dyDescent="0.25">
      <c r="A968" s="21">
        <v>29.707100000000001</v>
      </c>
      <c r="B968" s="11">
        <v>15797</v>
      </c>
      <c r="C968" s="12">
        <f t="shared" si="62"/>
        <v>30.18571438888889</v>
      </c>
      <c r="D968" s="24">
        <f t="shared" si="63"/>
        <v>967</v>
      </c>
      <c r="E968" s="16">
        <v>11.817270611111111</v>
      </c>
      <c r="F968" s="12">
        <f t="shared" si="60"/>
        <v>0.89869888475836435</v>
      </c>
      <c r="G968" s="27">
        <f t="shared" si="61"/>
        <v>2318.5484939000003</v>
      </c>
    </row>
    <row r="969" spans="1:7" ht="13.8" x14ac:dyDescent="0.25">
      <c r="A969" s="22">
        <v>49.898699999999998</v>
      </c>
      <c r="B969" s="14">
        <v>15766</v>
      </c>
      <c r="C969" s="12">
        <f t="shared" si="62"/>
        <v>50.702623500000001</v>
      </c>
      <c r="D969" s="25">
        <f t="shared" si="63"/>
        <v>968</v>
      </c>
      <c r="E969" s="15">
        <v>11.735168833333333</v>
      </c>
      <c r="F969" s="15">
        <f t="shared" si="60"/>
        <v>0.8996282527881041</v>
      </c>
      <c r="G969" s="28">
        <f t="shared" si="61"/>
        <v>2302.4401250999999</v>
      </c>
    </row>
    <row r="970" spans="1:7" ht="13.8" x14ac:dyDescent="0.25">
      <c r="A970" s="21">
        <v>53.379600000000003</v>
      </c>
      <c r="B970" s="11">
        <v>15738</v>
      </c>
      <c r="C970" s="12">
        <f t="shared" si="62"/>
        <v>54.239604666666672</v>
      </c>
      <c r="D970" s="24">
        <f t="shared" si="63"/>
        <v>969</v>
      </c>
      <c r="E970" s="15">
        <v>11.726938333333335</v>
      </c>
      <c r="F970" s="12">
        <f t="shared" si="60"/>
        <v>0.90055762081784385</v>
      </c>
      <c r="G970" s="27">
        <f t="shared" si="61"/>
        <v>2300.8253010000003</v>
      </c>
    </row>
    <row r="971" spans="1:7" ht="13.8" x14ac:dyDescent="0.25">
      <c r="A971" s="22">
        <v>86.071100000000001</v>
      </c>
      <c r="B971" s="14">
        <v>15707</v>
      </c>
      <c r="C971" s="12">
        <f t="shared" si="62"/>
        <v>87.457801055555564</v>
      </c>
      <c r="D971" s="25">
        <f t="shared" si="63"/>
        <v>970</v>
      </c>
      <c r="E971" s="12">
        <v>11.726023833333334</v>
      </c>
      <c r="F971" s="15">
        <f t="shared" si="60"/>
        <v>0.9014869888475836</v>
      </c>
      <c r="G971" s="28">
        <f t="shared" si="61"/>
        <v>2300.6458761000004</v>
      </c>
    </row>
    <row r="972" spans="1:7" ht="13.8" x14ac:dyDescent="0.25">
      <c r="A972" s="21">
        <v>38.064900000000002</v>
      </c>
      <c r="B972" s="11">
        <v>15676</v>
      </c>
      <c r="C972" s="12">
        <f t="shared" si="62"/>
        <v>38.67816783333334</v>
      </c>
      <c r="D972" s="24">
        <f t="shared" si="63"/>
        <v>971</v>
      </c>
      <c r="E972" s="12">
        <v>11.706616111111114</v>
      </c>
      <c r="F972" s="12">
        <f t="shared" si="60"/>
        <v>0.90241635687732347</v>
      </c>
      <c r="G972" s="27">
        <f t="shared" si="61"/>
        <v>2296.8380810000008</v>
      </c>
    </row>
    <row r="973" spans="1:7" ht="13.8" x14ac:dyDescent="0.25">
      <c r="A973" s="22">
        <v>25.582599999999999</v>
      </c>
      <c r="B973" s="14">
        <v>15646</v>
      </c>
      <c r="C973" s="12">
        <f t="shared" si="62"/>
        <v>25.994764111111113</v>
      </c>
      <c r="D973" s="25">
        <f t="shared" si="63"/>
        <v>972</v>
      </c>
      <c r="E973" s="12">
        <v>11.636301222222224</v>
      </c>
      <c r="F973" s="15">
        <f t="shared" si="60"/>
        <v>0.90334572490706322</v>
      </c>
      <c r="G973" s="28">
        <f t="shared" si="61"/>
        <v>2283.0422998000008</v>
      </c>
    </row>
    <row r="974" spans="1:7" ht="13.8" x14ac:dyDescent="0.25">
      <c r="A974" s="21">
        <v>21.436299999999999</v>
      </c>
      <c r="B974" s="11">
        <v>15615</v>
      </c>
      <c r="C974" s="12">
        <f t="shared" si="62"/>
        <v>21.781662611111113</v>
      </c>
      <c r="D974" s="24">
        <f t="shared" si="63"/>
        <v>973</v>
      </c>
      <c r="E974" s="12">
        <v>11.586206944444445</v>
      </c>
      <c r="F974" s="12">
        <f t="shared" si="60"/>
        <v>0.90427509293680297</v>
      </c>
      <c r="G974" s="27">
        <f t="shared" si="61"/>
        <v>2273.2138025000008</v>
      </c>
    </row>
    <row r="975" spans="1:7" ht="13.8" x14ac:dyDescent="0.25">
      <c r="A975" s="22">
        <v>13.426</v>
      </c>
      <c r="B975" s="14">
        <v>15585</v>
      </c>
      <c r="C975" s="12">
        <f t="shared" si="62"/>
        <v>13.642307777777779</v>
      </c>
      <c r="D975" s="25">
        <f t="shared" si="63"/>
        <v>974</v>
      </c>
      <c r="E975" s="12">
        <v>11.534893333333335</v>
      </c>
      <c r="F975" s="15">
        <f t="shared" si="60"/>
        <v>0.90520446096654272</v>
      </c>
      <c r="G975" s="28">
        <f t="shared" si="61"/>
        <v>2263.1460720000005</v>
      </c>
    </row>
    <row r="976" spans="1:7" ht="13.8" x14ac:dyDescent="0.25">
      <c r="A976" s="21">
        <v>13.9994</v>
      </c>
      <c r="B976" s="11">
        <v>15554</v>
      </c>
      <c r="C976" s="12">
        <f t="shared" si="62"/>
        <v>14.22494588888889</v>
      </c>
      <c r="D976" s="24">
        <f t="shared" si="63"/>
        <v>975</v>
      </c>
      <c r="E976" s="12">
        <v>11.462647833333335</v>
      </c>
      <c r="F976" s="12">
        <f t="shared" si="60"/>
        <v>0.90613382899628248</v>
      </c>
      <c r="G976" s="27">
        <f t="shared" si="61"/>
        <v>2248.9715049000006</v>
      </c>
    </row>
    <row r="977" spans="1:7" ht="13.8" x14ac:dyDescent="0.25">
      <c r="A977" s="22">
        <v>17.325900000000001</v>
      </c>
      <c r="B977" s="14">
        <v>15523</v>
      </c>
      <c r="C977" s="12">
        <f t="shared" si="62"/>
        <v>17.605039500000004</v>
      </c>
      <c r="D977" s="25">
        <f t="shared" si="63"/>
        <v>976</v>
      </c>
      <c r="E977" s="15">
        <v>11.459497888888889</v>
      </c>
      <c r="F977" s="15">
        <f t="shared" si="60"/>
        <v>0.90706319702602234</v>
      </c>
      <c r="G977" s="28">
        <f t="shared" si="61"/>
        <v>2248.3534857999998</v>
      </c>
    </row>
    <row r="978" spans="1:7" ht="13.8" x14ac:dyDescent="0.25">
      <c r="A978" s="21">
        <v>19.324300000000001</v>
      </c>
      <c r="B978" s="11">
        <v>15493</v>
      </c>
      <c r="C978" s="12">
        <f t="shared" si="62"/>
        <v>19.635635944444449</v>
      </c>
      <c r="D978" s="24">
        <f t="shared" si="63"/>
        <v>977</v>
      </c>
      <c r="E978" s="12">
        <v>11.430945166666667</v>
      </c>
      <c r="F978" s="12">
        <f t="shared" si="60"/>
        <v>0.90799256505576209</v>
      </c>
      <c r="G978" s="27">
        <f t="shared" si="61"/>
        <v>2242.7514417000007</v>
      </c>
    </row>
    <row r="979" spans="1:7" ht="13.8" x14ac:dyDescent="0.25">
      <c r="A979" s="22">
        <v>23.138300000000001</v>
      </c>
      <c r="B979" s="14">
        <v>15462</v>
      </c>
      <c r="C979" s="12">
        <f t="shared" si="62"/>
        <v>23.511083722222224</v>
      </c>
      <c r="D979" s="25">
        <f t="shared" si="63"/>
        <v>978</v>
      </c>
      <c r="E979" s="15">
        <v>11.409911666666666</v>
      </c>
      <c r="F979" s="15">
        <f t="shared" si="60"/>
        <v>0.90892193308550184</v>
      </c>
      <c r="G979" s="28">
        <f t="shared" si="61"/>
        <v>2238.6246690000003</v>
      </c>
    </row>
    <row r="980" spans="1:7" ht="13.8" x14ac:dyDescent="0.25">
      <c r="A980" s="21">
        <v>28.093599999999999</v>
      </c>
      <c r="B980" s="11">
        <v>15432</v>
      </c>
      <c r="C980" s="12">
        <f t="shared" si="62"/>
        <v>28.54621911111111</v>
      </c>
      <c r="D980" s="24">
        <f t="shared" si="63"/>
        <v>979</v>
      </c>
      <c r="E980" s="12">
        <v>11.396499</v>
      </c>
      <c r="F980" s="12">
        <f t="shared" si="60"/>
        <v>0.9098513011152416</v>
      </c>
      <c r="G980" s="27">
        <f t="shared" si="61"/>
        <v>2235.9931038</v>
      </c>
    </row>
    <row r="981" spans="1:7" ht="13.8" x14ac:dyDescent="0.25">
      <c r="A981" s="22">
        <v>55.317300000000003</v>
      </c>
      <c r="B981" s="14">
        <v>15401</v>
      </c>
      <c r="C981" s="12">
        <f t="shared" si="62"/>
        <v>56.208523166666673</v>
      </c>
      <c r="D981" s="25">
        <f t="shared" si="63"/>
        <v>980</v>
      </c>
      <c r="E981" s="15">
        <v>11.396092555555557</v>
      </c>
      <c r="F981" s="15">
        <f t="shared" si="60"/>
        <v>0.91078066914498146</v>
      </c>
      <c r="G981" s="28">
        <f t="shared" si="61"/>
        <v>2235.9133594000004</v>
      </c>
    </row>
    <row r="982" spans="1:7" ht="13.8" x14ac:dyDescent="0.25">
      <c r="A982" s="21">
        <v>39.165700000000001</v>
      </c>
      <c r="B982" s="11">
        <v>15373</v>
      </c>
      <c r="C982" s="12">
        <f t="shared" si="62"/>
        <v>39.796702944444448</v>
      </c>
      <c r="D982" s="24">
        <f t="shared" si="63"/>
        <v>981</v>
      </c>
      <c r="E982" s="12">
        <v>11.385829833333334</v>
      </c>
      <c r="F982" s="12">
        <f t="shared" si="60"/>
        <v>0.91171003717472121</v>
      </c>
      <c r="G982" s="27">
        <f t="shared" si="61"/>
        <v>2233.8998133</v>
      </c>
    </row>
    <row r="983" spans="1:7" ht="13.8" x14ac:dyDescent="0.25">
      <c r="A983" s="22">
        <v>27.224399999999999</v>
      </c>
      <c r="B983" s="14">
        <v>15342</v>
      </c>
      <c r="C983" s="12">
        <f t="shared" si="62"/>
        <v>27.663015333333334</v>
      </c>
      <c r="D983" s="25">
        <f t="shared" si="63"/>
        <v>982</v>
      </c>
      <c r="E983" s="15">
        <v>11.379834777777779</v>
      </c>
      <c r="F983" s="15">
        <f t="shared" si="60"/>
        <v>0.91263940520446096</v>
      </c>
      <c r="G983" s="28">
        <f t="shared" si="61"/>
        <v>2232.7235834000003</v>
      </c>
    </row>
    <row r="984" spans="1:7" ht="13.8" x14ac:dyDescent="0.25">
      <c r="A984" s="21">
        <v>35.953200000000002</v>
      </c>
      <c r="B984" s="11">
        <v>15311</v>
      </c>
      <c r="C984" s="12">
        <f t="shared" si="62"/>
        <v>36.532446000000007</v>
      </c>
      <c r="D984" s="24">
        <f t="shared" si="63"/>
        <v>983</v>
      </c>
      <c r="E984" s="12">
        <v>11.311653722222223</v>
      </c>
      <c r="F984" s="12">
        <f t="shared" si="60"/>
        <v>0.91356877323420072</v>
      </c>
      <c r="G984" s="27">
        <f t="shared" si="61"/>
        <v>2219.3464603000002</v>
      </c>
    </row>
    <row r="985" spans="1:7" ht="13.8" x14ac:dyDescent="0.25">
      <c r="A985" s="22">
        <v>23.6647</v>
      </c>
      <c r="B985" s="14">
        <v>15281</v>
      </c>
      <c r="C985" s="12">
        <f t="shared" si="62"/>
        <v>24.045964611111113</v>
      </c>
      <c r="D985" s="25">
        <f t="shared" si="63"/>
        <v>984</v>
      </c>
      <c r="E985" s="15">
        <v>11.310536000000001</v>
      </c>
      <c r="F985" s="15">
        <f t="shared" si="60"/>
        <v>0.91449814126394047</v>
      </c>
      <c r="G985" s="28">
        <f t="shared" si="61"/>
        <v>2219.1271632000003</v>
      </c>
    </row>
    <row r="986" spans="1:7" ht="13.8" x14ac:dyDescent="0.25">
      <c r="A986" s="21">
        <v>21.923200000000001</v>
      </c>
      <c r="B986" s="11">
        <v>15250</v>
      </c>
      <c r="C986" s="12">
        <f t="shared" si="62"/>
        <v>22.276407111111116</v>
      </c>
      <c r="D986" s="24">
        <f t="shared" si="63"/>
        <v>985</v>
      </c>
      <c r="E986" s="15">
        <v>11.275988222222225</v>
      </c>
      <c r="F986" s="12">
        <f t="shared" si="60"/>
        <v>0.91542750929368033</v>
      </c>
      <c r="G986" s="27">
        <f t="shared" si="61"/>
        <v>2212.3488892000005</v>
      </c>
    </row>
    <row r="987" spans="1:7" ht="13.8" x14ac:dyDescent="0.25">
      <c r="A987" s="22">
        <v>20.98</v>
      </c>
      <c r="B987" s="14">
        <v>15220</v>
      </c>
      <c r="C987" s="12">
        <f t="shared" si="62"/>
        <v>21.318011111111112</v>
      </c>
      <c r="D987" s="25">
        <f t="shared" si="63"/>
        <v>986</v>
      </c>
      <c r="E987" s="12">
        <v>11.271314111111112</v>
      </c>
      <c r="F987" s="15">
        <f t="shared" si="60"/>
        <v>0.91635687732342008</v>
      </c>
      <c r="G987" s="28">
        <f t="shared" si="61"/>
        <v>2211.4318286000002</v>
      </c>
    </row>
    <row r="988" spans="1:7" ht="13.8" x14ac:dyDescent="0.25">
      <c r="A988" s="21">
        <v>11.728199999999999</v>
      </c>
      <c r="B988" s="11">
        <v>15189</v>
      </c>
      <c r="C988" s="12">
        <f t="shared" si="62"/>
        <v>11.917154333333334</v>
      </c>
      <c r="D988" s="24">
        <f t="shared" si="63"/>
        <v>987</v>
      </c>
      <c r="E988" s="15">
        <v>11.126619888888891</v>
      </c>
      <c r="F988" s="12">
        <f t="shared" si="60"/>
        <v>0.91728624535315983</v>
      </c>
      <c r="G988" s="27">
        <f t="shared" si="61"/>
        <v>2183.042822200001</v>
      </c>
    </row>
    <row r="989" spans="1:7" ht="13.8" x14ac:dyDescent="0.25">
      <c r="A989" s="22">
        <v>15.780900000000001</v>
      </c>
      <c r="B989" s="14">
        <v>15158</v>
      </c>
      <c r="C989" s="12">
        <f t="shared" si="62"/>
        <v>16.035147833333337</v>
      </c>
      <c r="D989" s="25">
        <f t="shared" si="63"/>
        <v>988</v>
      </c>
      <c r="E989" s="12">
        <v>11.105281555555557</v>
      </c>
      <c r="F989" s="15">
        <f t="shared" si="60"/>
        <v>0.91821561338289959</v>
      </c>
      <c r="G989" s="28">
        <f t="shared" si="61"/>
        <v>2178.8562412000006</v>
      </c>
    </row>
    <row r="990" spans="1:7" ht="13.8" x14ac:dyDescent="0.25">
      <c r="A990" s="21">
        <v>15.2719</v>
      </c>
      <c r="B990" s="11">
        <v>15128</v>
      </c>
      <c r="C990" s="12">
        <f t="shared" si="62"/>
        <v>15.517947277777779</v>
      </c>
      <c r="D990" s="24">
        <f t="shared" si="63"/>
        <v>989</v>
      </c>
      <c r="E990" s="15">
        <v>10.969833944444446</v>
      </c>
      <c r="F990" s="12">
        <f t="shared" si="60"/>
        <v>0.91914498141263945</v>
      </c>
      <c r="G990" s="27">
        <f t="shared" si="61"/>
        <v>2152.2814199000004</v>
      </c>
    </row>
    <row r="991" spans="1:7" ht="13.8" x14ac:dyDescent="0.25">
      <c r="A991" s="22">
        <v>16.2117</v>
      </c>
      <c r="B991" s="14">
        <v>15097</v>
      </c>
      <c r="C991" s="12">
        <f t="shared" si="62"/>
        <v>16.472888500000003</v>
      </c>
      <c r="D991" s="25">
        <f t="shared" si="63"/>
        <v>990</v>
      </c>
      <c r="E991" s="12">
        <v>10.95286488888889</v>
      </c>
      <c r="F991" s="15">
        <f t="shared" si="60"/>
        <v>0.9200743494423792</v>
      </c>
      <c r="G991" s="28">
        <f t="shared" si="61"/>
        <v>2148.9520912000003</v>
      </c>
    </row>
    <row r="992" spans="1:7" ht="13.8" x14ac:dyDescent="0.25">
      <c r="A992" s="21">
        <v>21.939800000000002</v>
      </c>
      <c r="B992" s="11">
        <v>15067</v>
      </c>
      <c r="C992" s="12">
        <f t="shared" si="62"/>
        <v>22.293274555555559</v>
      </c>
      <c r="D992" s="24">
        <f t="shared" si="63"/>
        <v>991</v>
      </c>
      <c r="E992" s="12">
        <v>10.889053111111112</v>
      </c>
      <c r="F992" s="12">
        <f t="shared" si="60"/>
        <v>0.92100371747211895</v>
      </c>
      <c r="G992" s="27">
        <f t="shared" si="61"/>
        <v>2136.4322204000005</v>
      </c>
    </row>
    <row r="993" spans="1:7" ht="13.8" x14ac:dyDescent="0.25">
      <c r="A993" s="22">
        <v>27.203199999999999</v>
      </c>
      <c r="B993" s="14">
        <v>15036</v>
      </c>
      <c r="C993" s="12">
        <f t="shared" si="62"/>
        <v>27.641473777777779</v>
      </c>
      <c r="D993" s="25">
        <f t="shared" si="63"/>
        <v>992</v>
      </c>
      <c r="E993" s="12">
        <v>10.856639166666668</v>
      </c>
      <c r="F993" s="15">
        <f t="shared" si="60"/>
        <v>0.92193308550185871</v>
      </c>
      <c r="G993" s="28">
        <f t="shared" si="61"/>
        <v>2130.0726045000006</v>
      </c>
    </row>
    <row r="994" spans="1:7" ht="13.8" x14ac:dyDescent="0.25">
      <c r="A994" s="21">
        <v>37.447000000000003</v>
      </c>
      <c r="B994" s="11">
        <v>15008</v>
      </c>
      <c r="C994" s="12">
        <f t="shared" si="62"/>
        <v>38.050312777777783</v>
      </c>
      <c r="D994" s="24">
        <f t="shared" si="63"/>
        <v>993</v>
      </c>
      <c r="E994" s="15">
        <v>10.786019444444445</v>
      </c>
      <c r="F994" s="12">
        <f t="shared" si="60"/>
        <v>0.92286245353159846</v>
      </c>
      <c r="G994" s="27">
        <f t="shared" si="61"/>
        <v>2116.2170150000006</v>
      </c>
    </row>
    <row r="995" spans="1:7" ht="13.8" x14ac:dyDescent="0.25">
      <c r="A995" s="22">
        <v>67.168499999999995</v>
      </c>
      <c r="B995" s="14">
        <v>14977</v>
      </c>
      <c r="C995" s="12">
        <f t="shared" si="62"/>
        <v>68.250659166666665</v>
      </c>
      <c r="D995" s="25">
        <f t="shared" si="63"/>
        <v>994</v>
      </c>
      <c r="E995" s="15">
        <v>10.762445666666666</v>
      </c>
      <c r="F995" s="15">
        <f t="shared" si="60"/>
        <v>0.92379182156133832</v>
      </c>
      <c r="G995" s="28">
        <f t="shared" si="61"/>
        <v>2111.5918398000003</v>
      </c>
    </row>
    <row r="996" spans="1:7" ht="13.8" x14ac:dyDescent="0.25">
      <c r="A996" s="21">
        <v>74.420500000000004</v>
      </c>
      <c r="B996" s="11">
        <v>14946</v>
      </c>
      <c r="C996" s="12">
        <f t="shared" si="62"/>
        <v>75.61949694444445</v>
      </c>
      <c r="D996" s="24">
        <f t="shared" si="63"/>
        <v>995</v>
      </c>
      <c r="E996" s="12">
        <v>10.739075111111111</v>
      </c>
      <c r="F996" s="12">
        <f t="shared" si="60"/>
        <v>0.92472118959107807</v>
      </c>
      <c r="G996" s="27">
        <f t="shared" si="61"/>
        <v>2107.0065368</v>
      </c>
    </row>
    <row r="997" spans="1:7" ht="13.8" x14ac:dyDescent="0.25">
      <c r="A997" s="22">
        <v>44.097700000000003</v>
      </c>
      <c r="B997" s="14">
        <v>14916</v>
      </c>
      <c r="C997" s="12">
        <f t="shared" si="62"/>
        <v>44.808162944444454</v>
      </c>
      <c r="D997" s="25">
        <f t="shared" si="63"/>
        <v>996</v>
      </c>
      <c r="E997" s="15">
        <v>10.713062666666668</v>
      </c>
      <c r="F997" s="15">
        <f t="shared" si="60"/>
        <v>0.92565055762081783</v>
      </c>
      <c r="G997" s="28">
        <f t="shared" si="61"/>
        <v>2101.9028952000003</v>
      </c>
    </row>
    <row r="998" spans="1:7" ht="13.8" x14ac:dyDescent="0.25">
      <c r="A998" s="21">
        <v>19.8749</v>
      </c>
      <c r="B998" s="11">
        <v>14885</v>
      </c>
      <c r="C998" s="12">
        <f t="shared" si="62"/>
        <v>20.195106722222224</v>
      </c>
      <c r="D998" s="24">
        <f t="shared" si="63"/>
        <v>997</v>
      </c>
      <c r="E998" s="15">
        <v>10.652096</v>
      </c>
      <c r="F998" s="12">
        <f t="shared" si="60"/>
        <v>0.92657992565055758</v>
      </c>
      <c r="G998" s="27">
        <f t="shared" si="61"/>
        <v>2089.9412351999999</v>
      </c>
    </row>
    <row r="999" spans="1:7" ht="13.8" x14ac:dyDescent="0.25">
      <c r="A999" s="22">
        <v>15.1069</v>
      </c>
      <c r="B999" s="14">
        <v>14855</v>
      </c>
      <c r="C999" s="12">
        <f t="shared" si="62"/>
        <v>15.350288944444445</v>
      </c>
      <c r="D999" s="25">
        <f t="shared" si="63"/>
        <v>998</v>
      </c>
      <c r="E999" s="12">
        <v>10.638683333333335</v>
      </c>
      <c r="F999" s="15">
        <f t="shared" si="60"/>
        <v>0.92750929368029744</v>
      </c>
      <c r="G999" s="28">
        <f t="shared" si="61"/>
        <v>2087.3096700000006</v>
      </c>
    </row>
    <row r="1000" spans="1:7" ht="13.8" x14ac:dyDescent="0.25">
      <c r="A1000" s="21">
        <v>14.5434</v>
      </c>
      <c r="B1000" s="11">
        <v>14824</v>
      </c>
      <c r="C1000" s="12">
        <f t="shared" si="62"/>
        <v>14.777710333333335</v>
      </c>
      <c r="D1000" s="24">
        <f t="shared" si="63"/>
        <v>999</v>
      </c>
      <c r="E1000" s="12">
        <v>10.634314055555556</v>
      </c>
      <c r="F1000" s="12">
        <f t="shared" si="60"/>
        <v>0.92843866171003719</v>
      </c>
      <c r="G1000" s="27">
        <f t="shared" si="61"/>
        <v>2086.4524177000003</v>
      </c>
    </row>
    <row r="1001" spans="1:7" ht="14.4" customHeight="1" x14ac:dyDescent="0.25">
      <c r="A1001" s="22">
        <v>17.050899999999999</v>
      </c>
      <c r="B1001" s="14">
        <v>14793</v>
      </c>
      <c r="C1001" s="12">
        <f t="shared" si="62"/>
        <v>17.325608944444443</v>
      </c>
      <c r="D1001" s="25">
        <f t="shared" si="63"/>
        <v>1000</v>
      </c>
      <c r="E1001" s="15">
        <v>10.629436722222223</v>
      </c>
      <c r="F1001" s="15">
        <f t="shared" si="60"/>
        <v>0.92936802973977695</v>
      </c>
      <c r="G1001" s="28">
        <f t="shared" si="61"/>
        <v>2085.4954849000001</v>
      </c>
    </row>
    <row r="1002" spans="1:7" ht="13.8" x14ac:dyDescent="0.25">
      <c r="A1002" s="21">
        <v>20.456499999999998</v>
      </c>
      <c r="B1002" s="11">
        <v>14763</v>
      </c>
      <c r="C1002" s="12">
        <f t="shared" si="62"/>
        <v>20.786076944444446</v>
      </c>
      <c r="D1002" s="24">
        <f t="shared" si="63"/>
        <v>1001</v>
      </c>
      <c r="E1002" s="15">
        <v>10.612670888888889</v>
      </c>
      <c r="F1002" s="12">
        <f t="shared" si="60"/>
        <v>0.9302973977695167</v>
      </c>
      <c r="G1002" s="27">
        <f t="shared" si="61"/>
        <v>2082.2060284000004</v>
      </c>
    </row>
    <row r="1003" spans="1:7" ht="14.4" customHeight="1" x14ac:dyDescent="0.25">
      <c r="A1003" s="22">
        <v>25.840299999999999</v>
      </c>
      <c r="B1003" s="14">
        <v>14732</v>
      </c>
      <c r="C1003" s="12">
        <f t="shared" si="62"/>
        <v>26.256615944444444</v>
      </c>
      <c r="D1003" s="25">
        <f t="shared" si="63"/>
        <v>1002</v>
      </c>
      <c r="E1003" s="12">
        <v>10.582492388888889</v>
      </c>
      <c r="F1003" s="15">
        <f t="shared" si="60"/>
        <v>0.93122676579925645</v>
      </c>
      <c r="G1003" s="28">
        <f t="shared" si="61"/>
        <v>2076.2850067000004</v>
      </c>
    </row>
    <row r="1004" spans="1:7" ht="13.8" x14ac:dyDescent="0.25">
      <c r="A1004" s="21">
        <v>36.724899999999998</v>
      </c>
      <c r="B1004" s="11">
        <v>14702</v>
      </c>
      <c r="C1004" s="12">
        <f t="shared" si="62"/>
        <v>37.316578944444444</v>
      </c>
      <c r="D1004" s="24">
        <f t="shared" si="63"/>
        <v>1003</v>
      </c>
      <c r="E1004" s="15">
        <v>10.470618555555557</v>
      </c>
      <c r="F1004" s="12">
        <f t="shared" si="60"/>
        <v>0.93215613382899631</v>
      </c>
      <c r="G1004" s="27">
        <f t="shared" si="61"/>
        <v>2054.3353606000001</v>
      </c>
    </row>
    <row r="1005" spans="1:7" ht="13.8" x14ac:dyDescent="0.25">
      <c r="A1005" s="22">
        <v>72.111099999999993</v>
      </c>
      <c r="B1005" s="14">
        <v>14671</v>
      </c>
      <c r="C1005" s="12">
        <f t="shared" si="62"/>
        <v>73.272889944444444</v>
      </c>
      <c r="D1005" s="25">
        <f t="shared" si="63"/>
        <v>1004</v>
      </c>
      <c r="E1005" s="12">
        <v>10.43983038888889</v>
      </c>
      <c r="F1005" s="15">
        <f t="shared" si="60"/>
        <v>0.93308550185873607</v>
      </c>
      <c r="G1005" s="28">
        <f t="shared" si="61"/>
        <v>2048.2947223000001</v>
      </c>
    </row>
    <row r="1006" spans="1:7" ht="13.8" x14ac:dyDescent="0.25">
      <c r="A1006" s="21">
        <v>80.686000000000007</v>
      </c>
      <c r="B1006" s="11">
        <v>14642</v>
      </c>
      <c r="C1006" s="12">
        <f t="shared" si="62"/>
        <v>81.985941111111131</v>
      </c>
      <c r="D1006" s="24">
        <f t="shared" si="63"/>
        <v>1005</v>
      </c>
      <c r="E1006" s="12">
        <v>10.438001388888891</v>
      </c>
      <c r="F1006" s="12">
        <f t="shared" si="60"/>
        <v>0.93401486988847582</v>
      </c>
      <c r="G1006" s="27">
        <f t="shared" si="61"/>
        <v>2047.9358725000006</v>
      </c>
    </row>
    <row r="1007" spans="1:7" ht="13.8" x14ac:dyDescent="0.25">
      <c r="A1007" s="22">
        <v>68.642700000000005</v>
      </c>
      <c r="B1007" s="14">
        <v>14611</v>
      </c>
      <c r="C1007" s="12">
        <f t="shared" si="62"/>
        <v>69.74861016666668</v>
      </c>
      <c r="D1007" s="25">
        <f t="shared" si="63"/>
        <v>1006</v>
      </c>
      <c r="E1007" s="12">
        <v>10.328566222222223</v>
      </c>
      <c r="F1007" s="15">
        <f t="shared" si="60"/>
        <v>0.93494423791821557</v>
      </c>
      <c r="G1007" s="28">
        <f t="shared" si="61"/>
        <v>2026.4646928000004</v>
      </c>
    </row>
    <row r="1008" spans="1:7" ht="13.8" x14ac:dyDescent="0.25">
      <c r="A1008" s="21">
        <v>56.652099999999997</v>
      </c>
      <c r="B1008" s="11">
        <v>14580</v>
      </c>
      <c r="C1008" s="12">
        <f t="shared" si="62"/>
        <v>57.564828277777778</v>
      </c>
      <c r="D1008" s="24">
        <f t="shared" si="63"/>
        <v>1007</v>
      </c>
      <c r="E1008" s="12">
        <v>10.310479444444445</v>
      </c>
      <c r="F1008" s="12">
        <f t="shared" si="60"/>
        <v>0.93587360594795543</v>
      </c>
      <c r="G1008" s="27">
        <f t="shared" si="61"/>
        <v>2022.9160670000001</v>
      </c>
    </row>
    <row r="1009" spans="1:7" ht="13.8" x14ac:dyDescent="0.25">
      <c r="A1009" s="22">
        <v>24.872299999999999</v>
      </c>
      <c r="B1009" s="14">
        <v>14550</v>
      </c>
      <c r="C1009" s="12">
        <f t="shared" si="62"/>
        <v>25.273020388888892</v>
      </c>
      <c r="D1009" s="25">
        <f t="shared" si="63"/>
        <v>1008</v>
      </c>
      <c r="E1009" s="12">
        <v>10.269530166666668</v>
      </c>
      <c r="F1009" s="15">
        <f t="shared" si="60"/>
        <v>0.93680297397769519</v>
      </c>
      <c r="G1009" s="28">
        <f t="shared" si="61"/>
        <v>2014.8818187000002</v>
      </c>
    </row>
    <row r="1010" spans="1:7" ht="13.8" x14ac:dyDescent="0.25">
      <c r="A1010" s="21">
        <v>19.945900000000002</v>
      </c>
      <c r="B1010" s="11">
        <v>14519</v>
      </c>
      <c r="C1010" s="12">
        <f t="shared" si="62"/>
        <v>20.267250611111116</v>
      </c>
      <c r="D1010" s="24">
        <f t="shared" si="63"/>
        <v>1009</v>
      </c>
      <c r="E1010" s="15">
        <v>10.242400000000002</v>
      </c>
      <c r="F1010" s="12">
        <f t="shared" si="60"/>
        <v>0.93773234200743494</v>
      </c>
      <c r="G1010" s="27">
        <f t="shared" si="61"/>
        <v>2009.5588800000003</v>
      </c>
    </row>
    <row r="1011" spans="1:7" ht="13.8" x14ac:dyDescent="0.25">
      <c r="A1011" s="22">
        <v>17.560099999999998</v>
      </c>
      <c r="B1011" s="14">
        <v>14489</v>
      </c>
      <c r="C1011" s="12">
        <f t="shared" si="62"/>
        <v>17.843012722222223</v>
      </c>
      <c r="D1011" s="25">
        <f t="shared" si="63"/>
        <v>1010</v>
      </c>
      <c r="E1011" s="15">
        <v>10.203686166666667</v>
      </c>
      <c r="F1011" s="15">
        <f t="shared" si="60"/>
        <v>0.93866171003717469</v>
      </c>
      <c r="G1011" s="28">
        <f t="shared" si="61"/>
        <v>2001.9632259000005</v>
      </c>
    </row>
    <row r="1012" spans="1:7" ht="13.8" x14ac:dyDescent="0.25">
      <c r="A1012" s="21">
        <v>15.3292</v>
      </c>
      <c r="B1012" s="11">
        <v>14458</v>
      </c>
      <c r="C1012" s="12">
        <f t="shared" si="62"/>
        <v>15.576170444444445</v>
      </c>
      <c r="D1012" s="24">
        <f t="shared" si="63"/>
        <v>1011</v>
      </c>
      <c r="E1012" s="12">
        <v>10.161212722222222</v>
      </c>
      <c r="F1012" s="12">
        <f t="shared" si="60"/>
        <v>0.93959107806691455</v>
      </c>
      <c r="G1012" s="27">
        <f t="shared" si="61"/>
        <v>1993.6299361000001</v>
      </c>
    </row>
    <row r="1013" spans="1:7" ht="13.8" x14ac:dyDescent="0.25">
      <c r="A1013" s="22">
        <v>17.340900000000001</v>
      </c>
      <c r="B1013" s="14">
        <v>14427</v>
      </c>
      <c r="C1013" s="12">
        <f t="shared" si="62"/>
        <v>17.620281166666668</v>
      </c>
      <c r="D1013" s="25">
        <f t="shared" si="63"/>
        <v>1012</v>
      </c>
      <c r="E1013" s="15">
        <v>10.113658722222224</v>
      </c>
      <c r="F1013" s="15">
        <f t="shared" si="60"/>
        <v>0.94052044609665431</v>
      </c>
      <c r="G1013" s="28">
        <f t="shared" si="61"/>
        <v>1984.2998413000005</v>
      </c>
    </row>
    <row r="1014" spans="1:7" ht="13.8" x14ac:dyDescent="0.25">
      <c r="A1014" s="21">
        <v>17.4908</v>
      </c>
      <c r="B1014" s="11">
        <v>14397</v>
      </c>
      <c r="C1014" s="12">
        <f t="shared" si="62"/>
        <v>17.772596222222223</v>
      </c>
      <c r="D1014" s="24">
        <f t="shared" si="63"/>
        <v>1013</v>
      </c>
      <c r="E1014" s="12">
        <v>10.09140588888889</v>
      </c>
      <c r="F1014" s="12">
        <f t="shared" si="60"/>
        <v>0.94144981412639406</v>
      </c>
      <c r="G1014" s="27">
        <f t="shared" si="61"/>
        <v>1979.9338354000004</v>
      </c>
    </row>
    <row r="1015" spans="1:7" ht="13.8" x14ac:dyDescent="0.25">
      <c r="A1015" s="22">
        <v>21.909300000000002</v>
      </c>
      <c r="B1015" s="14">
        <v>14366</v>
      </c>
      <c r="C1015" s="12">
        <f t="shared" si="62"/>
        <v>22.26228316666667</v>
      </c>
      <c r="D1015" s="25">
        <f t="shared" si="63"/>
        <v>1014</v>
      </c>
      <c r="E1015" s="15">
        <v>9.921613722222224</v>
      </c>
      <c r="F1015" s="15">
        <f t="shared" si="60"/>
        <v>0.94237918215613381</v>
      </c>
      <c r="G1015" s="28">
        <f t="shared" si="61"/>
        <v>1946.6206123000004</v>
      </c>
    </row>
    <row r="1016" spans="1:7" ht="13.8" x14ac:dyDescent="0.25">
      <c r="A1016" s="21">
        <v>29.3507</v>
      </c>
      <c r="B1016" s="11">
        <v>14336</v>
      </c>
      <c r="C1016" s="12">
        <f t="shared" si="62"/>
        <v>29.823572388888891</v>
      </c>
      <c r="D1016" s="24">
        <f t="shared" si="63"/>
        <v>1015</v>
      </c>
      <c r="E1016" s="15">
        <v>9.9143993333333338</v>
      </c>
      <c r="F1016" s="12">
        <f t="shared" si="60"/>
        <v>0.94330855018587356</v>
      </c>
      <c r="G1016" s="27">
        <f t="shared" si="61"/>
        <v>1945.2051492000003</v>
      </c>
    </row>
    <row r="1017" spans="1:7" ht="13.8" x14ac:dyDescent="0.25">
      <c r="A1017" s="22">
        <v>31.7224</v>
      </c>
      <c r="B1017" s="14">
        <v>14305</v>
      </c>
      <c r="C1017" s="12">
        <f t="shared" si="62"/>
        <v>32.233483111111113</v>
      </c>
      <c r="D1017" s="25">
        <f t="shared" si="63"/>
        <v>1016</v>
      </c>
      <c r="E1017" s="15">
        <v>9.876091944444445</v>
      </c>
      <c r="F1017" s="15">
        <f t="shared" si="60"/>
        <v>0.94423791821561343</v>
      </c>
      <c r="G1017" s="28">
        <f t="shared" si="61"/>
        <v>1937.6892395000002</v>
      </c>
    </row>
    <row r="1018" spans="1:7" ht="13.8" x14ac:dyDescent="0.25">
      <c r="A1018" s="21">
        <v>59.698599999999999</v>
      </c>
      <c r="B1018" s="11">
        <v>14277</v>
      </c>
      <c r="C1018" s="12">
        <f t="shared" si="62"/>
        <v>60.660410777777784</v>
      </c>
      <c r="D1018" s="24">
        <f t="shared" si="63"/>
        <v>1017</v>
      </c>
      <c r="E1018" s="12">
        <v>9.8536358888888902</v>
      </c>
      <c r="F1018" s="12">
        <f t="shared" si="60"/>
        <v>0.94516728624535318</v>
      </c>
      <c r="G1018" s="27">
        <f t="shared" si="61"/>
        <v>1933.2833614000006</v>
      </c>
    </row>
    <row r="1019" spans="1:7" ht="13.8" x14ac:dyDescent="0.25">
      <c r="A1019" s="22">
        <v>67.638499999999993</v>
      </c>
      <c r="B1019" s="14">
        <v>14246</v>
      </c>
      <c r="C1019" s="12">
        <f t="shared" si="62"/>
        <v>68.728231388888886</v>
      </c>
      <c r="D1019" s="25">
        <f t="shared" si="63"/>
        <v>1018</v>
      </c>
      <c r="E1019" s="15">
        <v>9.8439828333333352</v>
      </c>
      <c r="F1019" s="15">
        <f t="shared" si="60"/>
        <v>0.94609665427509293</v>
      </c>
      <c r="G1019" s="28">
        <f t="shared" si="61"/>
        <v>1931.3894319000005</v>
      </c>
    </row>
    <row r="1020" spans="1:7" ht="13.8" x14ac:dyDescent="0.25">
      <c r="A1020" s="21">
        <v>73.305999999999997</v>
      </c>
      <c r="B1020" s="11">
        <v>14215</v>
      </c>
      <c r="C1020" s="12">
        <f t="shared" si="62"/>
        <v>74.487041111111111</v>
      </c>
      <c r="D1020" s="24">
        <f t="shared" si="63"/>
        <v>1019</v>
      </c>
      <c r="E1020" s="12">
        <v>9.841544166666667</v>
      </c>
      <c r="F1020" s="12">
        <f t="shared" si="60"/>
        <v>0.94702602230483268</v>
      </c>
      <c r="G1020" s="27">
        <f t="shared" si="61"/>
        <v>1930.9109655000002</v>
      </c>
    </row>
    <row r="1021" spans="1:7" ht="13.8" x14ac:dyDescent="0.25">
      <c r="A1021" s="22">
        <v>34.6676</v>
      </c>
      <c r="B1021" s="14">
        <v>14185</v>
      </c>
      <c r="C1021" s="12">
        <f t="shared" si="62"/>
        <v>35.226133555555556</v>
      </c>
      <c r="D1021" s="25">
        <f t="shared" si="63"/>
        <v>1020</v>
      </c>
      <c r="E1021" s="12">
        <v>9.7538537777777776</v>
      </c>
      <c r="F1021" s="15">
        <f t="shared" si="60"/>
        <v>0.94795539033457255</v>
      </c>
      <c r="G1021" s="28">
        <f t="shared" si="61"/>
        <v>1913.7061112000004</v>
      </c>
    </row>
    <row r="1022" spans="1:7" ht="13.8" x14ac:dyDescent="0.25">
      <c r="A1022" s="21">
        <v>33.734200000000001</v>
      </c>
      <c r="B1022" s="11">
        <v>14154</v>
      </c>
      <c r="C1022" s="12">
        <f t="shared" si="62"/>
        <v>34.277695444444447</v>
      </c>
      <c r="D1022" s="24">
        <f t="shared" si="63"/>
        <v>1021</v>
      </c>
      <c r="E1022" s="15">
        <v>9.742270111111111</v>
      </c>
      <c r="F1022" s="12">
        <f t="shared" si="60"/>
        <v>0.9488847583643123</v>
      </c>
      <c r="G1022" s="27">
        <f t="shared" si="61"/>
        <v>1911.4333958</v>
      </c>
    </row>
    <row r="1023" spans="1:7" ht="13.8" x14ac:dyDescent="0.25">
      <c r="A1023" s="22">
        <v>21.388100000000001</v>
      </c>
      <c r="B1023" s="14">
        <v>14124</v>
      </c>
      <c r="C1023" s="12">
        <f t="shared" si="62"/>
        <v>21.732686055555558</v>
      </c>
      <c r="D1023" s="25">
        <f t="shared" si="63"/>
        <v>1022</v>
      </c>
      <c r="E1023" s="15">
        <v>9.5631297222222234</v>
      </c>
      <c r="F1023" s="15">
        <f t="shared" si="60"/>
        <v>0.94981412639405205</v>
      </c>
      <c r="G1023" s="28">
        <f t="shared" si="61"/>
        <v>1876.2860515000002</v>
      </c>
    </row>
    <row r="1024" spans="1:7" ht="13.8" x14ac:dyDescent="0.25">
      <c r="A1024" s="21">
        <v>18.7361</v>
      </c>
      <c r="B1024" s="11">
        <v>14093</v>
      </c>
      <c r="C1024" s="12">
        <f t="shared" si="62"/>
        <v>19.03795938888889</v>
      </c>
      <c r="D1024" s="24">
        <f t="shared" si="63"/>
        <v>1023</v>
      </c>
      <c r="E1024" s="15">
        <v>9.5530702222222228</v>
      </c>
      <c r="F1024" s="12">
        <f t="shared" si="60"/>
        <v>0.9507434944237918</v>
      </c>
      <c r="G1024" s="27">
        <f t="shared" si="61"/>
        <v>1874.3123776000002</v>
      </c>
    </row>
    <row r="1025" spans="1:7" ht="13.8" x14ac:dyDescent="0.25">
      <c r="A1025" s="22">
        <v>19.36</v>
      </c>
      <c r="B1025" s="14">
        <v>14062</v>
      </c>
      <c r="C1025" s="12">
        <f t="shared" si="62"/>
        <v>19.671911111111111</v>
      </c>
      <c r="D1025" s="25">
        <f t="shared" si="63"/>
        <v>1024</v>
      </c>
      <c r="E1025" s="12">
        <v>9.5407752777777777</v>
      </c>
      <c r="F1025" s="15">
        <f t="shared" si="60"/>
        <v>0.95167286245353155</v>
      </c>
      <c r="G1025" s="28">
        <f t="shared" si="61"/>
        <v>1871.9001095000001</v>
      </c>
    </row>
    <row r="1026" spans="1:7" ht="13.8" x14ac:dyDescent="0.25">
      <c r="A1026" s="21">
        <v>18.339700000000001</v>
      </c>
      <c r="B1026" s="11">
        <v>14032</v>
      </c>
      <c r="C1026" s="12">
        <f t="shared" si="62"/>
        <v>18.635172944444445</v>
      </c>
      <c r="D1026" s="24">
        <f t="shared" si="63"/>
        <v>1025</v>
      </c>
      <c r="E1026" s="12">
        <v>9.4638556666666673</v>
      </c>
      <c r="F1026" s="12">
        <f t="shared" ref="F1026:F1076" si="64">D1026/1076</f>
        <v>0.95260223048327142</v>
      </c>
      <c r="G1026" s="27">
        <f t="shared" ref="G1026:G1076" si="65">1000*E1026*$J$2*9.81/1000</f>
        <v>1856.8084818000004</v>
      </c>
    </row>
    <row r="1027" spans="1:7" ht="13.8" x14ac:dyDescent="0.25">
      <c r="A1027" s="22">
        <v>25.648700000000002</v>
      </c>
      <c r="B1027" s="14">
        <v>14001</v>
      </c>
      <c r="C1027" s="12">
        <f t="shared" ref="C1027:C1076" si="66">A1027*($I$2/$H$2)</f>
        <v>26.061929055555559</v>
      </c>
      <c r="D1027" s="25">
        <f t="shared" ref="D1027:D1076" si="67">D1026+1</f>
        <v>1026</v>
      </c>
      <c r="E1027" s="15">
        <v>9.3004650000000009</v>
      </c>
      <c r="F1027" s="15">
        <f t="shared" si="64"/>
        <v>0.95353159851301117</v>
      </c>
      <c r="G1027" s="28">
        <f t="shared" si="65"/>
        <v>1824.751233</v>
      </c>
    </row>
    <row r="1028" spans="1:7" ht="13.8" x14ac:dyDescent="0.25">
      <c r="A1028" s="21">
        <v>27.489100000000001</v>
      </c>
      <c r="B1028" s="11">
        <v>13971</v>
      </c>
      <c r="C1028" s="12">
        <f t="shared" si="66"/>
        <v>27.931979944444446</v>
      </c>
      <c r="D1028" s="24">
        <f t="shared" si="67"/>
        <v>1027</v>
      </c>
      <c r="E1028" s="15">
        <v>9.2652059444444443</v>
      </c>
      <c r="F1028" s="12">
        <f t="shared" si="64"/>
        <v>0.95446096654275092</v>
      </c>
      <c r="G1028" s="27">
        <f t="shared" si="65"/>
        <v>1817.8334063000002</v>
      </c>
    </row>
    <row r="1029" spans="1:7" ht="13.8" x14ac:dyDescent="0.25">
      <c r="A1029" s="22">
        <v>48.880800000000001</v>
      </c>
      <c r="B1029" s="14">
        <v>13940</v>
      </c>
      <c r="C1029" s="12">
        <f t="shared" si="66"/>
        <v>49.668324000000005</v>
      </c>
      <c r="D1029" s="25">
        <f t="shared" si="67"/>
        <v>1028</v>
      </c>
      <c r="E1029" s="15">
        <v>9.1444919444444448</v>
      </c>
      <c r="F1029" s="15">
        <f t="shared" si="64"/>
        <v>0.95539033457249067</v>
      </c>
      <c r="G1029" s="28">
        <f t="shared" si="65"/>
        <v>1794.1493195</v>
      </c>
    </row>
    <row r="1030" spans="1:7" ht="13.8" x14ac:dyDescent="0.25">
      <c r="A1030" s="21">
        <v>62.738100000000003</v>
      </c>
      <c r="B1030" s="11">
        <v>13912</v>
      </c>
      <c r="C1030" s="12">
        <f t="shared" si="66"/>
        <v>63.748880500000006</v>
      </c>
      <c r="D1030" s="24">
        <f t="shared" si="67"/>
        <v>1029</v>
      </c>
      <c r="E1030" s="15">
        <v>8.9698224444444463</v>
      </c>
      <c r="F1030" s="12">
        <f t="shared" si="64"/>
        <v>0.95631970260223054</v>
      </c>
      <c r="G1030" s="27">
        <f t="shared" si="65"/>
        <v>1759.8791636000005</v>
      </c>
    </row>
    <row r="1031" spans="1:7" ht="13.8" x14ac:dyDescent="0.25">
      <c r="A1031" s="22">
        <v>62.520099999999999</v>
      </c>
      <c r="B1031" s="14">
        <v>13881</v>
      </c>
      <c r="C1031" s="12">
        <f t="shared" si="66"/>
        <v>63.527368277777782</v>
      </c>
      <c r="D1031" s="25">
        <f t="shared" si="67"/>
        <v>1030</v>
      </c>
      <c r="E1031" s="12">
        <v>8.9681966666666675</v>
      </c>
      <c r="F1031" s="15">
        <f t="shared" si="64"/>
        <v>0.95724907063197029</v>
      </c>
      <c r="G1031" s="28">
        <f t="shared" si="65"/>
        <v>1759.5601860000002</v>
      </c>
    </row>
    <row r="1032" spans="1:7" ht="13.8" x14ac:dyDescent="0.25">
      <c r="A1032" s="21">
        <v>82.520899999999997</v>
      </c>
      <c r="B1032" s="11">
        <v>13850</v>
      </c>
      <c r="C1032" s="12">
        <f t="shared" si="66"/>
        <v>83.850403388888893</v>
      </c>
      <c r="D1032" s="24">
        <f t="shared" si="67"/>
        <v>1031</v>
      </c>
      <c r="E1032" s="12">
        <v>8.8597776111111131</v>
      </c>
      <c r="F1032" s="12">
        <f t="shared" si="64"/>
        <v>0.95817843866171004</v>
      </c>
      <c r="G1032" s="27">
        <f t="shared" si="65"/>
        <v>1738.2883673000006</v>
      </c>
    </row>
    <row r="1033" spans="1:7" ht="13.8" x14ac:dyDescent="0.25">
      <c r="A1033" s="22">
        <v>33.370399999999997</v>
      </c>
      <c r="B1033" s="14">
        <v>13820</v>
      </c>
      <c r="C1033" s="12">
        <f t="shared" si="66"/>
        <v>33.90803422222222</v>
      </c>
      <c r="D1033" s="25">
        <f t="shared" si="67"/>
        <v>1032</v>
      </c>
      <c r="E1033" s="15">
        <v>8.8310216666666683</v>
      </c>
      <c r="F1033" s="15">
        <f t="shared" si="64"/>
        <v>0.95910780669144979</v>
      </c>
      <c r="G1033" s="28">
        <f t="shared" si="65"/>
        <v>1732.6464510000003</v>
      </c>
    </row>
    <row r="1034" spans="1:7" ht="13.8" x14ac:dyDescent="0.25">
      <c r="A1034" s="21">
        <v>33.979199999999999</v>
      </c>
      <c r="B1034" s="11">
        <v>13789</v>
      </c>
      <c r="C1034" s="12">
        <f t="shared" si="66"/>
        <v>34.526642666666667</v>
      </c>
      <c r="D1034" s="24">
        <f t="shared" si="67"/>
        <v>1033</v>
      </c>
      <c r="E1034" s="15">
        <v>8.6020918333333345</v>
      </c>
      <c r="F1034" s="12">
        <f t="shared" si="64"/>
        <v>0.96003717472118955</v>
      </c>
      <c r="G1034" s="27">
        <f t="shared" si="65"/>
        <v>1687.7304177000001</v>
      </c>
    </row>
    <row r="1035" spans="1:7" ht="13.8" x14ac:dyDescent="0.25">
      <c r="A1035" s="22">
        <v>14.088699999999999</v>
      </c>
      <c r="B1035" s="14">
        <v>13759</v>
      </c>
      <c r="C1035" s="12">
        <f t="shared" si="66"/>
        <v>14.315684611111111</v>
      </c>
      <c r="D1035" s="25">
        <f t="shared" si="67"/>
        <v>1034</v>
      </c>
      <c r="E1035" s="15">
        <v>8.5976209444444454</v>
      </c>
      <c r="F1035" s="15">
        <f t="shared" si="64"/>
        <v>0.96096654275092941</v>
      </c>
      <c r="G1035" s="28">
        <f t="shared" si="65"/>
        <v>1686.8532293000003</v>
      </c>
    </row>
    <row r="1036" spans="1:7" ht="13.8" x14ac:dyDescent="0.25">
      <c r="A1036" s="21">
        <v>15.320399999999999</v>
      </c>
      <c r="B1036" s="11">
        <v>13728</v>
      </c>
      <c r="C1036" s="12">
        <f t="shared" si="66"/>
        <v>15.567228666666667</v>
      </c>
      <c r="D1036" s="24">
        <f t="shared" si="67"/>
        <v>1035</v>
      </c>
      <c r="E1036" s="12">
        <v>8.5270012222222231</v>
      </c>
      <c r="F1036" s="12">
        <f t="shared" si="64"/>
        <v>0.96189591078066916</v>
      </c>
      <c r="G1036" s="27">
        <f t="shared" si="65"/>
        <v>1672.9976398000003</v>
      </c>
    </row>
    <row r="1037" spans="1:7" ht="13.8" x14ac:dyDescent="0.25">
      <c r="A1037" s="22">
        <v>12.2493</v>
      </c>
      <c r="B1037" s="14">
        <v>13697</v>
      </c>
      <c r="C1037" s="12">
        <f t="shared" si="66"/>
        <v>12.446649833333334</v>
      </c>
      <c r="D1037" s="25">
        <f t="shared" si="67"/>
        <v>1036</v>
      </c>
      <c r="E1037" s="12">
        <v>8.4979404444444455</v>
      </c>
      <c r="F1037" s="15">
        <f t="shared" si="64"/>
        <v>0.96282527881040891</v>
      </c>
      <c r="G1037" s="28">
        <f t="shared" si="65"/>
        <v>1667.2959152000003</v>
      </c>
    </row>
    <row r="1038" spans="1:7" ht="13.8" x14ac:dyDescent="0.25">
      <c r="A1038" s="21">
        <v>17.707699999999999</v>
      </c>
      <c r="B1038" s="11">
        <v>13667</v>
      </c>
      <c r="C1038" s="12">
        <f t="shared" si="66"/>
        <v>17.992990722222224</v>
      </c>
      <c r="D1038" s="24">
        <f t="shared" si="67"/>
        <v>1037</v>
      </c>
      <c r="E1038" s="12">
        <v>8.4461187777777784</v>
      </c>
      <c r="F1038" s="12">
        <f t="shared" si="64"/>
        <v>0.96375464684014867</v>
      </c>
      <c r="G1038" s="27">
        <f t="shared" si="65"/>
        <v>1657.1285042000004</v>
      </c>
    </row>
    <row r="1039" spans="1:7" ht="13.8" x14ac:dyDescent="0.25">
      <c r="A1039" s="22">
        <v>25.3565</v>
      </c>
      <c r="B1039" s="14">
        <v>13636</v>
      </c>
      <c r="C1039" s="12">
        <f t="shared" si="66"/>
        <v>25.76502138888889</v>
      </c>
      <c r="D1039" s="25">
        <f t="shared" si="67"/>
        <v>1038</v>
      </c>
      <c r="E1039" s="15">
        <v>8.331603055555556</v>
      </c>
      <c r="F1039" s="15">
        <f t="shared" si="64"/>
        <v>0.96468401486988853</v>
      </c>
      <c r="G1039" s="28">
        <f t="shared" si="65"/>
        <v>1634.6605195</v>
      </c>
    </row>
    <row r="1040" spans="1:7" ht="13.8" x14ac:dyDescent="0.25">
      <c r="A1040" s="21">
        <v>23.695699999999999</v>
      </c>
      <c r="B1040" s="11">
        <v>13606</v>
      </c>
      <c r="C1040" s="12">
        <f t="shared" si="66"/>
        <v>24.077464055555556</v>
      </c>
      <c r="D1040" s="24">
        <f t="shared" si="67"/>
        <v>1039</v>
      </c>
      <c r="E1040" s="15">
        <v>8.301627777777778</v>
      </c>
      <c r="F1040" s="12">
        <f t="shared" si="64"/>
        <v>0.96561338289962828</v>
      </c>
      <c r="G1040" s="27">
        <f t="shared" si="65"/>
        <v>1628.7793700000002</v>
      </c>
    </row>
    <row r="1041" spans="1:7" ht="13.8" x14ac:dyDescent="0.25">
      <c r="A1041" s="22">
        <v>36.380200000000002</v>
      </c>
      <c r="B1041" s="14">
        <v>13575</v>
      </c>
      <c r="C1041" s="12">
        <f t="shared" si="66"/>
        <v>36.96632544444445</v>
      </c>
      <c r="D1041" s="25">
        <f t="shared" si="67"/>
        <v>1040</v>
      </c>
      <c r="E1041" s="12">
        <v>8.2657590555555558</v>
      </c>
      <c r="F1041" s="15">
        <f t="shared" si="64"/>
        <v>0.96654275092936803</v>
      </c>
      <c r="G1041" s="28">
        <f t="shared" si="65"/>
        <v>1621.7419267000002</v>
      </c>
    </row>
    <row r="1042" spans="1:7" ht="13.8" x14ac:dyDescent="0.25">
      <c r="A1042" s="21">
        <v>58.110900000000001</v>
      </c>
      <c r="B1042" s="11">
        <v>13547</v>
      </c>
      <c r="C1042" s="12">
        <f t="shared" si="66"/>
        <v>59.047131166666674</v>
      </c>
      <c r="D1042" s="24">
        <f t="shared" si="67"/>
        <v>1041</v>
      </c>
      <c r="E1042" s="12">
        <v>8.251025444444446</v>
      </c>
      <c r="F1042" s="12">
        <f t="shared" si="64"/>
        <v>0.96747211895910779</v>
      </c>
      <c r="G1042" s="27">
        <f t="shared" si="65"/>
        <v>1618.8511922000002</v>
      </c>
    </row>
    <row r="1043" spans="1:7" ht="13.8" x14ac:dyDescent="0.25">
      <c r="A1043" s="22">
        <v>101.7311</v>
      </c>
      <c r="B1043" s="14">
        <v>13516</v>
      </c>
      <c r="C1043" s="12">
        <f t="shared" si="66"/>
        <v>103.37010105555557</v>
      </c>
      <c r="D1043" s="25">
        <f t="shared" si="67"/>
        <v>1042</v>
      </c>
      <c r="E1043" s="12">
        <v>8.2410675555555564</v>
      </c>
      <c r="F1043" s="15">
        <f t="shared" si="64"/>
        <v>0.96840148698884754</v>
      </c>
      <c r="G1043" s="28">
        <f t="shared" si="65"/>
        <v>1616.8974544000005</v>
      </c>
    </row>
    <row r="1044" spans="1:7" ht="13.8" x14ac:dyDescent="0.25">
      <c r="A1044" s="21">
        <v>56.5</v>
      </c>
      <c r="B1044" s="11">
        <v>13485</v>
      </c>
      <c r="C1044" s="12">
        <f t="shared" si="66"/>
        <v>57.410277777777779</v>
      </c>
      <c r="D1044" s="24">
        <f t="shared" si="67"/>
        <v>1043</v>
      </c>
      <c r="E1044" s="15">
        <v>8.2331418888888894</v>
      </c>
      <c r="F1044" s="12">
        <f t="shared" si="64"/>
        <v>0.9693308550185874</v>
      </c>
      <c r="G1044" s="27">
        <f t="shared" si="65"/>
        <v>1615.3424385999999</v>
      </c>
    </row>
    <row r="1045" spans="1:7" ht="14.4" customHeight="1" x14ac:dyDescent="0.25">
      <c r="A1045" s="22">
        <v>26.645600000000002</v>
      </c>
      <c r="B1045" s="14">
        <v>13455</v>
      </c>
      <c r="C1045" s="12">
        <f t="shared" si="66"/>
        <v>27.074890222222226</v>
      </c>
      <c r="D1045" s="25">
        <f t="shared" si="67"/>
        <v>1044</v>
      </c>
      <c r="E1045" s="15">
        <v>8.2204405000000005</v>
      </c>
      <c r="F1045" s="15">
        <f t="shared" si="64"/>
        <v>0.97026022304832715</v>
      </c>
      <c r="G1045" s="28">
        <f t="shared" si="65"/>
        <v>1612.8504261</v>
      </c>
    </row>
    <row r="1046" spans="1:7" ht="13.8" x14ac:dyDescent="0.25">
      <c r="A1046" s="21">
        <v>13.164300000000001</v>
      </c>
      <c r="B1046" s="11">
        <v>13424</v>
      </c>
      <c r="C1046" s="12">
        <f t="shared" si="66"/>
        <v>13.376391500000002</v>
      </c>
      <c r="D1046" s="24">
        <f t="shared" si="67"/>
        <v>1045</v>
      </c>
      <c r="E1046" s="15">
        <v>8.047600000000001</v>
      </c>
      <c r="F1046" s="12">
        <f t="shared" si="64"/>
        <v>0.97118959107806691</v>
      </c>
      <c r="G1046" s="27">
        <f t="shared" si="65"/>
        <v>1578.9391200000005</v>
      </c>
    </row>
    <row r="1047" spans="1:7" ht="13.8" x14ac:dyDescent="0.25">
      <c r="A1047" s="22">
        <v>16.531300000000002</v>
      </c>
      <c r="B1047" s="14">
        <v>13394</v>
      </c>
      <c r="C1047" s="12">
        <f t="shared" si="66"/>
        <v>16.797637611111114</v>
      </c>
      <c r="D1047" s="25">
        <f t="shared" si="67"/>
        <v>1046</v>
      </c>
      <c r="E1047" s="12">
        <v>7.9812479444444451</v>
      </c>
      <c r="F1047" s="15">
        <f t="shared" si="64"/>
        <v>0.97211895910780666</v>
      </c>
      <c r="G1047" s="28">
        <f t="shared" si="65"/>
        <v>1565.9208467000003</v>
      </c>
    </row>
    <row r="1048" spans="1:7" ht="13.8" x14ac:dyDescent="0.25">
      <c r="A1048" s="21">
        <v>12.909800000000001</v>
      </c>
      <c r="B1048" s="11">
        <v>13363</v>
      </c>
      <c r="C1048" s="12">
        <f t="shared" si="66"/>
        <v>13.117791222222223</v>
      </c>
      <c r="D1048" s="24">
        <f t="shared" si="67"/>
        <v>1047</v>
      </c>
      <c r="E1048" s="12">
        <v>7.7408360555555564</v>
      </c>
      <c r="F1048" s="12">
        <f t="shared" si="64"/>
        <v>0.97304832713754652</v>
      </c>
      <c r="G1048" s="27">
        <f t="shared" si="65"/>
        <v>1518.7520341000002</v>
      </c>
    </row>
    <row r="1049" spans="1:7" ht="13.8" x14ac:dyDescent="0.25">
      <c r="A1049" s="22">
        <v>11.228999999999999</v>
      </c>
      <c r="B1049" s="14">
        <v>13332</v>
      </c>
      <c r="C1049" s="12">
        <f t="shared" si="66"/>
        <v>11.409911666666666</v>
      </c>
      <c r="D1049" s="25">
        <f t="shared" si="67"/>
        <v>1048</v>
      </c>
      <c r="E1049" s="12">
        <v>7.6513166666666672</v>
      </c>
      <c r="F1049" s="15">
        <f t="shared" si="64"/>
        <v>0.97397769516728627</v>
      </c>
      <c r="G1049" s="28">
        <f t="shared" si="65"/>
        <v>1501.1883300000002</v>
      </c>
    </row>
    <row r="1050" spans="1:7" ht="13.8" x14ac:dyDescent="0.25">
      <c r="A1050" s="21">
        <v>13.622</v>
      </c>
      <c r="B1050" s="11">
        <v>13302</v>
      </c>
      <c r="C1050" s="12">
        <f t="shared" si="66"/>
        <v>13.841465555555557</v>
      </c>
      <c r="D1050" s="24">
        <f t="shared" si="67"/>
        <v>1049</v>
      </c>
      <c r="E1050" s="15">
        <v>7.6002062777777786</v>
      </c>
      <c r="F1050" s="12">
        <f t="shared" si="64"/>
        <v>0.97490706319702602</v>
      </c>
      <c r="G1050" s="27">
        <f t="shared" si="65"/>
        <v>1491.1604717</v>
      </c>
    </row>
    <row r="1051" spans="1:7" ht="13.8" x14ac:dyDescent="0.25">
      <c r="A1051" s="22">
        <v>20.465800000000002</v>
      </c>
      <c r="B1051" s="14">
        <v>13271</v>
      </c>
      <c r="C1051" s="12">
        <f t="shared" si="66"/>
        <v>20.795526777777781</v>
      </c>
      <c r="D1051" s="25">
        <f t="shared" si="67"/>
        <v>1050</v>
      </c>
      <c r="E1051" s="15">
        <v>7.462320000000001</v>
      </c>
      <c r="F1051" s="15">
        <f t="shared" si="64"/>
        <v>0.97583643122676578</v>
      </c>
      <c r="G1051" s="28">
        <f t="shared" si="65"/>
        <v>1464.1071840000004</v>
      </c>
    </row>
    <row r="1052" spans="1:7" ht="14.4" customHeight="1" x14ac:dyDescent="0.25">
      <c r="A1052" s="21">
        <v>26.701000000000001</v>
      </c>
      <c r="B1052" s="11">
        <v>13241</v>
      </c>
      <c r="C1052" s="12">
        <f t="shared" si="66"/>
        <v>27.131182777777781</v>
      </c>
      <c r="D1052" s="24">
        <f t="shared" si="67"/>
        <v>1051</v>
      </c>
      <c r="E1052" s="15">
        <v>7.4489073333333335</v>
      </c>
      <c r="F1052" s="12">
        <f t="shared" si="64"/>
        <v>0.97676579925650553</v>
      </c>
      <c r="G1052" s="27">
        <f t="shared" si="65"/>
        <v>1461.4756188000001</v>
      </c>
    </row>
    <row r="1053" spans="1:7" ht="13.8" x14ac:dyDescent="0.25">
      <c r="A1053" s="22">
        <v>54.626600000000003</v>
      </c>
      <c r="B1053" s="14">
        <v>13210</v>
      </c>
      <c r="C1053" s="12">
        <f t="shared" si="66"/>
        <v>55.506695222222227</v>
      </c>
      <c r="D1053" s="25">
        <f t="shared" si="67"/>
        <v>1052</v>
      </c>
      <c r="E1053" s="15">
        <v>7.4440300000000006</v>
      </c>
      <c r="F1053" s="15">
        <f t="shared" si="64"/>
        <v>0.97769516728624539</v>
      </c>
      <c r="G1053" s="28">
        <f t="shared" si="65"/>
        <v>1460.5186860000001</v>
      </c>
    </row>
    <row r="1054" spans="1:7" ht="14.4" customHeight="1" x14ac:dyDescent="0.25">
      <c r="A1054" s="21">
        <v>33.124699999999997</v>
      </c>
      <c r="B1054" s="11">
        <v>13181</v>
      </c>
      <c r="C1054" s="12">
        <f t="shared" si="66"/>
        <v>33.658375722222225</v>
      </c>
      <c r="D1054" s="24">
        <f t="shared" si="67"/>
        <v>1053</v>
      </c>
      <c r="E1054" s="12">
        <v>7.4017597777777784</v>
      </c>
      <c r="F1054" s="12">
        <f t="shared" si="64"/>
        <v>0.97862453531598514</v>
      </c>
      <c r="G1054" s="27">
        <f t="shared" si="65"/>
        <v>1452.2252684000002</v>
      </c>
    </row>
    <row r="1055" spans="1:7" ht="13.8" x14ac:dyDescent="0.25">
      <c r="A1055" s="22">
        <v>21.073899999999998</v>
      </c>
      <c r="B1055" s="14">
        <v>13150</v>
      </c>
      <c r="C1055" s="12">
        <f t="shared" si="66"/>
        <v>21.413423944444446</v>
      </c>
      <c r="D1055" s="25">
        <f t="shared" si="67"/>
        <v>1054</v>
      </c>
      <c r="E1055" s="12">
        <v>7.3340867777777792</v>
      </c>
      <c r="F1055" s="15">
        <f t="shared" si="64"/>
        <v>0.9795539033457249</v>
      </c>
      <c r="G1055" s="28">
        <f t="shared" si="65"/>
        <v>1438.9478258000004</v>
      </c>
    </row>
    <row r="1056" spans="1:7" ht="13.8" x14ac:dyDescent="0.25">
      <c r="A1056" s="21">
        <v>22.182300000000001</v>
      </c>
      <c r="B1056" s="11">
        <v>13119</v>
      </c>
      <c r="C1056" s="12">
        <f t="shared" si="66"/>
        <v>22.539681500000004</v>
      </c>
      <c r="D1056" s="24">
        <f t="shared" si="67"/>
        <v>1055</v>
      </c>
      <c r="E1056" s="15">
        <v>7.2878537222222226</v>
      </c>
      <c r="F1056" s="12">
        <f t="shared" si="64"/>
        <v>0.98048327137546465</v>
      </c>
      <c r="G1056" s="27">
        <f t="shared" si="65"/>
        <v>1429.8769003000002</v>
      </c>
    </row>
    <row r="1057" spans="1:7" ht="13.8" x14ac:dyDescent="0.25">
      <c r="A1057" s="22">
        <v>18.306899999999999</v>
      </c>
      <c r="B1057" s="14">
        <v>13089</v>
      </c>
      <c r="C1057" s="12">
        <f t="shared" si="66"/>
        <v>18.601844499999999</v>
      </c>
      <c r="D1057" s="25">
        <f t="shared" si="67"/>
        <v>1056</v>
      </c>
      <c r="E1057" s="12">
        <v>7.1737444444444449</v>
      </c>
      <c r="F1057" s="15">
        <f t="shared" si="64"/>
        <v>0.98141263940520451</v>
      </c>
      <c r="G1057" s="28">
        <f t="shared" si="65"/>
        <v>1407.48866</v>
      </c>
    </row>
    <row r="1058" spans="1:7" ht="13.8" x14ac:dyDescent="0.25">
      <c r="A1058" s="21">
        <v>21.665800000000001</v>
      </c>
      <c r="B1058" s="11">
        <v>13058</v>
      </c>
      <c r="C1058" s="12">
        <f t="shared" si="66"/>
        <v>22.014860111111112</v>
      </c>
      <c r="D1058" s="24">
        <f t="shared" si="67"/>
        <v>1057</v>
      </c>
      <c r="E1058" s="12">
        <v>7.130966166666667</v>
      </c>
      <c r="F1058" s="12">
        <f t="shared" si="64"/>
        <v>0.98234200743494426</v>
      </c>
      <c r="G1058" s="27">
        <f t="shared" si="65"/>
        <v>1399.0955619000001</v>
      </c>
    </row>
    <row r="1059" spans="1:7" ht="13.8" x14ac:dyDescent="0.25">
      <c r="A1059" s="22">
        <v>14.4335</v>
      </c>
      <c r="B1059" s="14">
        <v>13028</v>
      </c>
      <c r="C1059" s="12">
        <f t="shared" si="66"/>
        <v>14.666039722222223</v>
      </c>
      <c r="D1059" s="25">
        <f t="shared" si="67"/>
        <v>1058</v>
      </c>
      <c r="E1059" s="15">
        <v>7.0719301111111124</v>
      </c>
      <c r="F1059" s="15">
        <f t="shared" si="64"/>
        <v>0.98327137546468402</v>
      </c>
      <c r="G1059" s="28">
        <f t="shared" si="65"/>
        <v>1387.5126878000003</v>
      </c>
    </row>
    <row r="1060" spans="1:7" ht="13.8" x14ac:dyDescent="0.25">
      <c r="A1060" s="21">
        <v>12.801399999999999</v>
      </c>
      <c r="B1060" s="11">
        <v>12997</v>
      </c>
      <c r="C1060" s="12">
        <f t="shared" si="66"/>
        <v>13.007644777777777</v>
      </c>
      <c r="D1060" s="24">
        <f t="shared" si="67"/>
        <v>1059</v>
      </c>
      <c r="E1060" s="12">
        <v>6.8719594444444452</v>
      </c>
      <c r="F1060" s="12">
        <f t="shared" si="64"/>
        <v>0.98420074349442377</v>
      </c>
      <c r="G1060" s="27">
        <f t="shared" si="65"/>
        <v>1348.2784430000004</v>
      </c>
    </row>
    <row r="1061" spans="1:7" ht="13.8" x14ac:dyDescent="0.25">
      <c r="A1061" s="22">
        <v>15.979799999999999</v>
      </c>
      <c r="B1061" s="14">
        <v>12966</v>
      </c>
      <c r="C1061" s="12">
        <f t="shared" si="66"/>
        <v>16.237252333333334</v>
      </c>
      <c r="D1061" s="25">
        <f t="shared" si="67"/>
        <v>1060</v>
      </c>
      <c r="E1061" s="12">
        <v>6.8421873888888891</v>
      </c>
      <c r="F1061" s="15">
        <f t="shared" si="64"/>
        <v>0.98513011152416352</v>
      </c>
      <c r="G1061" s="28">
        <f t="shared" si="65"/>
        <v>1342.4371656999999</v>
      </c>
    </row>
    <row r="1062" spans="1:7" ht="13.8" x14ac:dyDescent="0.25">
      <c r="A1062" s="21">
        <v>20.147500000000001</v>
      </c>
      <c r="B1062" s="11">
        <v>12936</v>
      </c>
      <c r="C1062" s="12">
        <f t="shared" si="66"/>
        <v>20.472098611111115</v>
      </c>
      <c r="D1062" s="24">
        <f t="shared" si="67"/>
        <v>1061</v>
      </c>
      <c r="E1062" s="15">
        <v>6.6733097222222222</v>
      </c>
      <c r="F1062" s="12">
        <f t="shared" si="64"/>
        <v>0.98605947955390338</v>
      </c>
      <c r="G1062" s="27">
        <f t="shared" si="65"/>
        <v>1309.3033674999999</v>
      </c>
    </row>
    <row r="1063" spans="1:7" ht="13.8" x14ac:dyDescent="0.25">
      <c r="A1063" s="22">
        <v>27.790299999999998</v>
      </c>
      <c r="B1063" s="14">
        <v>12905</v>
      </c>
      <c r="C1063" s="12">
        <f t="shared" si="66"/>
        <v>28.238032611111112</v>
      </c>
      <c r="D1063" s="25">
        <f t="shared" si="67"/>
        <v>1062</v>
      </c>
      <c r="E1063" s="12">
        <v>6.6574583888888892</v>
      </c>
      <c r="F1063" s="15">
        <f t="shared" si="64"/>
        <v>0.98698884758364314</v>
      </c>
      <c r="G1063" s="28">
        <f t="shared" si="65"/>
        <v>1306.1933359000002</v>
      </c>
    </row>
    <row r="1064" spans="1:7" ht="13.8" x14ac:dyDescent="0.25">
      <c r="A1064" s="21">
        <v>41.524900000000002</v>
      </c>
      <c r="B1064" s="11">
        <v>12875</v>
      </c>
      <c r="C1064" s="12">
        <f t="shared" si="66"/>
        <v>42.193912277777784</v>
      </c>
      <c r="D1064" s="24">
        <f t="shared" si="67"/>
        <v>1063</v>
      </c>
      <c r="E1064" s="12">
        <v>6.5437555555555562</v>
      </c>
      <c r="F1064" s="12">
        <f t="shared" si="64"/>
        <v>0.98791821561338289</v>
      </c>
      <c r="G1064" s="27">
        <f t="shared" si="65"/>
        <v>1283.8848400000002</v>
      </c>
    </row>
    <row r="1065" spans="1:7" ht="13.8" x14ac:dyDescent="0.25">
      <c r="A1065" s="22">
        <v>34.608199999999997</v>
      </c>
      <c r="B1065" s="14">
        <v>12844</v>
      </c>
      <c r="C1065" s="12">
        <f t="shared" si="66"/>
        <v>35.165776555555553</v>
      </c>
      <c r="D1065" s="25">
        <f t="shared" si="67"/>
        <v>1064</v>
      </c>
      <c r="E1065" s="15">
        <v>6.4275124444444449</v>
      </c>
      <c r="F1065" s="15">
        <f t="shared" si="64"/>
        <v>0.98884758364312264</v>
      </c>
      <c r="G1065" s="28">
        <f t="shared" si="65"/>
        <v>1261.0779416</v>
      </c>
    </row>
    <row r="1066" spans="1:7" ht="13.8" x14ac:dyDescent="0.25">
      <c r="A1066" s="21">
        <v>85.060199999999995</v>
      </c>
      <c r="B1066" s="11">
        <v>12816</v>
      </c>
      <c r="C1066" s="12">
        <f t="shared" si="66"/>
        <v>86.430614333333338</v>
      </c>
      <c r="D1066" s="24">
        <f t="shared" si="67"/>
        <v>1065</v>
      </c>
      <c r="E1066" s="15">
        <v>6.2732667777777786</v>
      </c>
      <c r="F1066" s="12">
        <f t="shared" si="64"/>
        <v>0.9897769516728625</v>
      </c>
      <c r="G1066" s="27">
        <f t="shared" si="65"/>
        <v>1230.8149418</v>
      </c>
    </row>
    <row r="1067" spans="1:7" ht="15.75" customHeight="1" x14ac:dyDescent="0.25">
      <c r="A1067" s="22">
        <v>47.751899999999999</v>
      </c>
      <c r="B1067" s="14">
        <v>12785</v>
      </c>
      <c r="C1067" s="12">
        <f t="shared" si="66"/>
        <v>48.521236166666668</v>
      </c>
      <c r="D1067" s="25">
        <f t="shared" si="67"/>
        <v>1066</v>
      </c>
      <c r="E1067" s="12">
        <v>6.0560222222222224</v>
      </c>
      <c r="F1067" s="15">
        <f t="shared" si="64"/>
        <v>0.99070631970260226</v>
      </c>
      <c r="G1067" s="28">
        <f t="shared" si="65"/>
        <v>1188.19156</v>
      </c>
    </row>
    <row r="1068" spans="1:7" ht="15.75" customHeight="1" x14ac:dyDescent="0.25">
      <c r="A1068" s="21">
        <v>56.826900000000002</v>
      </c>
      <c r="B1068" s="11">
        <v>12754</v>
      </c>
      <c r="C1068" s="12">
        <f t="shared" si="66"/>
        <v>57.742444500000005</v>
      </c>
      <c r="D1068" s="24">
        <f t="shared" si="67"/>
        <v>1067</v>
      </c>
      <c r="E1068" s="15">
        <v>5.9029958888888894</v>
      </c>
      <c r="F1068" s="12">
        <f t="shared" si="64"/>
        <v>0.99163568773234201</v>
      </c>
      <c r="G1068" s="27">
        <f t="shared" si="65"/>
        <v>1158.1677934000004</v>
      </c>
    </row>
    <row r="1069" spans="1:7" ht="15.75" customHeight="1" x14ac:dyDescent="0.25">
      <c r="A1069" s="22">
        <v>11.629899999999999</v>
      </c>
      <c r="B1069" s="14">
        <v>12724</v>
      </c>
      <c r="C1069" s="12">
        <f t="shared" si="66"/>
        <v>11.817270611111111</v>
      </c>
      <c r="D1069" s="25">
        <f t="shared" si="67"/>
        <v>1068</v>
      </c>
      <c r="E1069" s="12">
        <v>5.7045493888888892</v>
      </c>
      <c r="F1069" s="15">
        <f t="shared" si="64"/>
        <v>0.99256505576208176</v>
      </c>
      <c r="G1069" s="28">
        <f t="shared" si="65"/>
        <v>1119.2325901000002</v>
      </c>
    </row>
    <row r="1070" spans="1:7" ht="15.75" customHeight="1" x14ac:dyDescent="0.25">
      <c r="A1070" s="21">
        <v>10.4147</v>
      </c>
      <c r="B1070" s="11">
        <v>12693</v>
      </c>
      <c r="C1070" s="12">
        <f t="shared" si="66"/>
        <v>10.582492388888889</v>
      </c>
      <c r="D1070" s="24">
        <f t="shared" si="67"/>
        <v>1069</v>
      </c>
      <c r="E1070" s="15">
        <v>5.3416961111111112</v>
      </c>
      <c r="F1070" s="12">
        <f t="shared" si="64"/>
        <v>0.99349442379182151</v>
      </c>
      <c r="G1070" s="27">
        <f t="shared" si="65"/>
        <v>1048.0407770000002</v>
      </c>
    </row>
    <row r="1071" spans="1:7" ht="15.75" customHeight="1" x14ac:dyDescent="0.25">
      <c r="A1071" s="22">
        <v>10.460900000000001</v>
      </c>
      <c r="B1071" s="14">
        <v>12663</v>
      </c>
      <c r="C1071" s="12">
        <f t="shared" si="66"/>
        <v>10.629436722222223</v>
      </c>
      <c r="D1071" s="25">
        <f t="shared" si="67"/>
        <v>1070</v>
      </c>
      <c r="E1071" s="15">
        <v>5.2547170000000003</v>
      </c>
      <c r="F1071" s="15">
        <f t="shared" si="64"/>
        <v>0.99442379182156138</v>
      </c>
      <c r="G1071" s="28">
        <f t="shared" si="65"/>
        <v>1030.9754754000001</v>
      </c>
    </row>
    <row r="1072" spans="1:7" ht="15.75" customHeight="1" x14ac:dyDescent="0.25">
      <c r="A1072" s="21">
        <v>7.2843999999999998</v>
      </c>
      <c r="B1072" s="11">
        <v>12632</v>
      </c>
      <c r="C1072" s="12">
        <f t="shared" si="66"/>
        <v>7.4017597777777784</v>
      </c>
      <c r="D1072" s="24">
        <f t="shared" si="67"/>
        <v>1071</v>
      </c>
      <c r="E1072" s="15">
        <v>5.1923277777777788</v>
      </c>
      <c r="F1072" s="12">
        <f t="shared" si="64"/>
        <v>0.99535315985130113</v>
      </c>
      <c r="G1072" s="27">
        <f t="shared" si="65"/>
        <v>1018.7347100000001</v>
      </c>
    </row>
    <row r="1073" spans="1:7" ht="15.75" customHeight="1" x14ac:dyDescent="0.25">
      <c r="A1073" s="22">
        <v>7.3308</v>
      </c>
      <c r="B1073" s="14">
        <v>12601</v>
      </c>
      <c r="C1073" s="12">
        <f t="shared" si="66"/>
        <v>7.4489073333333335</v>
      </c>
      <c r="D1073" s="25">
        <f t="shared" si="67"/>
        <v>1072</v>
      </c>
      <c r="E1073" s="15">
        <v>4.6971768333333337</v>
      </c>
      <c r="F1073" s="15">
        <f t="shared" si="64"/>
        <v>0.99628252788104088</v>
      </c>
      <c r="G1073" s="28">
        <f t="shared" si="65"/>
        <v>921.58609470000022</v>
      </c>
    </row>
    <row r="1074" spans="1:7" ht="15.75" customHeight="1" x14ac:dyDescent="0.25">
      <c r="A1074" s="21">
        <v>5.6140999999999996</v>
      </c>
      <c r="B1074" s="11">
        <v>12571</v>
      </c>
      <c r="C1074" s="12">
        <f t="shared" si="66"/>
        <v>5.7045493888888892</v>
      </c>
      <c r="D1074" s="24">
        <f t="shared" si="67"/>
        <v>1073</v>
      </c>
      <c r="E1074" s="15">
        <v>4.6723837222222224</v>
      </c>
      <c r="F1074" s="12">
        <f t="shared" si="64"/>
        <v>0.99721189591078063</v>
      </c>
      <c r="G1074" s="27">
        <f t="shared" si="65"/>
        <v>916.7216863000001</v>
      </c>
    </row>
    <row r="1075" spans="1:7" ht="15.75" customHeight="1" x14ac:dyDescent="0.25">
      <c r="A1075" s="22">
        <v>8.0900999999999996</v>
      </c>
      <c r="B1075" s="14">
        <v>12540</v>
      </c>
      <c r="C1075" s="12">
        <f t="shared" si="66"/>
        <v>8.2204405000000005</v>
      </c>
      <c r="D1075" s="25">
        <f t="shared" si="67"/>
        <v>1074</v>
      </c>
      <c r="E1075" s="12">
        <v>4.1781472777777786</v>
      </c>
      <c r="F1075" s="15">
        <f t="shared" si="64"/>
        <v>0.9981412639405205</v>
      </c>
      <c r="G1075" s="28">
        <f t="shared" si="65"/>
        <v>819.75249590000021</v>
      </c>
    </row>
    <row r="1076" spans="1:7" ht="15.75" customHeight="1" x14ac:dyDescent="0.25">
      <c r="A1076" s="23">
        <v>13.479200000000001</v>
      </c>
      <c r="B1076" s="17">
        <v>12510</v>
      </c>
      <c r="C1076" s="18">
        <f t="shared" si="66"/>
        <v>13.69636488888889</v>
      </c>
      <c r="D1076" s="26">
        <f t="shared" si="67"/>
        <v>1075</v>
      </c>
      <c r="E1076" s="19">
        <v>3.3276622777777782</v>
      </c>
      <c r="F1076" s="19">
        <f t="shared" si="64"/>
        <v>0.99907063197026025</v>
      </c>
      <c r="G1076" s="29">
        <f t="shared" si="65"/>
        <v>652.88733890000015</v>
      </c>
    </row>
    <row r="1077" spans="1:7" ht="15.75" customHeight="1" x14ac:dyDescent="0.25">
      <c r="B1077" s="1"/>
    </row>
  </sheetData>
  <sortState xmlns:xlrd2="http://schemas.microsoft.com/office/spreadsheetml/2017/richdata2" ref="E2:E1076">
    <sortCondition descending="1" ref="E2:E107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23B9-E569-4AED-B046-BCA2066E4EF0}">
  <dimension ref="A1:D1076"/>
  <sheetViews>
    <sheetView showGridLines="0" zoomScaleNormal="100" workbookViewId="0">
      <selection activeCell="T11" sqref="T11"/>
    </sheetView>
  </sheetViews>
  <sheetFormatPr defaultRowHeight="13.2" x14ac:dyDescent="0.25"/>
  <cols>
    <col min="1" max="1" width="13.77734375" bestFit="1" customWidth="1"/>
    <col min="2" max="3" width="13.33203125" bestFit="1" customWidth="1"/>
    <col min="5" max="5" width="13.33203125" bestFit="1" customWidth="1"/>
  </cols>
  <sheetData>
    <row r="1" spans="1:4" ht="19.95" customHeight="1" x14ac:dyDescent="0.25">
      <c r="A1" s="39" t="s">
        <v>4</v>
      </c>
      <c r="B1" s="39" t="s">
        <v>9</v>
      </c>
      <c r="C1" s="39" t="s">
        <v>10</v>
      </c>
      <c r="D1" s="37"/>
    </row>
    <row r="2" spans="1:4" ht="13.8" x14ac:dyDescent="0.25">
      <c r="A2" s="40">
        <v>0.99907063197026025</v>
      </c>
      <c r="B2" s="40">
        <v>652.88733890000003</v>
      </c>
      <c r="C2" s="42">
        <f>A2*B2</f>
        <v>652.28056628020454</v>
      </c>
      <c r="D2" s="38"/>
    </row>
    <row r="3" spans="1:4" ht="13.8" x14ac:dyDescent="0.25">
      <c r="A3" s="41">
        <v>0.9981412639405205</v>
      </c>
      <c r="B3" s="41">
        <v>819.75249590000021</v>
      </c>
      <c r="C3" s="43">
        <f>C2+(((A3+A2)/2)*(B3-B2))</f>
        <v>818.91310456691474</v>
      </c>
      <c r="D3" s="38"/>
    </row>
    <row r="4" spans="1:4" ht="13.8" x14ac:dyDescent="0.25">
      <c r="A4" s="40">
        <v>0.99721189591078063</v>
      </c>
      <c r="B4" s="40">
        <v>916.7216863000001</v>
      </c>
      <c r="C4" s="43">
        <f>C3+(((A4+A3)/2)*(B4-B3))</f>
        <v>915.65699480334592</v>
      </c>
      <c r="D4" s="38"/>
    </row>
    <row r="5" spans="1:4" ht="13.8" x14ac:dyDescent="0.25">
      <c r="A5" s="41">
        <v>0.99628252788104088</v>
      </c>
      <c r="B5" s="41">
        <v>921.58609469999988</v>
      </c>
      <c r="C5" s="43">
        <f>C4+(((A5+A4)/2)*(B5-B4))</f>
        <v>920.50558031356877</v>
      </c>
      <c r="D5" s="38"/>
    </row>
    <row r="6" spans="1:4" ht="13.8" x14ac:dyDescent="0.25">
      <c r="A6" s="40">
        <v>0.99535315985130113</v>
      </c>
      <c r="B6" s="40">
        <v>1018.73471</v>
      </c>
      <c r="C6" s="43">
        <f>C5+(((A6+A5)/2)*(B6-B5))</f>
        <v>1017.2479049361989</v>
      </c>
      <c r="D6" s="38"/>
    </row>
    <row r="7" spans="1:4" ht="13.8" x14ac:dyDescent="0.25">
      <c r="A7" s="41">
        <v>0.99442379182156138</v>
      </c>
      <c r="B7" s="41">
        <v>1030.9754754000001</v>
      </c>
      <c r="C7" s="43">
        <f>C6+(((A7+A6)/2)*(B7-B6))</f>
        <v>1029.4261013680764</v>
      </c>
      <c r="D7" s="38"/>
    </row>
    <row r="8" spans="1:4" ht="13.8" x14ac:dyDescent="0.25">
      <c r="A8" s="40">
        <v>0.99349442379182151</v>
      </c>
      <c r="B8" s="40">
        <v>1048.0407770000002</v>
      </c>
      <c r="C8" s="43">
        <f>C7+(((A8+A7)/2)*(B8-B7))</f>
        <v>1046.3883133208647</v>
      </c>
      <c r="D8" s="38"/>
    </row>
    <row r="9" spans="1:4" ht="13.8" x14ac:dyDescent="0.25">
      <c r="A9" s="41">
        <v>0.99256505576208176</v>
      </c>
      <c r="B9" s="41">
        <v>1119.2325900999999</v>
      </c>
      <c r="C9" s="43">
        <f>C8+(((A9+A8)/2)*(B9-B8))</f>
        <v>1117.0839009578067</v>
      </c>
      <c r="D9" s="38"/>
    </row>
    <row r="10" spans="1:4" ht="13.8" x14ac:dyDescent="0.25">
      <c r="A10" s="40">
        <v>0.99163568773234201</v>
      </c>
      <c r="B10" s="40">
        <v>1158.1677934000004</v>
      </c>
      <c r="C10" s="43">
        <f>C9+(((A10+A9)/2)*(B10-B9))</f>
        <v>1155.7115306257904</v>
      </c>
      <c r="D10" s="38"/>
    </row>
    <row r="11" spans="1:4" ht="13.8" x14ac:dyDescent="0.25">
      <c r="A11" s="41">
        <v>0.99070631970260226</v>
      </c>
      <c r="B11" s="41">
        <v>1188.19156</v>
      </c>
      <c r="C11" s="43">
        <f>C10+(((A11+A10)/2)*(B11-B10))</f>
        <v>1185.4702175020911</v>
      </c>
      <c r="D11" s="38"/>
    </row>
    <row r="12" spans="1:4" ht="13.8" x14ac:dyDescent="0.25">
      <c r="A12" s="40">
        <v>0.9897769516728625</v>
      </c>
      <c r="B12" s="40">
        <v>1230.8149418</v>
      </c>
      <c r="C12" s="43">
        <f>C11+(((A12+A11)/2)*(B12-B11))</f>
        <v>1227.6776648142659</v>
      </c>
      <c r="D12" s="38"/>
    </row>
    <row r="13" spans="1:4" ht="13.8" x14ac:dyDescent="0.25">
      <c r="A13" s="41">
        <v>0.98884758364312264</v>
      </c>
      <c r="B13" s="41">
        <v>1261.0779416</v>
      </c>
      <c r="C13" s="43">
        <f>C12+(((A13+A12)/2)*(B13-B12))</f>
        <v>1257.6172217725373</v>
      </c>
      <c r="D13" s="38"/>
    </row>
    <row r="14" spans="1:4" ht="13.8" x14ac:dyDescent="0.25">
      <c r="A14" s="40">
        <v>0.98791821561338289</v>
      </c>
      <c r="B14" s="40">
        <v>1283.8848400000002</v>
      </c>
      <c r="C14" s="43">
        <f>C13+(((A14+A13)/2)*(B14-B13))</f>
        <v>1280.1591701446564</v>
      </c>
      <c r="D14" s="38"/>
    </row>
    <row r="15" spans="1:4" ht="13.8" x14ac:dyDescent="0.25">
      <c r="A15" s="41">
        <v>0.98698884758364314</v>
      </c>
      <c r="B15" s="41">
        <v>1306.1933359</v>
      </c>
      <c r="C15" s="43">
        <f>C14+(((A15+A14)/2)*(B15-B14))</f>
        <v>1302.1877732057621</v>
      </c>
      <c r="D15" s="38"/>
    </row>
    <row r="16" spans="1:4" ht="13.8" x14ac:dyDescent="0.25">
      <c r="A16" s="40">
        <v>0.98605947955390338</v>
      </c>
      <c r="B16" s="40">
        <v>1309.3033674999999</v>
      </c>
      <c r="C16" s="43">
        <f>C15+(((A16+A15)/2)*(B16-B15))</f>
        <v>1305.2558945286246</v>
      </c>
      <c r="D16" s="38"/>
    </row>
    <row r="17" spans="1:4" ht="13.8" x14ac:dyDescent="0.25">
      <c r="A17" s="41">
        <v>0.98513011152416352</v>
      </c>
      <c r="B17" s="41">
        <v>1342.4371656999999</v>
      </c>
      <c r="C17" s="43">
        <f>C16+(((A17+A16)/2)*(B17-B16))</f>
        <v>1337.9123935909852</v>
      </c>
      <c r="D17" s="38"/>
    </row>
    <row r="18" spans="1:4" ht="13.8" x14ac:dyDescent="0.25">
      <c r="A18" s="40">
        <v>0.98420074349442377</v>
      </c>
      <c r="B18" s="40">
        <v>1348.2784430000002</v>
      </c>
      <c r="C18" s="43">
        <f>C17+(((A18+A17)/2)*(B18-B17))</f>
        <v>1343.6640974007903</v>
      </c>
      <c r="D18" s="38"/>
    </row>
    <row r="19" spans="1:4" ht="13.8" x14ac:dyDescent="0.25">
      <c r="A19" s="41">
        <v>0.98327137546468402</v>
      </c>
      <c r="B19" s="41">
        <v>1387.5126878000001</v>
      </c>
      <c r="C19" s="43">
        <f>C18+(((A19+A18)/2)*(B19-B18))</f>
        <v>1382.2602387769984</v>
      </c>
      <c r="D19" s="38"/>
    </row>
    <row r="20" spans="1:4" ht="13.8" x14ac:dyDescent="0.25">
      <c r="A20" s="40">
        <v>0.98234200743494426</v>
      </c>
      <c r="B20" s="40">
        <v>1399.0955619000001</v>
      </c>
      <c r="C20" s="43">
        <f>C19+(((A20+A19)/2)*(B20-B19))</f>
        <v>1393.6439649486992</v>
      </c>
      <c r="D20" s="38"/>
    </row>
    <row r="21" spans="1:4" ht="13.8" x14ac:dyDescent="0.25">
      <c r="A21" s="41">
        <v>0.98141263940520451</v>
      </c>
      <c r="B21" s="41">
        <v>1407.48866</v>
      </c>
      <c r="C21" s="43">
        <f>C20+(((A21+A20)/2)*(B21-B20))</f>
        <v>1401.8849576463292</v>
      </c>
      <c r="D21" s="38"/>
    </row>
    <row r="22" spans="1:4" ht="13.8" x14ac:dyDescent="0.25">
      <c r="A22" s="40">
        <v>0.98048327137546465</v>
      </c>
      <c r="B22" s="40">
        <v>1429.8769003</v>
      </c>
      <c r="C22" s="43">
        <f>C21+(((A22+A21)/2)*(B22-B21))</f>
        <v>1423.8466561934017</v>
      </c>
      <c r="D22" s="38"/>
    </row>
    <row r="23" spans="1:4" ht="13.8" x14ac:dyDescent="0.25">
      <c r="A23" s="41">
        <v>0.9795539033457249</v>
      </c>
      <c r="B23" s="41">
        <v>1438.9478257999999</v>
      </c>
      <c r="C23" s="43">
        <f>C22+(((A23+A22)/2)*(B23-B22))</f>
        <v>1432.7363317879649</v>
      </c>
      <c r="D23" s="38"/>
    </row>
    <row r="24" spans="1:4" ht="13.8" x14ac:dyDescent="0.25">
      <c r="A24" s="40">
        <v>0.97862453531598514</v>
      </c>
      <c r="B24" s="40">
        <v>1452.2252684</v>
      </c>
      <c r="C24" s="43">
        <f>C23+(((A24+A23)/2)*(B24-B23))</f>
        <v>1445.7361326979092</v>
      </c>
      <c r="D24" s="38"/>
    </row>
    <row r="25" spans="1:4" ht="13.8" x14ac:dyDescent="0.25">
      <c r="A25" s="41">
        <v>0.97769516728624539</v>
      </c>
      <c r="B25" s="41">
        <v>1460.5186860000001</v>
      </c>
      <c r="C25" s="43">
        <f>C24+(((A25+A24)/2)*(B25-B24))</f>
        <v>1453.8484208243033</v>
      </c>
      <c r="D25" s="38"/>
    </row>
    <row r="26" spans="1:4" ht="13.8" x14ac:dyDescent="0.25">
      <c r="A26" s="40">
        <v>0.97676579925650553</v>
      </c>
      <c r="B26" s="40">
        <v>1461.4756188000001</v>
      </c>
      <c r="C26" s="43">
        <f>C25+(((A26+A25)/2)*(B26-B25))</f>
        <v>1454.7835647269055</v>
      </c>
      <c r="D26" s="38"/>
    </row>
    <row r="27" spans="1:4" ht="13.8" x14ac:dyDescent="0.25">
      <c r="A27" s="41">
        <v>0.97583643122676578</v>
      </c>
      <c r="B27" s="41">
        <v>1464.1071840000004</v>
      </c>
      <c r="C27" s="43">
        <f>C26+(((A27+A26)/2)*(B27-B26))</f>
        <v>1457.3527647664969</v>
      </c>
      <c r="D27" s="38"/>
    </row>
    <row r="28" spans="1:4" ht="13.8" x14ac:dyDescent="0.25">
      <c r="A28" s="40">
        <v>0.97490706319702602</v>
      </c>
      <c r="B28" s="40">
        <v>1491.1604716999998</v>
      </c>
      <c r="C28" s="43">
        <f>C27+(((A28+A27)/2)*(B28-B27))</f>
        <v>1483.7397772582713</v>
      </c>
      <c r="D28" s="38"/>
    </row>
    <row r="29" spans="1:4" ht="13.8" x14ac:dyDescent="0.25">
      <c r="A29" s="41">
        <v>0.97397769516728627</v>
      </c>
      <c r="B29" s="41">
        <v>1501.1883300000002</v>
      </c>
      <c r="C29" s="43">
        <f>C28+(((A29+A28)/2)*(B29-B28))</f>
        <v>1493.5113473582251</v>
      </c>
      <c r="D29" s="38"/>
    </row>
    <row r="30" spans="1:4" ht="13.8" x14ac:dyDescent="0.25">
      <c r="A30" s="40">
        <v>0.97304832713754652</v>
      </c>
      <c r="B30" s="40">
        <v>1518.7520340999997</v>
      </c>
      <c r="C30" s="43">
        <f>C29+(((A30+A29)/2)*(B30-B29))</f>
        <v>1510.6098418236056</v>
      </c>
      <c r="D30" s="38"/>
    </row>
    <row r="31" spans="1:4" ht="13.8" x14ac:dyDescent="0.25">
      <c r="A31" s="41">
        <v>0.97211895910780666</v>
      </c>
      <c r="B31" s="41">
        <v>1565.9208467000001</v>
      </c>
      <c r="C31" s="43">
        <f>C30+(((A31+A30)/2)*(B31-B30))</f>
        <v>1556.4854574238848</v>
      </c>
      <c r="D31" s="38"/>
    </row>
    <row r="32" spans="1:4" ht="13.8" x14ac:dyDescent="0.25">
      <c r="A32" s="40">
        <v>0.97118959107806691</v>
      </c>
      <c r="B32" s="40">
        <v>1578.9391200000005</v>
      </c>
      <c r="C32" s="43">
        <f>C31+(((A32+A31)/2)*(B32-B31))</f>
        <v>1569.1347183301584</v>
      </c>
      <c r="D32" s="38"/>
    </row>
    <row r="33" spans="1:4" ht="13.8" x14ac:dyDescent="0.25">
      <c r="A33" s="41">
        <v>0.97026022304832715</v>
      </c>
      <c r="B33" s="41">
        <v>1612.8504260999998</v>
      </c>
      <c r="C33" s="43">
        <f>C32+(((A33+A32)/2)*(B33-B32))</f>
        <v>1602.0532677924718</v>
      </c>
      <c r="D33" s="38"/>
    </row>
    <row r="34" spans="1:4" ht="13.8" x14ac:dyDescent="0.25">
      <c r="A34" s="40">
        <v>0.9693308550185874</v>
      </c>
      <c r="B34" s="40">
        <v>1615.3424385999999</v>
      </c>
      <c r="C34" s="43">
        <f>C33+(((A34+A33)/2)*(B34-B33))</f>
        <v>1604.4700103981875</v>
      </c>
      <c r="D34" s="38"/>
    </row>
    <row r="35" spans="1:4" ht="13.8" x14ac:dyDescent="0.25">
      <c r="A35" s="41">
        <v>0.96840148698884754</v>
      </c>
      <c r="B35" s="41">
        <v>1616.8974544000005</v>
      </c>
      <c r="C35" s="43">
        <f>C34+(((A35+A34)/2)*(B35-B34))</f>
        <v>1605.9766126021843</v>
      </c>
      <c r="D35" s="38"/>
    </row>
    <row r="36" spans="1:4" ht="13.8" x14ac:dyDescent="0.25">
      <c r="A36" s="40">
        <v>0.96747211895910779</v>
      </c>
      <c r="B36" s="40">
        <v>1618.8511922000002</v>
      </c>
      <c r="C36" s="43">
        <f>C35+(((A36+A35)/2)*(B36-B35))</f>
        <v>1607.8677073221654</v>
      </c>
      <c r="D36" s="38"/>
    </row>
    <row r="37" spans="1:4" ht="13.8" x14ac:dyDescent="0.25">
      <c r="A37" s="41">
        <v>0.96654275092936803</v>
      </c>
      <c r="B37" s="41">
        <v>1621.7419267000002</v>
      </c>
      <c r="C37" s="43">
        <f>C36+(((A37+A36)/2)*(B37-B36))</f>
        <v>1610.6630690761153</v>
      </c>
      <c r="D37" s="38"/>
    </row>
    <row r="38" spans="1:4" ht="13.8" x14ac:dyDescent="0.25">
      <c r="A38" s="40">
        <v>0.96561338289962828</v>
      </c>
      <c r="B38" s="40">
        <v>1628.7793700000002</v>
      </c>
      <c r="C38" s="43">
        <f>C37+(((A38+A37)/2)*(B38-B37))</f>
        <v>1617.4617886953997</v>
      </c>
      <c r="D38" s="38"/>
    </row>
    <row r="39" spans="1:4" ht="13.8" x14ac:dyDescent="0.25">
      <c r="A39" s="41">
        <v>0.96468401486988853</v>
      </c>
      <c r="B39" s="41">
        <v>1634.6605195</v>
      </c>
      <c r="C39" s="43">
        <f>C38+(((A39+A38)/2)*(B39-B38))</f>
        <v>1623.1379724832711</v>
      </c>
      <c r="D39" s="38"/>
    </row>
    <row r="40" spans="1:4" ht="13.8" x14ac:dyDescent="0.25">
      <c r="A40" s="40">
        <v>0.96375464684014867</v>
      </c>
      <c r="B40" s="40">
        <v>1657.1285042000004</v>
      </c>
      <c r="C40" s="43">
        <f>C39+(((A40+A39)/2)*(B40-B39))</f>
        <v>1644.8020376563663</v>
      </c>
      <c r="D40" s="38"/>
    </row>
    <row r="41" spans="1:4" ht="13.8" x14ac:dyDescent="0.25">
      <c r="A41" s="41">
        <v>0.96282527881040891</v>
      </c>
      <c r="B41" s="41">
        <v>1667.2959152000003</v>
      </c>
      <c r="C41" s="43">
        <f>C40+(((A41+A40)/2)*(B41-B40))</f>
        <v>1654.5962026205855</v>
      </c>
      <c r="D41" s="38"/>
    </row>
    <row r="42" spans="1:4" ht="13.8" x14ac:dyDescent="0.25">
      <c r="A42" s="40">
        <v>0.96189591078066916</v>
      </c>
      <c r="B42" s="40">
        <v>1672.9976398000001</v>
      </c>
      <c r="C42" s="43">
        <f>C41+(((A42+A41)/2)*(B42-B41))</f>
        <v>1660.0833176980016</v>
      </c>
      <c r="D42" s="38"/>
    </row>
    <row r="43" spans="1:4" ht="13.8" x14ac:dyDescent="0.25">
      <c r="A43" s="41">
        <v>0.96096654275092941</v>
      </c>
      <c r="B43" s="41">
        <v>1686.8532292999998</v>
      </c>
      <c r="C43" s="43">
        <f>C42+(((A43+A42)/2)*(B43-B42))</f>
        <v>1673.4045141085496</v>
      </c>
      <c r="D43" s="38"/>
    </row>
    <row r="44" spans="1:4" ht="13.8" x14ac:dyDescent="0.25">
      <c r="A44" s="40">
        <v>0.96003717472118955</v>
      </c>
      <c r="B44" s="40">
        <v>1687.7304176999999</v>
      </c>
      <c r="C44" s="43">
        <f>C43+(((A44+A43)/2)*(B44-B43))</f>
        <v>1674.2470551972112</v>
      </c>
      <c r="D44" s="38"/>
    </row>
    <row r="45" spans="1:4" ht="13.8" x14ac:dyDescent="0.25">
      <c r="A45" s="41">
        <v>0.95910780669144979</v>
      </c>
      <c r="B45" s="41">
        <v>1732.6464510000003</v>
      </c>
      <c r="C45" s="43">
        <f>C44+(((A45+A44)/2)*(B45-B44))</f>
        <v>1717.3472451435407</v>
      </c>
      <c r="D45" s="38"/>
    </row>
    <row r="46" spans="1:4" ht="13.8" x14ac:dyDescent="0.25">
      <c r="A46" s="40">
        <v>0.95817843866171004</v>
      </c>
      <c r="B46" s="40">
        <v>1738.2883673000001</v>
      </c>
      <c r="C46" s="43">
        <f>C45+(((A46+A45)/2)*(B46-B45))</f>
        <v>1722.7558294032524</v>
      </c>
      <c r="D46" s="38"/>
    </row>
    <row r="47" spans="1:4" ht="13.8" x14ac:dyDescent="0.25">
      <c r="A47" s="41">
        <v>0.95724907063197029</v>
      </c>
      <c r="B47" s="41">
        <v>1759.5601860000002</v>
      </c>
      <c r="C47" s="43">
        <f>C46+(((A47+A46)/2)*(B47-B46))</f>
        <v>1743.1281427585964</v>
      </c>
      <c r="D47" s="38"/>
    </row>
    <row r="48" spans="1:4" ht="13.8" x14ac:dyDescent="0.25">
      <c r="A48" s="40">
        <v>0.95631970260223054</v>
      </c>
      <c r="B48" s="40">
        <v>1759.8791635999999</v>
      </c>
      <c r="C48" s="43">
        <f>C47+(((A48+A47)/2)*(B48-B47))</f>
        <v>1743.4333355459567</v>
      </c>
      <c r="D48" s="38"/>
    </row>
    <row r="49" spans="1:4" ht="13.8" x14ac:dyDescent="0.25">
      <c r="A49" s="41">
        <v>0.95539033457249067</v>
      </c>
      <c r="B49" s="41">
        <v>1794.1493195</v>
      </c>
      <c r="C49" s="43">
        <f>C48+(((A49+A48)/2)*(B49-B48))</f>
        <v>1776.190636050743</v>
      </c>
      <c r="D49" s="38"/>
    </row>
    <row r="50" spans="1:4" ht="13.8" x14ac:dyDescent="0.25">
      <c r="A50" s="40">
        <v>0.95446096654275092</v>
      </c>
      <c r="B50" s="40">
        <v>1817.8334063000002</v>
      </c>
      <c r="C50" s="43">
        <f>C49+(((A50+A49)/2)*(B50-B49))</f>
        <v>1798.8071780460964</v>
      </c>
      <c r="D50" s="38"/>
    </row>
    <row r="51" spans="1:4" ht="13.8" x14ac:dyDescent="0.25">
      <c r="A51" s="41">
        <v>0.95353159851301117</v>
      </c>
      <c r="B51" s="41">
        <v>1824.751233</v>
      </c>
      <c r="C51" s="43">
        <f>C50+(((A51+A50)/2)*(B51-B50))</f>
        <v>1805.4067590010682</v>
      </c>
      <c r="D51" s="38"/>
    </row>
    <row r="52" spans="1:4" ht="13.8" x14ac:dyDescent="0.25">
      <c r="A52" s="40">
        <v>0.95260223048327142</v>
      </c>
      <c r="B52" s="40">
        <v>1856.8084818000004</v>
      </c>
      <c r="C52" s="43">
        <f>C51+(((A52+A51)/2)*(B52-B51))</f>
        <v>1835.9594622021839</v>
      </c>
      <c r="D52" s="38"/>
    </row>
    <row r="53" spans="1:4" ht="13.8" x14ac:dyDescent="0.25">
      <c r="A53" s="41">
        <v>0.95167286245353155</v>
      </c>
      <c r="B53" s="41">
        <v>1871.9001095000001</v>
      </c>
      <c r="C53" s="43">
        <f>C52+(((A53+A52)/2)*(B53-B52))</f>
        <v>1850.328767572676</v>
      </c>
      <c r="D53" s="38"/>
    </row>
    <row r="54" spans="1:4" ht="13.8" x14ac:dyDescent="0.25">
      <c r="A54" s="40">
        <v>0.9507434944237918</v>
      </c>
      <c r="B54" s="40">
        <v>1874.3123776000002</v>
      </c>
      <c r="C54" s="43">
        <f>C53+(((A54+A53)/2)*(B54-B53))</f>
        <v>1852.6233367179827</v>
      </c>
      <c r="D54" s="38"/>
    </row>
    <row r="55" spans="1:4" ht="13.8" x14ac:dyDescent="0.25">
      <c r="A55" s="41">
        <v>0.94981412639405205</v>
      </c>
      <c r="B55" s="41">
        <v>1876.2860515</v>
      </c>
      <c r="C55" s="43">
        <f>C54+(((A55+A54)/2)*(B55-B54))</f>
        <v>1854.4988772038096</v>
      </c>
      <c r="D55" s="38"/>
    </row>
    <row r="56" spans="1:4" ht="13.8" x14ac:dyDescent="0.25">
      <c r="A56" s="40">
        <v>0.9488847583643123</v>
      </c>
      <c r="B56" s="40">
        <v>1911.4333958</v>
      </c>
      <c r="C56" s="43">
        <f>C55+(((A56+A55)/2)*(B56-B55))</f>
        <v>1887.8659889161236</v>
      </c>
      <c r="D56" s="38"/>
    </row>
    <row r="57" spans="1:4" ht="13.8" x14ac:dyDescent="0.25">
      <c r="A57" s="41">
        <v>0.94795539033457255</v>
      </c>
      <c r="B57" s="41">
        <v>1913.7061112000004</v>
      </c>
      <c r="C57" s="43">
        <f>C56+(((A57+A56)/2)*(B57-B56))</f>
        <v>1890.0214778247671</v>
      </c>
      <c r="D57" s="38"/>
    </row>
    <row r="58" spans="1:4" ht="13.8" x14ac:dyDescent="0.25">
      <c r="A58" s="40">
        <v>0.94702602230483268</v>
      </c>
      <c r="B58" s="40">
        <v>1930.9109654999997</v>
      </c>
      <c r="C58" s="43">
        <f>C57+(((A58+A57)/2)*(B58-B57))</f>
        <v>1906.322917377601</v>
      </c>
      <c r="D58" s="38"/>
    </row>
    <row r="59" spans="1:4" ht="13.8" x14ac:dyDescent="0.25">
      <c r="A59" s="41">
        <v>0.94609665427509293</v>
      </c>
      <c r="B59" s="41">
        <v>1931.3894319000001</v>
      </c>
      <c r="C59" s="43">
        <f>C58+(((A59+A58)/2)*(B59-B58))</f>
        <v>1906.7758151735122</v>
      </c>
      <c r="D59" s="38"/>
    </row>
    <row r="60" spans="1:4" ht="13.8" x14ac:dyDescent="0.25">
      <c r="A60" s="40">
        <v>0.94516728624535318</v>
      </c>
      <c r="B60" s="40">
        <v>1933.2833614000006</v>
      </c>
      <c r="C60" s="43">
        <f>C59+(((A60+A59)/2)*(B60-B59))</f>
        <v>1908.5667754581316</v>
      </c>
      <c r="D60" s="38"/>
    </row>
    <row r="61" spans="1:4" ht="13.8" x14ac:dyDescent="0.25">
      <c r="A61" s="41">
        <v>0.94423791821561343</v>
      </c>
      <c r="B61" s="41">
        <v>1937.6892395000002</v>
      </c>
      <c r="C61" s="43">
        <f>C60+(((A61+A60)/2)*(B61-B60))</f>
        <v>1912.7290199643116</v>
      </c>
      <c r="D61" s="38"/>
    </row>
    <row r="62" spans="1:4" ht="13.8" x14ac:dyDescent="0.25">
      <c r="A62" s="40">
        <v>0.94330855018587356</v>
      </c>
      <c r="B62" s="40">
        <v>1945.2051492000003</v>
      </c>
      <c r="C62" s="43">
        <f>C61+(((A62+A61)/2)*(B62-B61))</f>
        <v>1919.8223343698414</v>
      </c>
      <c r="D62" s="38"/>
    </row>
    <row r="63" spans="1:4" ht="13.8" x14ac:dyDescent="0.25">
      <c r="A63" s="41">
        <v>0.94237918215613381</v>
      </c>
      <c r="B63" s="41">
        <v>1946.6206123000002</v>
      </c>
      <c r="C63" s="43">
        <f>C62+(((A63+A62)/2)*(B63-B62))</f>
        <v>1921.1568950714677</v>
      </c>
      <c r="D63" s="38"/>
    </row>
    <row r="64" spans="1:4" ht="13.8" x14ac:dyDescent="0.25">
      <c r="A64" s="40">
        <v>0.94144981412639406</v>
      </c>
      <c r="B64" s="40">
        <v>1979.9338354000004</v>
      </c>
      <c r="C64" s="43">
        <f>C63+(((A64+A63)/2)*(B64-B63))</f>
        <v>1952.5351028891723</v>
      </c>
      <c r="D64" s="38"/>
    </row>
    <row r="65" spans="1:4" ht="13.8" x14ac:dyDescent="0.25">
      <c r="A65" s="41">
        <v>0.94052044609665431</v>
      </c>
      <c r="B65" s="41">
        <v>1984.2998413000003</v>
      </c>
      <c r="C65" s="43">
        <f>C64+(((A65+A64)/2)*(B65-B64))</f>
        <v>1956.6434495190515</v>
      </c>
      <c r="D65" s="38"/>
    </row>
    <row r="66" spans="1:4" ht="13.8" x14ac:dyDescent="0.25">
      <c r="A66" s="40">
        <v>0.93959107806691455</v>
      </c>
      <c r="B66" s="40">
        <v>1993.6299361000001</v>
      </c>
      <c r="C66" s="43">
        <f>C65+(((A66+A65)/2)*(B66-B65))</f>
        <v>1965.4142588965606</v>
      </c>
      <c r="D66" s="38"/>
    </row>
    <row r="67" spans="1:4" ht="13.8" x14ac:dyDescent="0.25">
      <c r="A67" s="41">
        <v>0.93866171003717469</v>
      </c>
      <c r="B67" s="41">
        <v>2001.9632259</v>
      </c>
      <c r="C67" s="43">
        <f>C66+(((A67+A66)/2)*(B67-B66))</f>
        <v>1973.2402712970252</v>
      </c>
      <c r="D67" s="38"/>
    </row>
    <row r="68" spans="1:4" ht="13.8" x14ac:dyDescent="0.25">
      <c r="A68" s="40">
        <v>0.93773234200743494</v>
      </c>
      <c r="B68" s="40">
        <v>2009.55888</v>
      </c>
      <c r="C68" s="43">
        <f>C67+(((A68+A67)/2)*(B68-B67))</f>
        <v>1980.3664913843393</v>
      </c>
      <c r="D68" s="38"/>
    </row>
    <row r="69" spans="1:4" ht="13.8" x14ac:dyDescent="0.25">
      <c r="A69" s="41">
        <v>0.93680297397769519</v>
      </c>
      <c r="B69" s="41">
        <v>2014.8818187000002</v>
      </c>
      <c r="C69" s="43">
        <f>C68+(((A69+A68)/2)*(B69-B68))</f>
        <v>1985.3555096733264</v>
      </c>
      <c r="D69" s="38"/>
    </row>
    <row r="70" spans="1:4" ht="13.8" x14ac:dyDescent="0.25">
      <c r="A70" s="40">
        <v>0.93587360594795543</v>
      </c>
      <c r="B70" s="40">
        <v>2022.9160670000001</v>
      </c>
      <c r="C70" s="43">
        <f>C69+(((A70+A69)/2)*(B70-B69))</f>
        <v>1992.8782839876851</v>
      </c>
      <c r="D70" s="38"/>
    </row>
    <row r="71" spans="1:4" ht="13.8" x14ac:dyDescent="0.25">
      <c r="A71" s="41">
        <v>0.93494423791821557</v>
      </c>
      <c r="B71" s="41">
        <v>2026.4646928</v>
      </c>
      <c r="C71" s="43">
        <f>C70+(((A71+A70)/2)*(B71-B70))</f>
        <v>1996.197700221607</v>
      </c>
      <c r="D71" s="38"/>
    </row>
    <row r="72" spans="1:4" ht="13.8" x14ac:dyDescent="0.25">
      <c r="A72" s="40">
        <v>0.93401486988847582</v>
      </c>
      <c r="B72" s="40">
        <v>2047.9358725000006</v>
      </c>
      <c r="C72" s="43">
        <f>C71+(((A72+A71)/2)*(B72-B71))</f>
        <v>2016.2620786494422</v>
      </c>
      <c r="D72" s="38"/>
    </row>
    <row r="73" spans="1:4" ht="13.8" x14ac:dyDescent="0.25">
      <c r="A73" s="41">
        <v>0.93308550185873607</v>
      </c>
      <c r="B73" s="41">
        <v>2048.2947223000001</v>
      </c>
      <c r="C73" s="43">
        <f>C72+(((A73+A72)/2)*(B73-B72))</f>
        <v>2016.5970829469325</v>
      </c>
      <c r="D73" s="38"/>
    </row>
    <row r="74" spans="1:4" ht="13.8" x14ac:dyDescent="0.25">
      <c r="A74" s="40">
        <v>0.93215613382899631</v>
      </c>
      <c r="B74" s="40">
        <v>2054.3353606000001</v>
      </c>
      <c r="C74" s="43">
        <f>C73+(((A74+A73)/2)*(B74-B73))</f>
        <v>2022.2307079785774</v>
      </c>
      <c r="D74" s="38"/>
    </row>
    <row r="75" spans="1:4" ht="13.8" x14ac:dyDescent="0.25">
      <c r="A75" s="41">
        <v>0.93122676579925645</v>
      </c>
      <c r="B75" s="41">
        <v>2076.2850067000004</v>
      </c>
      <c r="C75" s="43">
        <f>C74+(((A75+A74)/2)*(B75-B74))</f>
        <v>2042.6810055763935</v>
      </c>
      <c r="D75" s="38"/>
    </row>
    <row r="76" spans="1:4" ht="13.8" x14ac:dyDescent="0.25">
      <c r="A76" s="40">
        <v>0.9302973977695167</v>
      </c>
      <c r="B76" s="40">
        <v>2082.2060284000004</v>
      </c>
      <c r="C76" s="43">
        <f>C75+(((A76+A75)/2)*(B76-B75))</f>
        <v>2048.1920680601761</v>
      </c>
      <c r="D76" s="38"/>
    </row>
    <row r="77" spans="1:4" ht="13.8" x14ac:dyDescent="0.25">
      <c r="A77" s="41">
        <v>0.92936802973977695</v>
      </c>
      <c r="B77" s="41">
        <v>2085.4954848999996</v>
      </c>
      <c r="C77" s="43">
        <f>C76+(((A77+A76)/2)*(B77-B76))</f>
        <v>2051.2507123243481</v>
      </c>
      <c r="D77" s="38"/>
    </row>
    <row r="78" spans="1:4" ht="13.8" x14ac:dyDescent="0.25">
      <c r="A78" s="40">
        <v>0.92843866171003719</v>
      </c>
      <c r="B78" s="40">
        <v>2086.4524177000003</v>
      </c>
      <c r="C78" s="43">
        <f>C77+(((A78+A77)/2)*(B78-B77))</f>
        <v>2052.1396104039027</v>
      </c>
      <c r="D78" s="38"/>
    </row>
    <row r="79" spans="1:4" ht="13.8" x14ac:dyDescent="0.25">
      <c r="A79" s="41">
        <v>0.92750929368029744</v>
      </c>
      <c r="B79" s="41">
        <v>2087.3096700000006</v>
      </c>
      <c r="C79" s="43">
        <f>C78+(((A79+A78)/2)*(B79-B78))</f>
        <v>2052.9351182306223</v>
      </c>
      <c r="D79" s="38"/>
    </row>
    <row r="80" spans="1:4" ht="13.8" x14ac:dyDescent="0.25">
      <c r="A80" s="40">
        <v>0.92657992565055758</v>
      </c>
      <c r="B80" s="40">
        <v>2089.9412351999999</v>
      </c>
      <c r="C80" s="43">
        <f>C79+(((A80+A79)/2)*(B80-B79))</f>
        <v>2055.3746965642649</v>
      </c>
      <c r="D80" s="38"/>
    </row>
    <row r="81" spans="1:4" ht="13.8" x14ac:dyDescent="0.25">
      <c r="A81" s="41">
        <v>0.92565055762081783</v>
      </c>
      <c r="B81" s="41">
        <v>2101.9028952000003</v>
      </c>
      <c r="C81" s="43">
        <f>C80+(((A81+A80)/2)*(B81-B80))</f>
        <v>2066.4525722055291</v>
      </c>
      <c r="D81" s="38"/>
    </row>
    <row r="82" spans="1:4" ht="13.8" x14ac:dyDescent="0.25">
      <c r="A82" s="40">
        <v>0.92472118959107807</v>
      </c>
      <c r="B82" s="40">
        <v>2107.0065368</v>
      </c>
      <c r="C82" s="43">
        <f>C81+(((A82+A81)/2)*(B82-B81))</f>
        <v>2071.1743893177963</v>
      </c>
      <c r="D82" s="38"/>
    </row>
    <row r="83" spans="1:4" ht="13.8" x14ac:dyDescent="0.25">
      <c r="A83" s="41">
        <v>0.92379182156133832</v>
      </c>
      <c r="B83" s="41">
        <v>2111.5918397999999</v>
      </c>
      <c r="C83" s="43">
        <f>C82+(((A83+A82)/2)*(B83-B82))</f>
        <v>2075.4123854455843</v>
      </c>
      <c r="D83" s="38"/>
    </row>
    <row r="84" spans="1:4" ht="13.8" x14ac:dyDescent="0.25">
      <c r="A84" s="40">
        <v>0.92286245353159846</v>
      </c>
      <c r="B84" s="40">
        <v>2116.2170150000002</v>
      </c>
      <c r="C84" s="43">
        <f>C83+(((A84+A83)/2)*(B84-B83))</f>
        <v>2079.6829352236514</v>
      </c>
      <c r="D84" s="38"/>
    </row>
    <row r="85" spans="1:4" ht="13.8" x14ac:dyDescent="0.25">
      <c r="A85" s="41">
        <v>0.92193308550185871</v>
      </c>
      <c r="B85" s="41">
        <v>2130.0726045000001</v>
      </c>
      <c r="C85" s="43">
        <f>C84+(((A85+A84)/2)*(B85-B84))</f>
        <v>2092.4633000737908</v>
      </c>
      <c r="D85" s="38"/>
    </row>
    <row r="86" spans="1:4" ht="13.8" x14ac:dyDescent="0.25">
      <c r="A86" s="40">
        <v>0.92100371747211895</v>
      </c>
      <c r="B86" s="40">
        <v>2136.4322204000005</v>
      </c>
      <c r="C86" s="43">
        <f>C85+(((A86+A85)/2)*(B86-B85))</f>
        <v>2098.3234851712355</v>
      </c>
      <c r="D86" s="38"/>
    </row>
    <row r="87" spans="1:4" ht="13.8" x14ac:dyDescent="0.25">
      <c r="A87" s="41">
        <v>0.9200743494423792</v>
      </c>
      <c r="B87" s="41">
        <v>2148.9520911999998</v>
      </c>
      <c r="C87" s="43">
        <f>C86+(((A87+A86)/2)*(B87-B86))</f>
        <v>2109.8485149364765</v>
      </c>
      <c r="D87" s="38"/>
    </row>
    <row r="88" spans="1:4" ht="13.8" x14ac:dyDescent="0.25">
      <c r="A88" s="40">
        <v>0.91914498141263945</v>
      </c>
      <c r="B88" s="40">
        <v>2152.2814198999999</v>
      </c>
      <c r="C88" s="43">
        <f>C87+(((A88+A87)/2)*(B88-B87))</f>
        <v>2112.910197788382</v>
      </c>
      <c r="D88" s="38"/>
    </row>
    <row r="89" spans="1:4" ht="13.8" x14ac:dyDescent="0.25">
      <c r="A89" s="41">
        <v>0.91821561338289959</v>
      </c>
      <c r="B89" s="41">
        <v>2178.8562412000001</v>
      </c>
      <c r="C89" s="43">
        <f>C88+(((A89+A88)/2)*(B89-B88))</f>
        <v>2137.3239625235587</v>
      </c>
      <c r="D89" s="38"/>
    </row>
    <row r="90" spans="1:4" ht="13.8" x14ac:dyDescent="0.25">
      <c r="A90" s="40">
        <v>0.91728624535315983</v>
      </c>
      <c r="B90" s="40">
        <v>2183.0428222000005</v>
      </c>
      <c r="C90" s="43">
        <f>C89+(((A90+A89)/2)*(B90-B89))</f>
        <v>2141.1662011271837</v>
      </c>
      <c r="D90" s="38"/>
    </row>
    <row r="91" spans="1:4" ht="13.8" x14ac:dyDescent="0.25">
      <c r="A91" s="41">
        <v>0.91635687732342008</v>
      </c>
      <c r="B91" s="41">
        <v>2211.4318286000002</v>
      </c>
      <c r="C91" s="43">
        <f>C90+(((A91+A90)/2)*(B91-B90))</f>
        <v>2167.1938542996741</v>
      </c>
      <c r="D91" s="38"/>
    </row>
    <row r="92" spans="1:4" ht="13.8" x14ac:dyDescent="0.25">
      <c r="A92" s="40">
        <v>0.91542750929368033</v>
      </c>
      <c r="B92" s="40">
        <v>2212.3488892</v>
      </c>
      <c r="C92" s="43">
        <f>C91+(((A92+A91)/2)*(B92-B91))</f>
        <v>2168.0337829440045</v>
      </c>
      <c r="D92" s="38"/>
    </row>
    <row r="93" spans="1:4" ht="13.8" x14ac:dyDescent="0.25">
      <c r="A93" s="41">
        <v>0.91449814126394047</v>
      </c>
      <c r="B93" s="41">
        <v>2219.1271632000003</v>
      </c>
      <c r="C93" s="43">
        <f>C92+(((A93+A92)/2)*(B93-B92))</f>
        <v>2174.2356516735586</v>
      </c>
      <c r="D93" s="38"/>
    </row>
    <row r="94" spans="1:4" ht="13.8" x14ac:dyDescent="0.25">
      <c r="A94" s="40">
        <v>0.91356877323420072</v>
      </c>
      <c r="B94" s="40">
        <v>2219.3464603000002</v>
      </c>
      <c r="C94" s="43">
        <f>C93+(((A94+A93)/2)*(B94-B93))</f>
        <v>2174.4360965600363</v>
      </c>
      <c r="D94" s="38"/>
    </row>
    <row r="95" spans="1:4" ht="13.8" x14ac:dyDescent="0.25">
      <c r="A95" s="41">
        <v>0.91263940520446096</v>
      </c>
      <c r="B95" s="41">
        <v>2232.7235834000003</v>
      </c>
      <c r="C95" s="43">
        <f>C94+(((A95+A94)/2)*(B95-B94))</f>
        <v>2186.6508023646365</v>
      </c>
      <c r="D95" s="38"/>
    </row>
    <row r="96" spans="1:4" ht="13.8" x14ac:dyDescent="0.25">
      <c r="A96" s="40">
        <v>0.91171003717472121</v>
      </c>
      <c r="B96" s="40">
        <v>2233.8998133</v>
      </c>
      <c r="C96" s="43">
        <f>C95+(((A96+A95)/2)*(B96-B95))</f>
        <v>2187.7237295457235</v>
      </c>
      <c r="D96" s="38"/>
    </row>
    <row r="97" spans="1:4" ht="13.8" x14ac:dyDescent="0.25">
      <c r="A97" s="41">
        <v>0.91078066914498146</v>
      </c>
      <c r="B97" s="41">
        <v>2235.9133594</v>
      </c>
      <c r="C97" s="43">
        <f>C96+(((A97+A96)/2)*(B97-B96))</f>
        <v>2189.5585640727218</v>
      </c>
      <c r="D97" s="38"/>
    </row>
    <row r="98" spans="1:4" ht="13.8" x14ac:dyDescent="0.25">
      <c r="A98" s="40">
        <v>0.9098513011152416</v>
      </c>
      <c r="B98" s="40">
        <v>2235.9931037999995</v>
      </c>
      <c r="C98" s="43">
        <f>C97+(((A98+A97)/2)*(B98-B97))</f>
        <v>2189.6311566747659</v>
      </c>
      <c r="D98" s="38"/>
    </row>
    <row r="99" spans="1:4" ht="13.8" x14ac:dyDescent="0.25">
      <c r="A99" s="41">
        <v>0.90892193308550184</v>
      </c>
      <c r="B99" s="41">
        <v>2238.6246690000003</v>
      </c>
      <c r="C99" s="43">
        <f>C98+(((A99+A98)/2)*(B99-B98))</f>
        <v>2192.0242668496735</v>
      </c>
      <c r="D99" s="38"/>
    </row>
    <row r="100" spans="1:4" ht="13.8" x14ac:dyDescent="0.25">
      <c r="A100" s="40">
        <v>0.90799256505576209</v>
      </c>
      <c r="B100" s="40">
        <v>2242.7514417000007</v>
      </c>
      <c r="C100" s="43">
        <f>C99+(((A100+A99)/2)*(B100-B99))</f>
        <v>2195.7732634242557</v>
      </c>
      <c r="D100" s="38"/>
    </row>
    <row r="101" spans="1:4" ht="13.8" x14ac:dyDescent="0.25">
      <c r="A101" s="41">
        <v>0.90706319702602234</v>
      </c>
      <c r="B101" s="41">
        <v>2248.3534857999998</v>
      </c>
      <c r="C101" s="43">
        <f>C100+(((A101+A100)/2)*(B101-B100))</f>
        <v>2200.8572746358254</v>
      </c>
      <c r="D101" s="38"/>
    </row>
    <row r="102" spans="1:4" ht="13.8" x14ac:dyDescent="0.25">
      <c r="A102" s="40">
        <v>0.90613382899628248</v>
      </c>
      <c r="B102" s="40">
        <v>2248.9715049000006</v>
      </c>
      <c r="C102" s="43">
        <f>C101+(((A102+A101)/2)*(B102-B101))</f>
        <v>2201.4175698328986</v>
      </c>
      <c r="D102" s="38"/>
    </row>
    <row r="103" spans="1:4" ht="13.8" x14ac:dyDescent="0.25">
      <c r="A103" s="41">
        <v>0.90520446096654272</v>
      </c>
      <c r="B103" s="41">
        <v>2263.1460720000005</v>
      </c>
      <c r="C103" s="43">
        <f>C102+(((A103+A102)/2)*(B103-B102))</f>
        <v>2214.2550378988371</v>
      </c>
      <c r="D103" s="38"/>
    </row>
    <row r="104" spans="1:4" ht="13.8" x14ac:dyDescent="0.25">
      <c r="A104" s="40">
        <v>0.90427509293680297</v>
      </c>
      <c r="B104" s="40">
        <v>2273.2138025000008</v>
      </c>
      <c r="C104" s="43">
        <f>C103+(((A104+A103)/2)*(B104-B103))</f>
        <v>2223.3637141458171</v>
      </c>
      <c r="D104" s="38"/>
    </row>
    <row r="105" spans="1:4" ht="13.8" x14ac:dyDescent="0.25">
      <c r="A105" s="41">
        <v>0.90334572490706322</v>
      </c>
      <c r="B105" s="41">
        <v>2283.0422998000004</v>
      </c>
      <c r="C105" s="43">
        <f>C104+(((A105+A104)/2)*(B105-B104))</f>
        <v>2232.2468123096178</v>
      </c>
      <c r="D105" s="38"/>
    </row>
    <row r="106" spans="1:4" ht="13.8" x14ac:dyDescent="0.25">
      <c r="A106" s="40">
        <v>0.90241635687732347</v>
      </c>
      <c r="B106" s="40">
        <v>2296.8380810000003</v>
      </c>
      <c r="C106" s="43">
        <f>C105+(((A106+A105)/2)*(B106-B105))</f>
        <v>2244.7027615993948</v>
      </c>
      <c r="D106" s="38"/>
    </row>
    <row r="107" spans="1:4" ht="13.8" x14ac:dyDescent="0.25">
      <c r="A107" s="41">
        <v>0.9014869888475836</v>
      </c>
      <c r="B107" s="41">
        <v>2300.6458761000004</v>
      </c>
      <c r="C107" s="43">
        <f>C106+(((A107+A106)/2)*(B107-B106))</f>
        <v>2248.1372087597574</v>
      </c>
      <c r="D107" s="38"/>
    </row>
    <row r="108" spans="1:4" ht="13.8" x14ac:dyDescent="0.25">
      <c r="A108" s="40">
        <v>0.90055762081784385</v>
      </c>
      <c r="B108" s="40">
        <v>2300.8253010000003</v>
      </c>
      <c r="C108" s="43">
        <f>C107+(((A108+A107)/2)*(B108-B107))</f>
        <v>2248.2988745966995</v>
      </c>
      <c r="D108" s="38"/>
    </row>
    <row r="109" spans="1:4" ht="13.8" x14ac:dyDescent="0.25">
      <c r="A109" s="41">
        <v>0.8996282527881041</v>
      </c>
      <c r="B109" s="41">
        <v>2302.4401250999999</v>
      </c>
      <c r="C109" s="43">
        <f>C108+(((A109+A108)/2)*(B109-B108))</f>
        <v>2249.7523663632883</v>
      </c>
      <c r="D109" s="38"/>
    </row>
    <row r="110" spans="1:4" ht="13.8" x14ac:dyDescent="0.25">
      <c r="A110" s="40">
        <v>0.89869888475836435</v>
      </c>
      <c r="B110" s="40">
        <v>2318.5484939000003</v>
      </c>
      <c r="C110" s="43">
        <f>C109+(((A110+A109)/2)*(B110-B109))</f>
        <v>2264.2364247406122</v>
      </c>
      <c r="D110" s="38"/>
    </row>
    <row r="111" spans="1:4" ht="13.8" x14ac:dyDescent="0.25">
      <c r="A111" s="41">
        <v>0.89776951672862448</v>
      </c>
      <c r="B111" s="41">
        <v>2327.2007613000001</v>
      </c>
      <c r="C111" s="43">
        <f>C110+(((A111+A110)/2)*(B111-B110))</f>
        <v>2272.0081872332698</v>
      </c>
      <c r="D111" s="38"/>
    </row>
    <row r="112" spans="1:4" ht="13.8" x14ac:dyDescent="0.25">
      <c r="A112" s="40">
        <v>0.89684014869888473</v>
      </c>
      <c r="B112" s="40">
        <v>2333.5005689000004</v>
      </c>
      <c r="C112" s="43">
        <f>C111+(((A112+A111)/2)*(B112-B111))</f>
        <v>2277.6610350379169</v>
      </c>
      <c r="D112" s="38"/>
    </row>
    <row r="113" spans="1:4" ht="13.8" x14ac:dyDescent="0.25">
      <c r="A113" s="41">
        <v>0.89591078066914498</v>
      </c>
      <c r="B113" s="41">
        <v>2336.4710477999997</v>
      </c>
      <c r="C113" s="43">
        <f>C112+(((A113+A112)/2)*(B113-B112))</f>
        <v>2280.3236994422377</v>
      </c>
      <c r="D113" s="38"/>
    </row>
    <row r="114" spans="1:4" ht="13.8" x14ac:dyDescent="0.25">
      <c r="A114" s="40">
        <v>0.89498141263940523</v>
      </c>
      <c r="B114" s="40">
        <v>2338.1456801999998</v>
      </c>
      <c r="C114" s="43">
        <f>C113+(((A114+A113)/2)*(B114-B113))</f>
        <v>2281.8232424881485</v>
      </c>
      <c r="D114" s="38"/>
    </row>
    <row r="115" spans="1:4" ht="13.8" x14ac:dyDescent="0.25">
      <c r="A115" s="41">
        <v>0.89405204460966547</v>
      </c>
      <c r="B115" s="41">
        <v>2338.4646577999997</v>
      </c>
      <c r="C115" s="43">
        <f>C114+(((A115+A114)/2)*(B115-B114))</f>
        <v>2282.1085732874049</v>
      </c>
      <c r="D115" s="38"/>
    </row>
    <row r="116" spans="1:4" ht="13.8" x14ac:dyDescent="0.25">
      <c r="A116" s="40">
        <v>0.89312267657992561</v>
      </c>
      <c r="B116" s="40">
        <v>2352.8385859000005</v>
      </c>
      <c r="C116" s="43">
        <f>C115+(((A116+A115)/2)*(B116-B115))</f>
        <v>2294.9529337596637</v>
      </c>
      <c r="D116" s="38"/>
    </row>
    <row r="117" spans="1:4" ht="13.8" x14ac:dyDescent="0.25">
      <c r="A117" s="41">
        <v>0.89219330855018586</v>
      </c>
      <c r="B117" s="41">
        <v>2357.1447834999999</v>
      </c>
      <c r="C117" s="43">
        <f>C116+(((A117+A116)/2)*(B117-B116))</f>
        <v>2298.7968954648677</v>
      </c>
      <c r="D117" s="38"/>
    </row>
    <row r="118" spans="1:4" ht="13.8" x14ac:dyDescent="0.25">
      <c r="A118" s="40">
        <v>0.89126394052044611</v>
      </c>
      <c r="B118" s="40">
        <v>2367.4118749999998</v>
      </c>
      <c r="C118" s="43">
        <f>C117+(((A118+A117)/2)*(B118-B117))</f>
        <v>2307.9523548461407</v>
      </c>
      <c r="D118" s="38"/>
    </row>
    <row r="119" spans="1:4" ht="13.8" x14ac:dyDescent="0.25">
      <c r="A119" s="41">
        <v>0.89033457249070636</v>
      </c>
      <c r="B119" s="41">
        <v>2373.6319382000001</v>
      </c>
      <c r="C119" s="43">
        <f>C118+(((A119+A118)/2)*(B119-B118))</f>
        <v>2313.4931825201188</v>
      </c>
      <c r="D119" s="38"/>
    </row>
    <row r="120" spans="1:4" ht="13.8" x14ac:dyDescent="0.25">
      <c r="A120" s="40">
        <v>0.88940520446096649</v>
      </c>
      <c r="B120" s="40">
        <v>2386.8695086000002</v>
      </c>
      <c r="C120" s="43">
        <f>C119+(((A120+A119)/2)*(B120-B119))</f>
        <v>2325.2728978156579</v>
      </c>
      <c r="D120" s="38"/>
    </row>
    <row r="121" spans="1:4" ht="13.8" x14ac:dyDescent="0.25">
      <c r="A121" s="41">
        <v>0.88847583643122674</v>
      </c>
      <c r="B121" s="41">
        <v>2394.3854182999999</v>
      </c>
      <c r="C121" s="43">
        <f>C120+(((A121+A120)/2)*(B121-B120))</f>
        <v>2331.9540944960013</v>
      </c>
      <c r="D121" s="38"/>
    </row>
    <row r="122" spans="1:4" ht="13.8" x14ac:dyDescent="0.25">
      <c r="A122" s="40">
        <v>0.88754646840148699</v>
      </c>
      <c r="B122" s="40">
        <v>2395.9803062999999</v>
      </c>
      <c r="C122" s="43">
        <f>C121+(((A122+A121)/2)*(B122-B121))</f>
        <v>2333.3703728268565</v>
      </c>
      <c r="D122" s="38"/>
    </row>
    <row r="123" spans="1:4" ht="13.8" x14ac:dyDescent="0.25">
      <c r="A123" s="41">
        <v>0.88661710037174724</v>
      </c>
      <c r="B123" s="41">
        <v>2397.0767918000001</v>
      </c>
      <c r="C123" s="43">
        <f>C122+(((A123+A122)/2)*(B123-B122))</f>
        <v>2334.3430451407507</v>
      </c>
      <c r="D123" s="38"/>
    </row>
    <row r="124" spans="1:4" ht="13.8" x14ac:dyDescent="0.25">
      <c r="A124" s="40">
        <v>0.88568773234200748</v>
      </c>
      <c r="B124" s="40">
        <v>2400.7250981000002</v>
      </c>
      <c r="C124" s="43">
        <f>C123+(((A124+A123)/2)*(B124-B123))</f>
        <v>2337.5760005841057</v>
      </c>
      <c r="D124" s="38"/>
    </row>
    <row r="125" spans="1:4" ht="13.8" x14ac:dyDescent="0.25">
      <c r="A125" s="41">
        <v>0.88475836431226762</v>
      </c>
      <c r="B125" s="41">
        <v>2401.8415196999999</v>
      </c>
      <c r="C125" s="43">
        <f>C124+(((A125+A124)/2)*(B125-B124))</f>
        <v>2338.5642827160759</v>
      </c>
      <c r="D125" s="38"/>
    </row>
    <row r="126" spans="1:4" ht="13.8" x14ac:dyDescent="0.25">
      <c r="A126" s="40">
        <v>0.88382899628252787</v>
      </c>
      <c r="B126" s="40">
        <v>2405.1708484000001</v>
      </c>
      <c r="C126" s="43">
        <f>C125+(((A126+A125)/2)*(B126-B125))</f>
        <v>2341.508387045119</v>
      </c>
      <c r="D126" s="38"/>
    </row>
    <row r="127" spans="1:4" ht="13.8" x14ac:dyDescent="0.25">
      <c r="A127" s="41">
        <v>0.88289962825278812</v>
      </c>
      <c r="B127" s="41">
        <v>2407.8622219000003</v>
      </c>
      <c r="C127" s="43">
        <f>C126+(((A127+A126)/2)*(B127-B126))</f>
        <v>2343.8858503460019</v>
      </c>
      <c r="D127" s="38"/>
    </row>
    <row r="128" spans="1:4" ht="13.8" x14ac:dyDescent="0.25">
      <c r="A128" s="40">
        <v>0.88197026022304836</v>
      </c>
      <c r="B128" s="40">
        <v>2413.3446494</v>
      </c>
      <c r="C128" s="43">
        <f>C127+(((A128+A127)/2)*(B128-B127))</f>
        <v>2348.7237359512524</v>
      </c>
      <c r="D128" s="38"/>
    </row>
    <row r="129" spans="1:4" ht="13.8" x14ac:dyDescent="0.25">
      <c r="A129" s="41">
        <v>0.8810408921933085</v>
      </c>
      <c r="B129" s="41">
        <v>2437.9856689999997</v>
      </c>
      <c r="C129" s="43">
        <f>C128+(((A129+A128)/2)*(B129-B128))</f>
        <v>2370.4449321321072</v>
      </c>
      <c r="D129" s="38"/>
    </row>
    <row r="130" spans="1:4" ht="13.8" x14ac:dyDescent="0.25">
      <c r="A130" s="40">
        <v>0.88011152416356875</v>
      </c>
      <c r="B130" s="40">
        <v>2442.0326973000001</v>
      </c>
      <c r="C130" s="43">
        <f>C129+(((A130+A129)/2)*(B130-B129))</f>
        <v>2374.0086489669125</v>
      </c>
      <c r="D130" s="38"/>
    </row>
    <row r="131" spans="1:4" ht="13.8" x14ac:dyDescent="0.25">
      <c r="A131" s="41">
        <v>0.879182156133829</v>
      </c>
      <c r="B131" s="41">
        <v>2449.4090543000002</v>
      </c>
      <c r="C131" s="43">
        <f>C130+(((A131+A130)/2)*(B131-B130))</f>
        <v>2380.4972380937711</v>
      </c>
      <c r="D131" s="38"/>
    </row>
    <row r="132" spans="1:4" ht="13.8" x14ac:dyDescent="0.25">
      <c r="A132" s="40">
        <v>0.87825278810408924</v>
      </c>
      <c r="B132" s="40">
        <v>2449.8675846000001</v>
      </c>
      <c r="C132" s="43">
        <f>C131+(((A132+A131)/2)*(B132-B131))</f>
        <v>2380.900156679877</v>
      </c>
      <c r="D132" s="38"/>
    </row>
    <row r="133" spans="1:4" ht="13.8" x14ac:dyDescent="0.25">
      <c r="A133" s="41">
        <v>0.87732342007434949</v>
      </c>
      <c r="B133" s="41">
        <v>2453.8747407000001</v>
      </c>
      <c r="C133" s="43">
        <f>C132+(((A133+A132)/2)*(B133-B132))</f>
        <v>2384.4175906356854</v>
      </c>
      <c r="D133" s="38"/>
    </row>
    <row r="134" spans="1:4" ht="13.8" x14ac:dyDescent="0.25">
      <c r="A134" s="40">
        <v>0.87639405204460963</v>
      </c>
      <c r="B134" s="40">
        <v>2458.3404271000004</v>
      </c>
      <c r="C134" s="43">
        <f>C133+(((A134+A133)/2)*(B134-B133))</f>
        <v>2388.3333667680276</v>
      </c>
      <c r="D134" s="38"/>
    </row>
    <row r="135" spans="1:4" ht="13.8" x14ac:dyDescent="0.25">
      <c r="A135" s="41">
        <v>0.87546468401486988</v>
      </c>
      <c r="B135" s="41">
        <v>2461.8890529</v>
      </c>
      <c r="C135" s="43">
        <f>C134+(((A135+A134)/2)*(B135-B134))</f>
        <v>2391.4417123223952</v>
      </c>
      <c r="D135" s="38"/>
    </row>
    <row r="136" spans="1:4" ht="13.8" x14ac:dyDescent="0.25">
      <c r="A136" s="40">
        <v>0.87453531598513012</v>
      </c>
      <c r="B136" s="40">
        <v>2462.3675193000004</v>
      </c>
      <c r="C136" s="43">
        <f>C135+(((A136+A135)/2)*(B136-B135))</f>
        <v>2391.8603704223956</v>
      </c>
      <c r="D136" s="38"/>
    </row>
    <row r="137" spans="1:4" ht="13.8" x14ac:dyDescent="0.25">
      <c r="A137" s="41">
        <v>0.87360594795539037</v>
      </c>
      <c r="B137" s="41">
        <v>2472.9735245000002</v>
      </c>
      <c r="C137" s="43">
        <f>C136+(((A137+A136)/2)*(B137-B136))</f>
        <v>2401.1307680902391</v>
      </c>
      <c r="D137" s="38"/>
    </row>
    <row r="138" spans="1:4" ht="13.8" x14ac:dyDescent="0.25">
      <c r="A138" s="40">
        <v>0.87267657992565051</v>
      </c>
      <c r="B138" s="40">
        <v>2476.9208723000006</v>
      </c>
      <c r="C138" s="43">
        <f>C137+(((A138+A137)/2)*(B138-B137))</f>
        <v>2404.5773603375442</v>
      </c>
      <c r="D138" s="38"/>
    </row>
    <row r="139" spans="1:4" ht="13.8" x14ac:dyDescent="0.25">
      <c r="A139" s="41">
        <v>0.87174721189591076</v>
      </c>
      <c r="B139" s="41">
        <v>2477.9176772999999</v>
      </c>
      <c r="C139" s="43">
        <f>C138+(((A139+A138)/2)*(B139-B138))</f>
        <v>2405.4467855164471</v>
      </c>
      <c r="D139" s="38"/>
    </row>
    <row r="140" spans="1:4" ht="13.8" x14ac:dyDescent="0.25">
      <c r="A140" s="40">
        <v>0.870817843866171</v>
      </c>
      <c r="B140" s="40">
        <v>2480.4296259000002</v>
      </c>
      <c r="C140" s="43">
        <f>C139+(((A140+A139)/2)*(B140-B139))</f>
        <v>2407.6354024425627</v>
      </c>
      <c r="D140" s="38"/>
    </row>
    <row r="141" spans="1:4" ht="13.8" x14ac:dyDescent="0.25">
      <c r="A141" s="41">
        <v>0.86988847583643125</v>
      </c>
      <c r="B141" s="41">
        <v>2496.3984420000002</v>
      </c>
      <c r="C141" s="43">
        <f>C140+(((A141+A140)/2)*(B141-B140))</f>
        <v>2421.5339119942819</v>
      </c>
      <c r="D141" s="38"/>
    </row>
    <row r="142" spans="1:4" ht="13.8" x14ac:dyDescent="0.25">
      <c r="A142" s="40">
        <v>0.8689591078066915</v>
      </c>
      <c r="B142" s="40">
        <v>2497.2556943</v>
      </c>
      <c r="C142" s="43">
        <f>C141+(((A142+A141)/2)*(B142-B141))</f>
        <v>2422.2792275394954</v>
      </c>
      <c r="D142" s="38"/>
    </row>
    <row r="143" spans="1:4" ht="13.8" x14ac:dyDescent="0.25">
      <c r="A143" s="41">
        <v>0.86802973977695164</v>
      </c>
      <c r="B143" s="41">
        <v>2528.8145405999994</v>
      </c>
      <c r="C143" s="43">
        <f>C142+(((A143+A142)/2)*(B143-B142))</f>
        <v>2449.687909572348</v>
      </c>
      <c r="D143" s="38"/>
    </row>
    <row r="144" spans="1:4" ht="13.8" x14ac:dyDescent="0.25">
      <c r="A144" s="40">
        <v>0.86710037174721188</v>
      </c>
      <c r="B144" s="40">
        <v>2549.6677011999996</v>
      </c>
      <c r="C144" s="43">
        <f>C143+(((A144+A143)/2)*(B144-B143))</f>
        <v>2467.7793830111027</v>
      </c>
      <c r="D144" s="38"/>
    </row>
    <row r="145" spans="1:4" ht="13.8" x14ac:dyDescent="0.25">
      <c r="A145" s="41">
        <v>0.86617100371747213</v>
      </c>
      <c r="B145" s="41">
        <v>2550.2657842000003</v>
      </c>
      <c r="C145" s="43">
        <f>C144+(((A145+A144)/2)*(B145-B144))</f>
        <v>2468.2977030831294</v>
      </c>
      <c r="D145" s="38"/>
    </row>
    <row r="146" spans="1:4" ht="13.8" x14ac:dyDescent="0.25">
      <c r="A146" s="40">
        <v>0.86524163568773238</v>
      </c>
      <c r="B146" s="40">
        <v>2552.0999053999999</v>
      </c>
      <c r="C146" s="43">
        <f>C145+(((A146+A145)/2)*(B146-B145))</f>
        <v>2469.8855133970696</v>
      </c>
      <c r="D146" s="38"/>
    </row>
    <row r="147" spans="1:4" ht="13.8" x14ac:dyDescent="0.25">
      <c r="A147" s="41">
        <v>0.86431226765799252</v>
      </c>
      <c r="B147" s="41">
        <v>2562.9052716000006</v>
      </c>
      <c r="C147" s="43">
        <f>C146+(((A147+A146)/2)*(B147-B146))</f>
        <v>2479.2297450412152</v>
      </c>
      <c r="D147" s="38"/>
    </row>
    <row r="148" spans="1:4" ht="13.8" x14ac:dyDescent="0.25">
      <c r="A148" s="40">
        <v>0.86338289962825276</v>
      </c>
      <c r="B148" s="40">
        <v>2566.9921721000001</v>
      </c>
      <c r="C148" s="43">
        <f>C147+(((A148+A147)/2)*(B148-B147))</f>
        <v>2482.7602041627297</v>
      </c>
      <c r="D148" s="38"/>
    </row>
    <row r="149" spans="1:4" ht="13.8" x14ac:dyDescent="0.25">
      <c r="A149" s="41">
        <v>0.86245353159851301</v>
      </c>
      <c r="B149" s="41">
        <v>2572.8932577</v>
      </c>
      <c r="C149" s="43">
        <f>C148+(((A149+A148)/2)*(B149-B148))</f>
        <v>2487.8523584188633</v>
      </c>
      <c r="D149" s="38"/>
    </row>
    <row r="150" spans="1:4" ht="13.8" x14ac:dyDescent="0.25">
      <c r="A150" s="40">
        <v>0.86152416356877326</v>
      </c>
      <c r="B150" s="40">
        <v>2573.7106378000008</v>
      </c>
      <c r="C150" s="43">
        <f>C149+(((A150+A149)/2)*(B150-B149))</f>
        <v>2488.5569309493007</v>
      </c>
      <c r="D150" s="38"/>
    </row>
    <row r="151" spans="1:4" ht="13.8" x14ac:dyDescent="0.25">
      <c r="A151" s="41">
        <v>0.86059479553903351</v>
      </c>
      <c r="B151" s="41">
        <v>2575.5048868000003</v>
      </c>
      <c r="C151" s="43">
        <f>C150+(((A151+A150)/2)*(B151-B150))</f>
        <v>2490.1018860594304</v>
      </c>
      <c r="D151" s="38"/>
    </row>
    <row r="152" spans="1:4" ht="13.8" x14ac:dyDescent="0.25">
      <c r="A152" s="40">
        <v>0.85966542750929364</v>
      </c>
      <c r="B152" s="40">
        <v>2584.0176014999993</v>
      </c>
      <c r="C152" s="43">
        <f>C151+(((A152+A151)/2)*(B152-B151))</f>
        <v>2497.4239283037136</v>
      </c>
      <c r="D152" s="38"/>
    </row>
    <row r="153" spans="1:4" ht="13.8" x14ac:dyDescent="0.25">
      <c r="A153" s="41">
        <v>0.85873605947955389</v>
      </c>
      <c r="B153" s="41">
        <v>2587.6060994999998</v>
      </c>
      <c r="C153" s="43">
        <f>C152+(((A153+A152)/2)*(B153-B152))</f>
        <v>2500.5071684533423</v>
      </c>
      <c r="D153" s="38"/>
    </row>
    <row r="154" spans="1:4" ht="13.8" x14ac:dyDescent="0.25">
      <c r="A154" s="40">
        <v>0.85780669144981414</v>
      </c>
      <c r="B154" s="40">
        <v>2600.2256508</v>
      </c>
      <c r="C154" s="43">
        <f>C153+(((A154+A153)/2)*(B154-B153))</f>
        <v>2511.3381681053406</v>
      </c>
      <c r="D154" s="38"/>
    </row>
    <row r="155" spans="1:4" ht="13.8" x14ac:dyDescent="0.25">
      <c r="A155" s="41">
        <v>0.85687732342007439</v>
      </c>
      <c r="B155" s="41">
        <v>2608.6785572000003</v>
      </c>
      <c r="C155" s="43">
        <f>C154+(((A155+A154)/2)*(B155-B154))</f>
        <v>2518.5851998469766</v>
      </c>
      <c r="D155" s="38"/>
    </row>
    <row r="156" spans="1:4" ht="13.8" x14ac:dyDescent="0.25">
      <c r="A156" s="40">
        <v>0.85594795539033453</v>
      </c>
      <c r="B156" s="40">
        <v>2611.4696112000001</v>
      </c>
      <c r="C156" s="43">
        <f>C155+(((A156+A155)/2)*(B156-B155))</f>
        <v>2520.975493769839</v>
      </c>
      <c r="D156" s="38"/>
    </row>
    <row r="157" spans="1:4" ht="13.8" x14ac:dyDescent="0.25">
      <c r="A157" s="41">
        <v>0.85501858736059477</v>
      </c>
      <c r="B157" s="41">
        <v>2617.1115274999997</v>
      </c>
      <c r="C157" s="43">
        <f>C156+(((A157+A156)/2)*(B157-B156))</f>
        <v>2525.8020587829892</v>
      </c>
      <c r="D157" s="38"/>
    </row>
    <row r="158" spans="1:4" ht="13.8" x14ac:dyDescent="0.25">
      <c r="A158" s="40">
        <v>0.85408921933085502</v>
      </c>
      <c r="B158" s="40">
        <v>2624.4480122999998</v>
      </c>
      <c r="C158" s="43">
        <f>C157+(((A158+A157)/2)*(B158-B157))</f>
        <v>2532.0714805056659</v>
      </c>
      <c r="D158" s="38"/>
    </row>
    <row r="159" spans="1:4" ht="13.8" x14ac:dyDescent="0.25">
      <c r="A159" s="41">
        <v>0.85315985130111527</v>
      </c>
      <c r="B159" s="41">
        <v>2640.2972118000002</v>
      </c>
      <c r="C159" s="43">
        <f>C158+(((A159+A158)/2)*(B159-B158))</f>
        <v>2545.6007460639839</v>
      </c>
      <c r="D159" s="38"/>
    </row>
    <row r="160" spans="1:4" ht="13.8" x14ac:dyDescent="0.25">
      <c r="A160" s="40">
        <v>0.85223048327137552</v>
      </c>
      <c r="B160" s="40">
        <v>2643.4869878000004</v>
      </c>
      <c r="C160" s="43">
        <f>C159+(((A160+A159)/2)*(B160-B159))</f>
        <v>2548.3206526439099</v>
      </c>
      <c r="D160" s="38"/>
    </row>
    <row r="161" spans="1:4" ht="13.8" x14ac:dyDescent="0.25">
      <c r="A161" s="41">
        <v>0.85130111524163565</v>
      </c>
      <c r="B161" s="41">
        <v>2655.1496063000004</v>
      </c>
      <c r="C161" s="43">
        <f>C160+(((A161+A160)/2)*(B161-B160))</f>
        <v>2558.254472211986</v>
      </c>
      <c r="D161" s="38"/>
    </row>
    <row r="162" spans="1:4" ht="13.8" x14ac:dyDescent="0.25">
      <c r="A162" s="40">
        <v>0.8503717472118959</v>
      </c>
      <c r="B162" s="40">
        <v>2668.446985000001</v>
      </c>
      <c r="C162" s="43">
        <f>C161+(((A162+A161)/2)*(B162-B161))</f>
        <v>2569.5683664497651</v>
      </c>
      <c r="D162" s="38"/>
    </row>
    <row r="163" spans="1:4" ht="13.8" x14ac:dyDescent="0.25">
      <c r="A163" s="41">
        <v>0.84944237918215615</v>
      </c>
      <c r="B163" s="41">
        <v>2673.869604200001</v>
      </c>
      <c r="C163" s="43">
        <f>C162+(((A163+A162)/2)*(B163-B162))</f>
        <v>2574.1770888088731</v>
      </c>
      <c r="D163" s="38"/>
    </row>
    <row r="164" spans="1:4" ht="13.8" x14ac:dyDescent="0.25">
      <c r="A164" s="40">
        <v>0.8485130111524164</v>
      </c>
      <c r="B164" s="40">
        <v>2675.6239809999997</v>
      </c>
      <c r="C164" s="43">
        <f>C163+(((A164+A163)/2)*(B164-B163))</f>
        <v>2575.666515580991</v>
      </c>
      <c r="D164" s="38"/>
    </row>
    <row r="165" spans="1:4" ht="13.8" x14ac:dyDescent="0.25">
      <c r="A165" s="41">
        <v>0.84758364312267653</v>
      </c>
      <c r="B165" s="41">
        <v>2676.620786</v>
      </c>
      <c r="C165" s="43">
        <f>C164+(((A165+A164)/2)*(B165-B164))</f>
        <v>2576.5118543937238</v>
      </c>
      <c r="D165" s="38"/>
    </row>
    <row r="166" spans="1:4" ht="13.8" x14ac:dyDescent="0.25">
      <c r="A166" s="40">
        <v>0.84665427509293678</v>
      </c>
      <c r="B166" s="40">
        <v>2687.2267912000007</v>
      </c>
      <c r="C166" s="43">
        <f>C165+(((A166+A165)/2)*(B166-B165))</f>
        <v>2585.4964024790402</v>
      </c>
      <c r="D166" s="38"/>
    </row>
    <row r="167" spans="1:4" ht="13.8" x14ac:dyDescent="0.25">
      <c r="A167" s="41">
        <v>0.84572490706319703</v>
      </c>
      <c r="B167" s="41">
        <v>2688.2435323</v>
      </c>
      <c r="C167" s="43">
        <f>C166+(((A167+A166)/2)*(B167-B166))</f>
        <v>2586.3567582146807</v>
      </c>
      <c r="D167" s="38"/>
    </row>
    <row r="168" spans="1:4" ht="13.8" x14ac:dyDescent="0.25">
      <c r="A168" s="40">
        <v>0.84479553903345728</v>
      </c>
      <c r="B168" s="40">
        <v>2690.0776535</v>
      </c>
      <c r="C168" s="43">
        <f>C167+(((A168+A167)/2)*(B168-B167))</f>
        <v>2587.9070679092902</v>
      </c>
      <c r="D168" s="38"/>
    </row>
    <row r="169" spans="1:4" ht="13.8" x14ac:dyDescent="0.25">
      <c r="A169" s="41">
        <v>0.84386617100371752</v>
      </c>
      <c r="B169" s="41">
        <v>2690.9349058000003</v>
      </c>
      <c r="C169" s="43">
        <f>C168+(((A169+A168)/2)*(B169-B168))</f>
        <v>2588.6308724767159</v>
      </c>
      <c r="D169" s="38"/>
    </row>
    <row r="170" spans="1:4" ht="13.8" x14ac:dyDescent="0.25">
      <c r="A170" s="40">
        <v>0.84293680297397766</v>
      </c>
      <c r="B170" s="40">
        <v>2692.5896020999999</v>
      </c>
      <c r="C170" s="43">
        <f>C169+(((A170+A169)/2)*(B170-B169))</f>
        <v>2590.0264457966505</v>
      </c>
      <c r="D170" s="38"/>
    </row>
    <row r="171" spans="1:4" ht="13.8" x14ac:dyDescent="0.25">
      <c r="A171" s="41">
        <v>0.84200743494423791</v>
      </c>
      <c r="B171" s="41">
        <v>2701.0225724000002</v>
      </c>
      <c r="C171" s="43">
        <f>C170+(((A171+A170)/2)*(B171-B170))</f>
        <v>2597.1309881544112</v>
      </c>
      <c r="D171" s="38"/>
    </row>
    <row r="172" spans="1:4" ht="13.8" x14ac:dyDescent="0.25">
      <c r="A172" s="40">
        <v>0.84107806691449816</v>
      </c>
      <c r="B172" s="40">
        <v>2704.9699202000002</v>
      </c>
      <c r="C172" s="43">
        <f>C171+(((A172+A171)/2)*(B172-B171))</f>
        <v>2600.4528500808983</v>
      </c>
      <c r="D172" s="38"/>
    </row>
    <row r="173" spans="1:4" ht="13.8" x14ac:dyDescent="0.25">
      <c r="A173" s="41">
        <v>0.8401486988847584</v>
      </c>
      <c r="B173" s="41">
        <v>2706.3255749999998</v>
      </c>
      <c r="C173" s="43">
        <f>C172+(((A173+A172)/2)*(B173-B172))</f>
        <v>2601.5924316483702</v>
      </c>
      <c r="D173" s="38"/>
    </row>
    <row r="174" spans="1:4" ht="13.8" x14ac:dyDescent="0.25">
      <c r="A174" s="40">
        <v>0.83921933085501854</v>
      </c>
      <c r="B174" s="40">
        <v>2709.8143924999999</v>
      </c>
      <c r="C174" s="43">
        <f>C173+(((A174+A173)/2)*(B174-B173))</f>
        <v>2604.5219359339185</v>
      </c>
      <c r="D174" s="38"/>
    </row>
    <row r="175" spans="1:4" ht="13.8" x14ac:dyDescent="0.25">
      <c r="A175" s="41">
        <v>0.83828996282527879</v>
      </c>
      <c r="B175" s="41">
        <v>2710.5520282000002</v>
      </c>
      <c r="C175" s="43">
        <f>C174+(((A175+A174)/2)*(B175-B174))</f>
        <v>2605.1406313049688</v>
      </c>
      <c r="D175" s="38"/>
    </row>
    <row r="176" spans="1:4" ht="13.8" x14ac:dyDescent="0.25">
      <c r="A176" s="40">
        <v>0.83736059479553904</v>
      </c>
      <c r="B176" s="40">
        <v>2713.3829544000005</v>
      </c>
      <c r="C176" s="43">
        <f>C175+(((A176+A175)/2)*(B176-B175))</f>
        <v>2607.5124528377755</v>
      </c>
      <c r="D176" s="38"/>
    </row>
    <row r="177" spans="1:4" ht="13.8" x14ac:dyDescent="0.25">
      <c r="A177" s="41">
        <v>0.83643122676579928</v>
      </c>
      <c r="B177" s="41">
        <v>2715.6955419999999</v>
      </c>
      <c r="C177" s="43">
        <f>C176+(((A177+A176)/2)*(B177-B176))</f>
        <v>2609.447847943537</v>
      </c>
      <c r="D177" s="38"/>
    </row>
    <row r="178" spans="1:4" ht="13.8" x14ac:dyDescent="0.25">
      <c r="A178" s="40">
        <v>0.83550185873605953</v>
      </c>
      <c r="B178" s="40">
        <v>2717.5695353999999</v>
      </c>
      <c r="C178" s="43">
        <f>C177+(((A178+A177)/2)*(B178-B177))</f>
        <v>2611.0144437272729</v>
      </c>
      <c r="D178" s="38"/>
    </row>
    <row r="179" spans="1:4" ht="13.8" x14ac:dyDescent="0.25">
      <c r="A179" s="41">
        <v>0.83457249070631967</v>
      </c>
      <c r="B179" s="41">
        <v>2717.7290241999999</v>
      </c>
      <c r="C179" s="43">
        <f>C178+(((A179+A178)/2)*(B179-B178))</f>
        <v>2611.1476228042247</v>
      </c>
      <c r="D179" s="38"/>
    </row>
    <row r="180" spans="1:4" ht="13.8" x14ac:dyDescent="0.25">
      <c r="A180" s="40">
        <v>0.83364312267657992</v>
      </c>
      <c r="B180" s="40">
        <v>2721.4371388000004</v>
      </c>
      <c r="C180" s="43">
        <f>C179+(((A180+A179)/2)*(B180-B179))</f>
        <v>2614.2405901401917</v>
      </c>
      <c r="D180" s="38"/>
    </row>
    <row r="181" spans="1:4" ht="13.8" x14ac:dyDescent="0.25">
      <c r="A181" s="41">
        <v>0.83271375464684017</v>
      </c>
      <c r="B181" s="41">
        <v>2729.9897256999998</v>
      </c>
      <c r="C181" s="43">
        <f>C180+(((A181+A180)/2)*(B181-B180))</f>
        <v>2621.3664211400519</v>
      </c>
      <c r="D181" s="38"/>
    </row>
    <row r="182" spans="1:4" ht="13.8" x14ac:dyDescent="0.25">
      <c r="A182" s="40">
        <v>0.83178438661710041</v>
      </c>
      <c r="B182" s="40">
        <v>2742.5893408999996</v>
      </c>
      <c r="C182" s="43">
        <f>C181+(((A182+A181)/2)*(B182-B181))</f>
        <v>2631.8524391805722</v>
      </c>
      <c r="D182" s="38"/>
    </row>
    <row r="183" spans="1:4" ht="13.8" x14ac:dyDescent="0.25">
      <c r="A183" s="41">
        <v>0.83085501858736055</v>
      </c>
      <c r="B183" s="41">
        <v>2756.1259528000005</v>
      </c>
      <c r="C183" s="43">
        <f>C182+(((A183+A182)/2)*(B183-B182))</f>
        <v>2643.105691359523</v>
      </c>
      <c r="D183" s="38"/>
    </row>
    <row r="184" spans="1:4" ht="13.8" x14ac:dyDescent="0.25">
      <c r="A184" s="40">
        <v>0.8299256505576208</v>
      </c>
      <c r="B184" s="40">
        <v>2762.8045462999999</v>
      </c>
      <c r="C184" s="43">
        <f>C183+(((A184+A183)/2)*(B184-B183))</f>
        <v>2648.6515308504613</v>
      </c>
      <c r="D184" s="38"/>
    </row>
    <row r="185" spans="1:4" ht="13.8" x14ac:dyDescent="0.25">
      <c r="A185" s="41">
        <v>0.82899628252788105</v>
      </c>
      <c r="B185" s="41">
        <v>2767.8284435</v>
      </c>
      <c r="C185" s="43">
        <f>C184+(((A185+A184)/2)*(B185-B184))</f>
        <v>2652.8186574777851</v>
      </c>
      <c r="D185" s="38"/>
    </row>
    <row r="186" spans="1:4" ht="13.8" x14ac:dyDescent="0.25">
      <c r="A186" s="40">
        <v>0.82806691449814129</v>
      </c>
      <c r="B186" s="40">
        <v>2774.8060784999998</v>
      </c>
      <c r="C186" s="43">
        <f>C185+(((A186+A185)/2)*(B186-B185))</f>
        <v>2658.5998485581754</v>
      </c>
      <c r="D186" s="38"/>
    </row>
    <row r="187" spans="1:4" ht="13.8" x14ac:dyDescent="0.25">
      <c r="A187" s="41">
        <v>0.82713754646840154</v>
      </c>
      <c r="B187" s="41">
        <v>2780.2685698999999</v>
      </c>
      <c r="C187" s="43">
        <f>C186+(((A187+A186)/2)*(B187-B186))</f>
        <v>2663.120618624811</v>
      </c>
      <c r="D187" s="38"/>
    </row>
    <row r="188" spans="1:4" ht="13.8" x14ac:dyDescent="0.25">
      <c r="A188" s="40">
        <v>0.82620817843866168</v>
      </c>
      <c r="B188" s="40">
        <v>2790.9343834000001</v>
      </c>
      <c r="C188" s="43">
        <f>C187+(((A188+A187)/2)*(B188-B187))</f>
        <v>2671.9377572012518</v>
      </c>
      <c r="D188" s="38"/>
    </row>
    <row r="189" spans="1:4" ht="13.8" x14ac:dyDescent="0.25">
      <c r="A189" s="41">
        <v>0.82527881040892193</v>
      </c>
      <c r="B189" s="41">
        <v>2801.6201330000004</v>
      </c>
      <c r="C189" s="43">
        <f>C188+(((A189+A188)/2)*(B189-B188))</f>
        <v>2680.7614454164936</v>
      </c>
      <c r="D189" s="38"/>
    </row>
    <row r="190" spans="1:4" ht="13.8" x14ac:dyDescent="0.25">
      <c r="A190" s="40">
        <v>0.82434944237918217</v>
      </c>
      <c r="B190" s="40">
        <v>2807.00288</v>
      </c>
      <c r="C190" s="43">
        <f>C189+(((A190+A189)/2)*(B190-B189))</f>
        <v>2685.2012111808986</v>
      </c>
      <c r="D190" s="38"/>
    </row>
    <row r="191" spans="1:4" ht="13.8" x14ac:dyDescent="0.25">
      <c r="A191" s="41">
        <v>0.82342007434944242</v>
      </c>
      <c r="B191" s="41">
        <v>2808.5778319000001</v>
      </c>
      <c r="C191" s="43">
        <f>C190+(((A191+A190)/2)*(B191-B190))</f>
        <v>2686.4987900464657</v>
      </c>
      <c r="D191" s="38"/>
    </row>
    <row r="192" spans="1:4" ht="13.8" x14ac:dyDescent="0.25">
      <c r="A192" s="40">
        <v>0.82249070631970256</v>
      </c>
      <c r="B192" s="40">
        <v>2808.7373207000001</v>
      </c>
      <c r="C192" s="43">
        <f>C191+(((A192+A191)/2)*(B192-B191))</f>
        <v>2686.6300422141235</v>
      </c>
      <c r="D192" s="38"/>
    </row>
    <row r="193" spans="1:4" ht="13.8" x14ac:dyDescent="0.25">
      <c r="A193" s="41">
        <v>0.82156133828996281</v>
      </c>
      <c r="B193" s="41">
        <v>2808.9964900000004</v>
      </c>
      <c r="C193" s="43">
        <f>C192+(((A193+A192)/2)*(B193-B192))</f>
        <v>2686.8430861229062</v>
      </c>
      <c r="D193" s="38"/>
    </row>
    <row r="194" spans="1:4" ht="13.8" x14ac:dyDescent="0.25">
      <c r="A194" s="40">
        <v>0.82063197026022305</v>
      </c>
      <c r="B194" s="40">
        <v>2809.8736784000007</v>
      </c>
      <c r="C194" s="43">
        <f>C193+(((A194+A193)/2)*(B194-B193))</f>
        <v>2687.5633425833153</v>
      </c>
      <c r="D194" s="38"/>
    </row>
    <row r="195" spans="1:4" ht="13.8" x14ac:dyDescent="0.25">
      <c r="A195" s="41">
        <v>0.8197026022304833</v>
      </c>
      <c r="B195" s="41">
        <v>2824.0482455000006</v>
      </c>
      <c r="C195" s="43">
        <f>C194+(((A195+A194)/2)*(B195-B194))</f>
        <v>2699.1888588154247</v>
      </c>
      <c r="D195" s="38"/>
    </row>
    <row r="196" spans="1:4" ht="13.8" x14ac:dyDescent="0.25">
      <c r="A196" s="40">
        <v>0.81877323420074355</v>
      </c>
      <c r="B196" s="40">
        <v>2831.0059443999999</v>
      </c>
      <c r="C196" s="43">
        <f>C195+(((A196+A195)/2)*(B196-B195))</f>
        <v>2704.8888695778314</v>
      </c>
      <c r="D196" s="38"/>
    </row>
    <row r="197" spans="1:4" ht="13.8" x14ac:dyDescent="0.25">
      <c r="A197" s="41">
        <v>0.81784386617100369</v>
      </c>
      <c r="B197" s="41">
        <v>2832.7603211999999</v>
      </c>
      <c r="C197" s="43">
        <f>C196+(((A197+A196)/2)*(B197-B196))</f>
        <v>2706.3244911135193</v>
      </c>
      <c r="D197" s="38"/>
    </row>
    <row r="198" spans="1:4" ht="13.8" x14ac:dyDescent="0.25">
      <c r="A198" s="40">
        <v>0.81691449814126393</v>
      </c>
      <c r="B198" s="40">
        <v>2856.8032578000002</v>
      </c>
      <c r="C198" s="43">
        <f>C197+(((A198+A197)/2)*(B198-B197))</f>
        <v>2725.9766869682594</v>
      </c>
      <c r="D198" s="38"/>
    </row>
    <row r="199" spans="1:4" ht="13.8" x14ac:dyDescent="0.25">
      <c r="A199" s="41">
        <v>0.81598513011152418</v>
      </c>
      <c r="B199" s="41">
        <v>2856.8830022000002</v>
      </c>
      <c r="C199" s="43">
        <f>C198+(((A199+A198)/2)*(B199-B198))</f>
        <v>2726.0417942688168</v>
      </c>
      <c r="D199" s="38"/>
    </row>
    <row r="200" spans="1:4" ht="13.8" x14ac:dyDescent="0.25">
      <c r="A200" s="40">
        <v>0.81505576208178443</v>
      </c>
      <c r="B200" s="40">
        <v>2861.6277940000004</v>
      </c>
      <c r="C200" s="43">
        <f>C199+(((A200+A199)/2)*(B200-B199))</f>
        <v>2729.911268994189</v>
      </c>
      <c r="D200" s="38"/>
    </row>
    <row r="201" spans="1:4" ht="13.8" x14ac:dyDescent="0.25">
      <c r="A201" s="41">
        <v>0.81412639405204457</v>
      </c>
      <c r="B201" s="41">
        <v>2877.4769935000004</v>
      </c>
      <c r="C201" s="43">
        <f>C200+(((A201+A200)/2)*(B201-B200))</f>
        <v>2742.8218855013915</v>
      </c>
      <c r="D201" s="38"/>
    </row>
    <row r="202" spans="1:4" ht="13.8" x14ac:dyDescent="0.25">
      <c r="A202" s="40">
        <v>0.81319702602230481</v>
      </c>
      <c r="B202" s="40">
        <v>2878.9921371</v>
      </c>
      <c r="C202" s="43">
        <f>C201+(((A202+A201)/2)*(B202-B201))</f>
        <v>2744.0546998339191</v>
      </c>
      <c r="D202" s="38"/>
    </row>
    <row r="203" spans="1:4" ht="13.8" x14ac:dyDescent="0.25">
      <c r="A203" s="41">
        <v>0.81226765799256506</v>
      </c>
      <c r="B203" s="41">
        <v>2897.4729017999998</v>
      </c>
      <c r="C203" s="43">
        <f>C202+(((A203+A202)/2)*(B203-B202))</f>
        <v>2759.0746150106384</v>
      </c>
      <c r="D203" s="38"/>
    </row>
    <row r="204" spans="1:4" ht="13.8" x14ac:dyDescent="0.25">
      <c r="A204" s="40">
        <v>0.81133828996282531</v>
      </c>
      <c r="B204" s="40">
        <v>2898.9880454000004</v>
      </c>
      <c r="C204" s="43">
        <f>C203+(((A204+A203)/2)*(B204-B203))</f>
        <v>2760.3046130911221</v>
      </c>
      <c r="D204" s="38"/>
    </row>
    <row r="205" spans="1:4" ht="13.8" x14ac:dyDescent="0.25">
      <c r="A205" s="41">
        <v>0.81040892193308545</v>
      </c>
      <c r="B205" s="41">
        <v>2899.3867674000003</v>
      </c>
      <c r="C205" s="43">
        <f>C204+(((A205+A204)/2)*(B205-B204))</f>
        <v>2760.6279262370326</v>
      </c>
      <c r="D205" s="38"/>
    </row>
    <row r="206" spans="1:4" ht="13.8" x14ac:dyDescent="0.25">
      <c r="A206" s="40">
        <v>0.80947955390334569</v>
      </c>
      <c r="B206" s="40">
        <v>2904.7695144000004</v>
      </c>
      <c r="C206" s="43">
        <f>C205+(((A206+A205)/2)*(B206-B205))</f>
        <v>2764.9876511538541</v>
      </c>
      <c r="D206" s="38"/>
    </row>
    <row r="207" spans="1:4" ht="13.8" x14ac:dyDescent="0.25">
      <c r="A207" s="41">
        <v>0.80855018587360594</v>
      </c>
      <c r="B207" s="41">
        <v>2910.9297693000003</v>
      </c>
      <c r="C207" s="43">
        <f>C206+(((A207+A206)/2)*(B207-B206))</f>
        <v>2769.9713889702575</v>
      </c>
      <c r="D207" s="38"/>
    </row>
    <row r="208" spans="1:4" ht="13.8" x14ac:dyDescent="0.25">
      <c r="A208" s="40">
        <v>0.80762081784386619</v>
      </c>
      <c r="B208" s="40">
        <v>2925.1840808000002</v>
      </c>
      <c r="C208" s="43">
        <f>C207+(((A208+A207)/2)*(B208-B207))</f>
        <v>2781.4900914323857</v>
      </c>
      <c r="D208" s="38"/>
    </row>
    <row r="209" spans="1:4" ht="13.8" x14ac:dyDescent="0.25">
      <c r="A209" s="41">
        <v>0.80669144981412644</v>
      </c>
      <c r="B209" s="41">
        <v>2925.4033779000001</v>
      </c>
      <c r="C209" s="43">
        <f>C208+(((A209+A208)/2)*(B209-B208))</f>
        <v>2781.6670984317816</v>
      </c>
      <c r="D209" s="38"/>
    </row>
    <row r="210" spans="1:4" ht="13.8" x14ac:dyDescent="0.25">
      <c r="A210" s="40">
        <v>0.80576208178438657</v>
      </c>
      <c r="B210" s="40">
        <v>2927.7558377</v>
      </c>
      <c r="C210" s="43">
        <f>C209+(((A210+A209)/2)*(B210-B209))</f>
        <v>2783.5637144880084</v>
      </c>
      <c r="D210" s="38"/>
    </row>
    <row r="211" spans="1:4" ht="13.8" x14ac:dyDescent="0.25">
      <c r="A211" s="41">
        <v>0.80483271375464682</v>
      </c>
      <c r="B211" s="41">
        <v>2942.3889351000003</v>
      </c>
      <c r="C211" s="43">
        <f>C210+(((A211+A210)/2)*(B211-B210))</f>
        <v>2795.3477097455366</v>
      </c>
      <c r="D211" s="38"/>
    </row>
    <row r="212" spans="1:4" ht="13.8" x14ac:dyDescent="0.25">
      <c r="A212" s="40">
        <v>0.80390334572490707</v>
      </c>
      <c r="B212" s="40">
        <v>2944.5619699999997</v>
      </c>
      <c r="C212" s="43">
        <f>C211+(((A212+A211)/2)*(B212-B211))</f>
        <v>2797.0956295466049</v>
      </c>
      <c r="D212" s="38"/>
    </row>
    <row r="213" spans="1:4" ht="13.8" x14ac:dyDescent="0.25">
      <c r="A213" s="41">
        <v>0.80297397769516732</v>
      </c>
      <c r="B213" s="41">
        <v>2957.3210739999995</v>
      </c>
      <c r="C213" s="43">
        <f>C212+(((A213+A212)/2)*(B213-B212))</f>
        <v>2807.3467869889837</v>
      </c>
      <c r="D213" s="38"/>
    </row>
    <row r="214" spans="1:4" ht="13.8" x14ac:dyDescent="0.25">
      <c r="A214" s="40">
        <v>0.80204460966542745</v>
      </c>
      <c r="B214" s="40">
        <v>2961.3082940000004</v>
      </c>
      <c r="C214" s="43">
        <f>C213+(((A214+A213)/2)*(B214-B213))</f>
        <v>2810.5465680949324</v>
      </c>
      <c r="D214" s="38"/>
    </row>
    <row r="215" spans="1:4" ht="13.8" x14ac:dyDescent="0.25">
      <c r="A215" s="41">
        <v>0.8011152416356877</v>
      </c>
      <c r="B215" s="41">
        <v>2963.7604343000007</v>
      </c>
      <c r="C215" s="43">
        <f>C214+(((A215+A214)/2)*(B215-B214))</f>
        <v>2812.5121545342913</v>
      </c>
      <c r="D215" s="38"/>
    </row>
    <row r="216" spans="1:4" ht="13.8" x14ac:dyDescent="0.25">
      <c r="A216" s="40">
        <v>0.80018587360594795</v>
      </c>
      <c r="B216" s="40">
        <v>2963.8003064999998</v>
      </c>
      <c r="C216" s="43">
        <f>C215+(((A216+A215)/2)*(B216-B215))</f>
        <v>2812.544078233454</v>
      </c>
      <c r="D216" s="38"/>
    </row>
    <row r="217" spans="1:4" ht="13.8" x14ac:dyDescent="0.25">
      <c r="A217" s="41">
        <v>0.7992565055762082</v>
      </c>
      <c r="B217" s="41">
        <v>2968.8042676000005</v>
      </c>
      <c r="C217" s="43">
        <f>C216+(((A217+A216)/2)*(B217-B216))</f>
        <v>2816.5458519570138</v>
      </c>
      <c r="D217" s="38"/>
    </row>
    <row r="218" spans="1:4" ht="13.8" x14ac:dyDescent="0.25">
      <c r="A218" s="40">
        <v>0.79832713754646845</v>
      </c>
      <c r="B218" s="40">
        <v>2969.7811365000002</v>
      </c>
      <c r="C218" s="43">
        <f>C217+(((A218+A217)/2)*(B218-B217))</f>
        <v>2817.3261668450714</v>
      </c>
      <c r="D218" s="38"/>
    </row>
    <row r="219" spans="1:4" ht="13.8" x14ac:dyDescent="0.25">
      <c r="A219" s="41">
        <v>0.79739776951672858</v>
      </c>
      <c r="B219" s="41">
        <v>2971.2962800999999</v>
      </c>
      <c r="C219" s="43">
        <f>C218+(((A219+A218)/2)*(B219-B218))</f>
        <v>2818.5350430352196</v>
      </c>
      <c r="D219" s="38"/>
    </row>
    <row r="220" spans="1:4" ht="13.8" x14ac:dyDescent="0.25">
      <c r="A220" s="40">
        <v>0.79646840148698883</v>
      </c>
      <c r="B220" s="40">
        <v>2971.6551299000002</v>
      </c>
      <c r="C220" s="43">
        <f>C219+(((A220+A219)/2)*(B220-B219))</f>
        <v>2818.8210223135657</v>
      </c>
      <c r="D220" s="38"/>
    </row>
    <row r="221" spans="1:4" ht="13.8" x14ac:dyDescent="0.25">
      <c r="A221" s="41">
        <v>0.79553903345724908</v>
      </c>
      <c r="B221" s="41">
        <v>2977.6758320999998</v>
      </c>
      <c r="C221" s="43">
        <f>C220+(((A221+A220)/2)*(B221-B220))</f>
        <v>2823.613523646558</v>
      </c>
      <c r="D221" s="38"/>
    </row>
    <row r="222" spans="1:4" ht="13.8" x14ac:dyDescent="0.25">
      <c r="A222" s="40">
        <v>0.79460966542750933</v>
      </c>
      <c r="B222" s="40">
        <v>2980.8656081000004</v>
      </c>
      <c r="C222" s="43">
        <f>C221+(((A222+A221)/2)*(B222-B221))</f>
        <v>2826.1496327246255</v>
      </c>
      <c r="D222" s="38"/>
    </row>
    <row r="223" spans="1:4" ht="13.8" x14ac:dyDescent="0.25">
      <c r="A223" s="41">
        <v>0.79368029739776946</v>
      </c>
      <c r="B223" s="41">
        <v>2987.3448406000002</v>
      </c>
      <c r="C223" s="43">
        <f>C222+(((A223+A222)/2)*(B223-B222))</f>
        <v>2831.2950826979059</v>
      </c>
      <c r="D223" s="38"/>
    </row>
    <row r="224" spans="1:4" ht="13.8" x14ac:dyDescent="0.25">
      <c r="A224" s="40">
        <v>0.79275092936802971</v>
      </c>
      <c r="B224" s="40">
        <v>2989.8169170000001</v>
      </c>
      <c r="C224" s="43">
        <f>C223+(((A224+A223)/2)*(B224-B223))</f>
        <v>2833.2559722958613</v>
      </c>
      <c r="D224" s="38"/>
    </row>
    <row r="225" spans="1:4" ht="13.8" x14ac:dyDescent="0.25">
      <c r="A225" s="41">
        <v>0.79182156133828996</v>
      </c>
      <c r="B225" s="41">
        <v>3002.1772989999995</v>
      </c>
      <c r="C225" s="43">
        <f>C224+(((A225+A224)/2)*(B225-B224))</f>
        <v>2843.0489329417715</v>
      </c>
      <c r="D225" s="38"/>
    </row>
    <row r="226" spans="1:4" ht="13.8" x14ac:dyDescent="0.25">
      <c r="A226" s="40">
        <v>0.79089219330855021</v>
      </c>
      <c r="B226" s="40">
        <v>3011.7266909</v>
      </c>
      <c r="C226" s="43">
        <f>C225+(((A226+A225)/2)*(B226-B225))</f>
        <v>2850.6059098960936</v>
      </c>
      <c r="D226" s="38"/>
    </row>
    <row r="227" spans="1:4" ht="13.8" x14ac:dyDescent="0.25">
      <c r="A227" s="41">
        <v>0.78996282527881045</v>
      </c>
      <c r="B227" s="41">
        <v>3019.1827923000001</v>
      </c>
      <c r="C227" s="43">
        <f>C226+(((A227+A226)/2)*(B227-B226))</f>
        <v>2856.4994175547367</v>
      </c>
      <c r="D227" s="38"/>
    </row>
    <row r="228" spans="1:4" ht="13.8" x14ac:dyDescent="0.25">
      <c r="A228" s="40">
        <v>0.78903345724907059</v>
      </c>
      <c r="B228" s="40">
        <v>3021.9937823999999</v>
      </c>
      <c r="C228" s="43">
        <f>C227+(((A228+A227)/2)*(B228-B227))</f>
        <v>2858.7186890137978</v>
      </c>
      <c r="D228" s="38"/>
    </row>
    <row r="229" spans="1:4" ht="13.8" x14ac:dyDescent="0.25">
      <c r="A229" s="41">
        <v>0.78810408921933084</v>
      </c>
      <c r="B229" s="41">
        <v>3023.4092455</v>
      </c>
      <c r="C229" s="43">
        <f>C228+(((A229+A228)/2)*(B229-B228))</f>
        <v>2859.8348790141231</v>
      </c>
      <c r="D229" s="38"/>
    </row>
    <row r="230" spans="1:4" ht="13.8" x14ac:dyDescent="0.25">
      <c r="A230" s="40">
        <v>0.78717472118959109</v>
      </c>
      <c r="B230" s="40">
        <v>3023.9076479999994</v>
      </c>
      <c r="C230" s="43">
        <f>C229+(((A230+A229)/2)*(B230-B229))</f>
        <v>2860.2274404627751</v>
      </c>
      <c r="D230" s="38"/>
    </row>
    <row r="231" spans="1:4" ht="13.8" x14ac:dyDescent="0.25">
      <c r="A231" s="41">
        <v>0.78624535315985133</v>
      </c>
      <c r="B231" s="41">
        <v>3024.9642613000001</v>
      </c>
      <c r="C231" s="43">
        <f>C230+(((A231+A230)/2)*(B231-B230))</f>
        <v>2861.0586887512977</v>
      </c>
      <c r="D231" s="38"/>
    </row>
    <row r="232" spans="1:4" ht="13.8" x14ac:dyDescent="0.25">
      <c r="A232" s="40">
        <v>0.78531598513011147</v>
      </c>
      <c r="B232" s="40">
        <v>3029.1109701</v>
      </c>
      <c r="C232" s="43">
        <f>C231+(((A232+A231)/2)*(B232-B231))</f>
        <v>2864.3170923669109</v>
      </c>
      <c r="D232" s="38"/>
    </row>
    <row r="233" spans="1:4" ht="13.8" x14ac:dyDescent="0.25">
      <c r="A233" s="41">
        <v>0.78438661710037172</v>
      </c>
      <c r="B233" s="41">
        <v>3030.4666249000002</v>
      </c>
      <c r="C233" s="43">
        <f>C232+(((A233+A232)/2)*(B233-B232))</f>
        <v>2865.3810798005543</v>
      </c>
      <c r="D233" s="38"/>
    </row>
    <row r="234" spans="1:4" ht="13.8" x14ac:dyDescent="0.25">
      <c r="A234" s="40">
        <v>0.78345724907063197</v>
      </c>
      <c r="B234" s="40">
        <v>3030.9849635</v>
      </c>
      <c r="C234" s="43">
        <f>C233+(((A234+A233)/2)*(B234-B233))</f>
        <v>2865.7874167978589</v>
      </c>
      <c r="D234" s="38"/>
    </row>
    <row r="235" spans="1:4" ht="13.8" x14ac:dyDescent="0.25">
      <c r="A235" s="41">
        <v>0.78252788104089221</v>
      </c>
      <c r="B235" s="41">
        <v>3031.2441328000004</v>
      </c>
      <c r="C235" s="43">
        <f>C234+(((A235+A234)/2)*(B235-B234))</f>
        <v>2865.9903444328497</v>
      </c>
      <c r="D235" s="38"/>
    </row>
    <row r="236" spans="1:4" ht="13.8" x14ac:dyDescent="0.25">
      <c r="A236" s="40">
        <v>0.78159851301115246</v>
      </c>
      <c r="B236" s="40">
        <v>3044.6212558999996</v>
      </c>
      <c r="C236" s="43">
        <f>C235+(((A236+A235)/2)*(B236-B235))</f>
        <v>2876.4521000914456</v>
      </c>
      <c r="D236" s="38"/>
    </row>
    <row r="237" spans="1:4" ht="13.8" x14ac:dyDescent="0.25">
      <c r="A237" s="41">
        <v>0.7806691449814126</v>
      </c>
      <c r="B237" s="41">
        <v>3046.4155049000005</v>
      </c>
      <c r="C237" s="43">
        <f>C236+(((A237+A236)/2)*(B237-B236))</f>
        <v>2877.8536486829889</v>
      </c>
      <c r="D237" s="38"/>
    </row>
    <row r="238" spans="1:4" ht="13.8" x14ac:dyDescent="0.25">
      <c r="A238" s="40">
        <v>0.77973977695167285</v>
      </c>
      <c r="B238" s="40">
        <v>3051.7583797000002</v>
      </c>
      <c r="C238" s="43">
        <f>C237+(((A238+A237)/2)*(B238-B237))</f>
        <v>2882.0221834363342</v>
      </c>
      <c r="D238" s="38"/>
    </row>
    <row r="239" spans="1:4" ht="13.8" x14ac:dyDescent="0.25">
      <c r="A239" s="41">
        <v>0.77881040892193309</v>
      </c>
      <c r="B239" s="41">
        <v>3054.2902643999996</v>
      </c>
      <c r="C239" s="43">
        <f>C238+(((A239+A238)/2)*(B239-B238))</f>
        <v>2883.9952181212316</v>
      </c>
      <c r="D239" s="38"/>
    </row>
    <row r="240" spans="1:4" ht="13.8" x14ac:dyDescent="0.25">
      <c r="A240" s="40">
        <v>0.77788104089219334</v>
      </c>
      <c r="B240" s="40">
        <v>3056.0446412000006</v>
      </c>
      <c r="C240" s="43">
        <f>C239+(((A240+A239)/2)*(B240-B239))</f>
        <v>2885.3607298033885</v>
      </c>
      <c r="D240" s="38"/>
    </row>
    <row r="241" spans="1:4" ht="13.8" x14ac:dyDescent="0.25">
      <c r="A241" s="41">
        <v>0.77695167286245348</v>
      </c>
      <c r="B241" s="41">
        <v>3058.6562703</v>
      </c>
      <c r="C241" s="43">
        <f>C240+(((A241+A240)/2)*(B241-B240))</f>
        <v>2887.3910529838249</v>
      </c>
      <c r="D241" s="38"/>
    </row>
    <row r="242" spans="1:4" ht="13.8" x14ac:dyDescent="0.25">
      <c r="A242" s="40">
        <v>0.77602230483271373</v>
      </c>
      <c r="B242" s="40">
        <v>3059.3540338000003</v>
      </c>
      <c r="C242" s="43">
        <f>C241+(((A242+A241)/2)*(B242-B241))</f>
        <v>2887.9328572628679</v>
      </c>
      <c r="D242" s="38"/>
    </row>
    <row r="243" spans="1:4" ht="13.8" x14ac:dyDescent="0.25">
      <c r="A243" s="41">
        <v>0.77509293680297398</v>
      </c>
      <c r="B243" s="41">
        <v>3060.1913500000001</v>
      </c>
      <c r="C243" s="43">
        <f>C242+(((A243+A242)/2)*(B243-B242))</f>
        <v>2888.5822442228118</v>
      </c>
      <c r="D243" s="38"/>
    </row>
    <row r="244" spans="1:4" ht="13.8" x14ac:dyDescent="0.25">
      <c r="A244" s="40">
        <v>0.77416356877323422</v>
      </c>
      <c r="B244" s="40">
        <v>3060.5103276000004</v>
      </c>
      <c r="C244" s="43">
        <f>C243+(((A244+A243)/2)*(B244-B243))</f>
        <v>2888.8293332837789</v>
      </c>
      <c r="D244" s="38"/>
    </row>
    <row r="245" spans="1:4" ht="13.8" x14ac:dyDescent="0.25">
      <c r="A245" s="41">
        <v>0.77323420074349447</v>
      </c>
      <c r="B245" s="41">
        <v>3062.1052156000001</v>
      </c>
      <c r="C245" s="43">
        <f>C244+(((A245+A244)/2)*(B245-B244))</f>
        <v>2890.0632963506932</v>
      </c>
      <c r="D245" s="38"/>
    </row>
    <row r="246" spans="1:4" ht="13.8" x14ac:dyDescent="0.25">
      <c r="A246" s="40">
        <v>0.77230483271375461</v>
      </c>
      <c r="B246" s="40">
        <v>3064.0190812000001</v>
      </c>
      <c r="C246" s="43">
        <f>C245+(((A246+A245)/2)*(B246-B245))</f>
        <v>2891.5422733454889</v>
      </c>
      <c r="D246" s="38"/>
    </row>
    <row r="247" spans="1:4" ht="13.8" x14ac:dyDescent="0.25">
      <c r="A247" s="41">
        <v>0.77137546468401486</v>
      </c>
      <c r="B247" s="41">
        <v>3073.0501345000007</v>
      </c>
      <c r="C247" s="43">
        <f>C246+(((A247+A246)/2)*(B247-B246))</f>
        <v>2898.512802867469</v>
      </c>
      <c r="D247" s="38"/>
    </row>
    <row r="248" spans="1:4" ht="13.8" x14ac:dyDescent="0.25">
      <c r="A248" s="40">
        <v>0.7704460966542751</v>
      </c>
      <c r="B248" s="40">
        <v>3074.5054697999999</v>
      </c>
      <c r="C248" s="43">
        <f>C247+(((A248+A247)/2)*(B248-B247))</f>
        <v>2899.6347365397269</v>
      </c>
      <c r="D248" s="38"/>
    </row>
    <row r="249" spans="1:4" ht="13.8" x14ac:dyDescent="0.25">
      <c r="A249" s="41">
        <v>0.76951672862453535</v>
      </c>
      <c r="B249" s="41">
        <v>3077.3962043000001</v>
      </c>
      <c r="C249" s="43">
        <f>C248+(((A249+A248)/2)*(B249-B248))</f>
        <v>2901.8605483736023</v>
      </c>
      <c r="D249" s="38"/>
    </row>
    <row r="250" spans="1:4" ht="13.8" x14ac:dyDescent="0.25">
      <c r="A250" s="40">
        <v>0.76858736059479549</v>
      </c>
      <c r="B250" s="40">
        <v>3078.8116674000007</v>
      </c>
      <c r="C250" s="43">
        <f>C249+(((A250+A249)/2)*(B250-B249))</f>
        <v>2902.9491131647274</v>
      </c>
      <c r="D250" s="38"/>
    </row>
    <row r="251" spans="1:4" ht="13.8" x14ac:dyDescent="0.25">
      <c r="A251" s="41">
        <v>0.76765799256505574</v>
      </c>
      <c r="B251" s="41">
        <v>3080.0477056</v>
      </c>
      <c r="C251" s="43">
        <f>C250+(((A251+A250)/2)*(B251-B250))</f>
        <v>2903.8985421352659</v>
      </c>
      <c r="D251" s="38"/>
    </row>
    <row r="252" spans="1:4" ht="13.8" x14ac:dyDescent="0.25">
      <c r="A252" s="40">
        <v>0.76672862453531598</v>
      </c>
      <c r="B252" s="40">
        <v>3101.8976712000003</v>
      </c>
      <c r="C252" s="43">
        <f>C251+(((A252+A251)/2)*(B252-B251))</f>
        <v>2920.6616895356378</v>
      </c>
      <c r="D252" s="38"/>
    </row>
    <row r="253" spans="1:4" ht="13.8" x14ac:dyDescent="0.25">
      <c r="A253" s="41">
        <v>0.76579925650557623</v>
      </c>
      <c r="B253" s="41">
        <v>3103.253326</v>
      </c>
      <c r="C253" s="43">
        <f>C252+(((A253+A252)/2)*(B253-B252))</f>
        <v>2921.7004789246712</v>
      </c>
      <c r="D253" s="38"/>
    </row>
    <row r="254" spans="1:4" ht="13.8" x14ac:dyDescent="0.25">
      <c r="A254" s="40">
        <v>0.76486988847583648</v>
      </c>
      <c r="B254" s="40">
        <v>3103.7517285000004</v>
      </c>
      <c r="C254" s="43">
        <f>C253+(((A254+A253)/2)*(B254-B253))</f>
        <v>2922.0819235889371</v>
      </c>
      <c r="D254" s="38"/>
    </row>
    <row r="255" spans="1:4" ht="13.8" x14ac:dyDescent="0.25">
      <c r="A255" s="41">
        <v>0.76394052044609662</v>
      </c>
      <c r="B255" s="41">
        <v>3106.5427824999997</v>
      </c>
      <c r="C255" s="43">
        <f>C254+(((A255+A254)/2)*(B255-B254))</f>
        <v>2924.2154197924683</v>
      </c>
      <c r="D255" s="38"/>
    </row>
    <row r="256" spans="1:4" ht="13.8" x14ac:dyDescent="0.25">
      <c r="A256" s="40">
        <v>0.76301115241635686</v>
      </c>
      <c r="B256" s="40">
        <v>3107.6990763000003</v>
      </c>
      <c r="C256" s="43">
        <f>C255+(((A256+A255)/2)*(B256-B255))</f>
        <v>2925.098222168584</v>
      </c>
      <c r="D256" s="38"/>
    </row>
    <row r="257" spans="1:4" ht="13.8" x14ac:dyDescent="0.25">
      <c r="A257" s="41">
        <v>0.76208178438661711</v>
      </c>
      <c r="B257" s="41">
        <v>3109.6926863000008</v>
      </c>
      <c r="C257" s="43">
        <f>C256+(((A257+A256)/2)*(B257-B256))</f>
        <v>2926.6184424334542</v>
      </c>
      <c r="D257" s="38"/>
    </row>
    <row r="258" spans="1:4" ht="13.8" x14ac:dyDescent="0.25">
      <c r="A258" s="40">
        <v>0.76115241635687736</v>
      </c>
      <c r="B258" s="40">
        <v>3111.0882133</v>
      </c>
      <c r="C258" s="43">
        <f>C257+(((A258+A257)/2)*(B258-B257))</f>
        <v>2927.6812996606841</v>
      </c>
      <c r="D258" s="38"/>
    </row>
    <row r="259" spans="1:4" ht="13.8" x14ac:dyDescent="0.25">
      <c r="A259" s="41">
        <v>0.7602230483271375</v>
      </c>
      <c r="B259" s="41">
        <v>3118.8234200999996</v>
      </c>
      <c r="C259" s="43">
        <f>C258+(((A259+A258)/2)*(B259-B258))</f>
        <v>2933.5653765805723</v>
      </c>
      <c r="D259" s="38"/>
    </row>
    <row r="260" spans="1:4" ht="13.8" x14ac:dyDescent="0.25">
      <c r="A260" s="40">
        <v>0.75929368029739774</v>
      </c>
      <c r="B260" s="40">
        <v>3121.8736433999998</v>
      </c>
      <c r="C260" s="43">
        <f>C259+(((A260+A259)/2)*(B260-B259))</f>
        <v>2935.8828092457675</v>
      </c>
      <c r="D260" s="38"/>
    </row>
    <row r="261" spans="1:4" ht="13.8" x14ac:dyDescent="0.25">
      <c r="A261" s="41">
        <v>0.75836431226765799</v>
      </c>
      <c r="B261" s="41">
        <v>3123.1495538000004</v>
      </c>
      <c r="C261" s="43">
        <f>C260+(((A261+A260)/2)*(B261-B260))</f>
        <v>2936.8510070539464</v>
      </c>
      <c r="D261" s="38"/>
    </row>
    <row r="262" spans="1:4" ht="13.8" x14ac:dyDescent="0.25">
      <c r="A262" s="40">
        <v>0.75743494423791824</v>
      </c>
      <c r="B262" s="40">
        <v>3129.1303837999999</v>
      </c>
      <c r="C262" s="43">
        <f>C261+(((A262+A261)/2)*(B262-B261))</f>
        <v>2941.3838758875891</v>
      </c>
      <c r="D262" s="38"/>
    </row>
    <row r="263" spans="1:4" ht="13.8" x14ac:dyDescent="0.25">
      <c r="A263" s="41">
        <v>0.75650557620817849</v>
      </c>
      <c r="B263" s="41">
        <v>3146.0960049000005</v>
      </c>
      <c r="C263" s="43">
        <f>C262+(((A263+A262)/2)*(B263-B262))</f>
        <v>2954.2263465065021</v>
      </c>
      <c r="D263" s="38"/>
    </row>
    <row r="264" spans="1:4" ht="13.8" x14ac:dyDescent="0.25">
      <c r="A264" s="40">
        <v>0.75557620817843862</v>
      </c>
      <c r="B264" s="40">
        <v>3147.1326820999993</v>
      </c>
      <c r="C264" s="43">
        <f>C263+(((A264+A263)/2)*(B264-B263))</f>
        <v>2955.0101168617057</v>
      </c>
      <c r="D264" s="38"/>
    </row>
    <row r="265" spans="1:4" ht="13.8" x14ac:dyDescent="0.25">
      <c r="A265" s="41">
        <v>0.75464684014869887</v>
      </c>
      <c r="B265" s="41">
        <v>3154.9675693999998</v>
      </c>
      <c r="C265" s="43">
        <f>C264+(((A265+A264)/2)*(B265-B264))</f>
        <v>2960.9263305524587</v>
      </c>
      <c r="D265" s="38"/>
    </row>
    <row r="266" spans="1:4" ht="13.8" x14ac:dyDescent="0.25">
      <c r="A266" s="40">
        <v>0.75371747211895912</v>
      </c>
      <c r="B266" s="40">
        <v>3168.5241174000003</v>
      </c>
      <c r="C266" s="43">
        <f>C265+(((A266+A265)/2)*(B266-B265))</f>
        <v>2971.1504371528308</v>
      </c>
      <c r="D266" s="38"/>
    </row>
    <row r="267" spans="1:4" ht="13.8" x14ac:dyDescent="0.25">
      <c r="A267" s="41">
        <v>0.75278810408921937</v>
      </c>
      <c r="B267" s="41">
        <v>3175.2625191999996</v>
      </c>
      <c r="C267" s="43">
        <f>C266+(((A267+A266)/2)*(B267-B266))</f>
        <v>2976.2261570960459</v>
      </c>
      <c r="D267" s="38"/>
    </row>
    <row r="268" spans="1:4" ht="13.8" x14ac:dyDescent="0.25">
      <c r="A268" s="40">
        <v>0.7518587360594795</v>
      </c>
      <c r="B268" s="40">
        <v>3176.1795798000003</v>
      </c>
      <c r="C268" s="43">
        <f>C267+(((A268+A267)/2)*(B268-B267))</f>
        <v>2976.9160832630537</v>
      </c>
      <c r="D268" s="38"/>
    </row>
    <row r="269" spans="1:4" ht="13.8" x14ac:dyDescent="0.25">
      <c r="A269" s="41">
        <v>0.75092936802973975</v>
      </c>
      <c r="B269" s="41">
        <v>3181.2632853000005</v>
      </c>
      <c r="C269" s="43">
        <f>C268+(((A269+A268)/2)*(B269-B268))</f>
        <v>2980.7359493381005</v>
      </c>
      <c r="D269" s="38"/>
    </row>
    <row r="270" spans="1:4" ht="13.8" x14ac:dyDescent="0.25">
      <c r="A270" s="40">
        <v>0.75</v>
      </c>
      <c r="B270" s="40">
        <v>3185.7489077999999</v>
      </c>
      <c r="C270" s="43">
        <f>C269+(((A270+A269)/2)*(B270-B269))</f>
        <v>2984.1022506101726</v>
      </c>
      <c r="D270" s="38"/>
    </row>
    <row r="271" spans="1:4" ht="13.8" x14ac:dyDescent="0.25">
      <c r="A271" s="41">
        <v>0.74907063197026025</v>
      </c>
      <c r="B271" s="41">
        <v>3189.0981726</v>
      </c>
      <c r="C271" s="43">
        <f>C270+(((A271+A270)/2)*(B271-B270))</f>
        <v>2986.6126428603584</v>
      </c>
      <c r="D271" s="38"/>
    </row>
    <row r="272" spans="1:4" ht="13.8" x14ac:dyDescent="0.25">
      <c r="A272" s="40">
        <v>0.7481412639405205</v>
      </c>
      <c r="B272" s="40">
        <v>3193.8030921999998</v>
      </c>
      <c r="C272" s="43">
        <f>C271+(((A272+A271)/2)*(B272-B271))</f>
        <v>2990.1347736575703</v>
      </c>
      <c r="D272" s="38"/>
    </row>
    <row r="273" spans="1:4" ht="13.8" x14ac:dyDescent="0.25">
      <c r="A273" s="41">
        <v>0.74721189591078063</v>
      </c>
      <c r="B273" s="41">
        <v>3199.2855196999994</v>
      </c>
      <c r="C273" s="43">
        <f>C272+(((A273+A272)/2)*(B273-B272))</f>
        <v>2994.2338563004605</v>
      </c>
      <c r="D273" s="38"/>
    </row>
    <row r="274" spans="1:4" ht="13.8" x14ac:dyDescent="0.25">
      <c r="A274" s="40">
        <v>0.74628252788104088</v>
      </c>
      <c r="B274" s="40">
        <v>3205.1866052999999</v>
      </c>
      <c r="C274" s="43">
        <f>C273+(((A274+A273)/2)*(B274-B273))</f>
        <v>2998.6404755194199</v>
      </c>
      <c r="D274" s="38"/>
    </row>
    <row r="275" spans="1:4" ht="13.8" x14ac:dyDescent="0.25">
      <c r="A275" s="41">
        <v>0.74535315985130113</v>
      </c>
      <c r="B275" s="41">
        <v>3212.5230901</v>
      </c>
      <c r="C275" s="43">
        <f>C274+(((A275+A274)/2)*(B275-B274))</f>
        <v>3004.1121567945129</v>
      </c>
      <c r="D275" s="38"/>
    </row>
    <row r="276" spans="1:4" ht="13.8" x14ac:dyDescent="0.25">
      <c r="A276" s="40">
        <v>0.74442379182156138</v>
      </c>
      <c r="B276" s="40">
        <v>3213.4600868000007</v>
      </c>
      <c r="C276" s="43">
        <f>C275+(((A276+A275)/2)*(B276-B275))</f>
        <v>3004.8101148382402</v>
      </c>
      <c r="D276" s="38"/>
    </row>
    <row r="277" spans="1:4" ht="13.8" x14ac:dyDescent="0.25">
      <c r="A277" s="41">
        <v>0.74349442379182151</v>
      </c>
      <c r="B277" s="41">
        <v>3230.7247494000003</v>
      </c>
      <c r="C277" s="43">
        <f>C276+(((A277+A276)/2)*(B277-B276))</f>
        <v>3017.6543178227193</v>
      </c>
      <c r="D277" s="38"/>
    </row>
    <row r="278" spans="1:4" ht="13.8" x14ac:dyDescent="0.25">
      <c r="A278" s="40">
        <v>0.74256505576208176</v>
      </c>
      <c r="B278" s="40">
        <v>3231.9807237000005</v>
      </c>
      <c r="C278" s="43">
        <f>C277+(((A278+A277)/2)*(B278-B277))</f>
        <v>3018.587544080015</v>
      </c>
      <c r="D278" s="38"/>
    </row>
    <row r="279" spans="1:4" ht="13.8" x14ac:dyDescent="0.25">
      <c r="A279" s="41">
        <v>0.74163568773234201</v>
      </c>
      <c r="B279" s="41">
        <v>3240.7326716000007</v>
      </c>
      <c r="C279" s="43">
        <f>C278+(((A279+A278)/2)*(B279-B278))</f>
        <v>3025.0823678701177</v>
      </c>
      <c r="D279" s="38"/>
    </row>
    <row r="280" spans="1:4" ht="13.8" x14ac:dyDescent="0.25">
      <c r="A280" s="40">
        <v>0.74070631970260226</v>
      </c>
      <c r="B280" s="40">
        <v>3247.7900509999999</v>
      </c>
      <c r="C280" s="43">
        <f>C279+(((A280+A279)/2)*(B280-B279))</f>
        <v>3030.3130928436303</v>
      </c>
      <c r="D280" s="38"/>
    </row>
    <row r="281" spans="1:4" ht="13.8" x14ac:dyDescent="0.25">
      <c r="A281" s="41">
        <v>0.7397769516728625</v>
      </c>
      <c r="B281" s="41">
        <v>3276.3186101000006</v>
      </c>
      <c r="C281" s="43">
        <f>C280+(((A281+A280)/2)*(B281-B280))</f>
        <v>3051.431120095629</v>
      </c>
      <c r="D281" s="38"/>
    </row>
    <row r="282" spans="1:4" ht="13.8" x14ac:dyDescent="0.25">
      <c r="A282" s="40">
        <v>0.73884758364312264</v>
      </c>
      <c r="B282" s="40">
        <v>3277.4948400000003</v>
      </c>
      <c r="C282" s="43">
        <f>C281+(((A282+A281)/2)*(B282-B281))</f>
        <v>3052.3007212902849</v>
      </c>
      <c r="D282" s="38"/>
    </row>
    <row r="283" spans="1:4" ht="13.8" x14ac:dyDescent="0.25">
      <c r="A283" s="41">
        <v>0.73791821561338289</v>
      </c>
      <c r="B283" s="41">
        <v>3278.7707504000005</v>
      </c>
      <c r="C283" s="43">
        <f>C282+(((A283+A282)/2)*(B283-B282))</f>
        <v>3053.242831711103</v>
      </c>
      <c r="D283" s="38"/>
    </row>
    <row r="284" spans="1:4" ht="13.8" x14ac:dyDescent="0.25">
      <c r="A284" s="40">
        <v>0.73698884758364314</v>
      </c>
      <c r="B284" s="40">
        <v>3280.2858939999996</v>
      </c>
      <c r="C284" s="43">
        <f>C283+(((A284+A283)/2)*(B284-B283))</f>
        <v>3054.3601797098013</v>
      </c>
      <c r="D284" s="38"/>
    </row>
    <row r="285" spans="1:4" ht="13.8" x14ac:dyDescent="0.25">
      <c r="A285" s="41">
        <v>0.73605947955390338</v>
      </c>
      <c r="B285" s="41">
        <v>3284.5721555</v>
      </c>
      <c r="C285" s="43">
        <f>C284+(((A285+A284)/2)*(B285-B284))</f>
        <v>3057.5171148759259</v>
      </c>
      <c r="D285" s="38"/>
    </row>
    <row r="286" spans="1:4" ht="13.8" x14ac:dyDescent="0.25">
      <c r="A286" s="40">
        <v>0.73513011152416352</v>
      </c>
      <c r="B286" s="40">
        <v>3295.6964993000006</v>
      </c>
      <c r="C286" s="43">
        <f>C285+(((A286+A285)/2)*(B286-B285))</f>
        <v>3065.7001242789934</v>
      </c>
      <c r="D286" s="38"/>
    </row>
    <row r="287" spans="1:4" ht="13.8" x14ac:dyDescent="0.25">
      <c r="A287" s="41">
        <v>0.73420074349442377</v>
      </c>
      <c r="B287" s="41">
        <v>3297.6701732000001</v>
      </c>
      <c r="C287" s="43">
        <f>C286+(((A287+A286)/2)*(B287-B286))</f>
        <v>3067.1501142585003</v>
      </c>
      <c r="D287" s="38"/>
    </row>
    <row r="288" spans="1:4" ht="13.8" x14ac:dyDescent="0.25">
      <c r="A288" s="40">
        <v>0.73327137546468402</v>
      </c>
      <c r="B288" s="40">
        <v>3297.9492786000005</v>
      </c>
      <c r="C288" s="43">
        <f>C287+(((A288+A287)/2)*(B288-B287))</f>
        <v>3067.3549039548761</v>
      </c>
      <c r="D288" s="38"/>
    </row>
    <row r="289" spans="1:4" ht="13.8" x14ac:dyDescent="0.25">
      <c r="A289" s="41">
        <v>0.73234200743494426</v>
      </c>
      <c r="B289" s="41">
        <v>3311.3662739000001</v>
      </c>
      <c r="C289" s="43">
        <f>C288+(((A289+A288)/2)*(B289-B288))</f>
        <v>3077.1869678898665</v>
      </c>
      <c r="D289" s="38"/>
    </row>
    <row r="290" spans="1:4" ht="13.8" x14ac:dyDescent="0.25">
      <c r="A290" s="40">
        <v>0.73141263940520451</v>
      </c>
      <c r="B290" s="40">
        <v>3312.6023121000007</v>
      </c>
      <c r="C290" s="43">
        <f>C289+(((A290+A289)/2)*(B290-B289))</f>
        <v>3078.091596219328</v>
      </c>
      <c r="D290" s="38"/>
    </row>
    <row r="291" spans="1:4" ht="13.8" x14ac:dyDescent="0.25">
      <c r="A291" s="41">
        <v>0.73048327137546465</v>
      </c>
      <c r="B291" s="41">
        <v>3318.4435893999994</v>
      </c>
      <c r="C291" s="43">
        <f>C290+(((A291+A290)/2)*(B291-B290))</f>
        <v>3082.3612659186301</v>
      </c>
      <c r="D291" s="38"/>
    </row>
    <row r="292" spans="1:4" ht="13.8" x14ac:dyDescent="0.25">
      <c r="A292" s="40">
        <v>0.7295539033457249</v>
      </c>
      <c r="B292" s="40">
        <v>3319.141352900001</v>
      </c>
      <c r="C292" s="43">
        <f>C291+(((A292+A291)/2)*(B292-B291))</f>
        <v>3082.8706462432133</v>
      </c>
      <c r="D292" s="38"/>
    </row>
    <row r="293" spans="1:4" ht="13.8" x14ac:dyDescent="0.25">
      <c r="A293" s="41">
        <v>0.72862453531598514</v>
      </c>
      <c r="B293" s="41">
        <v>3320.0783495999999</v>
      </c>
      <c r="C293" s="43">
        <f>C292+(((A293+A292)/2)*(B293-B292))</f>
        <v>3083.5538004357309</v>
      </c>
      <c r="D293" s="38"/>
    </row>
    <row r="294" spans="1:4" ht="13.8" x14ac:dyDescent="0.25">
      <c r="A294" s="40">
        <v>0.72769516728624539</v>
      </c>
      <c r="B294" s="40">
        <v>3320.4571354999998</v>
      </c>
      <c r="C294" s="43">
        <f>C293+(((A294+A293)/2)*(B294-B293))</f>
        <v>3083.8296171203497</v>
      </c>
      <c r="D294" s="38"/>
    </row>
    <row r="295" spans="1:4" ht="13.8" x14ac:dyDescent="0.25">
      <c r="A295" s="41">
        <v>0.72676579925650553</v>
      </c>
      <c r="B295" s="41">
        <v>3321.3741960999992</v>
      </c>
      <c r="C295" s="43">
        <f>C294+(((A295+A294)/2)*(B295-B294))</f>
        <v>3084.4965315436762</v>
      </c>
      <c r="D295" s="38"/>
    </row>
    <row r="296" spans="1:4" ht="13.8" x14ac:dyDescent="0.25">
      <c r="A296" s="40">
        <v>0.72583643122676578</v>
      </c>
      <c r="B296" s="40">
        <v>3323.0887007000006</v>
      </c>
      <c r="C296" s="43">
        <f>C295+(((A296+A295)/2)*(B296-B295))</f>
        <v>3085.7417781467443</v>
      </c>
      <c r="D296" s="38"/>
    </row>
    <row r="297" spans="1:4" ht="13.8" x14ac:dyDescent="0.25">
      <c r="A297" s="41">
        <v>0.72490706319702602</v>
      </c>
      <c r="B297" s="41">
        <v>3334.4124055000002</v>
      </c>
      <c r="C297" s="43">
        <f>C296+(((A297+A296)/2)*(B297-B296))</f>
        <v>3093.9556736824316</v>
      </c>
      <c r="D297" s="38"/>
    </row>
    <row r="298" spans="1:4" ht="13.8" x14ac:dyDescent="0.25">
      <c r="A298" s="40">
        <v>0.72397769516728627</v>
      </c>
      <c r="B298" s="40">
        <v>3334.4522776999993</v>
      </c>
      <c r="C298" s="43">
        <f>C297+(((A298+A297)/2)*(B298-B297))</f>
        <v>3093.9845587938621</v>
      </c>
      <c r="D298" s="38"/>
    </row>
    <row r="299" spans="1:4" ht="13.8" x14ac:dyDescent="0.25">
      <c r="A299" s="41">
        <v>0.72304832713754652</v>
      </c>
      <c r="B299" s="41">
        <v>3339.9347052000003</v>
      </c>
      <c r="C299" s="43">
        <f>C298+(((A299+A298)/2)*(B299-B298))</f>
        <v>3097.9511664228125</v>
      </c>
      <c r="D299" s="38"/>
    </row>
    <row r="300" spans="1:4" ht="13.8" x14ac:dyDescent="0.25">
      <c r="A300" s="40">
        <v>0.72211895910780666</v>
      </c>
      <c r="B300" s="40">
        <v>3345.8557269000007</v>
      </c>
      <c r="C300" s="43">
        <f>C299+(((A300+A299)/2)*(B300-B299))</f>
        <v>3102.2295998538075</v>
      </c>
      <c r="D300" s="38"/>
    </row>
    <row r="301" spans="1:4" ht="13.8" x14ac:dyDescent="0.25">
      <c r="A301" s="41">
        <v>0.72118959107806691</v>
      </c>
      <c r="B301" s="41">
        <v>3355.3253744000003</v>
      </c>
      <c r="C301" s="43">
        <f>C300+(((A301+A300)/2)*(B301-B300))</f>
        <v>3109.0634114558052</v>
      </c>
      <c r="D301" s="38"/>
    </row>
    <row r="302" spans="1:4" ht="13.8" x14ac:dyDescent="0.25">
      <c r="A302" s="40">
        <v>0.72026022304832715</v>
      </c>
      <c r="B302" s="40">
        <v>3356.4617321000005</v>
      </c>
      <c r="C302" s="43">
        <f>C301+(((A302+A301)/2)*(B302-B301))</f>
        <v>3109.8824127535286</v>
      </c>
      <c r="D302" s="38"/>
    </row>
    <row r="303" spans="1:4" ht="13.8" x14ac:dyDescent="0.25">
      <c r="A303" s="41">
        <v>0.7193308550185874</v>
      </c>
      <c r="B303" s="41">
        <v>3358.1961728000006</v>
      </c>
      <c r="C303" s="43">
        <f>C302+(((A303+A302)/2)*(B303-B302))</f>
        <v>3111.1308554321067</v>
      </c>
      <c r="D303" s="38"/>
    </row>
    <row r="304" spans="1:4" ht="13.8" x14ac:dyDescent="0.25">
      <c r="A304" s="40">
        <v>0.71840148698884754</v>
      </c>
      <c r="B304" s="40">
        <v>3361.4856293000007</v>
      </c>
      <c r="C304" s="43">
        <f>C303+(((A304+A303)/2)*(B304-B303))</f>
        <v>3113.4955344309451</v>
      </c>
      <c r="D304" s="38"/>
    </row>
    <row r="305" spans="1:4" ht="13.8" x14ac:dyDescent="0.25">
      <c r="A305" s="41">
        <v>0.71747211895910779</v>
      </c>
      <c r="B305" s="41">
        <v>3371.7527208000001</v>
      </c>
      <c r="C305" s="43">
        <f>C304+(((A305+A304)/2)*(B305-B304))</f>
        <v>3120.8666572782959</v>
      </c>
      <c r="D305" s="38"/>
    </row>
    <row r="306" spans="1:4" ht="13.8" x14ac:dyDescent="0.25">
      <c r="A306" s="40">
        <v>0.71654275092936803</v>
      </c>
      <c r="B306" s="40">
        <v>3387.3427510000001</v>
      </c>
      <c r="C306" s="43">
        <f>C305+(((A306+A305)/2)*(B306-B305))</f>
        <v>3132.044824842701</v>
      </c>
      <c r="D306" s="38"/>
    </row>
    <row r="307" spans="1:4" ht="13.8" x14ac:dyDescent="0.25">
      <c r="A307" s="41">
        <v>0.71561338289962828</v>
      </c>
      <c r="B307" s="41">
        <v>3389.1370000000006</v>
      </c>
      <c r="C307" s="43">
        <f>C306+(((A307+A306)/2)*(B307-B306))</f>
        <v>3133.3296471981848</v>
      </c>
      <c r="D307" s="38"/>
    </row>
    <row r="308" spans="1:4" ht="13.8" x14ac:dyDescent="0.25">
      <c r="A308" s="40">
        <v>0.71468401486988853</v>
      </c>
      <c r="B308" s="40">
        <v>3399.2844749000001</v>
      </c>
      <c r="C308" s="43">
        <f>C307+(((A308+A307)/2)*(B308-B307))</f>
        <v>3140.5866006698852</v>
      </c>
      <c r="D308" s="38"/>
    </row>
    <row r="309" spans="1:4" ht="13.8" x14ac:dyDescent="0.25">
      <c r="A309" s="41">
        <v>0.71375464684014867</v>
      </c>
      <c r="B309" s="41">
        <v>3414.1169333000003</v>
      </c>
      <c r="C309" s="43">
        <f>C308+(((A309+A308)/2)*(B309-B308))</f>
        <v>3151.1802291832682</v>
      </c>
      <c r="D309" s="38"/>
    </row>
    <row r="310" spans="1:4" ht="13.8" x14ac:dyDescent="0.25">
      <c r="A310" s="40">
        <v>0.71282527881040891</v>
      </c>
      <c r="B310" s="40">
        <v>3422.6495840999996</v>
      </c>
      <c r="C310" s="43">
        <f>C309+(((A310+A309)/2)*(B310-B309))</f>
        <v>3157.2664833552008</v>
      </c>
      <c r="D310" s="38"/>
    </row>
    <row r="311" spans="1:4" ht="13.8" x14ac:dyDescent="0.25">
      <c r="A311" s="41">
        <v>0.71189591078066916</v>
      </c>
      <c r="B311" s="41">
        <v>3428.271564300001</v>
      </c>
      <c r="C311" s="43">
        <f>C310+(((A311+A310)/2)*(B311-B310))</f>
        <v>3161.2713605144027</v>
      </c>
      <c r="D311" s="38"/>
    </row>
    <row r="312" spans="1:4" ht="13.8" x14ac:dyDescent="0.25">
      <c r="A312" s="40">
        <v>0.71096654275092941</v>
      </c>
      <c r="B312" s="40">
        <v>3428.5307336000001</v>
      </c>
      <c r="C312" s="43">
        <f>C311+(((A312+A311)/2)*(B312-B311))</f>
        <v>3161.4557416474408</v>
      </c>
      <c r="D312" s="38"/>
    </row>
    <row r="313" spans="1:4" ht="13.8" x14ac:dyDescent="0.25">
      <c r="A313" s="41">
        <v>0.71003717472118955</v>
      </c>
      <c r="B313" s="41">
        <v>3434.5115636</v>
      </c>
      <c r="C313" s="43">
        <f>C312+(((A313+A312)/2)*(B313-B312))</f>
        <v>3165.7051324792251</v>
      </c>
      <c r="D313" s="38"/>
    </row>
    <row r="314" spans="1:4" ht="13.8" x14ac:dyDescent="0.25">
      <c r="A314" s="40">
        <v>0.70910780669144979</v>
      </c>
      <c r="B314" s="40">
        <v>3447.0314344000008</v>
      </c>
      <c r="C314" s="43">
        <f>C313+(((A314+A313)/2)*(B314-B313))</f>
        <v>3174.588888386103</v>
      </c>
      <c r="D314" s="38"/>
    </row>
    <row r="315" spans="1:4" ht="13.8" x14ac:dyDescent="0.25">
      <c r="A315" s="41">
        <v>0.70817843866171004</v>
      </c>
      <c r="B315" s="41">
        <v>3454.1087499</v>
      </c>
      <c r="C315" s="43">
        <f>C314+(((A315+A314)/2)*(B315-B314))</f>
        <v>3179.60417934219</v>
      </c>
      <c r="D315" s="38"/>
    </row>
    <row r="316" spans="1:4" ht="13.8" x14ac:dyDescent="0.25">
      <c r="A316" s="40">
        <v>0.70724907063197029</v>
      </c>
      <c r="B316" s="40">
        <v>3457.0991649000002</v>
      </c>
      <c r="C316" s="43">
        <f>C315+(((A316+A315)/2)*(B316-B315))</f>
        <v>3181.7205371697924</v>
      </c>
      <c r="D316" s="38"/>
    </row>
    <row r="317" spans="1:4" ht="13.8" x14ac:dyDescent="0.25">
      <c r="A317" s="41">
        <v>0.70631970260223054</v>
      </c>
      <c r="B317" s="41">
        <v>3465.6517518000001</v>
      </c>
      <c r="C317" s="43">
        <f>C316+(((A317+A316)/2)*(B317-B316))</f>
        <v>3187.7653720558983</v>
      </c>
      <c r="D317" s="38"/>
    </row>
    <row r="318" spans="1:4" ht="13.8" x14ac:dyDescent="0.25">
      <c r="A318" s="40">
        <v>0.70539033457249067</v>
      </c>
      <c r="B318" s="40">
        <v>3472.3702175000003</v>
      </c>
      <c r="C318" s="43">
        <f>C317+(((A318+A317)/2)*(B318-B317))</f>
        <v>3192.5076347874506</v>
      </c>
      <c r="D318" s="38"/>
    </row>
    <row r="319" spans="1:4" ht="13.8" x14ac:dyDescent="0.25">
      <c r="A319" s="41">
        <v>0.70446096654275092</v>
      </c>
      <c r="B319" s="41">
        <v>3473.7059362</v>
      </c>
      <c r="C319" s="43">
        <f>C318+(((A319+A318)/2)*(B319-B318))</f>
        <v>3193.44921716101</v>
      </c>
      <c r="D319" s="38"/>
    </row>
    <row r="320" spans="1:4" ht="13.8" x14ac:dyDescent="0.25">
      <c r="A320" s="40">
        <v>0.70353159851301117</v>
      </c>
      <c r="B320" s="40">
        <v>3474.9619105000002</v>
      </c>
      <c r="C320" s="43">
        <f>C319+(((A320+A319)/2)*(B320-B319))</f>
        <v>3194.3334183991606</v>
      </c>
      <c r="D320" s="38"/>
    </row>
    <row r="321" spans="1:4" ht="13.8" x14ac:dyDescent="0.25">
      <c r="A321" s="41">
        <v>0.70260223048327142</v>
      </c>
      <c r="B321" s="41">
        <v>3480.8031878000011</v>
      </c>
      <c r="C321" s="43">
        <f>C320+(((A321+A320)/2)*(B321-B320))</f>
        <v>3198.4402272072002</v>
      </c>
      <c r="D321" s="38"/>
    </row>
    <row r="322" spans="1:4" ht="13.8" x14ac:dyDescent="0.25">
      <c r="A322" s="40">
        <v>0.70167286245353155</v>
      </c>
      <c r="B322" s="40">
        <v>3482.0790982000003</v>
      </c>
      <c r="C322" s="43">
        <f>C321+(((A322+A321)/2)*(B322-B321))</f>
        <v>3199.3360918049693</v>
      </c>
      <c r="D322" s="38"/>
    </row>
    <row r="323" spans="1:4" ht="13.8" x14ac:dyDescent="0.25">
      <c r="A323" s="41">
        <v>0.7007434944237918</v>
      </c>
      <c r="B323" s="41">
        <v>3486.9833787999992</v>
      </c>
      <c r="C323" s="43">
        <f>C322+(((A323+A322)/2)*(B323-B322))</f>
        <v>3202.7750134710468</v>
      </c>
      <c r="D323" s="38"/>
    </row>
    <row r="324" spans="1:4" ht="13.8" x14ac:dyDescent="0.25">
      <c r="A324" s="40">
        <v>0.69981412639405205</v>
      </c>
      <c r="B324" s="40">
        <v>3494.2999274999997</v>
      </c>
      <c r="C324" s="43">
        <f>C323+(((A324+A323)/2)*(B324-B323))</f>
        <v>3207.8986374909823</v>
      </c>
      <c r="D324" s="38"/>
    </row>
    <row r="325" spans="1:4" ht="13.8" x14ac:dyDescent="0.25">
      <c r="A325" s="41">
        <v>0.6988847583643123</v>
      </c>
      <c r="B325" s="41">
        <v>3498.685869500001</v>
      </c>
      <c r="C325" s="43">
        <f>C324+(((A325+A324)/2)*(B325-B324))</f>
        <v>3210.9659435829908</v>
      </c>
      <c r="D325" s="38"/>
    </row>
    <row r="326" spans="1:4" ht="13.8" x14ac:dyDescent="0.25">
      <c r="A326" s="40">
        <v>0.69795539033457255</v>
      </c>
      <c r="B326" s="40">
        <v>3500.7990961</v>
      </c>
      <c r="C326" s="43">
        <f>C325+(((A326+A325)/2)*(B326-B325))</f>
        <v>3212.4418634620793</v>
      </c>
      <c r="D326" s="38"/>
    </row>
    <row r="327" spans="1:4" ht="13.8" x14ac:dyDescent="0.25">
      <c r="A327" s="41">
        <v>0.69702602230483268</v>
      </c>
      <c r="B327" s="41">
        <v>3501.6962205999994</v>
      </c>
      <c r="C327" s="43">
        <f>C326+(((A327+A326)/2)*(B327-B326))</f>
        <v>3213.0675994632406</v>
      </c>
      <c r="D327" s="38"/>
    </row>
    <row r="328" spans="1:4" ht="13.8" x14ac:dyDescent="0.25">
      <c r="A328" s="40">
        <v>0.69609665427509293</v>
      </c>
      <c r="B328" s="40">
        <v>3507.0191593000004</v>
      </c>
      <c r="C328" s="43">
        <f>C327+(((A328+A327)/2)*(B328-B327))</f>
        <v>3216.7753527677487</v>
      </c>
      <c r="D328" s="38"/>
    </row>
    <row r="329" spans="1:4" ht="13.8" x14ac:dyDescent="0.25">
      <c r="A329" s="41">
        <v>0.69516728624535318</v>
      </c>
      <c r="B329" s="41">
        <v>3509.0725776000004</v>
      </c>
      <c r="C329" s="43">
        <f>C328+(((A329+A328)/2)*(B329-B328))</f>
        <v>3218.2037761855463</v>
      </c>
      <c r="D329" s="38"/>
    </row>
    <row r="330" spans="1:4" ht="13.8" x14ac:dyDescent="0.25">
      <c r="A330" s="40">
        <v>0.69423791821561343</v>
      </c>
      <c r="B330" s="40">
        <v>3524.7224160999995</v>
      </c>
      <c r="C330" s="43">
        <f>C329+(((A330+A329)/2)*(B330-B329))</f>
        <v>3229.0757597159823</v>
      </c>
      <c r="D330" s="38"/>
    </row>
    <row r="331" spans="1:4" ht="13.8" x14ac:dyDescent="0.25">
      <c r="A331" s="41">
        <v>0.69330855018587356</v>
      </c>
      <c r="B331" s="41">
        <v>3530.2247797000009</v>
      </c>
      <c r="C331" s="43">
        <f>C330+(((A331+A330)/2)*(B331-B330))</f>
        <v>3232.8931523065039</v>
      </c>
      <c r="D331" s="38"/>
    </row>
    <row r="332" spans="1:4" ht="13.8" x14ac:dyDescent="0.25">
      <c r="A332" s="40">
        <v>0.69237918215613381</v>
      </c>
      <c r="B332" s="40">
        <v>3532.078837</v>
      </c>
      <c r="C332" s="43">
        <f>C331+(((A332+A331)/2)*(B332-B331))</f>
        <v>3234.1777245343378</v>
      </c>
      <c r="D332" s="38"/>
    </row>
    <row r="333" spans="1:4" ht="13.8" x14ac:dyDescent="0.25">
      <c r="A333" s="41">
        <v>0.69144981412639406</v>
      </c>
      <c r="B333" s="41">
        <v>3532.0987731</v>
      </c>
      <c r="C333" s="43">
        <f>C332+(((A333+A332)/2)*(B333-B332))</f>
        <v>3234.1915186109641</v>
      </c>
      <c r="D333" s="38"/>
    </row>
    <row r="334" spans="1:4" ht="13.8" x14ac:dyDescent="0.25">
      <c r="A334" s="40">
        <v>0.69052044609665431</v>
      </c>
      <c r="B334" s="40">
        <v>3542.9041393000002</v>
      </c>
      <c r="C334" s="43">
        <f>C333+(((A334+A333)/2)*(B334-B333))</f>
        <v>3241.6578659805737</v>
      </c>
      <c r="D334" s="38"/>
    </row>
    <row r="335" spans="1:4" ht="13.8" x14ac:dyDescent="0.25">
      <c r="A335" s="41">
        <v>0.68959107806691455</v>
      </c>
      <c r="B335" s="41">
        <v>3547.5891228</v>
      </c>
      <c r="C335" s="43">
        <f>C334+(((A335+A334)/2)*(B335-B334))</f>
        <v>3244.8907658400067</v>
      </c>
      <c r="D335" s="38"/>
    </row>
    <row r="336" spans="1:4" ht="13.8" x14ac:dyDescent="0.25">
      <c r="A336" s="40">
        <v>0.68866171003717469</v>
      </c>
      <c r="B336" s="40">
        <v>3552.4535312000007</v>
      </c>
      <c r="C336" s="43">
        <f>C335+(((A336+A335)/2)*(B336-B335))</f>
        <v>3248.2429580598955</v>
      </c>
      <c r="D336" s="38"/>
    </row>
    <row r="337" spans="1:4" ht="13.8" x14ac:dyDescent="0.25">
      <c r="A337" s="41">
        <v>0.68773234200743494</v>
      </c>
      <c r="B337" s="41">
        <v>3561.3450318000009</v>
      </c>
      <c r="C337" s="43">
        <f>C336+(((A337+A336)/2)*(B337-B336))</f>
        <v>3254.3620623296911</v>
      </c>
      <c r="D337" s="38"/>
    </row>
    <row r="338" spans="1:4" ht="13.8" x14ac:dyDescent="0.25">
      <c r="A338" s="40">
        <v>0.68680297397769519</v>
      </c>
      <c r="B338" s="40">
        <v>3566.0100791999998</v>
      </c>
      <c r="C338" s="43">
        <f>C337+(((A338+A337)/2)*(B338-B337))</f>
        <v>3257.5681985307128</v>
      </c>
      <c r="D338" s="38"/>
    </row>
    <row r="339" spans="1:4" ht="13.8" x14ac:dyDescent="0.25">
      <c r="A339" s="41">
        <v>0.68587360594795543</v>
      </c>
      <c r="B339" s="41">
        <v>3574.881643700001</v>
      </c>
      <c r="C339" s="43">
        <f>C338+(((A339+A338)/2)*(B339-B338))</f>
        <v>3263.6570929389386</v>
      </c>
      <c r="D339" s="38"/>
    </row>
    <row r="340" spans="1:4" ht="13.8" x14ac:dyDescent="0.25">
      <c r="A340" s="40">
        <v>0.68494423791821557</v>
      </c>
      <c r="B340" s="40">
        <v>3577.0746147</v>
      </c>
      <c r="C340" s="43">
        <f>C339+(((A340+A339)/2)*(B340-B339))</f>
        <v>3265.1601748278786</v>
      </c>
      <c r="D340" s="38"/>
    </row>
    <row r="341" spans="1:4" ht="13.8" x14ac:dyDescent="0.25">
      <c r="A341" s="41">
        <v>0.68401486988847582</v>
      </c>
      <c r="B341" s="41">
        <v>3580.1049018999997</v>
      </c>
      <c r="C341" s="43">
        <f>C340+(((A341+A340)/2)*(B341-B340))</f>
        <v>3267.2343444587336</v>
      </c>
      <c r="D341" s="38"/>
    </row>
    <row r="342" spans="1:4" ht="13.8" x14ac:dyDescent="0.25">
      <c r="A342" s="40">
        <v>0.68308550185873607</v>
      </c>
      <c r="B342" s="40">
        <v>3604.4668161000013</v>
      </c>
      <c r="C342" s="43">
        <f>C341+(((A342+A341)/2)*(B342-B341))</f>
        <v>3283.8869354383814</v>
      </c>
      <c r="D342" s="38"/>
    </row>
    <row r="343" spans="1:4" ht="13.8" x14ac:dyDescent="0.25">
      <c r="A343" s="41">
        <v>0.68215613382899631</v>
      </c>
      <c r="B343" s="41">
        <v>3606.5002983000004</v>
      </c>
      <c r="C343" s="43">
        <f>C342+(((A343+A342)/2)*(B343-B342))</f>
        <v>3285.2750327208159</v>
      </c>
      <c r="D343" s="38"/>
    </row>
    <row r="344" spans="1:4" ht="13.8" x14ac:dyDescent="0.25">
      <c r="A344" s="40">
        <v>0.68122676579925645</v>
      </c>
      <c r="B344" s="40">
        <v>3611.0457290999993</v>
      </c>
      <c r="C344" s="43">
        <f>C343+(((A344+A343)/2)*(B344-B343))</f>
        <v>3288.373614032897</v>
      </c>
      <c r="D344" s="38"/>
    </row>
    <row r="345" spans="1:4" ht="13.8" x14ac:dyDescent="0.25">
      <c r="A345" s="41">
        <v>0.6802973977695167</v>
      </c>
      <c r="B345" s="41">
        <v>3641.3685372</v>
      </c>
      <c r="C345" s="43">
        <f>C344+(((A345+A344)/2)*(B345-B344))</f>
        <v>3309.016232000602</v>
      </c>
      <c r="D345" s="38"/>
    </row>
    <row r="346" spans="1:4" ht="13.8" x14ac:dyDescent="0.25">
      <c r="A346" s="40">
        <v>0.67936802973977695</v>
      </c>
      <c r="B346" s="40">
        <v>3649.6818909000003</v>
      </c>
      <c r="C346" s="43">
        <f>C345+(((A346+A345)/2)*(B346-B345))</f>
        <v>3314.6679218068757</v>
      </c>
      <c r="D346" s="38"/>
    </row>
    <row r="347" spans="1:4" ht="13.8" x14ac:dyDescent="0.25">
      <c r="A347" s="41">
        <v>0.67843866171003719</v>
      </c>
      <c r="B347" s="41">
        <v>3653.9880884999998</v>
      </c>
      <c r="C347" s="43">
        <f>C346+(((A347+A346)/2)*(B347-B346))</f>
        <v>3317.5914137648679</v>
      </c>
      <c r="D347" s="38"/>
    </row>
    <row r="348" spans="1:4" ht="13.8" x14ac:dyDescent="0.25">
      <c r="A348" s="40">
        <v>0.67750929368029744</v>
      </c>
      <c r="B348" s="40">
        <v>3656.2209317000006</v>
      </c>
      <c r="C348" s="43">
        <f>C347+(((A348+A347)/2)*(B348-B347))</f>
        <v>3319.1052233507421</v>
      </c>
      <c r="D348" s="38"/>
    </row>
    <row r="349" spans="1:4" ht="13.8" x14ac:dyDescent="0.25">
      <c r="A349" s="41">
        <v>0.67657992565055758</v>
      </c>
      <c r="B349" s="41">
        <v>3661.4441899000003</v>
      </c>
      <c r="C349" s="43">
        <f>C348+(((A349+A348)/2)*(B349-B348))</f>
        <v>3322.6416021599425</v>
      </c>
      <c r="D349" s="38"/>
    </row>
    <row r="350" spans="1:4" ht="13.8" x14ac:dyDescent="0.25">
      <c r="A350" s="40">
        <v>0.67565055762081783</v>
      </c>
      <c r="B350" s="40">
        <v>3666.3285344000001</v>
      </c>
      <c r="C350" s="43">
        <f>C349+(((A350+A349)/2)*(B350-B349))</f>
        <v>3325.9439819217919</v>
      </c>
      <c r="D350" s="38"/>
    </row>
    <row r="351" spans="1:4" ht="13.8" x14ac:dyDescent="0.25">
      <c r="A351" s="41">
        <v>0.67472118959107807</v>
      </c>
      <c r="B351" s="41">
        <v>3673.8843163000006</v>
      </c>
      <c r="C351" s="43">
        <f>C350+(((A351+A350)/2)*(B351-B350))</f>
        <v>3331.0455391247197</v>
      </c>
      <c r="D351" s="38"/>
    </row>
    <row r="352" spans="1:4" ht="13.8" x14ac:dyDescent="0.25">
      <c r="A352" s="40">
        <v>0.67379182156133832</v>
      </c>
      <c r="B352" s="40">
        <v>3685.4671904000006</v>
      </c>
      <c r="C352" s="43">
        <f>C351+(((A352+A351)/2)*(B352-B351))</f>
        <v>3338.8553673399147</v>
      </c>
      <c r="D352" s="38"/>
    </row>
    <row r="353" spans="1:4" ht="13.8" x14ac:dyDescent="0.25">
      <c r="A353" s="41">
        <v>0.67286245353159846</v>
      </c>
      <c r="B353" s="41">
        <v>3688.0588834000005</v>
      </c>
      <c r="C353" s="43">
        <f>C352+(((A353+A352)/2)*(B353-B352))</f>
        <v>3340.6004245690037</v>
      </c>
      <c r="D353" s="38"/>
    </row>
    <row r="354" spans="1:4" ht="13.8" x14ac:dyDescent="0.25">
      <c r="A354" s="40">
        <v>0.67193308550185871</v>
      </c>
      <c r="B354" s="40">
        <v>3690.0126211999996</v>
      </c>
      <c r="C354" s="43">
        <f>C353+(((A354+A353)/2)*(B354-B353))</f>
        <v>3341.9141135079435</v>
      </c>
      <c r="D354" s="38"/>
    </row>
    <row r="355" spans="1:4" ht="13.8" x14ac:dyDescent="0.25">
      <c r="A355" s="41">
        <v>0.67100371747211895</v>
      </c>
      <c r="B355" s="41">
        <v>3691.6075092000001</v>
      </c>
      <c r="C355" s="43">
        <f>C354+(((A355+A354)/2)*(B355-B354))</f>
        <v>3342.9850304038546</v>
      </c>
      <c r="D355" s="38"/>
    </row>
    <row r="356" spans="1:4" ht="13.8" x14ac:dyDescent="0.25">
      <c r="A356" s="40">
        <v>0.6700743494423792</v>
      </c>
      <c r="B356" s="40">
        <v>3700.6584986000003</v>
      </c>
      <c r="C356" s="43">
        <f>C355+(((A356+A355)/2)*(B356-B355))</f>
        <v>3349.0540720879626</v>
      </c>
      <c r="D356" s="38"/>
    </row>
    <row r="357" spans="1:4" ht="13.8" x14ac:dyDescent="0.25">
      <c r="A357" s="41">
        <v>0.66914498141263945</v>
      </c>
      <c r="B357" s="41">
        <v>3705.9216290000008</v>
      </c>
      <c r="C357" s="43">
        <f>C356+(((A357+A356)/2)*(B357-B356))</f>
        <v>3352.5783150742081</v>
      </c>
      <c r="D357" s="38"/>
    </row>
    <row r="358" spans="1:4" ht="13.8" x14ac:dyDescent="0.25">
      <c r="A358" s="40">
        <v>0.66821561338289959</v>
      </c>
      <c r="B358" s="40">
        <v>3710.1879543999994</v>
      </c>
      <c r="C358" s="43">
        <f>C357+(((A358+A357)/2)*(B358-B357))</f>
        <v>3355.4311228114748</v>
      </c>
      <c r="D358" s="38"/>
    </row>
    <row r="359" spans="1:4" ht="13.8" x14ac:dyDescent="0.25">
      <c r="A359" s="41">
        <v>0.66728624535315983</v>
      </c>
      <c r="B359" s="41">
        <v>3711.1249511000005</v>
      </c>
      <c r="C359" s="43">
        <f>C358+(((A359+A358)/2)*(B359-B358))</f>
        <v>3356.0568032287151</v>
      </c>
      <c r="D359" s="38"/>
    </row>
    <row r="360" spans="1:4" ht="13.8" x14ac:dyDescent="0.25">
      <c r="A360" s="40">
        <v>0.66635687732342008</v>
      </c>
      <c r="B360" s="40">
        <v>3714.3745354000002</v>
      </c>
      <c r="C360" s="43">
        <f>C359+(((A360+A359)/2)*(B360-B359))</f>
        <v>3358.2236961053413</v>
      </c>
      <c r="D360" s="38"/>
    </row>
    <row r="361" spans="1:4" ht="13.8" x14ac:dyDescent="0.25">
      <c r="A361" s="41">
        <v>0.66542750929368033</v>
      </c>
      <c r="B361" s="41">
        <v>3715.6504457999999</v>
      </c>
      <c r="C361" s="43">
        <f>C360+(((A361+A360)/2)*(B361-B360))</f>
        <v>3359.0733148800623</v>
      </c>
      <c r="D361" s="38"/>
    </row>
    <row r="362" spans="1:4" ht="13.8" x14ac:dyDescent="0.25">
      <c r="A362" s="40">
        <v>0.66449814126394047</v>
      </c>
      <c r="B362" s="40">
        <v>3727.0937672</v>
      </c>
      <c r="C362" s="43">
        <f>C361+(((A362+A361)/2)*(B362-B361))</f>
        <v>3366.6826982087796</v>
      </c>
      <c r="D362" s="38"/>
    </row>
    <row r="363" spans="1:4" ht="13.8" x14ac:dyDescent="0.25">
      <c r="A363" s="41">
        <v>0.66356877323420072</v>
      </c>
      <c r="B363" s="41">
        <v>3731.1607315999991</v>
      </c>
      <c r="C363" s="43">
        <f>C362+(((A363+A362)/2)*(B363-B362))</f>
        <v>3369.3832986398197</v>
      </c>
      <c r="D363" s="38"/>
    </row>
    <row r="364" spans="1:4" ht="13.8" x14ac:dyDescent="0.25">
      <c r="A364" s="40">
        <v>0.66263940520446096</v>
      </c>
      <c r="B364" s="40">
        <v>3735.2476320999999</v>
      </c>
      <c r="C364" s="43">
        <f>C363+(((A364+A363)/2)*(B364-B363))</f>
        <v>3372.0933390736027</v>
      </c>
      <c r="D364" s="38"/>
    </row>
    <row r="365" spans="1:4" ht="13.8" x14ac:dyDescent="0.25">
      <c r="A365" s="41">
        <v>0.66171003717472121</v>
      </c>
      <c r="B365" s="41">
        <v>3741.9262256000006</v>
      </c>
      <c r="C365" s="43">
        <f>C364+(((A365+A364)/2)*(B365-B364))</f>
        <v>3376.5157348624043</v>
      </c>
      <c r="D365" s="38"/>
    </row>
    <row r="366" spans="1:4" ht="13.8" x14ac:dyDescent="0.25">
      <c r="A366" s="40">
        <v>0.66078066914498146</v>
      </c>
      <c r="B366" s="40">
        <v>3743.1622637999999</v>
      </c>
      <c r="C366" s="43">
        <f>C365+(((A366+A365)/2)*(B366-B365))</f>
        <v>3377.3330593784817</v>
      </c>
      <c r="D366" s="38"/>
    </row>
    <row r="367" spans="1:4" ht="13.8" x14ac:dyDescent="0.25">
      <c r="A367" s="41">
        <v>0.6598513011152416</v>
      </c>
      <c r="B367" s="41">
        <v>3745.2555543000008</v>
      </c>
      <c r="C367" s="43">
        <f>C366+(((A367+A366)/2)*(B367-B366))</f>
        <v>3378.7152925571531</v>
      </c>
      <c r="D367" s="38"/>
    </row>
    <row r="368" spans="1:4" ht="13.8" x14ac:dyDescent="0.25">
      <c r="A368" s="40">
        <v>0.65892193308550184</v>
      </c>
      <c r="B368" s="40">
        <v>3752.4724225000004</v>
      </c>
      <c r="C368" s="43">
        <f>C367+(((A368+A367)/2)*(B368-B367))</f>
        <v>3383.4739988656102</v>
      </c>
      <c r="D368" s="38"/>
    </row>
    <row r="369" spans="1:4" ht="13.8" x14ac:dyDescent="0.25">
      <c r="A369" s="41">
        <v>0.65799256505576209</v>
      </c>
      <c r="B369" s="41">
        <v>3756.9779810999994</v>
      </c>
      <c r="C369" s="43">
        <f>C368+(((A369+A368)/2)*(B369-B368))</f>
        <v>3386.440716586892</v>
      </c>
      <c r="D369" s="38"/>
    </row>
    <row r="370" spans="1:4" ht="13.8" x14ac:dyDescent="0.25">
      <c r="A370" s="40">
        <v>0.65706319702602234</v>
      </c>
      <c r="B370" s="40">
        <v>3765.1119099000002</v>
      </c>
      <c r="C370" s="43">
        <f>C369+(((A370+A369)/2)*(B370-B369))</f>
        <v>3391.7890015552939</v>
      </c>
      <c r="D370" s="38"/>
    </row>
    <row r="371" spans="1:4" ht="13.8" x14ac:dyDescent="0.25">
      <c r="A371" s="41">
        <v>0.65613382899628248</v>
      </c>
      <c r="B371" s="41">
        <v>3766.2881398</v>
      </c>
      <c r="C371" s="43">
        <f>C370+(((A371+A370)/2)*(B371-B370))</f>
        <v>3392.5613123585931</v>
      </c>
      <c r="D371" s="38"/>
    </row>
    <row r="372" spans="1:4" ht="13.8" x14ac:dyDescent="0.25">
      <c r="A372" s="40">
        <v>0.65520446096654272</v>
      </c>
      <c r="B372" s="40">
        <v>3771.3917814000001</v>
      </c>
      <c r="C372" s="43">
        <f>C371+(((A372+A371)/2)*(B372-B371))</f>
        <v>3395.9076126827567</v>
      </c>
      <c r="D372" s="38"/>
    </row>
    <row r="373" spans="1:4" ht="13.8" x14ac:dyDescent="0.25">
      <c r="A373" s="41">
        <v>0.65427509293680297</v>
      </c>
      <c r="B373" s="41">
        <v>3774.3024519999999</v>
      </c>
      <c r="C373" s="43">
        <f>C372+(((A373+A372)/2)*(B373-B372))</f>
        <v>3397.8133445021804</v>
      </c>
      <c r="D373" s="38"/>
    </row>
    <row r="374" spans="1:4" ht="13.8" x14ac:dyDescent="0.25">
      <c r="A374" s="40">
        <v>0.65334572490706322</v>
      </c>
      <c r="B374" s="40">
        <v>3777.5321001999996</v>
      </c>
      <c r="C374" s="43">
        <f>C373+(((A374+A373)/2)*(B374-B373))</f>
        <v>3399.924922112496</v>
      </c>
      <c r="D374" s="38"/>
    </row>
    <row r="375" spans="1:4" ht="13.8" x14ac:dyDescent="0.25">
      <c r="A375" s="41">
        <v>0.65241635687732347</v>
      </c>
      <c r="B375" s="41">
        <v>3779.9244321999995</v>
      </c>
      <c r="C375" s="43">
        <f>C374+(((A375+A374)/2)*(B375-B374))</f>
        <v>3401.4868303188155</v>
      </c>
      <c r="D375" s="38"/>
    </row>
    <row r="376" spans="1:4" ht="13.8" x14ac:dyDescent="0.25">
      <c r="A376" s="40">
        <v>0.6514869888475836</v>
      </c>
      <c r="B376" s="40">
        <v>3782.6556779000002</v>
      </c>
      <c r="C376" s="43">
        <f>C375+(((A376+A375)/2)*(B376-B375))</f>
        <v>3403.2674705219292</v>
      </c>
      <c r="D376" s="38"/>
    </row>
    <row r="377" spans="1:4" ht="13.8" x14ac:dyDescent="0.25">
      <c r="A377" s="41">
        <v>0.65055762081784385</v>
      </c>
      <c r="B377" s="41">
        <v>3783.1740165000006</v>
      </c>
      <c r="C377" s="43">
        <f>C376+(((A377+A376)/2)*(B377-B376))</f>
        <v>3403.6049205119853</v>
      </c>
      <c r="D377" s="38"/>
    </row>
    <row r="378" spans="1:4" ht="13.8" x14ac:dyDescent="0.25">
      <c r="A378" s="40">
        <v>0.6496282527881041</v>
      </c>
      <c r="B378" s="40">
        <v>3823.9632771000001</v>
      </c>
      <c r="C378" s="43">
        <f>C377+(((A378+A377)/2)*(B378-B377))</f>
        <v>3430.121730725461</v>
      </c>
      <c r="D378" s="38"/>
    </row>
    <row r="379" spans="1:4" ht="13.8" x14ac:dyDescent="0.25">
      <c r="A379" s="41">
        <v>0.64869888475836435</v>
      </c>
      <c r="B379" s="41">
        <v>3834.6888988999999</v>
      </c>
      <c r="C379" s="43">
        <f>C378+(((A379+A378)/2)*(B379-B378))</f>
        <v>3437.0844136504606</v>
      </c>
      <c r="D379" s="38"/>
    </row>
    <row r="380" spans="1:4" ht="13.8" x14ac:dyDescent="0.25">
      <c r="A380" s="40">
        <v>0.64776951672862448</v>
      </c>
      <c r="B380" s="40">
        <v>3848.1058942</v>
      </c>
      <c r="C380" s="43">
        <f>C379+(((A380+A379)/2)*(B380-B379))</f>
        <v>3445.7817688751352</v>
      </c>
      <c r="D380" s="38"/>
    </row>
    <row r="381" spans="1:4" ht="13.8" x14ac:dyDescent="0.25">
      <c r="A381" s="41">
        <v>0.64684014869888473</v>
      </c>
      <c r="B381" s="41">
        <v>3852.5117723000008</v>
      </c>
      <c r="C381" s="43">
        <f>C380+(((A381+A380)/2)*(B381-B380))</f>
        <v>3448.6337150616132</v>
      </c>
      <c r="D381" s="38"/>
    </row>
    <row r="382" spans="1:4" ht="13.8" x14ac:dyDescent="0.25">
      <c r="A382" s="40">
        <v>0.64591078066914498</v>
      </c>
      <c r="B382" s="40">
        <v>3855.1632735999997</v>
      </c>
      <c r="C382" s="43">
        <f>C381+(((A382+A381)/2)*(B382-B381))</f>
        <v>3450.3475804465102</v>
      </c>
      <c r="D382" s="38"/>
    </row>
    <row r="383" spans="1:4" ht="13.8" x14ac:dyDescent="0.25">
      <c r="A383" s="41">
        <v>0.64498141263940523</v>
      </c>
      <c r="B383" s="41">
        <v>3856.4591201000003</v>
      </c>
      <c r="C383" s="43">
        <f>C382+(((A383+A382)/2)*(B383-B382))</f>
        <v>3451.1839795117985</v>
      </c>
      <c r="D383" s="38"/>
    </row>
    <row r="384" spans="1:4" ht="13.8" x14ac:dyDescent="0.25">
      <c r="A384" s="40">
        <v>0.64405204460966547</v>
      </c>
      <c r="B384" s="40">
        <v>3858.7318355000011</v>
      </c>
      <c r="C384" s="43">
        <f>C383+(((A384+A383)/2)*(B384-B383))</f>
        <v>3452.6487826065018</v>
      </c>
      <c r="D384" s="38"/>
    </row>
    <row r="385" spans="1:4" ht="13.8" x14ac:dyDescent="0.25">
      <c r="A385" s="41">
        <v>0.64312267657992561</v>
      </c>
      <c r="B385" s="41">
        <v>3859.6289600000005</v>
      </c>
      <c r="C385" s="43">
        <f>C384+(((A385+A384)/2)*(B385-B384))</f>
        <v>3453.2261605955814</v>
      </c>
      <c r="D385" s="38"/>
    </row>
    <row r="386" spans="1:4" ht="13.8" x14ac:dyDescent="0.25">
      <c r="A386" s="40">
        <v>0.64219330855018586</v>
      </c>
      <c r="B386" s="40">
        <v>3863.5364356</v>
      </c>
      <c r="C386" s="43">
        <f>C385+(((A386+A385)/2)*(B386-B385))</f>
        <v>3455.737331020674</v>
      </c>
      <c r="D386" s="38"/>
    </row>
    <row r="387" spans="1:4" ht="13.8" x14ac:dyDescent="0.25">
      <c r="A387" s="41">
        <v>0.64126394052044611</v>
      </c>
      <c r="B387" s="41">
        <v>3883.3927911999999</v>
      </c>
      <c r="C387" s="43">
        <f>C386+(((A387+A386)/2)*(B387-B386))</f>
        <v>3468.4797227881459</v>
      </c>
      <c r="D387" s="38"/>
    </row>
    <row r="388" spans="1:4" ht="13.8" x14ac:dyDescent="0.25">
      <c r="A388" s="40">
        <v>0.64033457249070636</v>
      </c>
      <c r="B388" s="40">
        <v>3887.0211614</v>
      </c>
      <c r="C388" s="43">
        <f>C387+(((A388+A387)/2)*(B388-B387))</f>
        <v>3470.8047797146328</v>
      </c>
      <c r="D388" s="38"/>
    </row>
    <row r="389" spans="1:4" ht="13.8" x14ac:dyDescent="0.25">
      <c r="A389" s="41">
        <v>0.63940520446096649</v>
      </c>
      <c r="B389" s="41">
        <v>3892.5235249999996</v>
      </c>
      <c r="C389" s="43">
        <f>C388+(((A389+A388)/2)*(B389-B388))</f>
        <v>3474.325576497718</v>
      </c>
      <c r="D389" s="38"/>
    </row>
    <row r="390" spans="1:4" ht="13.8" x14ac:dyDescent="0.25">
      <c r="A390" s="40">
        <v>0.63847583643122674</v>
      </c>
      <c r="B390" s="40">
        <v>3906.1000091000005</v>
      </c>
      <c r="C390" s="43">
        <f>C389+(((A390+A389)/2)*(B390-B389))</f>
        <v>3483.0001423144008</v>
      </c>
      <c r="D390" s="38"/>
    </row>
    <row r="391" spans="1:4" ht="13.8" x14ac:dyDescent="0.25">
      <c r="A391" s="41">
        <v>0.63754646840148699</v>
      </c>
      <c r="B391" s="41">
        <v>3908.073683000001</v>
      </c>
      <c r="C391" s="43">
        <f>C390+(((A391+A390)/2)*(B391-B390))</f>
        <v>3484.2593682738343</v>
      </c>
      <c r="D391" s="38"/>
    </row>
    <row r="392" spans="1:4" ht="13.8" x14ac:dyDescent="0.25">
      <c r="A392" s="40">
        <v>0.63661710037174724</v>
      </c>
      <c r="B392" s="40">
        <v>3918.4005828000004</v>
      </c>
      <c r="C392" s="43">
        <f>C391+(((A392+A391)/2)*(B392-B391))</f>
        <v>3490.8384480255995</v>
      </c>
      <c r="D392" s="38"/>
    </row>
    <row r="393" spans="1:4" ht="13.8" x14ac:dyDescent="0.25">
      <c r="A393" s="41">
        <v>0.63568773234200748</v>
      </c>
      <c r="B393" s="41">
        <v>3923.5839688000001</v>
      </c>
      <c r="C393" s="43">
        <f>C392+(((A393+A392)/2)*(B393-B392))</f>
        <v>3494.1358715544097</v>
      </c>
      <c r="D393" s="38"/>
    </row>
    <row r="394" spans="1:4" ht="13.8" x14ac:dyDescent="0.25">
      <c r="A394" s="40">
        <v>0.63475836431226762</v>
      </c>
      <c r="B394" s="40">
        <v>3924.8798153000002</v>
      </c>
      <c r="C394" s="43">
        <f>C393+(((A394+A393)/2)*(B394-B393))</f>
        <v>3494.9590231183038</v>
      </c>
      <c r="D394" s="38"/>
    </row>
    <row r="395" spans="1:4" ht="13.8" x14ac:dyDescent="0.25">
      <c r="A395" s="41">
        <v>0.63382899628252787</v>
      </c>
      <c r="B395" s="41">
        <v>3933.0336801999997</v>
      </c>
      <c r="C395" s="43">
        <f>C394+(((A395+A394)/2)*(B395-B394))</f>
        <v>3500.1309680943723</v>
      </c>
      <c r="D395" s="38"/>
    </row>
    <row r="396" spans="1:4" ht="13.8" x14ac:dyDescent="0.25">
      <c r="A396" s="40">
        <v>0.63289962825278812</v>
      </c>
      <c r="B396" s="40">
        <v>3934.0504212999995</v>
      </c>
      <c r="C396" s="43">
        <f>C395+(((A396+A395)/2)*(B396-B395))</f>
        <v>3500.7749356219279</v>
      </c>
      <c r="D396" s="38"/>
    </row>
    <row r="397" spans="1:4" ht="13.8" x14ac:dyDescent="0.25">
      <c r="A397" s="41">
        <v>0.63197026022304836</v>
      </c>
      <c r="B397" s="41">
        <v>3939.2338073000005</v>
      </c>
      <c r="C397" s="43">
        <f>C396+(((A397+A396)/2)*(B397-B396))</f>
        <v>3504.0530900578019</v>
      </c>
      <c r="D397" s="38"/>
    </row>
    <row r="398" spans="1:4" ht="13.8" x14ac:dyDescent="0.25">
      <c r="A398" s="40">
        <v>0.6310408921933085</v>
      </c>
      <c r="B398" s="40">
        <v>3942.4634555000002</v>
      </c>
      <c r="C398" s="43">
        <f>C397+(((A398+A397)/2)*(B398-B397))</f>
        <v>3506.0926309052925</v>
      </c>
      <c r="D398" s="38"/>
    </row>
    <row r="399" spans="1:4" ht="13.8" x14ac:dyDescent="0.25">
      <c r="A399" s="41">
        <v>0.63011152416356875</v>
      </c>
      <c r="B399" s="41">
        <v>3943.5798771000004</v>
      </c>
      <c r="C399" s="43">
        <f>C398+(((A399+A398)/2)*(B399-B398))</f>
        <v>3506.7966198045492</v>
      </c>
      <c r="D399" s="38"/>
    </row>
    <row r="400" spans="1:4" ht="13.8" x14ac:dyDescent="0.25">
      <c r="A400" s="40">
        <v>0.629182156133829</v>
      </c>
      <c r="B400" s="40">
        <v>3962.2799389000002</v>
      </c>
      <c r="C400" s="43">
        <f>C399+(((A400+A399)/2)*(B400-B399))</f>
        <v>3518.5710546275045</v>
      </c>
      <c r="D400" s="38"/>
    </row>
    <row r="401" spans="1:4" ht="13.8" x14ac:dyDescent="0.25">
      <c r="A401" s="41">
        <v>0.62825278810408924</v>
      </c>
      <c r="B401" s="41">
        <v>3963.9545712999993</v>
      </c>
      <c r="C401" s="43">
        <f>C400+(((A401+A400)/2)*(B401-B400))</f>
        <v>3519.6239252767605</v>
      </c>
      <c r="D401" s="38"/>
    </row>
    <row r="402" spans="1:4" ht="13.8" x14ac:dyDescent="0.25">
      <c r="A402" s="40">
        <v>0.62732342007434949</v>
      </c>
      <c r="B402" s="40">
        <v>3964.4729098999996</v>
      </c>
      <c r="C402" s="43">
        <f>C401+(((A402+A401)/2)*(B402-B401))</f>
        <v>3519.949332083731</v>
      </c>
      <c r="D402" s="38"/>
    </row>
    <row r="403" spans="1:4" ht="13.8" x14ac:dyDescent="0.25">
      <c r="A403" s="41">
        <v>0.62639405204460963</v>
      </c>
      <c r="B403" s="41">
        <v>3965.2504177999999</v>
      </c>
      <c r="C403" s="43">
        <f>C402+(((A403+A402)/2)*(B403-B402))</f>
        <v>3520.4367197032016</v>
      </c>
      <c r="D403" s="38"/>
    </row>
    <row r="404" spans="1:4" ht="13.8" x14ac:dyDescent="0.25">
      <c r="A404" s="40">
        <v>0.62546468401486988</v>
      </c>
      <c r="B404" s="40">
        <v>3968.0414718000011</v>
      </c>
      <c r="C404" s="43">
        <f>C403+(((A404+A403)/2)*(B404-B403))</f>
        <v>3522.1837223695593</v>
      </c>
      <c r="D404" s="38"/>
    </row>
    <row r="405" spans="1:4" ht="13.8" x14ac:dyDescent="0.25">
      <c r="A405" s="41">
        <v>0.62453531598513012</v>
      </c>
      <c r="B405" s="41">
        <v>3972.2679250000006</v>
      </c>
      <c r="C405" s="43">
        <f>C404+(((A405+A404)/2)*(B405-B404))</f>
        <v>3524.8252556195589</v>
      </c>
      <c r="D405" s="38"/>
    </row>
    <row r="406" spans="1:4" ht="13.8" x14ac:dyDescent="0.25">
      <c r="A406" s="40">
        <v>0.62360594795539037</v>
      </c>
      <c r="B406" s="40">
        <v>3976.3348894000001</v>
      </c>
      <c r="C406" s="43">
        <f>C405+(((A406+A405)/2)*(B406-B405))</f>
        <v>3527.3633286628669</v>
      </c>
      <c r="D406" s="38"/>
    </row>
    <row r="407" spans="1:4" ht="13.8" x14ac:dyDescent="0.25">
      <c r="A407" s="41">
        <v>0.62267657992565051</v>
      </c>
      <c r="B407" s="41">
        <v>3976.434569900001</v>
      </c>
      <c r="C407" s="43">
        <f>C406+(((A407+A406)/2)*(B407-B406))</f>
        <v>3527.4254436956276</v>
      </c>
      <c r="D407" s="38"/>
    </row>
    <row r="408" spans="1:4" ht="13.8" x14ac:dyDescent="0.25">
      <c r="A408" s="40">
        <v>0.62174721189591076</v>
      </c>
      <c r="B408" s="40">
        <v>3976.6339309000005</v>
      </c>
      <c r="C408" s="43">
        <f>C407+(((A408+A407)/2)*(B408-B407))</f>
        <v>3527.5494884814079</v>
      </c>
      <c r="D408" s="38"/>
    </row>
    <row r="409" spans="1:4" ht="13.8" x14ac:dyDescent="0.25">
      <c r="A409" s="41">
        <v>0.620817843866171</v>
      </c>
      <c r="B409" s="41">
        <v>3980.1227484000001</v>
      </c>
      <c r="C409" s="43">
        <f>C408+(((A409+A408)/2)*(B409-B408))</f>
        <v>3529.7170298371234</v>
      </c>
      <c r="D409" s="38"/>
    </row>
    <row r="410" spans="1:4" ht="13.8" x14ac:dyDescent="0.25">
      <c r="A410" s="40">
        <v>0.61988847583643125</v>
      </c>
      <c r="B410" s="40">
        <v>4010.1066428000004</v>
      </c>
      <c r="C410" s="43">
        <f>C409+(((A410+A409)/2)*(B410-B409))</f>
        <v>3548.3176334728114</v>
      </c>
      <c r="D410" s="38"/>
    </row>
    <row r="411" spans="1:4" ht="13.8" x14ac:dyDescent="0.25">
      <c r="A411" s="41">
        <v>0.6189591078066915</v>
      </c>
      <c r="B411" s="41">
        <v>4011.3626170999996</v>
      </c>
      <c r="C411" s="43">
        <f>C410+(((A411+A410)/2)*(B411-B410))</f>
        <v>3549.0956138361475</v>
      </c>
      <c r="D411" s="38"/>
    </row>
    <row r="412" spans="1:4" ht="13.8" x14ac:dyDescent="0.25">
      <c r="A412" s="40">
        <v>0.61802973977695164</v>
      </c>
      <c r="B412" s="40">
        <v>4016.6257475000011</v>
      </c>
      <c r="C412" s="43">
        <f>C411+(((A412+A411)/2)*(B412-B411))</f>
        <v>3552.3508306402377</v>
      </c>
      <c r="D412" s="38"/>
    </row>
    <row r="413" spans="1:4" ht="13.8" x14ac:dyDescent="0.25">
      <c r="A413" s="41">
        <v>0.61710037174721188</v>
      </c>
      <c r="B413" s="41">
        <v>4029.026001700001</v>
      </c>
      <c r="C413" s="43">
        <f>C412+(((A413+A412)/2)*(B413-B412))</f>
        <v>3560.0087943167246</v>
      </c>
      <c r="D413" s="38"/>
    </row>
    <row r="414" spans="1:4" ht="13.8" x14ac:dyDescent="0.25">
      <c r="A414" s="40">
        <v>0.61617100371747213</v>
      </c>
      <c r="B414" s="40">
        <v>4030.5610814000006</v>
      </c>
      <c r="C414" s="43">
        <f>C413+(((A414+A413)/2)*(B414-B413))</f>
        <v>3560.955379243258</v>
      </c>
      <c r="D414" s="38"/>
    </row>
    <row r="415" spans="1:4" ht="13.8" x14ac:dyDescent="0.25">
      <c r="A415" s="41">
        <v>0.61524163568773238</v>
      </c>
      <c r="B415" s="41">
        <v>4033.3720714999999</v>
      </c>
      <c r="C415" s="43">
        <f>C414+(((A415+A414)/2)*(B415-B414))</f>
        <v>3562.6861236124491</v>
      </c>
      <c r="D415" s="38"/>
    </row>
    <row r="416" spans="1:4" ht="13.8" x14ac:dyDescent="0.25">
      <c r="A416" s="40">
        <v>0.61431226765799252</v>
      </c>
      <c r="B416" s="40">
        <v>4034.5084292000001</v>
      </c>
      <c r="C416" s="43">
        <f>C415+(((A416+A415)/2)*(B416-B415))</f>
        <v>3563.3847301352653</v>
      </c>
      <c r="D416" s="38"/>
    </row>
    <row r="417" spans="1:4" ht="13.8" x14ac:dyDescent="0.25">
      <c r="A417" s="41">
        <v>0.61338289962825276</v>
      </c>
      <c r="B417" s="41">
        <v>4045.1543066000004</v>
      </c>
      <c r="C417" s="43">
        <f>C416+(((A417+A416)/2)*(B417-B416))</f>
        <v>3569.9196762530164</v>
      </c>
      <c r="D417" s="38"/>
    </row>
    <row r="418" spans="1:4" ht="13.8" x14ac:dyDescent="0.25">
      <c r="A418" s="40">
        <v>0.61245353159851301</v>
      </c>
      <c r="B418" s="40">
        <v>4061.0433782999999</v>
      </c>
      <c r="C418" s="43">
        <f>C417+(((A418+A417)/2)*(B418-B417))</f>
        <v>3579.658377727133</v>
      </c>
      <c r="D418" s="38"/>
    </row>
    <row r="419" spans="1:4" ht="13.8" x14ac:dyDescent="0.25">
      <c r="A419" s="41">
        <v>0.61152416356877326</v>
      </c>
      <c r="B419" s="41">
        <v>4061.0633143999994</v>
      </c>
      <c r="C419" s="43">
        <f>C418+(((A419+A418)/2)*(B419-B418))</f>
        <v>3579.6705783979969</v>
      </c>
      <c r="D419" s="38"/>
    </row>
    <row r="420" spans="1:4" ht="13.8" x14ac:dyDescent="0.25">
      <c r="A420" s="40">
        <v>0.61059479553903351</v>
      </c>
      <c r="B420" s="40">
        <v>4073.0050383000003</v>
      </c>
      <c r="C420" s="43">
        <f>C419+(((A420+A419)/2)*(B420-B419))</f>
        <v>3586.9676819893079</v>
      </c>
      <c r="D420" s="38"/>
    </row>
    <row r="421" spans="1:4" ht="13.8" x14ac:dyDescent="0.25">
      <c r="A421" s="41">
        <v>0.60966542750929364</v>
      </c>
      <c r="B421" s="41">
        <v>4078.2282964999995</v>
      </c>
      <c r="C421" s="43">
        <f>C420+(((A421+A420)/2)*(B421-B420))</f>
        <v>3590.1545490973931</v>
      </c>
      <c r="D421" s="38"/>
    </row>
    <row r="422" spans="1:4" ht="13.8" x14ac:dyDescent="0.25">
      <c r="A422" s="40">
        <v>0.60873605947955389</v>
      </c>
      <c r="B422" s="40">
        <v>4079.8231845000009</v>
      </c>
      <c r="C422" s="43">
        <f>C421+(((A422+A421)/2)*(B422-B421))</f>
        <v>3591.1261560527842</v>
      </c>
      <c r="D422" s="38"/>
    </row>
    <row r="423" spans="1:4" ht="13.8" x14ac:dyDescent="0.25">
      <c r="A423" s="41">
        <v>0.60780669144981414</v>
      </c>
      <c r="B423" s="41">
        <v>4080.0823538</v>
      </c>
      <c r="C423" s="43">
        <f>C422+(((A423+A422)/2)*(B423-B422))</f>
        <v>3591.2838013193727</v>
      </c>
      <c r="D423" s="38"/>
    </row>
    <row r="424" spans="1:4" ht="13.8" x14ac:dyDescent="0.25">
      <c r="A424" s="40">
        <v>0.60687732342007439</v>
      </c>
      <c r="B424" s="40">
        <v>4083.2721297999997</v>
      </c>
      <c r="C424" s="43">
        <f>C423+(((A424+A423)/2)*(B424-B423))</f>
        <v>3593.2210862784805</v>
      </c>
      <c r="D424" s="38"/>
    </row>
    <row r="425" spans="1:4" ht="13.8" x14ac:dyDescent="0.25">
      <c r="A425" s="41">
        <v>0.60594795539033453</v>
      </c>
      <c r="B425" s="41">
        <v>4086.0631838000004</v>
      </c>
      <c r="C425" s="43">
        <f>C424+(((A425+A424)/2)*(B425-B424))</f>
        <v>3594.9136167013435</v>
      </c>
      <c r="D425" s="38"/>
    </row>
    <row r="426" spans="1:4" ht="13.8" x14ac:dyDescent="0.25">
      <c r="A426" s="40">
        <v>0.60501858736059477</v>
      </c>
      <c r="B426" s="40">
        <v>4087.3390941999992</v>
      </c>
      <c r="C426" s="43">
        <f>C425+(((A426+A425)/2)*(B426-B425))</f>
        <v>3595.6861591043166</v>
      </c>
      <c r="D426" s="38"/>
    </row>
    <row r="427" spans="1:4" ht="13.8" x14ac:dyDescent="0.25">
      <c r="A427" s="41">
        <v>0.60408921933085502</v>
      </c>
      <c r="B427" s="41">
        <v>4099.3007541999996</v>
      </c>
      <c r="C427" s="43">
        <f>C426+(((A427+A426)/2)*(B427-B426))</f>
        <v>3602.9176273478115</v>
      </c>
      <c r="D427" s="38"/>
    </row>
    <row r="428" spans="1:4" ht="13.8" x14ac:dyDescent="0.25">
      <c r="A428" s="40">
        <v>0.60315985130111527</v>
      </c>
      <c r="B428" s="40">
        <v>4101.0750671000005</v>
      </c>
      <c r="C428" s="43">
        <f>C427+(((A428+A427)/2)*(B428-B427))</f>
        <v>3603.9886461475799</v>
      </c>
      <c r="D428" s="38"/>
    </row>
    <row r="429" spans="1:4" ht="13.8" x14ac:dyDescent="0.25">
      <c r="A429" s="41">
        <v>0.60223048327137552</v>
      </c>
      <c r="B429" s="41">
        <v>4102.6898911999997</v>
      </c>
      <c r="C429" s="43">
        <f>C428+(((A429+A428)/2)*(B429-B428))</f>
        <v>3604.9618928286668</v>
      </c>
      <c r="D429" s="38"/>
    </row>
    <row r="430" spans="1:4" ht="13.8" x14ac:dyDescent="0.25">
      <c r="A430" s="40">
        <v>0.60130111524163565</v>
      </c>
      <c r="B430" s="40">
        <v>4107.7536605999994</v>
      </c>
      <c r="C430" s="43">
        <f>C429+(((A430+A429)/2)*(B430-B429))</f>
        <v>3608.0090960689081</v>
      </c>
      <c r="D430" s="38"/>
    </row>
    <row r="431" spans="1:4" ht="13.8" x14ac:dyDescent="0.25">
      <c r="A431" s="41">
        <v>0.6003717472118959</v>
      </c>
      <c r="B431" s="41">
        <v>4114.1332126000016</v>
      </c>
      <c r="C431" s="43">
        <f>C430+(((A431+A430)/2)*(B431-B430))</f>
        <v>3611.8421633254152</v>
      </c>
      <c r="D431" s="38"/>
    </row>
    <row r="432" spans="1:4" ht="13.8" x14ac:dyDescent="0.25">
      <c r="A432" s="40">
        <v>0.59944237918215615</v>
      </c>
      <c r="B432" s="40">
        <v>4117.0837554</v>
      </c>
      <c r="C432" s="43">
        <f>C431+(((A432+A431)/2)*(B432-B431))</f>
        <v>3613.6122147913993</v>
      </c>
      <c r="D432" s="38"/>
    </row>
    <row r="433" spans="1:4" ht="13.8" x14ac:dyDescent="0.25">
      <c r="A433" s="41">
        <v>0.5985130111524164</v>
      </c>
      <c r="B433" s="41">
        <v>4122.8652243999995</v>
      </c>
      <c r="C433" s="43">
        <f>C432+(((A433+A432)/2)*(B433-B432))</f>
        <v>3617.0751857677001</v>
      </c>
      <c r="D433" s="38"/>
    </row>
    <row r="434" spans="1:4" ht="13.8" x14ac:dyDescent="0.25">
      <c r="A434" s="40">
        <v>0.59758364312267653</v>
      </c>
      <c r="B434" s="40">
        <v>4143.2199824999998</v>
      </c>
      <c r="C434" s="43">
        <f>C433+(((A434+A433)/2)*(B434-B433))</f>
        <v>3629.2483147986945</v>
      </c>
      <c r="D434" s="38"/>
    </row>
    <row r="435" spans="1:4" ht="13.8" x14ac:dyDescent="0.25">
      <c r="A435" s="41">
        <v>0.59665427509293678</v>
      </c>
      <c r="B435" s="41">
        <v>4164.2525680000008</v>
      </c>
      <c r="C435" s="43">
        <f>C434+(((A435+A434)/2)*(B435-B434))</f>
        <v>3641.8072703598009</v>
      </c>
      <c r="D435" s="38"/>
    </row>
    <row r="436" spans="1:4" ht="13.8" x14ac:dyDescent="0.25">
      <c r="A436" s="40">
        <v>0.59572490706319703</v>
      </c>
      <c r="B436" s="40">
        <v>4169.5555706000005</v>
      </c>
      <c r="C436" s="43">
        <f>C435+(((A436+A435)/2)*(B436-B435))</f>
        <v>3644.9688653113808</v>
      </c>
      <c r="D436" s="38"/>
    </row>
    <row r="437" spans="1:4" ht="13.8" x14ac:dyDescent="0.25">
      <c r="A437" s="41">
        <v>0.59479553903345728</v>
      </c>
      <c r="B437" s="41">
        <v>4182.5937800000002</v>
      </c>
      <c r="C437" s="43">
        <f>C436+(((A437+A436)/2)*(B437-B436))</f>
        <v>3652.7299927469753</v>
      </c>
      <c r="D437" s="38"/>
    </row>
    <row r="438" spans="1:4" ht="13.8" x14ac:dyDescent="0.25">
      <c r="A438" s="40">
        <v>0.59386617100371752</v>
      </c>
      <c r="B438" s="40">
        <v>4188.6543544000006</v>
      </c>
      <c r="C438" s="43">
        <f>C437+(((A438+A437)/2)*(B438-B437))</f>
        <v>3656.3319791120311</v>
      </c>
      <c r="D438" s="38"/>
    </row>
    <row r="439" spans="1:4" ht="13.8" x14ac:dyDescent="0.25">
      <c r="A439" s="41">
        <v>0.59293680297397766</v>
      </c>
      <c r="B439" s="41">
        <v>4188.9733320000005</v>
      </c>
      <c r="C439" s="43">
        <f>C438+(((A439+A438)/2)*(B439-B438))</f>
        <v>3656.5212608941874</v>
      </c>
      <c r="D439" s="38"/>
    </row>
    <row r="440" spans="1:4" ht="13.8" x14ac:dyDescent="0.25">
      <c r="A440" s="40">
        <v>0.59200743494423791</v>
      </c>
      <c r="B440" s="40">
        <v>4193.1399769000009</v>
      </c>
      <c r="C440" s="43">
        <f>C439+(((A440+A439)/2)*(B440-B439))</f>
        <v>3658.9898818270408</v>
      </c>
      <c r="D440" s="38"/>
    </row>
    <row r="441" spans="1:4" ht="13.8" x14ac:dyDescent="0.25">
      <c r="A441" s="41">
        <v>0.59107806691449816</v>
      </c>
      <c r="B441" s="41">
        <v>4197.3066217999994</v>
      </c>
      <c r="C441" s="43">
        <f>C440+(((A441+A440)/2)*(B441-B440))</f>
        <v>3661.4546304133319</v>
      </c>
      <c r="D441" s="38"/>
    </row>
    <row r="442" spans="1:4" ht="13.8" x14ac:dyDescent="0.25">
      <c r="A442" s="40">
        <v>0.5901486988847584</v>
      </c>
      <c r="B442" s="40">
        <v>4201.3137778999999</v>
      </c>
      <c r="C442" s="43">
        <f>C441+(((A442+A441)/2)*(B442-B441))</f>
        <v>3663.8213104333599</v>
      </c>
      <c r="D442" s="38"/>
    </row>
    <row r="443" spans="1:4" ht="13.8" x14ac:dyDescent="0.25">
      <c r="A443" s="41">
        <v>0.58921933085501854</v>
      </c>
      <c r="B443" s="41">
        <v>4226.6924331999999</v>
      </c>
      <c r="C443" s="43">
        <f>C442+(((A443+A442)/2)*(B443-B442))</f>
        <v>3678.7866977826629</v>
      </c>
      <c r="D443" s="38"/>
    </row>
    <row r="444" spans="1:4" ht="13.8" x14ac:dyDescent="0.25">
      <c r="A444" s="40">
        <v>0.58828996282527879</v>
      </c>
      <c r="B444" s="40">
        <v>4237.6772242999996</v>
      </c>
      <c r="C444" s="43">
        <f>C443+(((A444+A443)/2)*(B444-B443))</f>
        <v>3685.254044587356</v>
      </c>
      <c r="D444" s="38"/>
    </row>
    <row r="445" spans="1:4" ht="13.8" x14ac:dyDescent="0.25">
      <c r="A445" s="41">
        <v>0.58736059479553904</v>
      </c>
      <c r="B445" s="41">
        <v>4238.5544127000003</v>
      </c>
      <c r="C445" s="43">
        <f>C444+(((A445+A444)/2)*(B445-B444))</f>
        <v>3685.7696781031559</v>
      </c>
      <c r="D445" s="38"/>
    </row>
    <row r="446" spans="1:4" ht="13.8" x14ac:dyDescent="0.25">
      <c r="A446" s="40">
        <v>0.58643122676579928</v>
      </c>
      <c r="B446" s="40">
        <v>4251.2337723000001</v>
      </c>
      <c r="C446" s="43">
        <f>C445+(((A446+A445)/2)*(B446-B445))</f>
        <v>3693.2111424037134</v>
      </c>
      <c r="D446" s="38"/>
    </row>
    <row r="447" spans="1:4" ht="13.8" x14ac:dyDescent="0.25">
      <c r="A447" s="41">
        <v>0.58550185873605953</v>
      </c>
      <c r="B447" s="41">
        <v>4255.2608645</v>
      </c>
      <c r="C447" s="43">
        <f>C446+(((A447+A446)/2)*(B447-B446))</f>
        <v>3695.5708836974868</v>
      </c>
      <c r="D447" s="38"/>
    </row>
    <row r="448" spans="1:4" ht="13.8" x14ac:dyDescent="0.25">
      <c r="A448" s="40">
        <v>0.58457249070631967</v>
      </c>
      <c r="B448" s="40">
        <v>4258.2512795000002</v>
      </c>
      <c r="C448" s="43">
        <f>C447+(((A448+A447)/2)*(B448-B447))</f>
        <v>3697.3203876403309</v>
      </c>
      <c r="D448" s="38"/>
    </row>
    <row r="449" spans="1:4" ht="13.8" x14ac:dyDescent="0.25">
      <c r="A449" s="41">
        <v>0.58364312267657992</v>
      </c>
      <c r="B449" s="41">
        <v>4263.9530041000007</v>
      </c>
      <c r="C449" s="43">
        <f>C448+(((A449+A448)/2)*(B449-B448))</f>
        <v>3700.6508094907958</v>
      </c>
      <c r="D449" s="38"/>
    </row>
    <row r="450" spans="1:4" ht="13.8" x14ac:dyDescent="0.25">
      <c r="A450" s="40">
        <v>0.58271375464684017</v>
      </c>
      <c r="B450" s="40">
        <v>4273.5622043000003</v>
      </c>
      <c r="C450" s="43">
        <f>C449+(((A450+A449)/2)*(B450-B449))</f>
        <v>3706.2546878602193</v>
      </c>
      <c r="D450" s="38"/>
    </row>
    <row r="451" spans="1:4" ht="13.8" x14ac:dyDescent="0.25">
      <c r="A451" s="41">
        <v>0.58178438661710041</v>
      </c>
      <c r="B451" s="41">
        <v>4275.1770284000004</v>
      </c>
      <c r="C451" s="43">
        <f>C450+(((A451+A450)/2)*(B451-B450))</f>
        <v>3707.1949176916783</v>
      </c>
      <c r="D451" s="38"/>
    </row>
    <row r="452" spans="1:4" ht="13.8" x14ac:dyDescent="0.25">
      <c r="A452" s="40">
        <v>0.58085501858736055</v>
      </c>
      <c r="B452" s="40">
        <v>4276.8516608</v>
      </c>
      <c r="C452" s="43">
        <f>C451+(((A452+A451)/2)*(B452-B451))</f>
        <v>3708.1684145004142</v>
      </c>
      <c r="D452" s="38"/>
    </row>
    <row r="453" spans="1:4" ht="13.8" x14ac:dyDescent="0.25">
      <c r="A453" s="41">
        <v>0.5799256505576208</v>
      </c>
      <c r="B453" s="41">
        <v>4283.7495514000002</v>
      </c>
      <c r="C453" s="43">
        <f>C452+(((A453+A452)/2)*(B453-B452))</f>
        <v>3712.1718835335928</v>
      </c>
      <c r="D453" s="38"/>
    </row>
    <row r="454" spans="1:4" ht="13.8" x14ac:dyDescent="0.25">
      <c r="A454" s="40">
        <v>0.57899628252788105</v>
      </c>
      <c r="B454" s="40">
        <v>4291.3452054999998</v>
      </c>
      <c r="C454" s="43">
        <f>C453+(((A454+A453)/2)*(B454-B453))</f>
        <v>3716.5732685999028</v>
      </c>
      <c r="D454" s="38"/>
    </row>
    <row r="455" spans="1:4" ht="13.8" x14ac:dyDescent="0.25">
      <c r="A455" s="41">
        <v>0.57806691449814129</v>
      </c>
      <c r="B455" s="41">
        <v>4292.1825217000005</v>
      </c>
      <c r="C455" s="43">
        <f>C454+(((A455+A454)/2)*(B455-B454))</f>
        <v>3717.0576824795498</v>
      </c>
      <c r="D455" s="38"/>
    </row>
    <row r="456" spans="1:4" ht="13.8" x14ac:dyDescent="0.25">
      <c r="A456" s="40">
        <v>0.57713754646840154</v>
      </c>
      <c r="B456" s="40">
        <v>4302.0110190000005</v>
      </c>
      <c r="C456" s="43">
        <f>C455+(((A456+A455)/2)*(B456-B455))</f>
        <v>3722.7346444423288</v>
      </c>
      <c r="D456" s="38"/>
    </row>
    <row r="457" spans="1:4" ht="13.8" x14ac:dyDescent="0.25">
      <c r="A457" s="41">
        <v>0.57620817843866168</v>
      </c>
      <c r="B457" s="41">
        <v>4309.2278872000006</v>
      </c>
      <c r="C457" s="43">
        <f>C456+(((A457+A456)/2)*(B457-B456))</f>
        <v>3726.8964164851727</v>
      </c>
      <c r="D457" s="38"/>
    </row>
    <row r="458" spans="1:4" ht="13.8" x14ac:dyDescent="0.25">
      <c r="A458" s="40">
        <v>0.57527881040892193</v>
      </c>
      <c r="B458" s="40">
        <v>4309.8259702000005</v>
      </c>
      <c r="C458" s="43">
        <f>C457+(((A458+A457)/2)*(B458-B457))</f>
        <v>3727.2407588815481</v>
      </c>
      <c r="D458" s="38"/>
    </row>
    <row r="459" spans="1:4" ht="13.8" x14ac:dyDescent="0.25">
      <c r="A459" s="41">
        <v>0.57434944237918217</v>
      </c>
      <c r="B459" s="41">
        <v>4311.540474800001</v>
      </c>
      <c r="C459" s="43">
        <f>C458+(((A459+A458)/2)*(B459-B458))</f>
        <v>3728.2262803453959</v>
      </c>
      <c r="D459" s="38"/>
    </row>
    <row r="460" spans="1:4" ht="13.8" x14ac:dyDescent="0.25">
      <c r="A460" s="40">
        <v>0.57342007434944242</v>
      </c>
      <c r="B460" s="40">
        <v>4314.4511453999994</v>
      </c>
      <c r="C460" s="43">
        <f>C459+(((A460+A459)/2)*(B460-B459))</f>
        <v>3729.8966698393542</v>
      </c>
      <c r="D460" s="38"/>
    </row>
    <row r="461" spans="1:4" ht="13.8" x14ac:dyDescent="0.25">
      <c r="A461" s="41">
        <v>0.57249070631970256</v>
      </c>
      <c r="B461" s="41">
        <v>4319.3155538000001</v>
      </c>
      <c r="C461" s="43">
        <f>C460+(((A461+A460)/2)*(B461-B460))</f>
        <v>3732.6837588529233</v>
      </c>
      <c r="D461" s="38"/>
    </row>
    <row r="462" spans="1:4" ht="13.8" x14ac:dyDescent="0.25">
      <c r="A462" s="40">
        <v>0.57156133828996281</v>
      </c>
      <c r="B462" s="40">
        <v>4338.4342737000006</v>
      </c>
      <c r="C462" s="43">
        <f>C461+(((A462+A461)/2)*(B462-B461))</f>
        <v>3743.620164148881</v>
      </c>
      <c r="D462" s="38"/>
    </row>
    <row r="463" spans="1:4" ht="13.8" x14ac:dyDescent="0.25">
      <c r="A463" s="41">
        <v>0.57063197026022305</v>
      </c>
      <c r="B463" s="41">
        <v>4343.3186181999999</v>
      </c>
      <c r="C463" s="43">
        <f>C462+(((A463+A462)/2)*(B463-B462))</f>
        <v>3746.4095969511577</v>
      </c>
      <c r="D463" s="38"/>
    </row>
    <row r="464" spans="1:4" ht="13.8" x14ac:dyDescent="0.25">
      <c r="A464" s="40">
        <v>0.5697026022304833</v>
      </c>
      <c r="B464" s="40">
        <v>4346.7276913000005</v>
      </c>
      <c r="C464" s="43">
        <f>C463+(((A464+A463)/2)*(B464-B463))</f>
        <v>3748.3533389091972</v>
      </c>
      <c r="D464" s="38"/>
    </row>
    <row r="465" spans="1:4" ht="13.8" x14ac:dyDescent="0.25">
      <c r="A465" s="41">
        <v>0.56877323420074355</v>
      </c>
      <c r="B465" s="41">
        <v>4356.3169554000015</v>
      </c>
      <c r="C465" s="43">
        <f>C464+(((A465+A464)/2)*(B465-B464))</f>
        <v>3753.8119116427015</v>
      </c>
      <c r="D465" s="38"/>
    </row>
    <row r="466" spans="1:4" ht="13.8" x14ac:dyDescent="0.25">
      <c r="A466" s="40">
        <v>0.56784386617100369</v>
      </c>
      <c r="B466" s="40">
        <v>4367.859957300002</v>
      </c>
      <c r="C466" s="43">
        <f>C465+(((A466+A465)/2)*(B466-B465))</f>
        <v>3760.3718983172835</v>
      </c>
      <c r="D466" s="38"/>
    </row>
    <row r="467" spans="1:4" ht="13.8" x14ac:dyDescent="0.25">
      <c r="A467" s="41">
        <v>0.56691449814126393</v>
      </c>
      <c r="B467" s="41">
        <v>4367.9995099999996</v>
      </c>
      <c r="C467" s="43">
        <f>C466+(((A467+A466)/2)*(B467-B466))</f>
        <v>3760.451077614076</v>
      </c>
      <c r="D467" s="38"/>
    </row>
    <row r="468" spans="1:4" ht="13.8" x14ac:dyDescent="0.25">
      <c r="A468" s="40">
        <v>0.56598513011152418</v>
      </c>
      <c r="B468" s="40">
        <v>4370.6310752000009</v>
      </c>
      <c r="C468" s="43">
        <f>C467+(((A468+A467)/2)*(B468-B467))</f>
        <v>3761.9417272324781</v>
      </c>
      <c r="D468" s="38"/>
    </row>
    <row r="469" spans="1:4" ht="13.8" x14ac:dyDescent="0.25">
      <c r="A469" s="41">
        <v>0.56505576208178443</v>
      </c>
      <c r="B469" s="41">
        <v>4373.940467800001</v>
      </c>
      <c r="C469" s="43">
        <f>C468+(((A469+A468)/2)*(B469-B468))</f>
        <v>3763.8132564119392</v>
      </c>
      <c r="D469" s="38"/>
    </row>
    <row r="470" spans="1:4" ht="13.8" x14ac:dyDescent="0.25">
      <c r="A470" s="40">
        <v>0.56412639405204457</v>
      </c>
      <c r="B470" s="40">
        <v>4376.4524163999995</v>
      </c>
      <c r="C470" s="43">
        <f>C469+(((A470+A469)/2)*(B470-B469))</f>
        <v>3765.2314801800608</v>
      </c>
      <c r="D470" s="38"/>
    </row>
    <row r="471" spans="1:4" ht="13.8" x14ac:dyDescent="0.25">
      <c r="A471" s="41">
        <v>0.56319702602230481</v>
      </c>
      <c r="B471" s="41">
        <v>4397.3055769999992</v>
      </c>
      <c r="C471" s="43">
        <f>C470+(((A471+A470)/2)*(B471-B470))</f>
        <v>3776.9856083435366</v>
      </c>
      <c r="D471" s="38"/>
    </row>
    <row r="472" spans="1:4" ht="13.8" x14ac:dyDescent="0.25">
      <c r="A472" s="40">
        <v>0.56226765799256506</v>
      </c>
      <c r="B472" s="40">
        <v>4397.4650658</v>
      </c>
      <c r="C472" s="43">
        <f>C471+(((A472+A471)/2)*(B472-B471))</f>
        <v>3777.075357849485</v>
      </c>
      <c r="D472" s="38"/>
    </row>
    <row r="473" spans="1:4" ht="13.8" x14ac:dyDescent="0.25">
      <c r="A473" s="41">
        <v>0.56133828996282531</v>
      </c>
      <c r="B473" s="41">
        <v>4408.9881316000001</v>
      </c>
      <c r="C473" s="43">
        <f>C472+(((A473+A472)/2)*(B473-B472))</f>
        <v>3783.5490504852655</v>
      </c>
      <c r="D473" s="38"/>
    </row>
    <row r="474" spans="1:4" ht="13.8" x14ac:dyDescent="0.25">
      <c r="A474" s="40">
        <v>0.56040892193308545</v>
      </c>
      <c r="B474" s="40">
        <v>4415.0885782000014</v>
      </c>
      <c r="C474" s="43">
        <f>C473+(((A474+A473)/2)*(B474-B473))</f>
        <v>3786.9706299677014</v>
      </c>
      <c r="D474" s="38"/>
    </row>
    <row r="475" spans="1:4" ht="13.8" x14ac:dyDescent="0.25">
      <c r="A475" s="41">
        <v>0.55947955390334569</v>
      </c>
      <c r="B475" s="41">
        <v>4415.4075558000004</v>
      </c>
      <c r="C475" s="43">
        <f>C474+(((A475+A474)/2)*(B475-B474))</f>
        <v>3787.1492396368458</v>
      </c>
      <c r="D475" s="38"/>
    </row>
    <row r="476" spans="1:4" ht="13.8" x14ac:dyDescent="0.25">
      <c r="A476" s="40">
        <v>0.55855018587360594</v>
      </c>
      <c r="B476" s="40">
        <v>4415.6069168000004</v>
      </c>
      <c r="C476" s="43">
        <f>C475+(((A476+A475)/2)*(B476-B475))</f>
        <v>3787.2606854003216</v>
      </c>
      <c r="D476" s="38"/>
    </row>
    <row r="477" spans="1:4" ht="13.8" x14ac:dyDescent="0.25">
      <c r="A477" s="41">
        <v>0.55762081784386619</v>
      </c>
      <c r="B477" s="41">
        <v>4419.6539450999999</v>
      </c>
      <c r="C477" s="43">
        <f>C476+(((A477+A476)/2)*(B477-B476))</f>
        <v>3789.5192732201631</v>
      </c>
      <c r="D477" s="38"/>
    </row>
    <row r="478" spans="1:4" ht="13.8" x14ac:dyDescent="0.25">
      <c r="A478" s="40">
        <v>0.55669144981412644</v>
      </c>
      <c r="B478" s="40">
        <v>4422.2855103000002</v>
      </c>
      <c r="C478" s="43">
        <f>C477+(((A478+A477)/2)*(B478-B477))</f>
        <v>3790.9854659129142</v>
      </c>
      <c r="D478" s="38"/>
    </row>
    <row r="479" spans="1:4" ht="13.8" x14ac:dyDescent="0.25">
      <c r="A479" s="41">
        <v>0.55576208178438657</v>
      </c>
      <c r="B479" s="41">
        <v>4440.6665945000004</v>
      </c>
      <c r="C479" s="43">
        <f>C478+(((A479+A478)/2)*(B479-B478))</f>
        <v>3801.2095169293643</v>
      </c>
      <c r="D479" s="38"/>
    </row>
    <row r="480" spans="1:4" ht="13.8" x14ac:dyDescent="0.25">
      <c r="A480" s="40">
        <v>0.55483271375464682</v>
      </c>
      <c r="B480" s="40">
        <v>4443.5373929000016</v>
      </c>
      <c r="C480" s="43">
        <f>C479+(((A480+A479)/2)*(B480-B479))</f>
        <v>3802.8036638104059</v>
      </c>
      <c r="D480" s="38"/>
    </row>
    <row r="481" spans="1:4" ht="13.8" x14ac:dyDescent="0.25">
      <c r="A481" s="41">
        <v>0.55390334572490707</v>
      </c>
      <c r="B481" s="41">
        <v>4448.7407150000008</v>
      </c>
      <c r="C481" s="43">
        <f>C480+(((A481+A480)/2)*(B481-B480))</f>
        <v>3805.6882192310841</v>
      </c>
      <c r="D481" s="38"/>
    </row>
    <row r="482" spans="1:4" ht="13.8" x14ac:dyDescent="0.25">
      <c r="A482" s="40">
        <v>0.55297397769516732</v>
      </c>
      <c r="B482" s="40">
        <v>4454.8212255000008</v>
      </c>
      <c r="C482" s="43">
        <f>C481+(((A482+A481)/2)*(B482-B481))</f>
        <v>3809.0534088247177</v>
      </c>
      <c r="D482" s="38"/>
    </row>
    <row r="483" spans="1:4" ht="13.8" x14ac:dyDescent="0.25">
      <c r="A483" s="41">
        <v>0.55204460966542745</v>
      </c>
      <c r="B483" s="41">
        <v>4460.5030140000008</v>
      </c>
      <c r="C483" s="43">
        <f>C482+(((A483+A482)/2)*(B483-B482))</f>
        <v>3812.1926497756936</v>
      </c>
      <c r="D483" s="38"/>
    </row>
    <row r="484" spans="1:4" ht="13.8" x14ac:dyDescent="0.25">
      <c r="A484" s="40">
        <v>0.5511152416356877</v>
      </c>
      <c r="B484" s="40">
        <v>4461.4001385000001</v>
      </c>
      <c r="C484" s="43">
        <f>C483+(((A484+A483)/2)*(B484-B483))</f>
        <v>3812.6874856407026</v>
      </c>
      <c r="D484" s="38"/>
    </row>
    <row r="485" spans="1:4" ht="13.8" x14ac:dyDescent="0.25">
      <c r="A485" s="41">
        <v>0.55018587360594795</v>
      </c>
      <c r="B485" s="41">
        <v>4469.6536839</v>
      </c>
      <c r="C485" s="43">
        <f>C484+(((A485+A484)/2)*(B485-B484))</f>
        <v>3817.2323050175614</v>
      </c>
      <c r="D485" s="38"/>
    </row>
    <row r="486" spans="1:4" ht="13.8" x14ac:dyDescent="0.25">
      <c r="A486" s="40">
        <v>0.5492565055762082</v>
      </c>
      <c r="B486" s="40">
        <v>4479.5021173000014</v>
      </c>
      <c r="C486" s="43">
        <f>C485+(((A486+A485)/2)*(B486-B485))</f>
        <v>3822.6461975418188</v>
      </c>
      <c r="D486" s="38"/>
    </row>
    <row r="487" spans="1:4" ht="13.8" x14ac:dyDescent="0.25">
      <c r="A487" s="41">
        <v>0.54832713754646845</v>
      </c>
      <c r="B487" s="41">
        <v>4485.6623722000004</v>
      </c>
      <c r="C487" s="43">
        <f>C486+(((A487+A486)/2)*(B487-B486))</f>
        <v>3826.0268950496716</v>
      </c>
      <c r="D487" s="38"/>
    </row>
    <row r="488" spans="1:4" ht="13.8" x14ac:dyDescent="0.25">
      <c r="A488" s="40">
        <v>0.54739776951672858</v>
      </c>
      <c r="B488" s="40">
        <v>4491.8026909999999</v>
      </c>
      <c r="C488" s="43">
        <f>C487+(((A488+A487)/2)*(B488-B487))</f>
        <v>3829.3909451729055</v>
      </c>
      <c r="D488" s="38"/>
    </row>
    <row r="489" spans="1:4" ht="13.8" x14ac:dyDescent="0.25">
      <c r="A489" s="41">
        <v>0.54646840148698883</v>
      </c>
      <c r="B489" s="41">
        <v>4495.5905500000008</v>
      </c>
      <c r="C489" s="43">
        <f>C488+(((A489+A488)/2)*(B489-B488))</f>
        <v>3831.4626505832221</v>
      </c>
      <c r="D489" s="38"/>
    </row>
    <row r="490" spans="1:4" ht="13.8" x14ac:dyDescent="0.25">
      <c r="A490" s="40">
        <v>0.54553903345724908</v>
      </c>
      <c r="B490" s="40">
        <v>4508.3097817999997</v>
      </c>
      <c r="C490" s="43">
        <f>C489+(((A490+A489)/2)*(B490-B489))</f>
        <v>3838.4073984294109</v>
      </c>
      <c r="D490" s="38"/>
    </row>
    <row r="491" spans="1:4" ht="13.8" x14ac:dyDescent="0.25">
      <c r="A491" s="41">
        <v>0.54460966542750933</v>
      </c>
      <c r="B491" s="41">
        <v>4511.8584076000006</v>
      </c>
      <c r="C491" s="43">
        <f>C490+(((A491+A490)/2)*(B491-B490))</f>
        <v>3840.3416633287611</v>
      </c>
      <c r="D491" s="38"/>
    </row>
    <row r="492" spans="1:4" ht="13.8" x14ac:dyDescent="0.25">
      <c r="A492" s="40">
        <v>0.54368029739776946</v>
      </c>
      <c r="B492" s="40">
        <v>4517.1414740999999</v>
      </c>
      <c r="C492" s="43">
        <f>C491+(((A492+A491)/2)*(B492-B491))</f>
        <v>3843.216417451205</v>
      </c>
      <c r="D492" s="38"/>
    </row>
    <row r="493" spans="1:4" ht="13.8" x14ac:dyDescent="0.25">
      <c r="A493" s="41">
        <v>0.54275092936802971</v>
      </c>
      <c r="B493" s="41">
        <v>4537.0975101999993</v>
      </c>
      <c r="C493" s="43">
        <f>C492+(((A493+A492)/2)*(B493-B492))</f>
        <v>3854.0568478419573</v>
      </c>
      <c r="D493" s="38"/>
    </row>
    <row r="494" spans="1:4" ht="13.8" x14ac:dyDescent="0.25">
      <c r="A494" s="40">
        <v>0.54182156133828996</v>
      </c>
      <c r="B494" s="40">
        <v>4537.775337600001</v>
      </c>
      <c r="C494" s="43">
        <f>C493+(((A494+A493)/2)*(B494-B493))</f>
        <v>3854.4244243177018</v>
      </c>
      <c r="D494" s="38"/>
    </row>
    <row r="495" spans="1:4" ht="13.8" x14ac:dyDescent="0.25">
      <c r="A495" s="41">
        <v>0.54089219330855021</v>
      </c>
      <c r="B495" s="41">
        <v>4547.9228125</v>
      </c>
      <c r="C495" s="43">
        <f>C494+(((A495+A494)/2)*(B495-B494))</f>
        <v>3859.9178296422829</v>
      </c>
      <c r="D495" s="38"/>
    </row>
    <row r="496" spans="1:4" ht="13.8" x14ac:dyDescent="0.25">
      <c r="A496" s="40">
        <v>0.53996282527881045</v>
      </c>
      <c r="B496" s="40">
        <v>4558.4092011000002</v>
      </c>
      <c r="C496" s="43">
        <f>C495+(((A496+A495)/2)*(B496-B495))</f>
        <v>3865.5849625148667</v>
      </c>
      <c r="D496" s="38"/>
    </row>
    <row r="497" spans="1:4" ht="13.8" x14ac:dyDescent="0.25">
      <c r="A497" s="41">
        <v>0.53903345724907059</v>
      </c>
      <c r="B497" s="41">
        <v>4560.2034500999998</v>
      </c>
      <c r="C497" s="43">
        <f>C496+(((A497+A496)/2)*(B497-B496))</f>
        <v>3866.5529565153311</v>
      </c>
      <c r="D497" s="38"/>
    </row>
    <row r="498" spans="1:4" ht="13.8" x14ac:dyDescent="0.25">
      <c r="A498" s="40">
        <v>0.53810408921933084</v>
      </c>
      <c r="B498" s="40">
        <v>4612.8746263000003</v>
      </c>
      <c r="C498" s="43">
        <f>C497+(((A498+A497)/2)*(B498-B497))</f>
        <v>3894.9200072661679</v>
      </c>
      <c r="D498" s="38"/>
    </row>
    <row r="499" spans="1:4" ht="13.8" x14ac:dyDescent="0.25">
      <c r="A499" s="41">
        <v>0.53717472118959109</v>
      </c>
      <c r="B499" s="41">
        <v>4621.9854240000004</v>
      </c>
      <c r="C499" s="43">
        <f>C498+(((A499+A498)/2)*(B499-B498))</f>
        <v>3899.8183311225343</v>
      </c>
      <c r="D499" s="38"/>
    </row>
    <row r="500" spans="1:4" ht="13.8" x14ac:dyDescent="0.25">
      <c r="A500" s="40">
        <v>0.53624535315985133</v>
      </c>
      <c r="B500" s="40">
        <v>4636.1998633000003</v>
      </c>
      <c r="C500" s="43">
        <f>C499+(((A500+A499)/2)*(B500-B499))</f>
        <v>3907.4473633676553</v>
      </c>
      <c r="D500" s="38"/>
    </row>
    <row r="501" spans="1:4" ht="13.8" x14ac:dyDescent="0.25">
      <c r="A501" s="41">
        <v>0.53531598513011147</v>
      </c>
      <c r="B501" s="41">
        <v>4643.0379456000001</v>
      </c>
      <c r="C501" s="43">
        <f>C500+(((A501+A500)/2)*(B501-B500))</f>
        <v>3911.1110756780176</v>
      </c>
      <c r="D501" s="38"/>
    </row>
    <row r="502" spans="1:4" ht="13.8" x14ac:dyDescent="0.25">
      <c r="A502" s="40">
        <v>0.53438661710037172</v>
      </c>
      <c r="B502" s="40">
        <v>4655.5578163999999</v>
      </c>
      <c r="C502" s="43">
        <f>C501+(((A502+A501)/2)*(B502-B501))</f>
        <v>3917.8073448651921</v>
      </c>
      <c r="D502" s="38"/>
    </row>
    <row r="503" spans="1:4" ht="13.8" x14ac:dyDescent="0.25">
      <c r="A503" s="41">
        <v>0.53345724907063197</v>
      </c>
      <c r="B503" s="41">
        <v>4659.6845890999994</v>
      </c>
      <c r="C503" s="43">
        <f>C502+(((A503+A502)/2)*(B503-B502))</f>
        <v>3920.0107193225804</v>
      </c>
      <c r="D503" s="38"/>
    </row>
    <row r="504" spans="1:4" ht="13.8" x14ac:dyDescent="0.25">
      <c r="A504" s="40">
        <v>0.53252788104089221</v>
      </c>
      <c r="B504" s="40">
        <v>4668.217239900001</v>
      </c>
      <c r="C504" s="43">
        <f>C503+(((A504+A503)/2)*(B504-B503))</f>
        <v>3924.5585587591981</v>
      </c>
      <c r="D504" s="38"/>
    </row>
    <row r="505" spans="1:4" ht="13.8" x14ac:dyDescent="0.25">
      <c r="A505" s="41">
        <v>0.53159851301115246</v>
      </c>
      <c r="B505" s="41">
        <v>4678.7235645999999</v>
      </c>
      <c r="C505" s="43">
        <f>C504+(((A505+A504)/2)*(B505-B504))</f>
        <v>3930.1485874680729</v>
      </c>
      <c r="D505" s="38"/>
    </row>
    <row r="506" spans="1:4" ht="13.8" x14ac:dyDescent="0.25">
      <c r="A506" s="40">
        <v>0.5306691449814126</v>
      </c>
      <c r="B506" s="40">
        <v>4684.5648418999999</v>
      </c>
      <c r="C506" s="43">
        <f>C505+(((A506+A505)/2)*(B506-B505))</f>
        <v>3933.2510874466511</v>
      </c>
      <c r="D506" s="38"/>
    </row>
    <row r="507" spans="1:4" ht="13.8" x14ac:dyDescent="0.25">
      <c r="A507" s="41">
        <v>0.52973977695167285</v>
      </c>
      <c r="B507" s="41">
        <v>4698.8191533999998</v>
      </c>
      <c r="C507" s="43">
        <f>C506+(((A507+A506)/2)*(B507-B506))</f>
        <v>3940.8087869919577</v>
      </c>
      <c r="D507" s="38"/>
    </row>
    <row r="508" spans="1:4" ht="13.8" x14ac:dyDescent="0.25">
      <c r="A508" s="40">
        <v>0.52881040892193309</v>
      </c>
      <c r="B508" s="40">
        <v>4706.8135295000002</v>
      </c>
      <c r="C508" s="43">
        <f>C507+(((A508+A507)/2)*(B508-B507))</f>
        <v>3945.0400111452573</v>
      </c>
      <c r="D508" s="38"/>
    </row>
    <row r="509" spans="1:4" ht="13.8" x14ac:dyDescent="0.25">
      <c r="A509" s="41">
        <v>0.52788104089219334</v>
      </c>
      <c r="B509" s="41">
        <v>4712.7943595000006</v>
      </c>
      <c r="C509" s="43">
        <f>C508+(((A509+A508)/2)*(B509-B508))</f>
        <v>3948.1999571071533</v>
      </c>
      <c r="D509" s="38"/>
    </row>
    <row r="510" spans="1:4" ht="13.8" x14ac:dyDescent="0.25">
      <c r="A510" s="40">
        <v>0.52695167286245348</v>
      </c>
      <c r="B510" s="40">
        <v>4715.1069470999992</v>
      </c>
      <c r="C510" s="43">
        <f>C509+(((A510+A509)/2)*(B510-B509))</f>
        <v>3949.4196536341042</v>
      </c>
      <c r="D510" s="38"/>
    </row>
    <row r="511" spans="1:4" ht="13.8" x14ac:dyDescent="0.25">
      <c r="A511" s="41">
        <v>0.52602230483271373</v>
      </c>
      <c r="B511" s="41">
        <v>4717.8182567000003</v>
      </c>
      <c r="C511" s="43">
        <f>C510+(((A511+A510)/2)*(B511-B510))</f>
        <v>3950.8471228612425</v>
      </c>
      <c r="D511" s="38"/>
    </row>
    <row r="512" spans="1:4" ht="13.8" x14ac:dyDescent="0.25">
      <c r="A512" s="40">
        <v>0.52509293680297398</v>
      </c>
      <c r="B512" s="40">
        <v>4723.9984476999998</v>
      </c>
      <c r="C512" s="43">
        <f>C511+(((A512+A511)/2)*(B512-B511))</f>
        <v>3954.0951693394022</v>
      </c>
      <c r="D512" s="38"/>
    </row>
    <row r="513" spans="1:4" ht="13.8" x14ac:dyDescent="0.25">
      <c r="A513" s="41">
        <v>0.52416356877323422</v>
      </c>
      <c r="B513" s="41">
        <v>4726.6698851000001</v>
      </c>
      <c r="C513" s="43">
        <f>C512+(((A513+A512)/2)*(B513-B512))</f>
        <v>3955.4966808749973</v>
      </c>
      <c r="D513" s="38"/>
    </row>
    <row r="514" spans="1:4" ht="13.8" x14ac:dyDescent="0.25">
      <c r="A514" s="40">
        <v>0.52323420074349447</v>
      </c>
      <c r="B514" s="40">
        <v>4727.9657315999993</v>
      </c>
      <c r="C514" s="43">
        <f>C513+(((A514+A513)/2)*(B514-B513))</f>
        <v>3956.1753142418647</v>
      </c>
      <c r="D514" s="38"/>
    </row>
    <row r="515" spans="1:4" ht="13.8" x14ac:dyDescent="0.25">
      <c r="A515" s="41">
        <v>0.52230483271375461</v>
      </c>
      <c r="B515" s="41">
        <v>4732.0725681999993</v>
      </c>
      <c r="C515" s="43">
        <f>C514+(((A515+A514)/2)*(B515-B514))</f>
        <v>3958.3222432265302</v>
      </c>
      <c r="D515" s="38"/>
    </row>
    <row r="516" spans="1:4" ht="13.8" x14ac:dyDescent="0.25">
      <c r="A516" s="40">
        <v>0.52137546468401486</v>
      </c>
      <c r="B516" s="40">
        <v>4738.3125675000001</v>
      </c>
      <c r="C516" s="43">
        <f>C515+(((A516+A515)/2)*(B516-B515))</f>
        <v>3961.5785253891236</v>
      </c>
      <c r="D516" s="38"/>
    </row>
    <row r="517" spans="1:4" ht="13.8" x14ac:dyDescent="0.25">
      <c r="A517" s="41">
        <v>0.5204460966542751</v>
      </c>
      <c r="B517" s="41">
        <v>4751.6498183999993</v>
      </c>
      <c r="C517" s="43">
        <f>C516+(((A517+A516)/2)*(B517-B516))</f>
        <v>3968.5260431674224</v>
      </c>
      <c r="D517" s="38"/>
    </row>
    <row r="518" spans="1:4" ht="13.8" x14ac:dyDescent="0.25">
      <c r="A518" s="40">
        <v>0.51951672862453535</v>
      </c>
      <c r="B518" s="40">
        <v>4766.7613822000012</v>
      </c>
      <c r="C518" s="43">
        <f>C517+(((A518+A517)/2)*(B518-B517))</f>
        <v>3976.3837754593378</v>
      </c>
      <c r="D518" s="38"/>
    </row>
    <row r="519" spans="1:4" ht="13.8" x14ac:dyDescent="0.25">
      <c r="A519" s="41">
        <v>0.51858736059479549</v>
      </c>
      <c r="B519" s="41">
        <v>4771.4663018000001</v>
      </c>
      <c r="C519" s="43">
        <f>C518+(((A519+A518)/2)*(B519-B518))</f>
        <v>3978.8258735974414</v>
      </c>
      <c r="D519" s="38"/>
    </row>
    <row r="520" spans="1:4" ht="13.8" x14ac:dyDescent="0.25">
      <c r="A520" s="40">
        <v>0.51765799256505574</v>
      </c>
      <c r="B520" s="40">
        <v>4776.6895600000007</v>
      </c>
      <c r="C520" s="43">
        <f>C519+(((A520+A519)/2)*(B520-B519))</f>
        <v>3981.532162116494</v>
      </c>
      <c r="D520" s="38"/>
    </row>
    <row r="521" spans="1:4" ht="13.8" x14ac:dyDescent="0.25">
      <c r="A521" s="41">
        <v>0.51672862453531598</v>
      </c>
      <c r="B521" s="41">
        <v>4804.0817613999998</v>
      </c>
      <c r="C521" s="43">
        <f>C520+(((A521+A520)/2)*(B521-B520))</f>
        <v>3995.6992253870326</v>
      </c>
      <c r="D521" s="38"/>
    </row>
    <row r="522" spans="1:4" ht="13.8" x14ac:dyDescent="0.25">
      <c r="A522" s="40">
        <v>0.51579925650557623</v>
      </c>
      <c r="B522" s="40">
        <v>4828.8822698000013</v>
      </c>
      <c r="C522" s="43">
        <f>C521+(((A522+A521)/2)*(B522-B521))</f>
        <v>4008.5028335805277</v>
      </c>
      <c r="D522" s="38"/>
    </row>
    <row r="523" spans="1:4" ht="13.8" x14ac:dyDescent="0.25">
      <c r="A523" s="41">
        <v>0.51486988847583648</v>
      </c>
      <c r="B523" s="41">
        <v>4841.2825240000002</v>
      </c>
      <c r="C523" s="43">
        <f>C522+(((A523+A522)/2)*(B523-B522))</f>
        <v>4014.8931132774601</v>
      </c>
      <c r="D523" s="38"/>
    </row>
    <row r="524" spans="1:4" ht="13.8" x14ac:dyDescent="0.25">
      <c r="A524" s="40">
        <v>0.51394052044609662</v>
      </c>
      <c r="B524" s="40">
        <v>4844.8112136999998</v>
      </c>
      <c r="C524" s="43">
        <f>C523+(((A524+A523)/2)*(B524-B523))</f>
        <v>4016.7082896240677</v>
      </c>
      <c r="D524" s="38"/>
    </row>
    <row r="525" spans="1:4" ht="13.8" x14ac:dyDescent="0.25">
      <c r="A525" s="41">
        <v>0.51301115241635686</v>
      </c>
      <c r="B525" s="41">
        <v>4845.0105747000016</v>
      </c>
      <c r="C525" s="43">
        <f>C524+(((A525+A524)/2)*(B525-B524))</f>
        <v>4016.8106566802953</v>
      </c>
      <c r="D525" s="38"/>
    </row>
    <row r="526" spans="1:4" ht="13.8" x14ac:dyDescent="0.25">
      <c r="A526" s="40">
        <v>0.51208178438661711</v>
      </c>
      <c r="B526" s="40">
        <v>4846.2067407000004</v>
      </c>
      <c r="C526" s="43">
        <f>C525+(((A526+A525)/2)*(B526-B525))</f>
        <v>4017.4237473392168</v>
      </c>
      <c r="D526" s="38"/>
    </row>
    <row r="527" spans="1:4" ht="13.8" x14ac:dyDescent="0.25">
      <c r="A527" s="41">
        <v>0.51115241635687736</v>
      </c>
      <c r="B527" s="41">
        <v>4865.8836713999999</v>
      </c>
      <c r="C527" s="43">
        <f>C526+(((A527+A526)/2)*(B527-B526))</f>
        <v>4027.4908015681663</v>
      </c>
      <c r="D527" s="38"/>
    </row>
    <row r="528" spans="1:4" ht="13.8" x14ac:dyDescent="0.25">
      <c r="A528" s="40">
        <v>0.5102230483271375</v>
      </c>
      <c r="B528" s="40">
        <v>4866.4219461000002</v>
      </c>
      <c r="C528" s="43">
        <f>C527+(((A528+A527)/2)*(B528-B527))</f>
        <v>4027.7656918540865</v>
      </c>
      <c r="D528" s="38"/>
    </row>
    <row r="529" spans="1:4" ht="13.8" x14ac:dyDescent="0.25">
      <c r="A529" s="41">
        <v>0.50929368029739774</v>
      </c>
      <c r="B529" s="41">
        <v>4874.4163222000006</v>
      </c>
      <c r="C529" s="43">
        <f>C528+(((A529+A528)/2)*(B529-B528))</f>
        <v>4031.8408919385197</v>
      </c>
      <c r="D529" s="38"/>
    </row>
    <row r="530" spans="1:4" ht="13.8" x14ac:dyDescent="0.25">
      <c r="A530" s="40">
        <v>0.50836431226765799</v>
      </c>
      <c r="B530" s="40">
        <v>4875.4529994000004</v>
      </c>
      <c r="C530" s="43">
        <f>C529+(((A530+A529)/2)*(B530-B529))</f>
        <v>4032.3683833576647</v>
      </c>
      <c r="D530" s="38"/>
    </row>
    <row r="531" spans="1:4" ht="13.8" x14ac:dyDescent="0.25">
      <c r="A531" s="41">
        <v>0.50743494423791824</v>
      </c>
      <c r="B531" s="41">
        <v>4888.8101864</v>
      </c>
      <c r="C531" s="43">
        <f>C530+(((A531+A530)/2)*(B531-B530))</f>
        <v>4039.1524936694673</v>
      </c>
      <c r="D531" s="38"/>
    </row>
    <row r="532" spans="1:4" ht="13.8" x14ac:dyDescent="0.25">
      <c r="A532" s="40">
        <v>0.50650557620817849</v>
      </c>
      <c r="B532" s="40">
        <v>4889.1291639999999</v>
      </c>
      <c r="C532" s="43">
        <f>C531+(((A532+A531)/2)*(B532-B531))</f>
        <v>4039.3142058263447</v>
      </c>
      <c r="D532" s="38"/>
    </row>
    <row r="533" spans="1:4" ht="13.8" x14ac:dyDescent="0.25">
      <c r="A533" s="41">
        <v>0.50557620817843862</v>
      </c>
      <c r="B533" s="41">
        <v>4893.3954893999999</v>
      </c>
      <c r="C533" s="43">
        <f>C532+(((A533+A532)/2)*(B533-B532))</f>
        <v>4041.4731409381475</v>
      </c>
      <c r="D533" s="38"/>
    </row>
    <row r="534" spans="1:4" ht="13.8" x14ac:dyDescent="0.25">
      <c r="A534" s="40">
        <v>0.50464684014869887</v>
      </c>
      <c r="B534" s="40">
        <v>4916.4814931999999</v>
      </c>
      <c r="C534" s="43">
        <f>C533+(((A534+A533)/2)*(B534-B533))</f>
        <v>4053.1341475044114</v>
      </c>
      <c r="D534" s="38"/>
    </row>
    <row r="535" spans="1:4" ht="13.8" x14ac:dyDescent="0.25">
      <c r="A535" s="41">
        <v>0.50371747211895912</v>
      </c>
      <c r="B535" s="41">
        <v>4919.3323555000006</v>
      </c>
      <c r="C535" s="43">
        <f>C534+(((A535+A534)/2)*(B535-B534))</f>
        <v>4054.5715014056664</v>
      </c>
      <c r="D535" s="38"/>
    </row>
    <row r="536" spans="1:4" ht="13.8" x14ac:dyDescent="0.25">
      <c r="A536" s="40">
        <v>0.50278810408921937</v>
      </c>
      <c r="B536" s="40">
        <v>4934.5635359000007</v>
      </c>
      <c r="C536" s="43">
        <f>C535+(((A536+A535)/2)*(B536-B535))</f>
        <v>4062.2366354080827</v>
      </c>
      <c r="D536" s="38"/>
    </row>
    <row r="537" spans="1:4" ht="13.8" x14ac:dyDescent="0.25">
      <c r="A537" s="41">
        <v>0.5018587360594795</v>
      </c>
      <c r="B537" s="41">
        <v>4941.8202763000008</v>
      </c>
      <c r="C537" s="43">
        <f>C536+(((A537+A536)/2)*(B537-B536))</f>
        <v>4065.8818660644024</v>
      </c>
      <c r="D537" s="38"/>
    </row>
    <row r="538" spans="1:4" ht="13.8" x14ac:dyDescent="0.25">
      <c r="A538" s="40">
        <v>0.50092936802973975</v>
      </c>
      <c r="B538" s="40">
        <v>4947.7213619000013</v>
      </c>
      <c r="C538" s="43">
        <f>C537+(((A538+A537)/2)*(B538-B537))</f>
        <v>4068.8406352848488</v>
      </c>
      <c r="D538" s="38"/>
    </row>
    <row r="539" spans="1:4" ht="13.8" x14ac:dyDescent="0.25">
      <c r="A539" s="41">
        <v>0.5</v>
      </c>
      <c r="B539" s="41">
        <v>4951.0108184000001</v>
      </c>
      <c r="C539" s="43">
        <f>C538+(((A539+A538)/2)*(B539-B538))</f>
        <v>4070.4868920927015</v>
      </c>
      <c r="D539" s="38"/>
    </row>
    <row r="540" spans="1:4" ht="13.8" x14ac:dyDescent="0.25">
      <c r="A540" s="40">
        <v>0.49907063197026025</v>
      </c>
      <c r="B540" s="40">
        <v>4958.5666002999997</v>
      </c>
      <c r="C540" s="43">
        <f>C539+(((A540+A539)/2)*(B540-B539))</f>
        <v>4074.2612719916324</v>
      </c>
      <c r="D540" s="38"/>
    </row>
    <row r="541" spans="1:4" ht="13.8" x14ac:dyDescent="0.25">
      <c r="A541" s="41">
        <v>0.49814126394052044</v>
      </c>
      <c r="B541" s="41">
        <v>4959.0849389000014</v>
      </c>
      <c r="C541" s="43">
        <f>C540+(((A541+A540)/2)*(B541-B540))</f>
        <v>4074.5197187006479</v>
      </c>
      <c r="D541" s="38"/>
    </row>
    <row r="542" spans="1:4" ht="13.8" x14ac:dyDescent="0.25">
      <c r="A542" s="40">
        <v>0.49721189591078069</v>
      </c>
      <c r="B542" s="40">
        <v>4971.2459599000013</v>
      </c>
      <c r="C542" s="43">
        <f>C541+(((A542+A541)/2)*(B542-B541))</f>
        <v>4080.571974040332</v>
      </c>
      <c r="D542" s="38"/>
    </row>
    <row r="543" spans="1:4" ht="13.8" x14ac:dyDescent="0.25">
      <c r="A543" s="41">
        <v>0.49628252788104088</v>
      </c>
      <c r="B543" s="41">
        <v>4972.7411674000004</v>
      </c>
      <c r="C543" s="43">
        <f>C542+(((A543+A542)/2)*(B543-B542))</f>
        <v>4081.3147141971626</v>
      </c>
      <c r="D543" s="38"/>
    </row>
    <row r="544" spans="1:4" ht="13.8" x14ac:dyDescent="0.25">
      <c r="A544" s="40">
        <v>0.49535315985130113</v>
      </c>
      <c r="B544" s="40">
        <v>4975.8910711999997</v>
      </c>
      <c r="C544" s="43">
        <f>C543+(((A544+A543)/2)*(B544-B543))</f>
        <v>4082.8764927076641</v>
      </c>
      <c r="D544" s="38"/>
    </row>
    <row r="545" spans="1:4" ht="13.8" x14ac:dyDescent="0.25">
      <c r="A545" s="41">
        <v>0.49442379182156132</v>
      </c>
      <c r="B545" s="41">
        <v>4989.0090250000003</v>
      </c>
      <c r="C545" s="43">
        <f>C544+(((A545+A544)/2)*(B545-B544))</f>
        <v>4089.3684168698392</v>
      </c>
      <c r="D545" s="38"/>
    </row>
    <row r="546" spans="1:4" ht="13.8" x14ac:dyDescent="0.25">
      <c r="A546" s="40">
        <v>0.49349442379182157</v>
      </c>
      <c r="B546" s="40">
        <v>4997.6214202000001</v>
      </c>
      <c r="C546" s="43">
        <f>C545+(((A546+A545)/2)*(B546-B545))</f>
        <v>4093.6225879189096</v>
      </c>
      <c r="D546" s="38"/>
    </row>
    <row r="547" spans="1:4" ht="13.8" x14ac:dyDescent="0.25">
      <c r="A547" s="41">
        <v>0.49256505576208176</v>
      </c>
      <c r="B547" s="41">
        <v>4999.6349663000001</v>
      </c>
      <c r="C547" s="43">
        <f>C546+(((A547+A546)/2)*(B547-B546))</f>
        <v>4094.6153260286214</v>
      </c>
      <c r="D547" s="38"/>
    </row>
    <row r="548" spans="1:4" ht="13.8" x14ac:dyDescent="0.25">
      <c r="A548" s="40">
        <v>0.49163568773234201</v>
      </c>
      <c r="B548" s="40">
        <v>5014.4873607999998</v>
      </c>
      <c r="C548" s="43">
        <f>C547+(((A548+A547)/2)*(B548-B547))</f>
        <v>4101.9241948834078</v>
      </c>
      <c r="D548" s="38"/>
    </row>
    <row r="549" spans="1:4" ht="13.8" x14ac:dyDescent="0.25">
      <c r="A549" s="41">
        <v>0.49070631970260226</v>
      </c>
      <c r="B549" s="41">
        <v>5016.6005873999993</v>
      </c>
      <c r="C549" s="43">
        <f>C548+(((A549+A548)/2)*(B549-B548))</f>
        <v>4102.962150513612</v>
      </c>
      <c r="D549" s="38"/>
    </row>
    <row r="550" spans="1:4" ht="13.8" x14ac:dyDescent="0.25">
      <c r="A550" s="40">
        <v>0.48977695167286245</v>
      </c>
      <c r="B550" s="40">
        <v>5028.8413528000001</v>
      </c>
      <c r="C550" s="43">
        <f>C549+(((A550+A549)/2)*(B550-B549))</f>
        <v>4108.9630833653782</v>
      </c>
      <c r="D550" s="38"/>
    </row>
    <row r="551" spans="1:4" ht="13.8" x14ac:dyDescent="0.25">
      <c r="A551" s="41">
        <v>0.4888475836431227</v>
      </c>
      <c r="B551" s="41">
        <v>5029.2400748</v>
      </c>
      <c r="C551" s="43">
        <f>C550+(((A551+A550)/2)*(B551-B550))</f>
        <v>4109.1581829313636</v>
      </c>
      <c r="D551" s="38"/>
    </row>
    <row r="552" spans="1:4" ht="13.8" x14ac:dyDescent="0.25">
      <c r="A552" s="40">
        <v>0.48791821561338289</v>
      </c>
      <c r="B552" s="40">
        <v>5035.8588600000003</v>
      </c>
      <c r="C552" s="43">
        <f>C551+(((A552+A551)/2)*(B552-B551))</f>
        <v>4112.3906844393559</v>
      </c>
      <c r="D552" s="38"/>
    </row>
    <row r="553" spans="1:4" ht="13.8" x14ac:dyDescent="0.25">
      <c r="A553" s="41">
        <v>0.48698884758364314</v>
      </c>
      <c r="B553" s="41">
        <v>5042.5175173999996</v>
      </c>
      <c r="C553" s="43">
        <f>C552+(((A553+A552)/2)*(B553-B552))</f>
        <v>4115.6364705046899</v>
      </c>
      <c r="D553" s="38"/>
    </row>
    <row r="554" spans="1:4" ht="13.8" x14ac:dyDescent="0.25">
      <c r="A554" s="40">
        <v>0.48605947955390333</v>
      </c>
      <c r="B554" s="40">
        <v>5053.9010305000002</v>
      </c>
      <c r="C554" s="43">
        <f>C553+(((A554+A553)/2)*(B554-B553))</f>
        <v>4121.1748246941415</v>
      </c>
      <c r="D554" s="38"/>
    </row>
    <row r="555" spans="1:4" ht="13.8" x14ac:dyDescent="0.25">
      <c r="A555" s="41">
        <v>0.48513011152416358</v>
      </c>
      <c r="B555" s="41">
        <v>5055.0971965000008</v>
      </c>
      <c r="C555" s="43">
        <f>C554+(((A555+A554)/2)*(B555-B554))</f>
        <v>4121.7556766783428</v>
      </c>
      <c r="D555" s="38"/>
    </row>
    <row r="556" spans="1:4" ht="13.8" x14ac:dyDescent="0.25">
      <c r="A556" s="40">
        <v>0.48420074349442377</v>
      </c>
      <c r="B556" s="40">
        <v>5055.8946404999997</v>
      </c>
      <c r="C556" s="43">
        <f>C555+(((A556+A555)/2)*(B556-B555))</f>
        <v>4122.1421702155167</v>
      </c>
      <c r="D556" s="38"/>
    </row>
    <row r="557" spans="1:4" ht="13.8" x14ac:dyDescent="0.25">
      <c r="A557" s="41">
        <v>0.48327137546468402</v>
      </c>
      <c r="B557" s="41">
        <v>5063.4902945999993</v>
      </c>
      <c r="C557" s="43">
        <f>C556+(((A557+A556)/2)*(B557-B556))</f>
        <v>4125.8164619990202</v>
      </c>
      <c r="D557" s="38"/>
    </row>
    <row r="558" spans="1:4" ht="13.8" x14ac:dyDescent="0.25">
      <c r="A558" s="40">
        <v>0.48234200743494426</v>
      </c>
      <c r="B558" s="40">
        <v>5079.6784078000001</v>
      </c>
      <c r="C558" s="43">
        <f>C557+(((A558+A557)/2)*(B558-B557))</f>
        <v>4133.6321913739275</v>
      </c>
      <c r="D558" s="38"/>
    </row>
    <row r="559" spans="1:4" ht="13.8" x14ac:dyDescent="0.25">
      <c r="A559" s="41">
        <v>0.48141263940520446</v>
      </c>
      <c r="B559" s="41">
        <v>5085.6791739</v>
      </c>
      <c r="C559" s="43">
        <f>C558+(((A559+A558)/2)*(B559-B558))</f>
        <v>4136.5238244806651</v>
      </c>
      <c r="D559" s="38"/>
    </row>
    <row r="560" spans="1:4" ht="13.8" x14ac:dyDescent="0.25">
      <c r="A560" s="40">
        <v>0.4804832713754647</v>
      </c>
      <c r="B560" s="40">
        <v>5091.5603234000009</v>
      </c>
      <c r="C560" s="43">
        <f>C559+(((A560+A559)/2)*(B560-B559))</f>
        <v>4139.3523513080354</v>
      </c>
      <c r="D560" s="38"/>
    </row>
    <row r="561" spans="1:4" ht="13.8" x14ac:dyDescent="0.25">
      <c r="A561" s="41">
        <v>0.4795539033457249</v>
      </c>
      <c r="B561" s="41">
        <v>5097.6607700000004</v>
      </c>
      <c r="C561" s="43">
        <f>C560+(((A561+A560)/2)*(B561-B560))</f>
        <v>4142.2806790672357</v>
      </c>
      <c r="D561" s="38"/>
    </row>
    <row r="562" spans="1:4" ht="13.8" x14ac:dyDescent="0.25">
      <c r="A562" s="40">
        <v>0.47862453531598514</v>
      </c>
      <c r="B562" s="40">
        <v>5100.1727185999998</v>
      </c>
      <c r="C562" s="43">
        <f>C561+(((A562+A561)/2)*(B562-B561))</f>
        <v>4143.4841265610085</v>
      </c>
      <c r="D562" s="38"/>
    </row>
    <row r="563" spans="1:4" ht="13.8" x14ac:dyDescent="0.25">
      <c r="A563" s="41">
        <v>0.47769516728624534</v>
      </c>
      <c r="B563" s="41">
        <v>5101.3688846000005</v>
      </c>
      <c r="C563" s="43">
        <f>C562+(((A563+A562)/2)*(B563-B562))</f>
        <v>4144.0560851177006</v>
      </c>
      <c r="D563" s="38"/>
    </row>
    <row r="564" spans="1:4" ht="13.8" x14ac:dyDescent="0.25">
      <c r="A564" s="40">
        <v>0.47676579925650558</v>
      </c>
      <c r="B564" s="40">
        <v>5113.3504807000008</v>
      </c>
      <c r="C564" s="43">
        <f>C563+(((A564+A563)/2)*(B564-B563))</f>
        <v>4149.7740680148663</v>
      </c>
      <c r="D564" s="38"/>
    </row>
    <row r="565" spans="1:4" ht="13.8" x14ac:dyDescent="0.25">
      <c r="A565" s="41">
        <v>0.47583643122676578</v>
      </c>
      <c r="B565" s="41">
        <v>5129.5585300000002</v>
      </c>
      <c r="C565" s="43">
        <f>C564+(((A565+A564)/2)*(B565-B564))</f>
        <v>4157.493979972347</v>
      </c>
      <c r="D565" s="38"/>
    </row>
    <row r="566" spans="1:4" ht="13.8" x14ac:dyDescent="0.25">
      <c r="A566" s="40">
        <v>0.47490706319702602</v>
      </c>
      <c r="B566" s="40">
        <v>5144.4906688999999</v>
      </c>
      <c r="C566" s="43">
        <f>C565+(((A566+A565)/2)*(B566-B565))</f>
        <v>4164.5922969308504</v>
      </c>
      <c r="D566" s="38"/>
    </row>
    <row r="567" spans="1:4" ht="13.8" x14ac:dyDescent="0.25">
      <c r="A567" s="41">
        <v>0.47397769516728627</v>
      </c>
      <c r="B567" s="41">
        <v>5145.7267070999997</v>
      </c>
      <c r="C567" s="43">
        <f>C566+(((A567+A566)/2)*(B567-B566))</f>
        <v>4165.1787258352178</v>
      </c>
      <c r="D567" s="38"/>
    </row>
    <row r="568" spans="1:4" ht="13.8" x14ac:dyDescent="0.25">
      <c r="A568" s="40">
        <v>0.47304832713754646</v>
      </c>
      <c r="B568" s="40">
        <v>5146.0855568999996</v>
      </c>
      <c r="C568" s="43">
        <f>C567+(((A568+A567)/2)*(B568-B567))</f>
        <v>4165.3486458845673</v>
      </c>
      <c r="D568" s="38"/>
    </row>
    <row r="569" spans="1:4" ht="13.8" x14ac:dyDescent="0.25">
      <c r="A569" s="41">
        <v>0.47211895910780671</v>
      </c>
      <c r="B569" s="41">
        <v>5151.5480483000001</v>
      </c>
      <c r="C569" s="43">
        <f>C568+(((A569+A568)/2)*(B569-B568))</f>
        <v>4167.9301299709059</v>
      </c>
      <c r="D569" s="38"/>
    </row>
    <row r="570" spans="1:4" ht="13.8" x14ac:dyDescent="0.25">
      <c r="A570" s="40">
        <v>0.47118959107806691</v>
      </c>
      <c r="B570" s="40">
        <v>5173.9562247000003</v>
      </c>
      <c r="C570" s="43">
        <f>C569+(((A570+A569)/2)*(B570-B569))</f>
        <v>4178.4990421670027</v>
      </c>
      <c r="D570" s="38"/>
    </row>
    <row r="571" spans="1:4" ht="13.8" x14ac:dyDescent="0.25">
      <c r="A571" s="41">
        <v>0.47026022304832715</v>
      </c>
      <c r="B571" s="41">
        <v>5178.2823584000007</v>
      </c>
      <c r="C571" s="43">
        <f>C570+(((A571+A570)/2)*(B571-B570))</f>
        <v>4180.5354610508784</v>
      </c>
      <c r="D571" s="38"/>
    </row>
    <row r="572" spans="1:4" ht="13.8" x14ac:dyDescent="0.25">
      <c r="A572" s="40">
        <v>0.46933085501858735</v>
      </c>
      <c r="B572" s="40">
        <v>5179.9769269000017</v>
      </c>
      <c r="C572" s="43">
        <f>C571+(((A572+A571)/2)*(B572-B571))</f>
        <v>4181.3315617727658</v>
      </c>
      <c r="D572" s="38"/>
    </row>
    <row r="573" spans="1:4" ht="13.8" x14ac:dyDescent="0.25">
      <c r="A573" s="41">
        <v>0.46840148698884759</v>
      </c>
      <c r="B573" s="41">
        <v>5181.9705368999994</v>
      </c>
      <c r="C573" s="43">
        <f>C572+(((A573+A572)/2)*(B573-B572))</f>
        <v>4182.2662980599398</v>
      </c>
      <c r="D573" s="38"/>
    </row>
    <row r="574" spans="1:4" ht="13.8" x14ac:dyDescent="0.25">
      <c r="A574" s="40">
        <v>0.46747211895910779</v>
      </c>
      <c r="B574" s="40">
        <v>5200.2718767000006</v>
      </c>
      <c r="C574" s="43">
        <f>C573+(((A574+A573)/2)*(B574-B573))</f>
        <v>4190.8301684960925</v>
      </c>
      <c r="D574" s="38"/>
    </row>
    <row r="575" spans="1:4" ht="13.8" x14ac:dyDescent="0.25">
      <c r="A575" s="41">
        <v>0.46654275092936803</v>
      </c>
      <c r="B575" s="41">
        <v>5227.9431835000005</v>
      </c>
      <c r="C575" s="43">
        <f>C574+(((A575+A574)/2)*(B575-B574))</f>
        <v>4203.7528745063155</v>
      </c>
      <c r="D575" s="38"/>
    </row>
    <row r="576" spans="1:4" ht="13.8" x14ac:dyDescent="0.25">
      <c r="A576" s="40">
        <v>0.46561338289962823</v>
      </c>
      <c r="B576" s="40">
        <v>5244.9088046000006</v>
      </c>
      <c r="C576" s="43">
        <f>C575+(((A576+A575)/2)*(B576-B575))</f>
        <v>4211.6601783926071</v>
      </c>
      <c r="D576" s="38"/>
    </row>
    <row r="577" spans="1:4" ht="13.8" x14ac:dyDescent="0.25">
      <c r="A577" s="41">
        <v>0.46468401486988847</v>
      </c>
      <c r="B577" s="41">
        <v>5253.9199218000003</v>
      </c>
      <c r="C577" s="43">
        <f>C576+(((A577+A576)/2)*(B577-B576))</f>
        <v>4215.851687833685</v>
      </c>
      <c r="D577" s="38"/>
    </row>
    <row r="578" spans="1:4" ht="13.8" x14ac:dyDescent="0.25">
      <c r="A578" s="40">
        <v>0.46375464684014872</v>
      </c>
      <c r="B578" s="40">
        <v>5260.5387070000006</v>
      </c>
      <c r="C578" s="43">
        <f>C577+(((A578+A577)/2)*(B578-B577))</f>
        <v>4218.9242558703027</v>
      </c>
      <c r="D578" s="38"/>
    </row>
    <row r="579" spans="1:4" ht="13.8" x14ac:dyDescent="0.25">
      <c r="A579" s="41">
        <v>0.46282527881040891</v>
      </c>
      <c r="B579" s="41">
        <v>5270.6263736000019</v>
      </c>
      <c r="C579" s="43">
        <f>C578+(((A579+A578)/2)*(B579-B578))</f>
        <v>4223.597770554411</v>
      </c>
      <c r="D579" s="38"/>
    </row>
    <row r="580" spans="1:4" ht="13.8" x14ac:dyDescent="0.25">
      <c r="A580" s="40">
        <v>0.46189591078066916</v>
      </c>
      <c r="B580" s="40">
        <v>5312.0934616000022</v>
      </c>
      <c r="C580" s="43">
        <f>C579+(((A580+A579)/2)*(B580-B579))</f>
        <v>4242.7705180265302</v>
      </c>
      <c r="D580" s="38"/>
    </row>
    <row r="581" spans="1:4" ht="13.8" x14ac:dyDescent="0.25">
      <c r="A581" s="41">
        <v>0.46096654275092935</v>
      </c>
      <c r="B581" s="41">
        <v>5312.9905860999997</v>
      </c>
      <c r="C581" s="43">
        <f>C580+(((A581+A580)/2)*(B581-B580))</f>
        <v>4243.1844792851261</v>
      </c>
      <c r="D581" s="38"/>
    </row>
    <row r="582" spans="1:4" ht="13.8" x14ac:dyDescent="0.25">
      <c r="A582" s="40">
        <v>0.4600371747211896</v>
      </c>
      <c r="B582" s="40">
        <v>5323.1380609999997</v>
      </c>
      <c r="C582" s="43">
        <f>C581+(((A582+A581)/2)*(B582-B581))</f>
        <v>4247.8574103380533</v>
      </c>
      <c r="D582" s="38"/>
    </row>
    <row r="583" spans="1:4" ht="13.8" x14ac:dyDescent="0.25">
      <c r="A583" s="41">
        <v>0.45910780669144979</v>
      </c>
      <c r="B583" s="41">
        <v>5329.4976769000004</v>
      </c>
      <c r="C583" s="43">
        <f>C582+(((A583+A582)/2)*(B583-B582))</f>
        <v>4250.7801148571525</v>
      </c>
      <c r="D583" s="38"/>
    </row>
    <row r="584" spans="1:4" ht="13.8" x14ac:dyDescent="0.25">
      <c r="A584" s="40">
        <v>0.45817843866171004</v>
      </c>
      <c r="B584" s="40">
        <v>5338.3094331000011</v>
      </c>
      <c r="C584" s="43">
        <f>C583+(((A584+A583)/2)*(B584-B583))</f>
        <v>4254.8215662369857</v>
      </c>
      <c r="D584" s="38"/>
    </row>
    <row r="585" spans="1:4" ht="13.8" x14ac:dyDescent="0.25">
      <c r="A585" s="41">
        <v>0.45724907063197023</v>
      </c>
      <c r="B585" s="41">
        <v>5343.4330108000004</v>
      </c>
      <c r="C585" s="43">
        <f>C584+(((A585+A584)/2)*(B585-B584))</f>
        <v>4257.1666982232773</v>
      </c>
      <c r="D585" s="38"/>
    </row>
    <row r="586" spans="1:4" ht="13.8" x14ac:dyDescent="0.25">
      <c r="A586" s="40">
        <v>0.45631970260223048</v>
      </c>
      <c r="B586" s="40">
        <v>5346.0047676999993</v>
      </c>
      <c r="C586" s="43">
        <f>C585+(((A586+A585)/2)*(B586-B585))</f>
        <v>4258.3414366213719</v>
      </c>
      <c r="D586" s="38"/>
    </row>
    <row r="587" spans="1:4" ht="13.8" x14ac:dyDescent="0.25">
      <c r="A587" s="41">
        <v>0.45539033457249073</v>
      </c>
      <c r="B587" s="41">
        <v>5362.1330725999987</v>
      </c>
      <c r="C587" s="43">
        <f>C586+(((A587+A586)/2)*(B587-B586))</f>
        <v>4265.6936053513436</v>
      </c>
      <c r="D587" s="38"/>
    </row>
    <row r="588" spans="1:4" ht="13.8" x14ac:dyDescent="0.25">
      <c r="A588" s="40">
        <v>0.45446096654275092</v>
      </c>
      <c r="B588" s="40">
        <v>5371.2438702999998</v>
      </c>
      <c r="C588" s="43">
        <f>C587+(((A588+A587)/2)*(B588-B587))</f>
        <v>4269.8383409221151</v>
      </c>
      <c r="D588" s="38"/>
    </row>
    <row r="589" spans="1:4" ht="13.8" x14ac:dyDescent="0.25">
      <c r="A589" s="41">
        <v>0.45353159851301117</v>
      </c>
      <c r="B589" s="41">
        <v>5384.6808016999994</v>
      </c>
      <c r="C589" s="43">
        <f>C588+(((A589+A588)/2)*(B589-B588))</f>
        <v>4275.9386578262975</v>
      </c>
      <c r="D589" s="38"/>
    </row>
    <row r="590" spans="1:4" ht="13.8" x14ac:dyDescent="0.25">
      <c r="A590" s="40">
        <v>0.45260223048327136</v>
      </c>
      <c r="B590" s="40">
        <v>5387.8307055000005</v>
      </c>
      <c r="C590" s="43">
        <f>C589+(((A590+A589)/2)*(B590-B589))</f>
        <v>4277.3657750219299</v>
      </c>
      <c r="D590" s="38"/>
    </row>
    <row r="591" spans="1:4" ht="13.8" x14ac:dyDescent="0.25">
      <c r="A591" s="41">
        <v>0.45167286245353161</v>
      </c>
      <c r="B591" s="41">
        <v>5408.7835465999997</v>
      </c>
      <c r="C591" s="43">
        <f>C590+(((A591+A590)/2)*(B591-B590))</f>
        <v>4286.8393411884263</v>
      </c>
      <c r="D591" s="38"/>
    </row>
    <row r="592" spans="1:4" ht="13.8" x14ac:dyDescent="0.25">
      <c r="A592" s="40">
        <v>0.4507434944237918</v>
      </c>
      <c r="B592" s="40">
        <v>5413.2691691000009</v>
      </c>
      <c r="C592" s="43">
        <f>C591+(((A592+A591)/2)*(B592-B591))</f>
        <v>4288.863290745815</v>
      </c>
      <c r="D592" s="38"/>
    </row>
    <row r="593" spans="1:4" ht="13.8" x14ac:dyDescent="0.25">
      <c r="A593" s="41">
        <v>0.44981412639405205</v>
      </c>
      <c r="B593" s="41">
        <v>5419.3297434999995</v>
      </c>
      <c r="C593" s="43">
        <f>C592+(((A593+A592)/2)*(B593-B592))</f>
        <v>4291.5922389770412</v>
      </c>
      <c r="D593" s="38"/>
    </row>
    <row r="594" spans="1:4" ht="13.8" x14ac:dyDescent="0.25">
      <c r="A594" s="40">
        <v>0.44888475836431224</v>
      </c>
      <c r="B594" s="40">
        <v>5423.2571551999999</v>
      </c>
      <c r="C594" s="43">
        <f>C593+(((A594+A593)/2)*(B594-B593))</f>
        <v>4293.3570192344296</v>
      </c>
      <c r="D594" s="38"/>
    </row>
    <row r="595" spans="1:4" ht="13.8" x14ac:dyDescent="0.25">
      <c r="A595" s="41">
        <v>0.44795539033457249</v>
      </c>
      <c r="B595" s="41">
        <v>5423.5163245000003</v>
      </c>
      <c r="C595" s="43">
        <f>C594+(((A595+A594)/2)*(B595-B594))</f>
        <v>4293.4732359512045</v>
      </c>
      <c r="D595" s="38"/>
    </row>
    <row r="596" spans="1:4" ht="13.8" x14ac:dyDescent="0.25">
      <c r="A596" s="40">
        <v>0.44702602230483274</v>
      </c>
      <c r="B596" s="40">
        <v>5427.4836083999999</v>
      </c>
      <c r="C596" s="43">
        <f>C595+(((A596+A595)/2)*(B596-B595))</f>
        <v>4295.2485586257862</v>
      </c>
      <c r="D596" s="38"/>
    </row>
    <row r="597" spans="1:4" ht="13.8" x14ac:dyDescent="0.25">
      <c r="A597" s="41">
        <v>0.44609665427509293</v>
      </c>
      <c r="B597" s="41">
        <v>5449.1142768999998</v>
      </c>
      <c r="C597" s="43">
        <f>C596+(((A597+A596)/2)*(B597-B596))</f>
        <v>4304.9079788992531</v>
      </c>
      <c r="D597" s="38"/>
    </row>
    <row r="598" spans="1:4" ht="13.8" x14ac:dyDescent="0.25">
      <c r="A598" s="40">
        <v>0.44516728624535318</v>
      </c>
      <c r="B598" s="40">
        <v>5454.1979824000009</v>
      </c>
      <c r="C598" s="43">
        <f>C597+(((A598+A597)/2)*(B598-B597))</f>
        <v>4307.1734405974412</v>
      </c>
      <c r="D598" s="38"/>
    </row>
    <row r="599" spans="1:4" ht="13.8" x14ac:dyDescent="0.25">
      <c r="A599" s="41">
        <v>0.44423791821561337</v>
      </c>
      <c r="B599" s="41">
        <v>5459.640537700001</v>
      </c>
      <c r="C599" s="43">
        <f>C598+(((A599+A598)/2)*(B599-B598))</f>
        <v>4309.5937591021348</v>
      </c>
      <c r="D599" s="38"/>
    </row>
    <row r="600" spans="1:4" ht="13.8" x14ac:dyDescent="0.25">
      <c r="A600" s="40">
        <v>0.44330855018587362</v>
      </c>
      <c r="B600" s="40">
        <v>5462.7904415000003</v>
      </c>
      <c r="C600" s="43">
        <f>C599+(((A600+A599)/2)*(B600-B599))</f>
        <v>4310.9916020988812</v>
      </c>
      <c r="D600" s="38"/>
    </row>
    <row r="601" spans="1:4" ht="13.8" x14ac:dyDescent="0.25">
      <c r="A601" s="41">
        <v>0.44237918215613381</v>
      </c>
      <c r="B601" s="41">
        <v>5464.6046265999994</v>
      </c>
      <c r="C601" s="43">
        <f>C600+(((A601+A600)/2)*(B601-B600))</f>
        <v>4311.7950028425148</v>
      </c>
      <c r="D601" s="38"/>
    </row>
    <row r="602" spans="1:4" ht="13.8" x14ac:dyDescent="0.25">
      <c r="A602" s="40">
        <v>0.44144981412639406</v>
      </c>
      <c r="B602" s="40">
        <v>5474.5527405000003</v>
      </c>
      <c r="C602" s="43">
        <f>C601+(((A602+A601)/2)*(B602-B601))</f>
        <v>4316.1912186040854</v>
      </c>
      <c r="D602" s="38"/>
    </row>
    <row r="603" spans="1:4" ht="13.8" x14ac:dyDescent="0.25">
      <c r="A603" s="41">
        <v>0.44052044609665425</v>
      </c>
      <c r="B603" s="41">
        <v>5477.443475</v>
      </c>
      <c r="C603" s="43">
        <f>C602+(((A603+A602)/2)*(B603-B602))</f>
        <v>4317.4659895336854</v>
      </c>
      <c r="D603" s="38"/>
    </row>
    <row r="604" spans="1:4" ht="13.8" x14ac:dyDescent="0.25">
      <c r="A604" s="40">
        <v>0.4395910780669145</v>
      </c>
      <c r="B604" s="40">
        <v>5480.2544651000007</v>
      </c>
      <c r="C604" s="43">
        <f>C603+(((A604+A603)/2)*(B604-B603))</f>
        <v>4318.7029819243453</v>
      </c>
      <c r="D604" s="38"/>
    </row>
    <row r="605" spans="1:4" ht="13.8" x14ac:dyDescent="0.25">
      <c r="A605" s="41">
        <v>0.43866171003717475</v>
      </c>
      <c r="B605" s="41">
        <v>5482.2879473000003</v>
      </c>
      <c r="C605" s="43">
        <f>C604+(((A605+A604)/2)*(B605-B604))</f>
        <v>4319.5959376301998</v>
      </c>
      <c r="D605" s="38"/>
    </row>
    <row r="606" spans="1:4" ht="13.8" x14ac:dyDescent="0.25">
      <c r="A606" s="40">
        <v>0.43773234200743494</v>
      </c>
      <c r="B606" s="40">
        <v>5483.8230270000004</v>
      </c>
      <c r="C606" s="43">
        <f>C605+(((A606+A605)/2)*(B606-B605))</f>
        <v>4320.2686049894473</v>
      </c>
      <c r="D606" s="38"/>
    </row>
    <row r="607" spans="1:4" ht="13.8" x14ac:dyDescent="0.25">
      <c r="A607" s="41">
        <v>0.43680297397769519</v>
      </c>
      <c r="B607" s="41">
        <v>5487.8501192000003</v>
      </c>
      <c r="C607" s="43">
        <f>C606+(((A607+A606)/2)*(B607-B606))</f>
        <v>4322.0295221642618</v>
      </c>
      <c r="D607" s="38"/>
    </row>
    <row r="608" spans="1:4" ht="13.8" x14ac:dyDescent="0.25">
      <c r="A608" s="40">
        <v>0.43587360594795538</v>
      </c>
      <c r="B608" s="40">
        <v>5496.5023866000001</v>
      </c>
      <c r="C608" s="43">
        <f>C607+(((A608+A607)/2)*(B608-B607))</f>
        <v>4325.8048377258792</v>
      </c>
      <c r="D608" s="38"/>
    </row>
    <row r="609" spans="1:4" ht="13.8" x14ac:dyDescent="0.25">
      <c r="A609" s="41">
        <v>0.43494423791821563</v>
      </c>
      <c r="B609" s="41">
        <v>5503.3404688999999</v>
      </c>
      <c r="C609" s="43">
        <f>C608+(((A609+A608)/2)*(B609-B608))</f>
        <v>4328.7821997682122</v>
      </c>
      <c r="D609" s="38"/>
    </row>
    <row r="610" spans="1:4" ht="13.8" x14ac:dyDescent="0.25">
      <c r="A610" s="40">
        <v>0.43401486988847582</v>
      </c>
      <c r="B610" s="40">
        <v>5510.1386789999997</v>
      </c>
      <c r="C610" s="43">
        <f>C609+(((A610+A609)/2)*(B610-B609))</f>
        <v>4331.7358830598014</v>
      </c>
      <c r="D610" s="38"/>
    </row>
    <row r="611" spans="1:4" ht="13.8" x14ac:dyDescent="0.25">
      <c r="A611" s="41">
        <v>0.43308550185873607</v>
      </c>
      <c r="B611" s="41">
        <v>5519.8276236000002</v>
      </c>
      <c r="C611" s="43">
        <f>C610+(((A611+A610)/2)*(B611-B610))</f>
        <v>4335.9365267920502</v>
      </c>
      <c r="D611" s="38"/>
    </row>
    <row r="612" spans="1:4" ht="13.8" x14ac:dyDescent="0.25">
      <c r="A612" s="40">
        <v>0.43215613382899626</v>
      </c>
      <c r="B612" s="40">
        <v>5529.5963125999997</v>
      </c>
      <c r="C612" s="43">
        <f>C611+(((A612+A611)/2)*(B612-B611))</f>
        <v>4340.1626650164926</v>
      </c>
      <c r="D612" s="38"/>
    </row>
    <row r="613" spans="1:4" ht="13.8" x14ac:dyDescent="0.25">
      <c r="A613" s="41">
        <v>0.43122676579925651</v>
      </c>
      <c r="B613" s="41">
        <v>5540.3019983000004</v>
      </c>
      <c r="C613" s="43">
        <f>C612+(((A613+A612)/2)*(B613-B612))</f>
        <v>4344.7842179975805</v>
      </c>
      <c r="D613" s="38"/>
    </row>
    <row r="614" spans="1:4" ht="13.8" x14ac:dyDescent="0.25">
      <c r="A614" s="40">
        <v>0.43029739776951675</v>
      </c>
      <c r="B614" s="40">
        <v>5557.5666609000009</v>
      </c>
      <c r="C614" s="43">
        <f>C613+(((A614+A613)/2)*(B614-B613))</f>
        <v>4352.2211800004616</v>
      </c>
      <c r="D614" s="38"/>
    </row>
    <row r="615" spans="1:4" ht="13.8" x14ac:dyDescent="0.25">
      <c r="A615" s="41">
        <v>0.42936802973977695</v>
      </c>
      <c r="B615" s="41">
        <v>5558.9223157000015</v>
      </c>
      <c r="C615" s="43">
        <f>C614+(((A615+A614)/2)*(B615-B614))</f>
        <v>4352.8038847820608</v>
      </c>
      <c r="D615" s="38"/>
    </row>
    <row r="616" spans="1:4" ht="13.8" x14ac:dyDescent="0.25">
      <c r="A616" s="40">
        <v>0.42843866171003719</v>
      </c>
      <c r="B616" s="40">
        <v>5570.1463400000021</v>
      </c>
      <c r="C616" s="43">
        <f>C615+(((A616+A615)/2)*(B616-B615))</f>
        <v>4357.6179063568288</v>
      </c>
      <c r="D616" s="38"/>
    </row>
    <row r="617" spans="1:4" ht="13.8" x14ac:dyDescent="0.25">
      <c r="A617" s="41">
        <v>0.42750929368029739</v>
      </c>
      <c r="B617" s="41">
        <v>5589.8830790000011</v>
      </c>
      <c r="C617" s="43">
        <f>C616+(((A617+A616)/2)*(B617-B616))</f>
        <v>4366.0647170533894</v>
      </c>
      <c r="D617" s="38"/>
    </row>
    <row r="618" spans="1:4" ht="13.8" x14ac:dyDescent="0.25">
      <c r="A618" s="40">
        <v>0.42657992565055763</v>
      </c>
      <c r="B618" s="40">
        <v>5600.7681896000004</v>
      </c>
      <c r="C618" s="43">
        <f>C617+(((A618+A617)/2)*(B618-B617))</f>
        <v>4370.7131448607306</v>
      </c>
      <c r="D618" s="38"/>
    </row>
    <row r="619" spans="1:4" ht="13.8" x14ac:dyDescent="0.25">
      <c r="A619" s="41">
        <v>0.42565055762081783</v>
      </c>
      <c r="B619" s="41">
        <v>5607.2872943000002</v>
      </c>
      <c r="C619" s="43">
        <f>C618+(((A619+A618)/2)*(B619-B618))</f>
        <v>4373.4910347352197</v>
      </c>
      <c r="D619" s="38"/>
    </row>
    <row r="620" spans="1:4" ht="13.8" x14ac:dyDescent="0.25">
      <c r="A620" s="40">
        <v>0.42472118959107807</v>
      </c>
      <c r="B620" s="40">
        <v>5615.3215425999997</v>
      </c>
      <c r="C620" s="43">
        <f>C619+(((A620+A619)/2)*(B620-B619))</f>
        <v>4376.9070836174224</v>
      </c>
      <c r="D620" s="38"/>
    </row>
    <row r="621" spans="1:4" ht="13.8" x14ac:dyDescent="0.25">
      <c r="A621" s="41">
        <v>0.42379182156133827</v>
      </c>
      <c r="B621" s="41">
        <v>5646.5215391000002</v>
      </c>
      <c r="C621" s="43">
        <f>C620+(((A621+A620)/2)*(B621-B620))</f>
        <v>4390.1438851065022</v>
      </c>
      <c r="D621" s="38"/>
    </row>
    <row r="622" spans="1:4" ht="13.8" x14ac:dyDescent="0.25">
      <c r="A622" s="40">
        <v>0.42286245353159851</v>
      </c>
      <c r="B622" s="40">
        <v>5696.6010222999994</v>
      </c>
      <c r="C622" s="43">
        <f>C621+(((A622+A621)/2)*(B622-B621))</f>
        <v>4411.3438893793646</v>
      </c>
      <c r="D622" s="38"/>
    </row>
    <row r="623" spans="1:4" ht="13.8" x14ac:dyDescent="0.25">
      <c r="A623" s="41">
        <v>0.42193308550185876</v>
      </c>
      <c r="B623" s="41">
        <v>5725.1694536000005</v>
      </c>
      <c r="C623" s="43">
        <f>C622+(((A623+A622)/2)*(B623-B622))</f>
        <v>4423.4111310390772</v>
      </c>
      <c r="D623" s="38"/>
    </row>
    <row r="624" spans="1:4" ht="13.8" x14ac:dyDescent="0.25">
      <c r="A624" s="40">
        <v>0.42100371747211895</v>
      </c>
      <c r="B624" s="40">
        <v>5740.9189726000004</v>
      </c>
      <c r="C624" s="43">
        <f>C623+(((A624+A623)/2)*(B624-B623))</f>
        <v>4430.0490556361965</v>
      </c>
      <c r="D624" s="38"/>
    </row>
    <row r="625" spans="1:4" ht="13.8" x14ac:dyDescent="0.25">
      <c r="A625" s="41">
        <v>0.4200743494423792</v>
      </c>
      <c r="B625" s="41">
        <v>5750.8272143000004</v>
      </c>
      <c r="C625" s="43">
        <f>C624+(((A625+A624)/2)*(B625-B624))</f>
        <v>4434.2158580239757</v>
      </c>
      <c r="D625" s="38"/>
    </row>
    <row r="626" spans="1:4" ht="13.8" x14ac:dyDescent="0.25">
      <c r="A626" s="40">
        <v>0.41914498141263939</v>
      </c>
      <c r="B626" s="40">
        <v>5756.8479164999999</v>
      </c>
      <c r="C626" s="43">
        <f>C625+(((A626+A625)/2)*(B626-B625))</f>
        <v>4436.7422028597557</v>
      </c>
      <c r="D626" s="38"/>
    </row>
    <row r="627" spans="1:4" ht="13.8" x14ac:dyDescent="0.25">
      <c r="A627" s="41">
        <v>0.41821561338289964</v>
      </c>
      <c r="B627" s="41">
        <v>5775.1293202000006</v>
      </c>
      <c r="C627" s="43">
        <f>C626+(((A627+A626)/2)*(B627-B626))</f>
        <v>4444.3962663977209</v>
      </c>
      <c r="D627" s="38"/>
    </row>
    <row r="628" spans="1:4" ht="13.8" x14ac:dyDescent="0.25">
      <c r="A628" s="40">
        <v>0.41728624535315983</v>
      </c>
      <c r="B628" s="40">
        <v>5800.1889979000016</v>
      </c>
      <c r="C628" s="43">
        <f>C627+(((A628+A627)/2)*(B628-B627))</f>
        <v>4454.8649700465594</v>
      </c>
      <c r="D628" s="38"/>
    </row>
    <row r="629" spans="1:4" ht="13.8" x14ac:dyDescent="0.25">
      <c r="A629" s="41">
        <v>0.41635687732342008</v>
      </c>
      <c r="B629" s="41">
        <v>5811.0940446000004</v>
      </c>
      <c r="C629" s="43">
        <f>C628+(((A629+A628)/2)*(B629-B628))</f>
        <v>4459.41042863852</v>
      </c>
      <c r="D629" s="38"/>
    </row>
    <row r="630" spans="1:4" ht="13.8" x14ac:dyDescent="0.25">
      <c r="A630" s="40">
        <v>0.41542750929368027</v>
      </c>
      <c r="B630" s="40">
        <v>5818.2710406000006</v>
      </c>
      <c r="C630" s="43">
        <f>C629+(((A630+A629)/2)*(B630-B629))</f>
        <v>4462.3952852463271</v>
      </c>
      <c r="D630" s="38"/>
    </row>
    <row r="631" spans="1:4" ht="13.8" x14ac:dyDescent="0.25">
      <c r="A631" s="41">
        <v>0.41449814126394052</v>
      </c>
      <c r="B631" s="41">
        <v>5829.1362151000003</v>
      </c>
      <c r="C631" s="43">
        <f>C630+(((A631+A630)/2)*(B631-B630))</f>
        <v>4466.9039287539945</v>
      </c>
      <c r="D631" s="38"/>
    </row>
    <row r="632" spans="1:4" ht="13.8" x14ac:dyDescent="0.25">
      <c r="A632" s="40">
        <v>0.41356877323420077</v>
      </c>
      <c r="B632" s="40">
        <v>5831.7279080999997</v>
      </c>
      <c r="C632" s="43">
        <f>C631+(((A632+A631)/2)*(B632-B631))</f>
        <v>4467.9769763669128</v>
      </c>
      <c r="D632" s="38"/>
    </row>
    <row r="633" spans="1:4" ht="13.8" x14ac:dyDescent="0.25">
      <c r="A633" s="41">
        <v>0.41263940520446096</v>
      </c>
      <c r="B633" s="41">
        <v>5833.0038185000012</v>
      </c>
      <c r="C633" s="43">
        <f>C632+(((A633+A632)/2)*(B633-B632))</f>
        <v>4468.5040601706305</v>
      </c>
      <c r="D633" s="38"/>
    </row>
    <row r="634" spans="1:4" ht="13.8" x14ac:dyDescent="0.25">
      <c r="A634" s="40">
        <v>0.41171003717472121</v>
      </c>
      <c r="B634" s="40">
        <v>5844.2477789000013</v>
      </c>
      <c r="C634" s="43">
        <f>C633+(((A634+A633)/2)*(B634-B633))</f>
        <v>4473.1385364135676</v>
      </c>
      <c r="D634" s="38"/>
    </row>
    <row r="635" spans="1:4" ht="13.8" x14ac:dyDescent="0.25">
      <c r="A635" s="41">
        <v>0.4107806691449814</v>
      </c>
      <c r="B635" s="41">
        <v>5844.8657979999998</v>
      </c>
      <c r="C635" s="43">
        <f>C634+(((A635+A634)/2)*(B635-B634))</f>
        <v>4473.392693896606</v>
      </c>
      <c r="D635" s="38"/>
    </row>
    <row r="636" spans="1:4" ht="13.8" x14ac:dyDescent="0.25">
      <c r="A636" s="40">
        <v>0.40985130111524165</v>
      </c>
      <c r="B636" s="40">
        <v>5849.5707176000014</v>
      </c>
      <c r="C636" s="43">
        <f>C635+(((A636+A635)/2)*(B636-B635))</f>
        <v>4475.3231976172383</v>
      </c>
      <c r="D636" s="38"/>
    </row>
    <row r="637" spans="1:4" ht="13.8" x14ac:dyDescent="0.25">
      <c r="A637" s="41">
        <v>0.40892193308550184</v>
      </c>
      <c r="B637" s="41">
        <v>5851.3849027000006</v>
      </c>
      <c r="C637" s="43">
        <f>C636+(((A637+A636)/2)*(B637-B636))</f>
        <v>4476.0659007181212</v>
      </c>
      <c r="D637" s="38"/>
    </row>
    <row r="638" spans="1:4" ht="13.8" x14ac:dyDescent="0.25">
      <c r="A638" s="40">
        <v>0.40799256505576209</v>
      </c>
      <c r="B638" s="40">
        <v>5862.7883518999997</v>
      </c>
      <c r="C638" s="43">
        <f>C637+(((A638+A637)/2)*(B638-B637))</f>
        <v>4480.7237222082695</v>
      </c>
      <c r="D638" s="38"/>
    </row>
    <row r="639" spans="1:4" ht="13.8" x14ac:dyDescent="0.25">
      <c r="A639" s="41">
        <v>0.40706319702602228</v>
      </c>
      <c r="B639" s="41">
        <v>5866.7157636000002</v>
      </c>
      <c r="C639" s="43">
        <f>C638+(((A639+A638)/2)*(B639-B638))</f>
        <v>4482.3242519763462</v>
      </c>
      <c r="D639" s="38"/>
    </row>
    <row r="640" spans="1:4" ht="13.8" x14ac:dyDescent="0.25">
      <c r="A640" s="40">
        <v>0.40613382899628253</v>
      </c>
      <c r="B640" s="40">
        <v>5872.6965936000006</v>
      </c>
      <c r="C640" s="43">
        <f>C639+(((A640+A639)/2)*(B640-B639))</f>
        <v>4484.7560485609192</v>
      </c>
      <c r="D640" s="38"/>
    </row>
    <row r="641" spans="1:4" ht="13.8" x14ac:dyDescent="0.25">
      <c r="A641" s="41">
        <v>0.40520446096654272</v>
      </c>
      <c r="B641" s="41">
        <v>5875.6471363999999</v>
      </c>
      <c r="C641" s="43">
        <f>C640+(((A641+A640)/2)*(B641-B640))</f>
        <v>4485.9529927358262</v>
      </c>
      <c r="D641" s="38"/>
    </row>
    <row r="642" spans="1:4" ht="13.8" x14ac:dyDescent="0.25">
      <c r="A642" s="40">
        <v>0.40427509293680297</v>
      </c>
      <c r="B642" s="40">
        <v>5882.4453465000006</v>
      </c>
      <c r="C642" s="43">
        <f>C641+(((A642+A641)/2)*(B642-B641))</f>
        <v>4488.7044987753707</v>
      </c>
      <c r="D642" s="38"/>
    </row>
    <row r="643" spans="1:4" ht="13.8" x14ac:dyDescent="0.25">
      <c r="A643" s="41">
        <v>0.40334572490706322</v>
      </c>
      <c r="B643" s="41">
        <v>5884.4389565000001</v>
      </c>
      <c r="C643" s="43">
        <f>C642+(((A643+A642)/2)*(B643-B642))</f>
        <v>4489.509539244701</v>
      </c>
      <c r="D643" s="38"/>
    </row>
    <row r="644" spans="1:4" ht="13.8" x14ac:dyDescent="0.25">
      <c r="A644" s="40">
        <v>0.40241635687732341</v>
      </c>
      <c r="B644" s="40">
        <v>5906.5281553000004</v>
      </c>
      <c r="C644" s="43">
        <f>C643+(((A644+A643)/2)*(B644-B643))</f>
        <v>4498.4088586497201</v>
      </c>
      <c r="D644" s="38"/>
    </row>
    <row r="645" spans="1:4" ht="13.8" x14ac:dyDescent="0.25">
      <c r="A645" s="41">
        <v>0.40148698884758366</v>
      </c>
      <c r="B645" s="41">
        <v>5922.4371631000013</v>
      </c>
      <c r="C645" s="43">
        <f>C644+(((A645+A644)/2)*(B645-B644))</f>
        <v>4504.8035109485127</v>
      </c>
      <c r="D645" s="38"/>
    </row>
    <row r="646" spans="1:4" ht="13.8" x14ac:dyDescent="0.25">
      <c r="A646" s="40">
        <v>0.40055762081784385</v>
      </c>
      <c r="B646" s="40">
        <v>5927.2218271000002</v>
      </c>
      <c r="C646" s="43">
        <f>C645+(((A646+A645)/2)*(B646-B645))</f>
        <v>4506.7222679336419</v>
      </c>
      <c r="D646" s="38"/>
    </row>
    <row r="647" spans="1:4" ht="13.8" x14ac:dyDescent="0.25">
      <c r="A647" s="41">
        <v>0.3996282527881041</v>
      </c>
      <c r="B647" s="41">
        <v>5947.1778631999996</v>
      </c>
      <c r="C647" s="43">
        <f>C646+(((A647+A646)/2)*(B647-B646))</f>
        <v>4514.706537023837</v>
      </c>
      <c r="D647" s="38"/>
    </row>
    <row r="648" spans="1:4" ht="13.8" x14ac:dyDescent="0.25">
      <c r="A648" s="40">
        <v>0.39869888475836429</v>
      </c>
      <c r="B648" s="40">
        <v>5949.8094284000008</v>
      </c>
      <c r="C648" s="43">
        <f>C647+(((A648+A647)/2)*(B648-B647))</f>
        <v>4515.756961980529</v>
      </c>
      <c r="D648" s="38"/>
    </row>
    <row r="649" spans="1:4" ht="13.8" x14ac:dyDescent="0.25">
      <c r="A649" s="41">
        <v>0.39776951672862454</v>
      </c>
      <c r="B649" s="41">
        <v>5950.3676392000007</v>
      </c>
      <c r="C649" s="43">
        <f>C648+(((A649+A648)/2)*(B649-B648))</f>
        <v>4515.9792606123137</v>
      </c>
      <c r="D649" s="38"/>
    </row>
    <row r="650" spans="1:4" ht="13.8" x14ac:dyDescent="0.25">
      <c r="A650" s="40">
        <v>0.39684014869888473</v>
      </c>
      <c r="B650" s="40">
        <v>5951.8030383999994</v>
      </c>
      <c r="C650" s="43">
        <f>C649+(((A650+A649)/2)*(B650-B649))</f>
        <v>4516.5495516513465</v>
      </c>
      <c r="D650" s="38"/>
    </row>
    <row r="651" spans="1:4" ht="13.8" x14ac:dyDescent="0.25">
      <c r="A651" s="41">
        <v>0.39591078066914498</v>
      </c>
      <c r="B651" s="41">
        <v>5975.7462944999997</v>
      </c>
      <c r="C651" s="43">
        <f>C650+(((A651+A650)/2)*(B651-B650))</f>
        <v>4526.0400709140322</v>
      </c>
      <c r="D651" s="38"/>
    </row>
    <row r="652" spans="1:4" ht="13.8" x14ac:dyDescent="0.25">
      <c r="A652" s="40">
        <v>0.39498141263940523</v>
      </c>
      <c r="B652" s="40">
        <v>6004.5938311999998</v>
      </c>
      <c r="C652" s="43">
        <f>C651+(((A652+A651)/2)*(B652-B651))</f>
        <v>4537.4477167001378</v>
      </c>
      <c r="D652" s="38"/>
    </row>
    <row r="653" spans="1:4" ht="13.8" x14ac:dyDescent="0.25">
      <c r="A653" s="41">
        <v>0.39405204460966542</v>
      </c>
      <c r="B653" s="41">
        <v>6014.7811783000006</v>
      </c>
      <c r="C653" s="43">
        <f>C652+(((A653+A652)/2)*(B653-B652))</f>
        <v>4541.4667955513924</v>
      </c>
      <c r="D653" s="38"/>
    </row>
    <row r="654" spans="1:4" ht="13.8" x14ac:dyDescent="0.25">
      <c r="A654" s="40">
        <v>0.39312267657992567</v>
      </c>
      <c r="B654" s="40">
        <v>6017.1137019999996</v>
      </c>
      <c r="C654" s="43">
        <f>C653+(((A654+A653)/2)*(B654-B653))</f>
        <v>4542.3848473979997</v>
      </c>
      <c r="D654" s="38"/>
    </row>
    <row r="655" spans="1:4" ht="13.8" x14ac:dyDescent="0.25">
      <c r="A655" s="41">
        <v>0.39219330855018586</v>
      </c>
      <c r="B655" s="41">
        <v>6019.4063534999996</v>
      </c>
      <c r="C655" s="43">
        <f>C654+(((A655+A654)/2)*(B655-B654))</f>
        <v>4543.2850753336406</v>
      </c>
      <c r="D655" s="38"/>
    </row>
    <row r="656" spans="1:4" ht="13.8" x14ac:dyDescent="0.25">
      <c r="A656" s="40">
        <v>0.39126394052044611</v>
      </c>
      <c r="B656" s="40">
        <v>6041.1167663999995</v>
      </c>
      <c r="C656" s="43">
        <f>C655+(((A656+A655)/2)*(B656-B655))</f>
        <v>4551.7896655170516</v>
      </c>
      <c r="D656" s="38"/>
    </row>
    <row r="657" spans="1:4" ht="13.8" x14ac:dyDescent="0.25">
      <c r="A657" s="41">
        <v>0.3903345724907063</v>
      </c>
      <c r="B657" s="41">
        <v>6042.8512071000005</v>
      </c>
      <c r="C657" s="43">
        <f>C656+(((A657+A656)/2)*(B657-B656))</f>
        <v>4552.4674836530648</v>
      </c>
      <c r="D657" s="38"/>
    </row>
    <row r="658" spans="1:4" ht="13.8" x14ac:dyDescent="0.25">
      <c r="A658" s="40">
        <v>0.38940520446096655</v>
      </c>
      <c r="B658" s="40">
        <v>6045.9413026000002</v>
      </c>
      <c r="C658" s="43">
        <f>C657+(((A658+A657)/2)*(B658-B657))</f>
        <v>4553.6722188410295</v>
      </c>
      <c r="D658" s="38"/>
    </row>
    <row r="659" spans="1:4" ht="13.8" x14ac:dyDescent="0.25">
      <c r="A659" s="41">
        <v>0.38847583643122674</v>
      </c>
      <c r="B659" s="41">
        <v>6075.8853248000014</v>
      </c>
      <c r="C659" s="43">
        <f>C658+(((A659+A658)/2)*(B659-B658))</f>
        <v>4565.3186624197479</v>
      </c>
      <c r="D659" s="38"/>
    </row>
    <row r="660" spans="1:4" ht="13.8" x14ac:dyDescent="0.25">
      <c r="A660" s="40">
        <v>0.38754646840148699</v>
      </c>
      <c r="B660" s="40">
        <v>6103.1379735</v>
      </c>
      <c r="C660" s="43">
        <f>C659+(((A660+A659)/2)*(B660-B659))</f>
        <v>4575.8929940482321</v>
      </c>
      <c r="D660" s="38"/>
    </row>
    <row r="661" spans="1:4" ht="13.8" x14ac:dyDescent="0.25">
      <c r="A661" s="41">
        <v>0.38661710037174724</v>
      </c>
      <c r="B661" s="41">
        <v>6121.2200162000017</v>
      </c>
      <c r="C661" s="43">
        <f>C660+(((A661+A660)/2)*(B661-B660))</f>
        <v>4582.8922234019037</v>
      </c>
      <c r="D661" s="38"/>
    </row>
    <row r="662" spans="1:4" ht="13.8" x14ac:dyDescent="0.25">
      <c r="A662" s="40">
        <v>0.38568773234200743</v>
      </c>
      <c r="B662" s="40">
        <v>6121.8579714000016</v>
      </c>
      <c r="C662" s="43">
        <f>C661+(((A662+A661)/2)*(B662-B661))</f>
        <v>4583.1385713439113</v>
      </c>
      <c r="D662" s="38"/>
    </row>
    <row r="663" spans="1:4" ht="13.8" x14ac:dyDescent="0.25">
      <c r="A663" s="41">
        <v>0.38475836431226768</v>
      </c>
      <c r="B663" s="41">
        <v>6130.051708500002</v>
      </c>
      <c r="C663" s="43">
        <f>C662+(((A663+A662)/2)*(B663-B662))</f>
        <v>4586.2949877267647</v>
      </c>
      <c r="D663" s="38"/>
    </row>
    <row r="664" spans="1:4" ht="13.8" x14ac:dyDescent="0.25">
      <c r="A664" s="40">
        <v>0.38382899628252787</v>
      </c>
      <c r="B664" s="40">
        <v>6162.9462735000006</v>
      </c>
      <c r="C664" s="43">
        <f>C663+(((A664+A663)/2)*(B664-B663))</f>
        <v>4598.9361611723962</v>
      </c>
      <c r="D664" s="38"/>
    </row>
    <row r="665" spans="1:4" ht="13.8" x14ac:dyDescent="0.25">
      <c r="A665" s="41">
        <v>0.38289962825278812</v>
      </c>
      <c r="B665" s="41">
        <v>6165.1392445000001</v>
      </c>
      <c r="C665" s="43">
        <f>C664+(((A665+A664)/2)*(B665-B664))</f>
        <v>4599.7768679916335</v>
      </c>
      <c r="D665" s="38"/>
    </row>
    <row r="666" spans="1:4" ht="13.8" x14ac:dyDescent="0.25">
      <c r="A666" s="40">
        <v>0.38197026022304831</v>
      </c>
      <c r="B666" s="40">
        <v>6167.2923433000005</v>
      </c>
      <c r="C666" s="43">
        <f>C665+(((A666+A665)/2)*(B666-B665))</f>
        <v>4600.6002882111507</v>
      </c>
      <c r="D666" s="38"/>
    </row>
    <row r="667" spans="1:4" ht="13.8" x14ac:dyDescent="0.25">
      <c r="A667" s="41">
        <v>0.38104089219330856</v>
      </c>
      <c r="B667" s="41">
        <v>6194.6048003000005</v>
      </c>
      <c r="C667" s="43">
        <f>C666+(((A667+A666)/2)*(B667-B666))</f>
        <v>4611.020142856597</v>
      </c>
      <c r="D667" s="38"/>
    </row>
    <row r="668" spans="1:4" ht="13.8" x14ac:dyDescent="0.25">
      <c r="A668" s="40">
        <v>0.38011152416356875</v>
      </c>
      <c r="B668" s="40">
        <v>6198.9508701000004</v>
      </c>
      <c r="C668" s="43">
        <f>C667+(((A668+A667)/2)*(B668-B667))</f>
        <v>4612.6741536215595</v>
      </c>
      <c r="D668" s="38"/>
    </row>
    <row r="669" spans="1:4" ht="13.8" x14ac:dyDescent="0.25">
      <c r="A669" s="41">
        <v>0.379182156133829</v>
      </c>
      <c r="B669" s="41">
        <v>6203.8750868000006</v>
      </c>
      <c r="C669" s="43">
        <f>C668+(((A669+A668)/2)*(B669-B668))</f>
        <v>4614.5436169319219</v>
      </c>
      <c r="D669" s="38"/>
    </row>
    <row r="670" spans="1:4" ht="13.8" x14ac:dyDescent="0.25">
      <c r="A670" s="40">
        <v>0.37825278810408924</v>
      </c>
      <c r="B670" s="40">
        <v>6212.0488878000006</v>
      </c>
      <c r="C670" s="43">
        <f>C669+(((A670+A669)/2)*(B670-B669))</f>
        <v>4617.6391781842449</v>
      </c>
      <c r="D670" s="38"/>
    </row>
    <row r="671" spans="1:4" ht="13.8" x14ac:dyDescent="0.25">
      <c r="A671" s="41">
        <v>0.37732342007434944</v>
      </c>
      <c r="B671" s="41">
        <v>6219.1062672000007</v>
      </c>
      <c r="C671" s="43">
        <f>C670+(((A671+A670)/2)*(B671-B670))</f>
        <v>4620.3053721676097</v>
      </c>
      <c r="D671" s="38"/>
    </row>
    <row r="672" spans="1:4" ht="13.8" x14ac:dyDescent="0.25">
      <c r="A672" s="40">
        <v>0.37639405204460968</v>
      </c>
      <c r="B672" s="40">
        <v>6238.2847953999999</v>
      </c>
      <c r="C672" s="43">
        <f>C671+(((A672+A671)/2)*(B672-B671))</f>
        <v>4627.5329680645427</v>
      </c>
      <c r="D672" s="38"/>
    </row>
    <row r="673" spans="1:4" ht="13.8" x14ac:dyDescent="0.25">
      <c r="A673" s="41">
        <v>0.37546468401486988</v>
      </c>
      <c r="B673" s="41">
        <v>6248.9506089000006</v>
      </c>
      <c r="C673" s="43">
        <f>C672+(((A673+A672)/2)*(B673-B672))</f>
        <v>4631.5425605931214</v>
      </c>
      <c r="D673" s="38"/>
    </row>
    <row r="674" spans="1:4" ht="13.8" x14ac:dyDescent="0.25">
      <c r="A674" s="40">
        <v>0.37453531598513012</v>
      </c>
      <c r="B674" s="40">
        <v>6265.0789138</v>
      </c>
      <c r="C674" s="43">
        <f>C673+(((A674+A673)/2)*(B674-B673))</f>
        <v>4637.5906749306214</v>
      </c>
      <c r="D674" s="38"/>
    </row>
    <row r="675" spans="1:4" ht="13.8" x14ac:dyDescent="0.25">
      <c r="A675" s="41">
        <v>0.37360594795539032</v>
      </c>
      <c r="B675" s="41">
        <v>6269.8835139000003</v>
      </c>
      <c r="C675" s="43">
        <f>C674+(((A675+A674)/2)*(B675-B674))</f>
        <v>4639.3879347263928</v>
      </c>
      <c r="D675" s="38"/>
    </row>
    <row r="676" spans="1:4" ht="13.8" x14ac:dyDescent="0.25">
      <c r="A676" s="40">
        <v>0.37267657992565056</v>
      </c>
      <c r="B676" s="40">
        <v>6273.8906700000007</v>
      </c>
      <c r="C676" s="43">
        <f>C675+(((A676+A675)/2)*(B676-B675))</f>
        <v>4640.8831700183537</v>
      </c>
      <c r="D676" s="38"/>
    </row>
    <row r="677" spans="1:4" ht="13.8" x14ac:dyDescent="0.25">
      <c r="A677" s="41">
        <v>0.37174721189591076</v>
      </c>
      <c r="B677" s="41">
        <v>6288.9623616000008</v>
      </c>
      <c r="C677" s="43">
        <f>C676+(((A677+A676)/2)*(B677-B676))</f>
        <v>4646.4930329233721</v>
      </c>
      <c r="D677" s="38"/>
    </row>
    <row r="678" spans="1:4" ht="13.8" x14ac:dyDescent="0.25">
      <c r="A678" s="40">
        <v>0.370817843866171</v>
      </c>
      <c r="B678" s="40">
        <v>6324.2093863999999</v>
      </c>
      <c r="C678" s="43">
        <f>C677+(((A678+A677)/2)*(B678-B677))</f>
        <v>4659.5796373914018</v>
      </c>
      <c r="D678" s="38"/>
    </row>
    <row r="679" spans="1:4" ht="13.8" x14ac:dyDescent="0.25">
      <c r="A679" s="41">
        <v>0.36988847583643125</v>
      </c>
      <c r="B679" s="41">
        <v>6328.0969259000012</v>
      </c>
      <c r="C679" s="43">
        <f>C678+(((A679+A678)/2)*(B679-B678))</f>
        <v>4661.0193999292742</v>
      </c>
      <c r="D679" s="38"/>
    </row>
    <row r="680" spans="1:4" ht="13.8" x14ac:dyDescent="0.25">
      <c r="A680" s="40">
        <v>0.36895910780669144</v>
      </c>
      <c r="B680" s="40">
        <v>6348.9899587</v>
      </c>
      <c r="C680" s="43">
        <f>C679+(((A680+A679)/2)*(B680-B679))</f>
        <v>4668.737783328902</v>
      </c>
      <c r="D680" s="38"/>
    </row>
    <row r="681" spans="1:4" ht="13.8" x14ac:dyDescent="0.25">
      <c r="A681" s="41">
        <v>0.36802973977695169</v>
      </c>
      <c r="B681" s="41">
        <v>6357.2036319000008</v>
      </c>
      <c r="C681" s="43">
        <f>C680+(((A681+A680)/2)*(B681-B680))</f>
        <v>4671.764476101951</v>
      </c>
      <c r="D681" s="38"/>
    </row>
    <row r="682" spans="1:4" ht="13.8" x14ac:dyDescent="0.25">
      <c r="A682" s="40">
        <v>0.36710037174721188</v>
      </c>
      <c r="B682" s="40">
        <v>6383.4993478000006</v>
      </c>
      <c r="C682" s="43">
        <f>C681+(((A682+A681)/2)*(B682-B681))</f>
        <v>4681.4298623830382</v>
      </c>
      <c r="D682" s="38"/>
    </row>
    <row r="683" spans="1:4" ht="13.8" x14ac:dyDescent="0.25">
      <c r="A683" s="41">
        <v>0.36617100371747213</v>
      </c>
      <c r="B683" s="41">
        <v>6398.4912950000007</v>
      </c>
      <c r="C683" s="43">
        <f>C682+(((A683+A682)/2)*(B683-B682))</f>
        <v>4686.926445255157</v>
      </c>
      <c r="D683" s="38"/>
    </row>
    <row r="684" spans="1:4" ht="13.8" x14ac:dyDescent="0.25">
      <c r="A684" s="40">
        <v>0.36524163568773232</v>
      </c>
      <c r="B684" s="40">
        <v>6431.8443902999998</v>
      </c>
      <c r="C684" s="43">
        <f>C683+(((A684+A683)/2)*(B684-B683))</f>
        <v>4699.1238829880094</v>
      </c>
      <c r="D684" s="38"/>
    </row>
    <row r="685" spans="1:4" ht="13.8" x14ac:dyDescent="0.25">
      <c r="A685" s="41">
        <v>0.36431226765799257</v>
      </c>
      <c r="B685" s="41">
        <v>6442.3507149999987</v>
      </c>
      <c r="C685" s="43">
        <f>C684+(((A685+A684)/2)*(B685-B684))</f>
        <v>4702.9563480853603</v>
      </c>
      <c r="D685" s="38"/>
    </row>
    <row r="686" spans="1:4" ht="13.8" x14ac:dyDescent="0.25">
      <c r="A686" s="40">
        <v>0.36338289962825276</v>
      </c>
      <c r="B686" s="40">
        <v>6458.7182531000008</v>
      </c>
      <c r="C686" s="43">
        <f>C685+(((A686+A685)/2)*(B686-B685))</f>
        <v>4708.9116372732333</v>
      </c>
      <c r="D686" s="38"/>
    </row>
    <row r="687" spans="1:4" ht="13.8" x14ac:dyDescent="0.25">
      <c r="A687" s="41">
        <v>0.36245353159851301</v>
      </c>
      <c r="B687" s="41">
        <v>6477.4183149</v>
      </c>
      <c r="C687" s="43">
        <f>C686+(((A687+A686)/2)*(B687-B686))</f>
        <v>4715.698230333549</v>
      </c>
      <c r="D687" s="38"/>
    </row>
    <row r="688" spans="1:4" ht="13.8" x14ac:dyDescent="0.25">
      <c r="A688" s="40">
        <v>0.36152416356877326</v>
      </c>
      <c r="B688" s="40">
        <v>6522.2944760000009</v>
      </c>
      <c r="C688" s="43">
        <f>C687+(((A688+A687)/2)*(B688-B687))</f>
        <v>4731.9429001741164</v>
      </c>
      <c r="D688" s="38"/>
    </row>
    <row r="689" spans="1:4" ht="13.8" x14ac:dyDescent="0.25">
      <c r="A689" s="41">
        <v>0.36059479553903345</v>
      </c>
      <c r="B689" s="41">
        <v>6540.5160713999985</v>
      </c>
      <c r="C689" s="43">
        <f>C688+(((A689+A688)/2)*(B689-B688))</f>
        <v>4738.5219799258812</v>
      </c>
      <c r="D689" s="38"/>
    </row>
    <row r="690" spans="1:4" ht="13.8" x14ac:dyDescent="0.25">
      <c r="A690" s="40">
        <v>0.3596654275092937</v>
      </c>
      <c r="B690" s="40">
        <v>6546.0782432999995</v>
      </c>
      <c r="C690" s="43">
        <f>C689+(((A690+A689)/2)*(B690-B689))</f>
        <v>4740.525085512545</v>
      </c>
      <c r="D690" s="38"/>
    </row>
    <row r="691" spans="1:4" ht="13.8" x14ac:dyDescent="0.25">
      <c r="A691" s="41">
        <v>0.35873605947955389</v>
      </c>
      <c r="B691" s="41">
        <v>6555.1092966000006</v>
      </c>
      <c r="C691" s="43">
        <f>C690+(((A691+A690)/2)*(B691-B690))</f>
        <v>4743.7690465724436</v>
      </c>
      <c r="D691" s="38"/>
    </row>
    <row r="692" spans="1:4" ht="13.8" x14ac:dyDescent="0.25">
      <c r="A692" s="40">
        <v>0.35780669144981414</v>
      </c>
      <c r="B692" s="40">
        <v>6580.308527000001</v>
      </c>
      <c r="C692" s="43">
        <f>C691+(((A692+A691)/2)*(B692-B691))</f>
        <v>4752.7972095085033</v>
      </c>
      <c r="D692" s="38"/>
    </row>
    <row r="693" spans="1:4" ht="13.8" x14ac:dyDescent="0.25">
      <c r="A693" s="41">
        <v>0.35687732342007433</v>
      </c>
      <c r="B693" s="41">
        <v>6603.7733166999997</v>
      </c>
      <c r="C693" s="43">
        <f>C692+(((A693+A692)/2)*(B693-B692))</f>
        <v>4761.1821645639393</v>
      </c>
      <c r="D693" s="38"/>
    </row>
    <row r="694" spans="1:4" ht="13.8" x14ac:dyDescent="0.25">
      <c r="A694" s="40">
        <v>0.35594795539033458</v>
      </c>
      <c r="B694" s="40">
        <v>6625.3641129999996</v>
      </c>
      <c r="C694" s="43">
        <f>C693+(((A694+A693)/2)*(B694-B693))</f>
        <v>4768.877397260082</v>
      </c>
      <c r="D694" s="38"/>
    </row>
    <row r="695" spans="1:4" ht="13.8" x14ac:dyDescent="0.25">
      <c r="A695" s="41">
        <v>0.35501858736059477</v>
      </c>
      <c r="B695" s="41">
        <v>6632.8800227000002</v>
      </c>
      <c r="C695" s="43">
        <f>C694+(((A695+A694)/2)*(B695-B694))</f>
        <v>4771.5491774276006</v>
      </c>
      <c r="D695" s="38"/>
    </row>
    <row r="696" spans="1:4" ht="13.8" x14ac:dyDescent="0.25">
      <c r="A696" s="40">
        <v>0.35408921933085502</v>
      </c>
      <c r="B696" s="40">
        <v>6652.7563143999996</v>
      </c>
      <c r="C696" s="43">
        <f>C695+(((A696+A695)/2)*(B696-B695))</f>
        <v>4778.596394233874</v>
      </c>
      <c r="D696" s="38"/>
    </row>
    <row r="697" spans="1:4" ht="13.8" x14ac:dyDescent="0.25">
      <c r="A697" s="41">
        <v>0.35315985130111527</v>
      </c>
      <c r="B697" s="41">
        <v>6672.4531812000005</v>
      </c>
      <c r="C697" s="43">
        <f>C696+(((A697+A696)/2)*(B697-B696))</f>
        <v>4785.5616896032052</v>
      </c>
      <c r="D697" s="38"/>
    </row>
    <row r="698" spans="1:4" ht="13.8" x14ac:dyDescent="0.25">
      <c r="A698" s="40">
        <v>0.35223048327137546</v>
      </c>
      <c r="B698" s="40">
        <v>6696.1771402000004</v>
      </c>
      <c r="C698" s="43">
        <f>C697+(((A698+A697)/2)*(B698-B697))</f>
        <v>4793.9290152914018</v>
      </c>
      <c r="D698" s="38"/>
    </row>
    <row r="699" spans="1:4" ht="13.8" x14ac:dyDescent="0.25">
      <c r="A699" s="41">
        <v>0.35130111524163571</v>
      </c>
      <c r="B699" s="41">
        <v>6701.8190565000023</v>
      </c>
      <c r="C699" s="43">
        <f>C698+(((A699+A698)/2)*(B699-B698))</f>
        <v>4795.91364848801</v>
      </c>
      <c r="D699" s="38"/>
    </row>
    <row r="700" spans="1:4" ht="13.8" x14ac:dyDescent="0.25">
      <c r="A700" s="40">
        <v>0.3503717472118959</v>
      </c>
      <c r="B700" s="40">
        <v>6725.2838462</v>
      </c>
      <c r="C700" s="43">
        <f>C699+(((A700+A699)/2)*(B700-B699))</f>
        <v>4804.1459515658435</v>
      </c>
      <c r="D700" s="38"/>
    </row>
    <row r="701" spans="1:4" ht="13.8" x14ac:dyDescent="0.25">
      <c r="A701" s="41">
        <v>0.34944237918215615</v>
      </c>
      <c r="B701" s="41">
        <v>6736.0892123999993</v>
      </c>
      <c r="C701" s="43">
        <f>C700+(((A701+A700)/2)*(B701-B700))</f>
        <v>4807.9268255196539</v>
      </c>
      <c r="D701" s="38"/>
    </row>
    <row r="702" spans="1:4" ht="13.8" x14ac:dyDescent="0.25">
      <c r="A702" s="40">
        <v>0.34851301115241634</v>
      </c>
      <c r="B702" s="40">
        <v>6742.8276142000004</v>
      </c>
      <c r="C702" s="43">
        <f>C701+(((A702+A701)/2)*(B702-B701))</f>
        <v>4810.2783774489289</v>
      </c>
      <c r="D702" s="38"/>
    </row>
    <row r="703" spans="1:4" ht="13.8" x14ac:dyDescent="0.25">
      <c r="A703" s="41">
        <v>0.34758364312267659</v>
      </c>
      <c r="B703" s="41">
        <v>6774.1272911999995</v>
      </c>
      <c r="C703" s="43">
        <f>C702+(((A703+A702)/2)*(B703-B702))</f>
        <v>4821.1721776687245</v>
      </c>
      <c r="D703" s="38"/>
    </row>
    <row r="704" spans="1:4" ht="13.8" x14ac:dyDescent="0.25">
      <c r="A704" s="40">
        <v>0.34665427509293678</v>
      </c>
      <c r="B704" s="40">
        <v>6782.2612200000003</v>
      </c>
      <c r="C704" s="43">
        <f>C703+(((A704+A703)/2)*(B704-B703))</f>
        <v>4823.9956185672381</v>
      </c>
      <c r="D704" s="38"/>
    </row>
    <row r="705" spans="1:4" ht="13.8" x14ac:dyDescent="0.25">
      <c r="A705" s="41">
        <v>0.34572490706319703</v>
      </c>
      <c r="B705" s="41">
        <v>6802.0178951000016</v>
      </c>
      <c r="C705" s="43">
        <f>C704+(((A705+A704)/2)*(B705-B704))</f>
        <v>4830.8351738411702</v>
      </c>
      <c r="D705" s="38"/>
    </row>
    <row r="706" spans="1:4" ht="13.8" x14ac:dyDescent="0.25">
      <c r="A706" s="40">
        <v>0.34479553903345728</v>
      </c>
      <c r="B706" s="40">
        <v>6808.6566164000014</v>
      </c>
      <c r="C706" s="43">
        <f>C705+(((A706+A705)/2)*(B706-B705))</f>
        <v>4833.127260237964</v>
      </c>
      <c r="D706" s="38"/>
    </row>
    <row r="707" spans="1:4" ht="13.8" x14ac:dyDescent="0.25">
      <c r="A707" s="41">
        <v>0.34386617100371747</v>
      </c>
      <c r="B707" s="41">
        <v>6816.0927817000011</v>
      </c>
      <c r="C707" s="43">
        <f>C706+(((A707+A706)/2)*(B707-B706))</f>
        <v>4835.6877613937722</v>
      </c>
      <c r="D707" s="38"/>
    </row>
    <row r="708" spans="1:4" ht="13.8" x14ac:dyDescent="0.25">
      <c r="A708" s="40">
        <v>0.34293680297397772</v>
      </c>
      <c r="B708" s="40">
        <v>6817.2291393999994</v>
      </c>
      <c r="C708" s="43">
        <f>C707+(((A708+A707)/2)*(B708-B707))</f>
        <v>4836.0779883177029</v>
      </c>
      <c r="D708" s="38"/>
    </row>
    <row r="709" spans="1:4" ht="13.8" x14ac:dyDescent="0.25">
      <c r="A709" s="41">
        <v>0.34200743494423791</v>
      </c>
      <c r="B709" s="41">
        <v>6818.9835161999999</v>
      </c>
      <c r="C709" s="43">
        <f>C708+(((A709+A708)/2)*(B709-B708))</f>
        <v>4836.6788134578519</v>
      </c>
      <c r="D709" s="38"/>
    </row>
    <row r="710" spans="1:4" ht="13.8" x14ac:dyDescent="0.25">
      <c r="A710" s="40">
        <v>0.34107806691449816</v>
      </c>
      <c r="B710" s="40">
        <v>6828.3136109999987</v>
      </c>
      <c r="C710" s="43">
        <f>C709+(((A710+A709)/2)*(B710-B709))</f>
        <v>4839.8654397022756</v>
      </c>
      <c r="D710" s="38"/>
    </row>
    <row r="711" spans="1:4" ht="13.8" x14ac:dyDescent="0.25">
      <c r="A711" s="41">
        <v>0.34014869888475835</v>
      </c>
      <c r="B711" s="41">
        <v>6849.2863882000001</v>
      </c>
      <c r="C711" s="43">
        <f>C710+(((A711+A710)/2)*(B711-B710))</f>
        <v>4847.0090482931682</v>
      </c>
      <c r="D711" s="38"/>
    </row>
    <row r="712" spans="1:4" ht="13.8" x14ac:dyDescent="0.25">
      <c r="A712" s="40">
        <v>0.3392193308550186</v>
      </c>
      <c r="B712" s="40">
        <v>6854.9283045000011</v>
      </c>
      <c r="C712" s="43">
        <f>C711+(((A712+A711)/2)*(B712-B711))</f>
        <v>4848.9255170735123</v>
      </c>
      <c r="D712" s="38"/>
    </row>
    <row r="713" spans="1:4" ht="13.8" x14ac:dyDescent="0.25">
      <c r="A713" s="41">
        <v>0.33828996282527879</v>
      </c>
      <c r="B713" s="41">
        <v>6858.018399999999</v>
      </c>
      <c r="C713" s="43">
        <f>C712+(((A713+A712)/2)*(B713-B712))</f>
        <v>4849.9723012833165</v>
      </c>
      <c r="D713" s="38"/>
    </row>
    <row r="714" spans="1:4" ht="13.8" x14ac:dyDescent="0.25">
      <c r="A714" s="40">
        <v>0.33736059479553904</v>
      </c>
      <c r="B714" s="40">
        <v>6887.0652977</v>
      </c>
      <c r="C714" s="43">
        <f>C713+(((A714+A713)/2)*(B714-B713))</f>
        <v>4859.7850775973966</v>
      </c>
      <c r="D714" s="38"/>
    </row>
    <row r="715" spans="1:4" ht="13.8" x14ac:dyDescent="0.25">
      <c r="A715" s="41">
        <v>0.33643122676579923</v>
      </c>
      <c r="B715" s="41">
        <v>6897.3523252999976</v>
      </c>
      <c r="C715" s="43">
        <f>C714+(((A715+A714)/2)*(B715-B714))</f>
        <v>4863.2507351299237</v>
      </c>
      <c r="D715" s="38"/>
    </row>
    <row r="716" spans="1:4" ht="13.8" x14ac:dyDescent="0.25">
      <c r="A716" s="40">
        <v>0.33550185873605948</v>
      </c>
      <c r="B716" s="40">
        <v>6899.5253602000003</v>
      </c>
      <c r="C716" s="43">
        <f>C715+(((A716+A715)/2)*(B716-B715))</f>
        <v>4863.980802152555</v>
      </c>
      <c r="D716" s="38"/>
    </row>
    <row r="717" spans="1:4" ht="13.8" x14ac:dyDescent="0.25">
      <c r="A717" s="41">
        <v>0.33457249070631973</v>
      </c>
      <c r="B717" s="41">
        <v>6902.8546889000008</v>
      </c>
      <c r="C717" s="43">
        <f>C716+(((A717+A716)/2)*(B717-B716))</f>
        <v>4865.0962510339214</v>
      </c>
      <c r="D717" s="38"/>
    </row>
    <row r="718" spans="1:4" ht="13.8" x14ac:dyDescent="0.25">
      <c r="A718" s="40">
        <v>0.33364312267657992</v>
      </c>
      <c r="B718" s="40">
        <v>6911.3674036000002</v>
      </c>
      <c r="C718" s="43">
        <f>C717+(((A718+A717)/2)*(B718-B717))</f>
        <v>4867.9404154713284</v>
      </c>
      <c r="D718" s="38"/>
    </row>
    <row r="719" spans="1:4" ht="13.8" x14ac:dyDescent="0.25">
      <c r="A719" s="41">
        <v>0.33271375464684017</v>
      </c>
      <c r="B719" s="41">
        <v>6918.0459970999991</v>
      </c>
      <c r="C719" s="43">
        <f>C718+(((A719+A718)/2)*(B719-B718))</f>
        <v>4870.1655788261141</v>
      </c>
      <c r="D719" s="38"/>
    </row>
    <row r="720" spans="1:4" ht="13.8" x14ac:dyDescent="0.25">
      <c r="A720" s="40">
        <v>0.33178438661710036</v>
      </c>
      <c r="B720" s="40">
        <v>6926.8178811000016</v>
      </c>
      <c r="C720" s="43">
        <f>C719+(((A720+A719)/2)*(B720-B719))</f>
        <v>4873.080029132806</v>
      </c>
      <c r="D720" s="38"/>
    </row>
    <row r="721" spans="1:4" ht="13.8" x14ac:dyDescent="0.25">
      <c r="A721" s="41">
        <v>0.33085501858736061</v>
      </c>
      <c r="B721" s="41">
        <v>6935.8489344000009</v>
      </c>
      <c r="C721" s="43">
        <f>C720+(((A721+A720)/2)*(B721-B720))</f>
        <v>4876.0721950263469</v>
      </c>
      <c r="D721" s="38"/>
    </row>
    <row r="722" spans="1:4" ht="13.8" x14ac:dyDescent="0.25">
      <c r="A722" s="40">
        <v>0.3299256505576208</v>
      </c>
      <c r="B722" s="40">
        <v>6944.8002432999992</v>
      </c>
      <c r="C722" s="43">
        <f>C721+(((A722+A721)/2)*(B722-B721))</f>
        <v>4879.0296209686794</v>
      </c>
      <c r="D722" s="38"/>
    </row>
    <row r="723" spans="1:4" ht="13.8" x14ac:dyDescent="0.25">
      <c r="A723" s="41">
        <v>0.32899628252788105</v>
      </c>
      <c r="B723" s="41">
        <v>7025.2424067999991</v>
      </c>
      <c r="C723" s="43">
        <f>C722+(((A723+A722)/2)*(B723-B722))</f>
        <v>4905.5321739061792</v>
      </c>
      <c r="D723" s="38"/>
    </row>
    <row r="724" spans="1:4" ht="13.8" x14ac:dyDescent="0.25">
      <c r="A724" s="40">
        <v>0.32806691449814124</v>
      </c>
      <c r="B724" s="40">
        <v>7048.1888579000006</v>
      </c>
      <c r="C724" s="43">
        <f>C723+(((A724+A723)/2)*(B724-B723))</f>
        <v>4913.0708081662633</v>
      </c>
      <c r="D724" s="38"/>
    </row>
    <row r="725" spans="1:4" ht="13.8" x14ac:dyDescent="0.25">
      <c r="A725" s="41">
        <v>0.32713754646840149</v>
      </c>
      <c r="B725" s="41">
        <v>7064.8355013999999</v>
      </c>
      <c r="C725" s="43">
        <f>C724+(((A725+A724)/2)*(B725-B724))</f>
        <v>4918.5242857069234</v>
      </c>
      <c r="D725" s="38"/>
    </row>
    <row r="726" spans="1:4" ht="13.8" x14ac:dyDescent="0.25">
      <c r="A726" s="40">
        <v>0.32620817843866173</v>
      </c>
      <c r="B726" s="40">
        <v>7068.2246384000018</v>
      </c>
      <c r="C726" s="43">
        <f>C725+(((A726+A725)/2)*(B726-B725))</f>
        <v>4919.6314247919609</v>
      </c>
      <c r="D726" s="38"/>
    </row>
    <row r="727" spans="1:4" ht="13.8" x14ac:dyDescent="0.25">
      <c r="A727" s="41">
        <v>0.32527881040892193</v>
      </c>
      <c r="B727" s="41">
        <v>7076.4981198999985</v>
      </c>
      <c r="C727" s="43">
        <f>C726+(((A727+A726)/2)*(B727-B726))</f>
        <v>4922.32645756682</v>
      </c>
      <c r="D727" s="38"/>
    </row>
    <row r="728" spans="1:4" ht="13.8" x14ac:dyDescent="0.25">
      <c r="A728" s="40">
        <v>0.32434944237918217</v>
      </c>
      <c r="B728" s="40">
        <v>7088.1408023000013</v>
      </c>
      <c r="C728" s="43">
        <f>C727+(((A728+A727)/2)*(B728-B727))</f>
        <v>4926.1081652794601</v>
      </c>
      <c r="D728" s="38"/>
    </row>
    <row r="729" spans="1:4" ht="13.8" x14ac:dyDescent="0.25">
      <c r="A729" s="41">
        <v>0.32342007434944237</v>
      </c>
      <c r="B729" s="41">
        <v>7094.8393319000006</v>
      </c>
      <c r="C729" s="43">
        <f>C728+(((A729+A728)/2)*(B729-B728))</f>
        <v>4928.2777169203518</v>
      </c>
      <c r="D729" s="38"/>
    </row>
    <row r="730" spans="1:4" ht="13.8" x14ac:dyDescent="0.25">
      <c r="A730" s="40">
        <v>0.32249070631970261</v>
      </c>
      <c r="B730" s="40">
        <v>7124.2849515999997</v>
      </c>
      <c r="C730" s="43">
        <f>C729+(((A730+A729)/2)*(B730-B729))</f>
        <v>4937.7873385242083</v>
      </c>
      <c r="D730" s="38"/>
    </row>
    <row r="731" spans="1:4" ht="13.8" x14ac:dyDescent="0.25">
      <c r="A731" s="41">
        <v>0.32156133828996281</v>
      </c>
      <c r="B731" s="41">
        <v>7132.7976663000009</v>
      </c>
      <c r="C731" s="43">
        <f>C730+(((A731+A730)/2)*(B731-B730))</f>
        <v>4940.5286541780652</v>
      </c>
      <c r="D731" s="38"/>
    </row>
    <row r="732" spans="1:4" ht="13.8" x14ac:dyDescent="0.25">
      <c r="A732" s="40">
        <v>0.32063197026022305</v>
      </c>
      <c r="B732" s="40">
        <v>7152.8334468000003</v>
      </c>
      <c r="C732" s="43">
        <f>C731+(((A732+A731)/2)*(B732-B731))</f>
        <v>4946.9620762624054</v>
      </c>
      <c r="D732" s="38"/>
    </row>
    <row r="733" spans="1:4" ht="13.8" x14ac:dyDescent="0.25">
      <c r="A733" s="41">
        <v>0.31970260223048325</v>
      </c>
      <c r="B733" s="41">
        <v>7167.6659052000014</v>
      </c>
      <c r="C733" s="43">
        <f>C732+(((A733+A732)/2)*(B733-B732))</f>
        <v>4951.7109442166811</v>
      </c>
      <c r="D733" s="38"/>
    </row>
    <row r="734" spans="1:4" ht="13.8" x14ac:dyDescent="0.25">
      <c r="A734" s="40">
        <v>0.31877323420074349</v>
      </c>
      <c r="B734" s="40">
        <v>7177.2152971000014</v>
      </c>
      <c r="C734" s="43">
        <f>C733+(((A734+A733)/2)*(B734-B733))</f>
        <v>4954.7594722070626</v>
      </c>
      <c r="D734" s="38"/>
    </row>
    <row r="735" spans="1:4" ht="13.8" x14ac:dyDescent="0.25">
      <c r="A735" s="41">
        <v>0.31784386617100374</v>
      </c>
      <c r="B735" s="41">
        <v>7179.7073095999986</v>
      </c>
      <c r="C735" s="43">
        <f>C734+(((A735+A734)/2)*(B735-B734))</f>
        <v>4955.5527010929818</v>
      </c>
      <c r="D735" s="38"/>
    </row>
    <row r="736" spans="1:4" ht="13.8" x14ac:dyDescent="0.25">
      <c r="A736" s="40">
        <v>0.31691449814126393</v>
      </c>
      <c r="B736" s="40">
        <v>7206.5811724000005</v>
      </c>
      <c r="C736" s="43">
        <f>C735+(((A736+A735)/2)*(B736-B735))</f>
        <v>4964.0819056898226</v>
      </c>
      <c r="D736" s="38"/>
    </row>
    <row r="737" spans="1:4" ht="13.8" x14ac:dyDescent="0.25">
      <c r="A737" s="41">
        <v>0.31598513011152418</v>
      </c>
      <c r="B737" s="41">
        <v>7223.1680076000011</v>
      </c>
      <c r="C737" s="43">
        <f>C736+(((A737+A736)/2)*(B737-B736))</f>
        <v>4969.330806605808</v>
      </c>
      <c r="D737" s="38"/>
    </row>
    <row r="738" spans="1:4" ht="13.8" x14ac:dyDescent="0.25">
      <c r="A738" s="40">
        <v>0.31505576208178437</v>
      </c>
      <c r="B738" s="40">
        <v>7229.8665371999996</v>
      </c>
      <c r="C738" s="43">
        <f>C737+(((A738+A737)/2)*(B738-B737))</f>
        <v>4971.4443296533909</v>
      </c>
      <c r="D738" s="38"/>
    </row>
    <row r="739" spans="1:4" ht="13.8" x14ac:dyDescent="0.25">
      <c r="A739" s="41">
        <v>0.31412639405204462</v>
      </c>
      <c r="B739" s="41">
        <v>7252.7930522000024</v>
      </c>
      <c r="C739" s="43">
        <f>C738+(((A739+A738)/2)*(B739-B738))</f>
        <v>4978.6568067235594</v>
      </c>
      <c r="D739" s="38"/>
    </row>
    <row r="740" spans="1:4" ht="13.8" x14ac:dyDescent="0.25">
      <c r="A740" s="40">
        <v>0.31319702602230481</v>
      </c>
      <c r="B740" s="40">
        <v>7263.5784823000013</v>
      </c>
      <c r="C740" s="43">
        <f>C739+(((A740+A739)/2)*(B740-B739))</f>
        <v>4982.0397831722112</v>
      </c>
      <c r="D740" s="38"/>
    </row>
    <row r="741" spans="1:4" ht="13.8" x14ac:dyDescent="0.25">
      <c r="A741" s="41">
        <v>0.31226765799256506</v>
      </c>
      <c r="B741" s="41">
        <v>7295.0177119999989</v>
      </c>
      <c r="C741" s="43">
        <f>C740+(((A741+A740)/2)*(B741-B740))</f>
        <v>4991.8718471072016</v>
      </c>
      <c r="D741" s="38"/>
    </row>
    <row r="742" spans="1:4" ht="13.8" x14ac:dyDescent="0.25">
      <c r="A742" s="40">
        <v>0.31133828996282525</v>
      </c>
      <c r="B742" s="40">
        <v>7297.7489577000015</v>
      </c>
      <c r="C742" s="43">
        <f>C741+(((A742+A741)/2)*(B742-B741))</f>
        <v>4992.7234576391265</v>
      </c>
      <c r="D742" s="38"/>
    </row>
    <row r="743" spans="1:4" ht="13.8" x14ac:dyDescent="0.25">
      <c r="A743" s="41">
        <v>0.3104089219330855</v>
      </c>
      <c r="B743" s="41">
        <v>7309.5710650000001</v>
      </c>
      <c r="C743" s="43">
        <f>C742+(((A743+A742)/2)*(B743-B742))</f>
        <v>4996.3986387653804</v>
      </c>
      <c r="D743" s="38"/>
    </row>
    <row r="744" spans="1:4" ht="13.8" x14ac:dyDescent="0.25">
      <c r="A744" s="40">
        <v>0.30947955390334575</v>
      </c>
      <c r="B744" s="40">
        <v>7321.5127889000014</v>
      </c>
      <c r="C744" s="43">
        <f>C743+(((A744+A743)/2)*(B744-B743))</f>
        <v>5000.0999072789964</v>
      </c>
      <c r="D744" s="38"/>
    </row>
    <row r="745" spans="1:4" ht="13.8" x14ac:dyDescent="0.25">
      <c r="A745" s="41">
        <v>0.30855018587360594</v>
      </c>
      <c r="B745" s="41">
        <v>7327.7527882000004</v>
      </c>
      <c r="C745" s="43">
        <f>C744+(((A745+A744)/2)*(B745-B744))</f>
        <v>5002.02815985079</v>
      </c>
      <c r="D745" s="38"/>
    </row>
    <row r="746" spans="1:4" ht="13.8" x14ac:dyDescent="0.25">
      <c r="A746" s="40">
        <v>0.30762081784386619</v>
      </c>
      <c r="B746" s="40">
        <v>7343.6019877000017</v>
      </c>
      <c r="C746" s="43">
        <f>C745+(((A746+A745)/2)*(B746-B745))</f>
        <v>5006.911068432807</v>
      </c>
      <c r="D746" s="38"/>
    </row>
    <row r="747" spans="1:4" ht="13.8" x14ac:dyDescent="0.25">
      <c r="A747" s="41">
        <v>0.30669144981412638</v>
      </c>
      <c r="B747" s="41">
        <v>7367.6249882000011</v>
      </c>
      <c r="C747" s="43">
        <f>C746+(((A747+A746)/2)*(B747-B746))</f>
        <v>5014.2898803893586</v>
      </c>
      <c r="D747" s="38"/>
    </row>
    <row r="748" spans="1:4" ht="13.8" x14ac:dyDescent="0.25">
      <c r="A748" s="40">
        <v>0.30576208178438663</v>
      </c>
      <c r="B748" s="40">
        <v>7372.1106107000014</v>
      </c>
      <c r="C748" s="43">
        <f>C747+(((A748+A747)/2)*(B748-B747))</f>
        <v>5015.6634980601302</v>
      </c>
      <c r="D748" s="38"/>
    </row>
    <row r="749" spans="1:4" ht="13.8" x14ac:dyDescent="0.25">
      <c r="A749" s="41">
        <v>0.30483271375464682</v>
      </c>
      <c r="B749" s="41">
        <v>7405.6231947999995</v>
      </c>
      <c r="C749" s="43">
        <f>C748+(((A749+A748)/2)*(B749-B748))</f>
        <v>5025.8948027783917</v>
      </c>
      <c r="D749" s="38"/>
    </row>
    <row r="750" spans="1:4" ht="13.8" x14ac:dyDescent="0.25">
      <c r="A750" s="40">
        <v>0.30390334572490707</v>
      </c>
      <c r="B750" s="40">
        <v>7441.6277913999993</v>
      </c>
      <c r="C750" s="43">
        <f>C749+(((A750+A749)/2)*(B750-B749))</f>
        <v>5036.8534509071087</v>
      </c>
      <c r="D750" s="38"/>
    </row>
    <row r="751" spans="1:4" ht="13.8" x14ac:dyDescent="0.25">
      <c r="A751" s="41">
        <v>0.30297397769516726</v>
      </c>
      <c r="B751" s="41">
        <v>7444.9172478999999</v>
      </c>
      <c r="C751" s="43">
        <f>C750+(((A751+A750)/2)*(B751-B750))</f>
        <v>5037.8515991852219</v>
      </c>
      <c r="D751" s="38"/>
    </row>
    <row r="752" spans="1:4" ht="13.8" x14ac:dyDescent="0.25">
      <c r="A752" s="40">
        <v>0.30204460966542751</v>
      </c>
      <c r="B752" s="40">
        <v>7465.4713670000001</v>
      </c>
      <c r="C752" s="43">
        <f>C751+(((A752+A751)/2)*(B752-B751))</f>
        <v>5044.0694112363835</v>
      </c>
      <c r="D752" s="38"/>
    </row>
    <row r="753" spans="1:4" ht="13.8" x14ac:dyDescent="0.25">
      <c r="A753" s="41">
        <v>0.30111524163568776</v>
      </c>
      <c r="B753" s="41">
        <v>7504.8850367000005</v>
      </c>
      <c r="C753" s="43">
        <f>C752+(((A753+A752)/2)*(B753-B752))</f>
        <v>5055.9557828141251</v>
      </c>
      <c r="D753" s="38"/>
    </row>
    <row r="754" spans="1:4" ht="13.8" x14ac:dyDescent="0.25">
      <c r="A754" s="40">
        <v>0.30018587360594795</v>
      </c>
      <c r="B754" s="40">
        <v>7540.1121253999981</v>
      </c>
      <c r="C754" s="43">
        <f>C753+(((A754+A753)/2)*(B754-B753))</f>
        <v>5066.5468266751377</v>
      </c>
      <c r="D754" s="38"/>
    </row>
    <row r="755" spans="1:4" ht="13.8" x14ac:dyDescent="0.25">
      <c r="A755" s="41">
        <v>0.2992565055762082</v>
      </c>
      <c r="B755" s="41">
        <v>7546.3321886000022</v>
      </c>
      <c r="C755" s="43">
        <f>C754+(((A755+A754)/2)*(B755-B754))</f>
        <v>5068.4111114167745</v>
      </c>
      <c r="D755" s="38"/>
    </row>
    <row r="756" spans="1:4" ht="13.8" x14ac:dyDescent="0.25">
      <c r="A756" s="40">
        <v>0.29832713754646839</v>
      </c>
      <c r="B756" s="40">
        <v>7555.7818999999981</v>
      </c>
      <c r="C756" s="43">
        <f>C755+(((A756+A755)/2)*(B756-B755))</f>
        <v>5071.2346078992086</v>
      </c>
      <c r="D756" s="38"/>
    </row>
    <row r="757" spans="1:4" ht="13.8" x14ac:dyDescent="0.25">
      <c r="A757" s="41">
        <v>0.29739776951672864</v>
      </c>
      <c r="B757" s="41">
        <v>7578.7084150000001</v>
      </c>
      <c r="C757" s="43">
        <f>C756+(((A757+A756)/2)*(B757-B756))</f>
        <v>5078.0635559080383</v>
      </c>
      <c r="D757" s="38"/>
    </row>
    <row r="758" spans="1:4" ht="13.8" x14ac:dyDescent="0.25">
      <c r="A758" s="40">
        <v>0.29646840148698883</v>
      </c>
      <c r="B758" s="40">
        <v>7585.1079031000008</v>
      </c>
      <c r="C758" s="43">
        <f>C757+(((A758+A757)/2)*(B758-B757))</f>
        <v>5079.9637756552038</v>
      </c>
      <c r="D758" s="38"/>
    </row>
    <row r="759" spans="1:4" ht="13.8" x14ac:dyDescent="0.25">
      <c r="A759" s="41">
        <v>0.29553903345724908</v>
      </c>
      <c r="B759" s="41">
        <v>7588.6565289</v>
      </c>
      <c r="C759" s="43">
        <f>C758+(((A759+A758)/2)*(B759-B758))</f>
        <v>5081.0141820839208</v>
      </c>
      <c r="D759" s="38"/>
    </row>
    <row r="760" spans="1:4" ht="13.8" x14ac:dyDescent="0.25">
      <c r="A760" s="40">
        <v>0.29460966542750927</v>
      </c>
      <c r="B760" s="40">
        <v>7601.6149938999988</v>
      </c>
      <c r="C760" s="43">
        <f>C759+(((A760+A759)/2)*(B760-B759))</f>
        <v>5084.8378927135673</v>
      </c>
      <c r="D760" s="38"/>
    </row>
    <row r="761" spans="1:4" ht="13.8" x14ac:dyDescent="0.25">
      <c r="A761" s="41">
        <v>0.29368029739776952</v>
      </c>
      <c r="B761" s="41">
        <v>7614.2943535000022</v>
      </c>
      <c r="C761" s="43">
        <f>C760+(((A761+A760)/2)*(B761-B760))</f>
        <v>5088.5674627074341</v>
      </c>
      <c r="D761" s="38"/>
    </row>
    <row r="762" spans="1:4" ht="13.8" x14ac:dyDescent="0.25">
      <c r="A762" s="40">
        <v>0.29275092936802977</v>
      </c>
      <c r="B762" s="40">
        <v>7620.8533304000002</v>
      </c>
      <c r="C762" s="43">
        <f>C761+(((A762+A761)/2)*(B762-B761))</f>
        <v>5090.4906571423317</v>
      </c>
      <c r="D762" s="38"/>
    </row>
    <row r="763" spans="1:4" ht="13.8" x14ac:dyDescent="0.25">
      <c r="A763" s="41">
        <v>0.29182156133828996</v>
      </c>
      <c r="B763" s="41">
        <v>7624.023170299999</v>
      </c>
      <c r="C763" s="43">
        <f>C762+(((A763+A762)/2)*(B763-B762))</f>
        <v>5091.4171577450734</v>
      </c>
      <c r="D763" s="38"/>
    </row>
    <row r="764" spans="1:4" ht="13.8" x14ac:dyDescent="0.25">
      <c r="A764" s="40">
        <v>0.29089219330855021</v>
      </c>
      <c r="B764" s="40">
        <v>7624.3222117999994</v>
      </c>
      <c r="C764" s="43">
        <f>C763+(((A764+A763)/2)*(B764-B763))</f>
        <v>5091.5042855427037</v>
      </c>
      <c r="D764" s="38"/>
    </row>
    <row r="765" spans="1:4" ht="13.8" x14ac:dyDescent="0.25">
      <c r="A765" s="41">
        <v>0.2899628252788104</v>
      </c>
      <c r="B765" s="41">
        <v>7638.5167149999988</v>
      </c>
      <c r="C765" s="43">
        <f>C764+(((A765+A764)/2)*(B765-B764))</f>
        <v>5095.6267597527403</v>
      </c>
      <c r="D765" s="38"/>
    </row>
    <row r="766" spans="1:4" ht="13.8" x14ac:dyDescent="0.25">
      <c r="A766" s="40">
        <v>0.28903345724907065</v>
      </c>
      <c r="B766" s="40">
        <v>7647.1689824000023</v>
      </c>
      <c r="C766" s="43">
        <f>C765+(((A766+A765)/2)*(B766-B765))</f>
        <v>5098.1315750827598</v>
      </c>
      <c r="D766" s="38"/>
    </row>
    <row r="767" spans="1:4" ht="13.8" x14ac:dyDescent="0.25">
      <c r="A767" s="41">
        <v>0.28810408921933084</v>
      </c>
      <c r="B767" s="41">
        <v>7708.7117230999993</v>
      </c>
      <c r="C767" s="43">
        <f>C766+(((A767+A766)/2)*(B767-B766))</f>
        <v>5115.8908882680289</v>
      </c>
      <c r="D767" s="38"/>
    </row>
    <row r="768" spans="1:4" ht="13.8" x14ac:dyDescent="0.25">
      <c r="A768" s="40">
        <v>0.28717472118959109</v>
      </c>
      <c r="B768" s="40">
        <v>7775.497658100001</v>
      </c>
      <c r="C768" s="43">
        <f>C767+(((A768+A767)/2)*(B768-B767))</f>
        <v>5135.101154887453</v>
      </c>
      <c r="D768" s="38"/>
    </row>
    <row r="769" spans="1:4" ht="13.8" x14ac:dyDescent="0.25">
      <c r="A769" s="41">
        <v>0.28624535315985128</v>
      </c>
      <c r="B769" s="41">
        <v>7808.1131177000007</v>
      </c>
      <c r="C769" s="43">
        <f>C768+(((A769+A768)/2)*(B769-B768))</f>
        <v>5144.4523345218395</v>
      </c>
      <c r="D769" s="38"/>
    </row>
    <row r="770" spans="1:4" ht="13.8" x14ac:dyDescent="0.25">
      <c r="A770" s="40">
        <v>0.28531598513011153</v>
      </c>
      <c r="B770" s="40">
        <v>7809.2893475999999</v>
      </c>
      <c r="C770" s="43">
        <f>C769+(((A770+A769)/2)*(B770-B769))</f>
        <v>5144.7884782897299</v>
      </c>
      <c r="D770" s="38"/>
    </row>
    <row r="771" spans="1:4" ht="13.8" x14ac:dyDescent="0.25">
      <c r="A771" s="41">
        <v>0.28438661710037177</v>
      </c>
      <c r="B771" s="41">
        <v>7863.4357952</v>
      </c>
      <c r="C771" s="43">
        <f>C770+(((A771+A770)/2)*(B771-B770))</f>
        <v>5160.2121643393584</v>
      </c>
      <c r="D771" s="38"/>
    </row>
    <row r="772" spans="1:4" ht="13.8" x14ac:dyDescent="0.25">
      <c r="A772" s="40">
        <v>0.28345724907063197</v>
      </c>
      <c r="B772" s="40">
        <v>7886.7012238999996</v>
      </c>
      <c r="C772" s="43">
        <f>C771+(((A772+A771)/2)*(B772-B771))</f>
        <v>5166.8177298299252</v>
      </c>
      <c r="D772" s="38"/>
    </row>
    <row r="773" spans="1:4" ht="13.8" x14ac:dyDescent="0.25">
      <c r="A773" s="41">
        <v>0.28252788104089221</v>
      </c>
      <c r="B773" s="41">
        <v>7894.8351527000013</v>
      </c>
      <c r="C773" s="43">
        <f>C772+(((A773+A772)/2)*(B773-B772))</f>
        <v>5169.1195712050185</v>
      </c>
      <c r="D773" s="38"/>
    </row>
    <row r="774" spans="1:4" ht="13.8" x14ac:dyDescent="0.25">
      <c r="A774" s="40">
        <v>0.28159851301115241</v>
      </c>
      <c r="B774" s="40">
        <v>7897.3670373999994</v>
      </c>
      <c r="C774" s="43">
        <f>C773+(((A774+A773)/2)*(B774-B773))</f>
        <v>5169.8337226980011</v>
      </c>
      <c r="D774" s="38"/>
    </row>
    <row r="775" spans="1:4" ht="13.8" x14ac:dyDescent="0.25">
      <c r="A775" s="41">
        <v>0.28066914498141265</v>
      </c>
      <c r="B775" s="41">
        <v>7910.4650550999995</v>
      </c>
      <c r="C775" s="43">
        <f>C774+(((A775+A774)/2)*(B775-B774))</f>
        <v>5173.5160185662635</v>
      </c>
      <c r="D775" s="38"/>
    </row>
    <row r="776" spans="1:4" ht="13.8" x14ac:dyDescent="0.25">
      <c r="A776" s="40">
        <v>0.27973977695167285</v>
      </c>
      <c r="B776" s="40">
        <v>7922.2672263000022</v>
      </c>
      <c r="C776" s="43">
        <f>C775+(((A776+A775)/2)*(B776-B775))</f>
        <v>5176.8230395855953</v>
      </c>
      <c r="D776" s="38"/>
    </row>
    <row r="777" spans="1:4" ht="13.8" x14ac:dyDescent="0.25">
      <c r="A777" s="41">
        <v>0.27881040892193309</v>
      </c>
      <c r="B777" s="41">
        <v>7937.9968092000017</v>
      </c>
      <c r="C777" s="43">
        <f>C776+(((A777+A776)/2)*(B777-B776))</f>
        <v>5181.2159203118499</v>
      </c>
      <c r="D777" s="38"/>
    </row>
    <row r="778" spans="1:4" ht="13.8" x14ac:dyDescent="0.25">
      <c r="A778" s="40">
        <v>0.27788104089219329</v>
      </c>
      <c r="B778" s="40">
        <v>7947.7455621000026</v>
      </c>
      <c r="C778" s="43">
        <f>C777+(((A778+A777)/2)*(B778-B777))</f>
        <v>5183.9294440047406</v>
      </c>
      <c r="D778" s="38"/>
    </row>
    <row r="779" spans="1:4" ht="13.8" x14ac:dyDescent="0.25">
      <c r="A779" s="41">
        <v>0.27695167286245354</v>
      </c>
      <c r="B779" s="41">
        <v>7973.4631311000003</v>
      </c>
      <c r="C779" s="43">
        <f>C778+(((A779+A778)/2)*(B779-B778))</f>
        <v>5191.0639183044614</v>
      </c>
      <c r="D779" s="38"/>
    </row>
    <row r="780" spans="1:4" ht="13.8" x14ac:dyDescent="0.25">
      <c r="A780" s="40">
        <v>0.27602230483271373</v>
      </c>
      <c r="B780" s="40">
        <v>7981.6169960000016</v>
      </c>
      <c r="C780" s="43">
        <f>C779+(((A780+A779)/2)*(B780-B779))</f>
        <v>5193.3183558581331</v>
      </c>
      <c r="D780" s="38"/>
    </row>
    <row r="781" spans="1:4" ht="13.8" x14ac:dyDescent="0.25">
      <c r="A781" s="41">
        <v>0.27509293680297398</v>
      </c>
      <c r="B781" s="41">
        <v>7984.7270276000008</v>
      </c>
      <c r="C781" s="43">
        <f>C780+(((A781+A780)/2)*(B781-B780))</f>
        <v>5194.1753487664973</v>
      </c>
      <c r="D781" s="38"/>
    </row>
    <row r="782" spans="1:4" ht="13.8" x14ac:dyDescent="0.25">
      <c r="A782" s="40">
        <v>0.27416356877323422</v>
      </c>
      <c r="B782" s="40">
        <v>8007.2348844999997</v>
      </c>
      <c r="C782" s="43">
        <f>C781+(((A782+A781)/2)*(B782-B781))</f>
        <v>5200.3566421809483</v>
      </c>
      <c r="D782" s="38"/>
    </row>
    <row r="783" spans="1:4" ht="13.8" x14ac:dyDescent="0.25">
      <c r="A783" s="41">
        <v>0.27323420074349442</v>
      </c>
      <c r="B783" s="41">
        <v>8013.8536697</v>
      </c>
      <c r="C783" s="43">
        <f>C782+(((A783+A782)/2)*(B783-B782))</f>
        <v>5202.1681963086439</v>
      </c>
      <c r="D783" s="38"/>
    </row>
    <row r="784" spans="1:4" ht="13.8" x14ac:dyDescent="0.25">
      <c r="A784" s="40">
        <v>0.27230483271375466</v>
      </c>
      <c r="B784" s="40">
        <v>8020.6120076000007</v>
      </c>
      <c r="C784" s="43">
        <f>C783+(((A784+A783)/2)*(B784-B783))</f>
        <v>5204.0116648715157</v>
      </c>
      <c r="D784" s="38"/>
    </row>
    <row r="785" spans="1:4" ht="13.8" x14ac:dyDescent="0.25">
      <c r="A785" s="41">
        <v>0.27137546468401486</v>
      </c>
      <c r="B785" s="41">
        <v>8033.5904087000008</v>
      </c>
      <c r="C785" s="43">
        <f>C784+(((A785+A784)/2)*(B785-B784))</f>
        <v>5207.5397153564136</v>
      </c>
      <c r="D785" s="38"/>
    </row>
    <row r="786" spans="1:4" ht="13.8" x14ac:dyDescent="0.25">
      <c r="A786" s="40">
        <v>0.2704460966542751</v>
      </c>
      <c r="B786" s="40">
        <v>8037.5975647999994</v>
      </c>
      <c r="C786" s="43">
        <f>C785+(((A786+A785)/2)*(B786-B785))</f>
        <v>5208.625297143727</v>
      </c>
      <c r="D786" s="38"/>
    </row>
    <row r="787" spans="1:4" ht="13.8" x14ac:dyDescent="0.25">
      <c r="A787" s="41">
        <v>0.2695167286245353</v>
      </c>
      <c r="B787" s="41">
        <v>8037.7171813999994</v>
      </c>
      <c r="C787" s="43">
        <f>C786+(((A787+A786)/2)*(B787-B786))</f>
        <v>5208.6575914023706</v>
      </c>
      <c r="D787" s="38"/>
    </row>
    <row r="788" spans="1:4" ht="13.8" x14ac:dyDescent="0.25">
      <c r="A788" s="40">
        <v>0.26858736059479554</v>
      </c>
      <c r="B788" s="40">
        <v>8079.6627357999996</v>
      </c>
      <c r="C788" s="43">
        <f>C787+(((A788+A787)/2)*(B788-B787))</f>
        <v>5219.9431285759765</v>
      </c>
      <c r="D788" s="38"/>
    </row>
    <row r="789" spans="1:4" ht="13.8" x14ac:dyDescent="0.25">
      <c r="A789" s="41">
        <v>0.26765799256505574</v>
      </c>
      <c r="B789" s="41">
        <v>8084.0486777999995</v>
      </c>
      <c r="C789" s="43">
        <f>C788+(((A789+A788)/2)*(B789-B788))</f>
        <v>5221.1190990843406</v>
      </c>
      <c r="D789" s="38"/>
    </row>
    <row r="790" spans="1:4" ht="13.8" x14ac:dyDescent="0.25">
      <c r="A790" s="40">
        <v>0.26672862453531598</v>
      </c>
      <c r="B790" s="40">
        <v>8123.9208778000011</v>
      </c>
      <c r="C790" s="43">
        <f>C789+(((A790+A789)/2)*(B790-B789))</f>
        <v>5231.7726841215153</v>
      </c>
      <c r="D790" s="38"/>
    </row>
    <row r="791" spans="1:4" ht="13.8" x14ac:dyDescent="0.25">
      <c r="A791" s="41">
        <v>0.26579925650557623</v>
      </c>
      <c r="B791" s="41">
        <v>8133.9686721999979</v>
      </c>
      <c r="C791" s="43">
        <f>C790+(((A791+A790)/2)*(B791-B790))</f>
        <v>5234.4480494519976</v>
      </c>
      <c r="D791" s="38"/>
    </row>
    <row r="792" spans="1:4" ht="13.8" x14ac:dyDescent="0.25">
      <c r="A792" s="40">
        <v>0.26486988847583642</v>
      </c>
      <c r="B792" s="40">
        <v>8134.6265635000009</v>
      </c>
      <c r="C792" s="43">
        <f>C791+(((A792+A791)/2)*(B792-B791))</f>
        <v>5234.6226107588291</v>
      </c>
      <c r="D792" s="38"/>
    </row>
    <row r="793" spans="1:4" ht="13.8" x14ac:dyDescent="0.25">
      <c r="A793" s="41">
        <v>0.26394052044609667</v>
      </c>
      <c r="B793" s="41">
        <v>8139.1919303999994</v>
      </c>
      <c r="C793" s="43">
        <f>C792+(((A793+A792)/2)*(B793-B792))</f>
        <v>5235.8297175274629</v>
      </c>
      <c r="D793" s="38"/>
    </row>
    <row r="794" spans="1:4" ht="13.8" x14ac:dyDescent="0.25">
      <c r="A794" s="40">
        <v>0.26301115241635686</v>
      </c>
      <c r="B794" s="40">
        <v>8195.9699431999998</v>
      </c>
      <c r="C794" s="43">
        <f>C793+(((A794+A793)/2)*(B794-B793))</f>
        <v>5250.7893519408462</v>
      </c>
      <c r="D794" s="38"/>
    </row>
    <row r="795" spans="1:4" ht="13.8" x14ac:dyDescent="0.25">
      <c r="A795" s="41">
        <v>0.26208178438661711</v>
      </c>
      <c r="B795" s="41">
        <v>8196.0297515000002</v>
      </c>
      <c r="C795" s="43">
        <f>C794+(((A795+A794)/2)*(B795-B794))</f>
        <v>5250.8050543987929</v>
      </c>
      <c r="D795" s="38"/>
    </row>
    <row r="796" spans="1:4" ht="13.8" x14ac:dyDescent="0.25">
      <c r="A796" s="40">
        <v>0.2611524163568773</v>
      </c>
      <c r="B796" s="40">
        <v>8200.0169715000011</v>
      </c>
      <c r="C796" s="43">
        <f>C795+(((A796+A795)/2)*(B796-B795))</f>
        <v>5251.8481793337378</v>
      </c>
      <c r="D796" s="38"/>
    </row>
    <row r="797" spans="1:4" ht="13.8" x14ac:dyDescent="0.25">
      <c r="A797" s="41">
        <v>0.26022304832713755</v>
      </c>
      <c r="B797" s="41">
        <v>8224.3190774000013</v>
      </c>
      <c r="C797" s="43">
        <f>C796+(((A797+A796)/2)*(B797-B796))</f>
        <v>5258.1834402119439</v>
      </c>
      <c r="D797" s="38"/>
    </row>
    <row r="798" spans="1:4" ht="13.8" x14ac:dyDescent="0.25">
      <c r="A798" s="40">
        <v>0.25929368029739774</v>
      </c>
      <c r="B798" s="40">
        <v>8232.0343481000018</v>
      </c>
      <c r="C798" s="43">
        <f>C797+(((A798+A797)/2)*(B798-B797))</f>
        <v>5260.1875463092019</v>
      </c>
      <c r="D798" s="38"/>
    </row>
    <row r="799" spans="1:4" ht="13.8" x14ac:dyDescent="0.25">
      <c r="A799" s="41">
        <v>0.25836431226765799</v>
      </c>
      <c r="B799" s="41">
        <v>8242.7400337999989</v>
      </c>
      <c r="C799" s="43">
        <f>C798+(((A799+A798)/2)*(B799-B798))</f>
        <v>5262.9584881934488</v>
      </c>
      <c r="D799" s="38"/>
    </row>
    <row r="800" spans="1:4" ht="13.8" x14ac:dyDescent="0.25">
      <c r="A800" s="40">
        <v>0.25743494423791824</v>
      </c>
      <c r="B800" s="40">
        <v>8255.0804797000001</v>
      </c>
      <c r="C800" s="43">
        <f>C799+(((A800+A799)/2)*(B800-B799))</f>
        <v>5266.1410846035324</v>
      </c>
      <c r="D800" s="38"/>
    </row>
    <row r="801" spans="1:4" ht="13.8" x14ac:dyDescent="0.25">
      <c r="A801" s="41">
        <v>0.25650557620817843</v>
      </c>
      <c r="B801" s="41">
        <v>8278.4455888999983</v>
      </c>
      <c r="C801" s="43">
        <f>C800+(((A801+A800)/2)*(B801-B800))</f>
        <v>5272.1452227947957</v>
      </c>
      <c r="D801" s="38"/>
    </row>
    <row r="802" spans="1:4" ht="13.8" x14ac:dyDescent="0.25">
      <c r="A802" s="40">
        <v>0.25557620817843868</v>
      </c>
      <c r="B802" s="40">
        <v>8325.5147210000014</v>
      </c>
      <c r="C802" s="43">
        <f>C801+(((A802+A801)/2)*(B802-B801))</f>
        <v>5284.1968453724448</v>
      </c>
      <c r="D802" s="38"/>
    </row>
    <row r="803" spans="1:4" ht="13.8" x14ac:dyDescent="0.25">
      <c r="A803" s="41">
        <v>0.25464684014869887</v>
      </c>
      <c r="B803" s="41">
        <v>8346.9260924000009</v>
      </c>
      <c r="C803" s="43">
        <f>C802+(((A803+A802)/2)*(B803-B802))</f>
        <v>5289.6591329647308</v>
      </c>
      <c r="D803" s="38"/>
    </row>
    <row r="804" spans="1:4" ht="13.8" x14ac:dyDescent="0.25">
      <c r="A804" s="40">
        <v>0.25371747211895912</v>
      </c>
      <c r="B804" s="40">
        <v>8370.3111377000005</v>
      </c>
      <c r="C804" s="43">
        <f>C803+(((A804+A803)/2)*(B804-B803))</f>
        <v>5295.6031942003719</v>
      </c>
      <c r="D804" s="38"/>
    </row>
    <row r="805" spans="1:4" ht="13.8" x14ac:dyDescent="0.25">
      <c r="A805" s="41">
        <v>0.25278810408921931</v>
      </c>
      <c r="B805" s="41">
        <v>8385.1236599999993</v>
      </c>
      <c r="C805" s="43">
        <f>C804+(((A805+A804)/2)*(B805-B804))</f>
        <v>5299.3545067717005</v>
      </c>
      <c r="D805" s="38"/>
    </row>
    <row r="806" spans="1:4" ht="13.8" x14ac:dyDescent="0.25">
      <c r="A806" s="40">
        <v>0.25185873605947956</v>
      </c>
      <c r="B806" s="40">
        <v>8388.7719663000007</v>
      </c>
      <c r="C806" s="43">
        <f>C805+(((A806+A805)/2)*(B806-B805))</f>
        <v>5300.275059894796</v>
      </c>
      <c r="D806" s="38"/>
    </row>
    <row r="807" spans="1:4" ht="13.8" x14ac:dyDescent="0.25">
      <c r="A807" s="41">
        <v>0.25092936802973975</v>
      </c>
      <c r="B807" s="41">
        <v>8390.0080045000013</v>
      </c>
      <c r="C807" s="43">
        <f>C806+(((A807+A806)/2)*(B807-B806))</f>
        <v>5300.5857925463761</v>
      </c>
      <c r="D807" s="38"/>
    </row>
    <row r="808" spans="1:4" ht="13.8" x14ac:dyDescent="0.25">
      <c r="A808" s="40">
        <v>0.25</v>
      </c>
      <c r="B808" s="40">
        <v>8404.9002712000001</v>
      </c>
      <c r="C808" s="43">
        <f>C807+(((A808+A807)/2)*(B808-B807))</f>
        <v>5304.3157794196568</v>
      </c>
      <c r="D808" s="38"/>
    </row>
    <row r="809" spans="1:4" ht="13.8" x14ac:dyDescent="0.25">
      <c r="A809" s="41">
        <v>0.24907063197026022</v>
      </c>
      <c r="B809" s="41">
        <v>8424.2582243000015</v>
      </c>
      <c r="C809" s="43">
        <f>C808+(((A809+A808)/2)*(B809-B808))</f>
        <v>5309.1462723632912</v>
      </c>
      <c r="D809" s="38"/>
    </row>
    <row r="810" spans="1:4" ht="13.8" x14ac:dyDescent="0.25">
      <c r="A810" s="40">
        <v>0.24814126394052044</v>
      </c>
      <c r="B810" s="40">
        <v>8424.3180326000002</v>
      </c>
      <c r="C810" s="43">
        <f>C809+(((A810+A809)/2)*(B810-B809))</f>
        <v>5309.1611410624082</v>
      </c>
      <c r="D810" s="38"/>
    </row>
    <row r="811" spans="1:4" ht="13.8" x14ac:dyDescent="0.25">
      <c r="A811" s="41">
        <v>0.24721189591078066</v>
      </c>
      <c r="B811" s="41">
        <v>8425.2350932000027</v>
      </c>
      <c r="C811" s="43">
        <f>C810+(((A811+A810)/2)*(B811-B810))</f>
        <v>5309.3882754954011</v>
      </c>
      <c r="D811" s="38"/>
    </row>
    <row r="812" spans="1:4" ht="13.8" x14ac:dyDescent="0.25">
      <c r="A812" s="40">
        <v>0.24628252788104088</v>
      </c>
      <c r="B812" s="40">
        <v>8432.6712585000005</v>
      </c>
      <c r="C812" s="43">
        <f>C811+(((A812+A811)/2)*(B812-B811))</f>
        <v>5311.2231285503731</v>
      </c>
      <c r="D812" s="38"/>
    </row>
    <row r="813" spans="1:4" ht="13.8" x14ac:dyDescent="0.25">
      <c r="A813" s="41">
        <v>0.24535315985130113</v>
      </c>
      <c r="B813" s="40">
        <v>8440.6456985000004</v>
      </c>
      <c r="C813" s="43">
        <f>C812+(((A813+A812)/2)*(B813-B812))</f>
        <v>5313.1833881972134</v>
      </c>
      <c r="D813" s="38"/>
    </row>
    <row r="814" spans="1:4" ht="13.8" x14ac:dyDescent="0.25">
      <c r="A814" s="40">
        <v>0.24442379182156135</v>
      </c>
      <c r="B814" s="41">
        <v>8440.6456985000004</v>
      </c>
      <c r="C814" s="43">
        <f>C813+(((A814+A813)/2)*(B814-B813))</f>
        <v>5313.1833881972134</v>
      </c>
      <c r="D814" s="38"/>
    </row>
    <row r="815" spans="1:4" ht="13.8" x14ac:dyDescent="0.25">
      <c r="A815" s="41">
        <v>0.24349442379182157</v>
      </c>
      <c r="B815" s="41">
        <v>8469.6327878999982</v>
      </c>
      <c r="C815" s="43">
        <f>C814+(((A815+A814)/2)*(B815-B814))</f>
        <v>5320.2550526651494</v>
      </c>
      <c r="D815" s="38"/>
    </row>
    <row r="816" spans="1:4" ht="13.8" x14ac:dyDescent="0.25">
      <c r="A816" s="40">
        <v>0.24256505576208179</v>
      </c>
      <c r="B816" s="40">
        <v>8574.9153320000005</v>
      </c>
      <c r="C816" s="43">
        <f>C815+(((A816+A815)/2)*(B816-B815))</f>
        <v>5345.8418419608288</v>
      </c>
      <c r="D816" s="38"/>
    </row>
    <row r="817" spans="1:4" ht="13.8" x14ac:dyDescent="0.25">
      <c r="A817" s="41">
        <v>0.24163568773234201</v>
      </c>
      <c r="B817" s="41">
        <v>8628.6032492999984</v>
      </c>
      <c r="C817" s="43">
        <f>C816+(((A817+A816)/2)*(B817-B816))</f>
        <v>5358.8397066974921</v>
      </c>
      <c r="D817" s="38"/>
    </row>
    <row r="818" spans="1:4" ht="13.8" x14ac:dyDescent="0.25">
      <c r="A818" s="40">
        <v>0.24070631970260223</v>
      </c>
      <c r="B818" s="40">
        <v>8635.7005008999986</v>
      </c>
      <c r="C818" s="43">
        <f>C817+(((A818+A817)/2)*(B818-B817))</f>
        <v>5360.5513579894996</v>
      </c>
      <c r="D818" s="38"/>
    </row>
    <row r="819" spans="1:4" ht="13.8" x14ac:dyDescent="0.25">
      <c r="A819" s="41">
        <v>0.23977695167286245</v>
      </c>
      <c r="B819" s="41">
        <v>8663.5512326000007</v>
      </c>
      <c r="C819" s="43">
        <f>C818+(((A819+A818)/2)*(B819-B818))</f>
        <v>5367.2422633282085</v>
      </c>
      <c r="D819" s="38"/>
    </row>
    <row r="820" spans="1:4" ht="13.8" x14ac:dyDescent="0.25">
      <c r="A820" s="40">
        <v>0.23884758364312267</v>
      </c>
      <c r="B820" s="40">
        <v>8666.7609447000032</v>
      </c>
      <c r="C820" s="43">
        <f>C819+(((A820+A819)/2)*(B820-B819))</f>
        <v>5368.0103868093893</v>
      </c>
      <c r="D820" s="38"/>
    </row>
    <row r="821" spans="1:4" ht="13.8" x14ac:dyDescent="0.25">
      <c r="A821" s="41">
        <v>0.23791821561338289</v>
      </c>
      <c r="B821" s="41">
        <v>8688.7105908000012</v>
      </c>
      <c r="C821" s="43">
        <f>C820+(((A821+A820)/2)*(B821-B820))</f>
        <v>5373.2428070925207</v>
      </c>
      <c r="D821" s="38"/>
    </row>
    <row r="822" spans="1:4" ht="13.8" x14ac:dyDescent="0.25">
      <c r="A822" s="40">
        <v>0.23698884758364314</v>
      </c>
      <c r="B822" s="40">
        <v>8691.1826671999988</v>
      </c>
      <c r="C822" s="43">
        <f>C821+(((A822+A821)/2)*(B822-B821))</f>
        <v>5373.8298103640818</v>
      </c>
      <c r="D822" s="38"/>
    </row>
    <row r="823" spans="1:4" ht="13.8" x14ac:dyDescent="0.25">
      <c r="A823" s="41">
        <v>0.23605947955390336</v>
      </c>
      <c r="B823" s="41">
        <v>8702.3468832000017</v>
      </c>
      <c r="C823" s="43">
        <f>C822+(((A823+A822)/2)*(B823-B822))</f>
        <v>5376.4704172153833</v>
      </c>
      <c r="D823" s="38"/>
    </row>
    <row r="824" spans="1:4" ht="13.8" x14ac:dyDescent="0.25">
      <c r="A824" s="40">
        <v>0.23513011152416358</v>
      </c>
      <c r="B824" s="40">
        <v>8721.7447085000022</v>
      </c>
      <c r="C824" s="43">
        <f>C823+(((A824+A823)/2)*(B824-B823))</f>
        <v>5381.0404439008389</v>
      </c>
      <c r="D824" s="38"/>
    </row>
    <row r="825" spans="1:4" ht="13.8" x14ac:dyDescent="0.25">
      <c r="A825" s="41">
        <v>0.2342007434944238</v>
      </c>
      <c r="B825" s="41">
        <v>8757.948666100001</v>
      </c>
      <c r="C825" s="43">
        <f>C824+(((A825+A824)/2)*(B825-B824))</f>
        <v>5389.5362610885713</v>
      </c>
      <c r="D825" s="38"/>
    </row>
    <row r="826" spans="1:4" ht="13.8" x14ac:dyDescent="0.25">
      <c r="A826" s="40">
        <v>0.23327137546468402</v>
      </c>
      <c r="B826" s="40">
        <v>8762.3146720000022</v>
      </c>
      <c r="C826" s="43">
        <f>C825+(((A826+A825)/2)*(B826-B825))</f>
        <v>5390.5567541033024</v>
      </c>
      <c r="D826" s="38"/>
    </row>
    <row r="827" spans="1:4" ht="13.8" x14ac:dyDescent="0.25">
      <c r="A827" s="41">
        <v>0.23234200743494424</v>
      </c>
      <c r="B827" s="41">
        <v>8769.1726904000006</v>
      </c>
      <c r="C827" s="43">
        <f>C826+(((A827+A826)/2)*(B827-B826))</f>
        <v>5392.1533466769079</v>
      </c>
      <c r="D827" s="38"/>
    </row>
    <row r="828" spans="1:4" ht="13.8" x14ac:dyDescent="0.25">
      <c r="A828" s="40">
        <v>0.23141263940520446</v>
      </c>
      <c r="B828" s="40">
        <v>8791.3615697000005</v>
      </c>
      <c r="C828" s="43">
        <f>C827+(((A828+A827)/2)*(B828-B827))</f>
        <v>5397.2984446186829</v>
      </c>
      <c r="D828" s="38"/>
    </row>
    <row r="829" spans="1:4" ht="13.8" x14ac:dyDescent="0.25">
      <c r="A829" s="41">
        <v>0.23048327137546468</v>
      </c>
      <c r="B829" s="41">
        <v>8800.0138371000012</v>
      </c>
      <c r="C829" s="43">
        <f>C828+(((A829+A828)/2)*(B829-B828))</f>
        <v>5399.2966680842037</v>
      </c>
      <c r="D829" s="38"/>
    </row>
    <row r="830" spans="1:4" ht="13.8" x14ac:dyDescent="0.25">
      <c r="A830" s="40">
        <v>0.2295539033457249</v>
      </c>
      <c r="B830" s="40">
        <v>8803.6222711999999</v>
      </c>
      <c r="C830" s="43">
        <f>C829+(((A830+A829)/2)*(B830-B829))</f>
        <v>5400.1266749984688</v>
      </c>
      <c r="D830" s="38"/>
    </row>
    <row r="831" spans="1:4" ht="13.8" x14ac:dyDescent="0.25">
      <c r="A831" s="41">
        <v>0.22862453531598512</v>
      </c>
      <c r="B831" s="41">
        <v>8838.2911491000013</v>
      </c>
      <c r="C831" s="43">
        <f>C830+(((A831+A830)/2)*(B831-B830))</f>
        <v>5408.0689411716567</v>
      </c>
      <c r="D831" s="38"/>
    </row>
    <row r="832" spans="1:4" ht="13.8" x14ac:dyDescent="0.25">
      <c r="A832" s="40">
        <v>0.22769516728624536</v>
      </c>
      <c r="B832" s="40">
        <v>8847.621243900001</v>
      </c>
      <c r="C832" s="43">
        <f>C831+(((A832+A831)/2)*(B832-B831))</f>
        <v>5410.1976942138499</v>
      </c>
      <c r="D832" s="38"/>
    </row>
    <row r="833" spans="1:4" ht="13.8" x14ac:dyDescent="0.25">
      <c r="A833" s="41">
        <v>0.22676579925650558</v>
      </c>
      <c r="B833" s="41">
        <v>8853.5223294999996</v>
      </c>
      <c r="C833" s="43">
        <f>C832+(((A833+A832)/2)*(B833-B832))</f>
        <v>5411.5386007465631</v>
      </c>
      <c r="D833" s="38"/>
    </row>
    <row r="834" spans="1:4" ht="13.8" x14ac:dyDescent="0.25">
      <c r="A834" s="40">
        <v>0.2258364312267658</v>
      </c>
      <c r="B834" s="40">
        <v>8890.5835394000023</v>
      </c>
      <c r="C834" s="43">
        <f>C833+(((A834+A833)/2)*(B834-B833))</f>
        <v>5419.9255938791384</v>
      </c>
      <c r="D834" s="38"/>
    </row>
    <row r="835" spans="1:4" ht="13.8" x14ac:dyDescent="0.25">
      <c r="A835" s="41">
        <v>0.22490706319702602</v>
      </c>
      <c r="B835" s="41">
        <v>8895.1289702000031</v>
      </c>
      <c r="C835" s="43">
        <f>C834+(((A835+A834)/2)*(B835-B834))</f>
        <v>5420.9500055603658</v>
      </c>
      <c r="D835" s="38"/>
    </row>
    <row r="836" spans="1:4" ht="13.8" x14ac:dyDescent="0.25">
      <c r="A836" s="40">
        <v>0.22397769516728624</v>
      </c>
      <c r="B836" s="40">
        <v>8900.9503113999999</v>
      </c>
      <c r="C836" s="43">
        <f>C835+(((A836+A835)/2)*(B836-B835))</f>
        <v>5422.2565612293238</v>
      </c>
      <c r="D836" s="38"/>
    </row>
    <row r="837" spans="1:4" ht="13.8" x14ac:dyDescent="0.25">
      <c r="A837" s="41">
        <v>0.22304832713754646</v>
      </c>
      <c r="B837" s="41">
        <v>8921.1057084999993</v>
      </c>
      <c r="C837" s="43">
        <f>C836+(((A837+A836)/2)*(B837-B836))</f>
        <v>5426.7615547261175</v>
      </c>
      <c r="D837" s="38"/>
    </row>
    <row r="838" spans="1:4" ht="13.8" x14ac:dyDescent="0.25">
      <c r="A838" s="40">
        <v>0.22211895910780668</v>
      </c>
      <c r="B838" s="40">
        <v>8961.6357997999985</v>
      </c>
      <c r="C838" s="43">
        <f>C837+(((A838+A837)/2)*(B838-B837))</f>
        <v>5435.7828901037665</v>
      </c>
      <c r="D838" s="38"/>
    </row>
    <row r="839" spans="1:4" ht="13.8" x14ac:dyDescent="0.25">
      <c r="A839" s="41">
        <v>0.22118959107806691</v>
      </c>
      <c r="B839" s="41">
        <v>8966.0018057000016</v>
      </c>
      <c r="C839" s="43">
        <f>C838+(((A839+A838)/2)*(B839-B838))</f>
        <v>5436.7506339765832</v>
      </c>
      <c r="D839" s="38"/>
    </row>
    <row r="840" spans="1:4" ht="13.8" x14ac:dyDescent="0.25">
      <c r="A840" s="40">
        <v>0.22026022304832713</v>
      </c>
      <c r="B840" s="40">
        <v>9024.8133007000015</v>
      </c>
      <c r="C840" s="43">
        <f>C839+(((A840+A839)/2)*(B840-B839))</f>
        <v>5449.7317957447058</v>
      </c>
      <c r="D840" s="38"/>
    </row>
    <row r="841" spans="1:4" ht="13.8" x14ac:dyDescent="0.25">
      <c r="A841" s="41">
        <v>0.21933085501858737</v>
      </c>
      <c r="B841" s="41">
        <v>9050.4311891999987</v>
      </c>
      <c r="C841" s="43">
        <f>C840+(((A841+A840)/2)*(B841-B840))</f>
        <v>5455.3624933564615</v>
      </c>
      <c r="D841" s="38"/>
    </row>
    <row r="842" spans="1:4" ht="13.8" x14ac:dyDescent="0.25">
      <c r="A842" s="40">
        <v>0.21840148698884759</v>
      </c>
      <c r="B842" s="40">
        <v>9058.4056292000005</v>
      </c>
      <c r="C842" s="43">
        <f>C841+(((A842+A841)/2)*(B842-B841))</f>
        <v>5457.1078285051608</v>
      </c>
      <c r="D842" s="38"/>
    </row>
    <row r="843" spans="1:4" ht="13.8" x14ac:dyDescent="0.25">
      <c r="A843" s="41">
        <v>0.21747211895910781</v>
      </c>
      <c r="B843" s="41">
        <v>9130.5743112</v>
      </c>
      <c r="C843" s="43">
        <f>C842+(((A843+A842)/2)*(B843-B842))</f>
        <v>5472.8360403350862</v>
      </c>
      <c r="D843" s="38"/>
    </row>
    <row r="844" spans="1:4" ht="13.8" x14ac:dyDescent="0.25">
      <c r="A844" s="40">
        <v>0.21654275092936803</v>
      </c>
      <c r="B844" s="40">
        <v>9147.2408908000016</v>
      </c>
      <c r="C844" s="43">
        <f>C843+(((A844+A843)/2)*(B844-B843))</f>
        <v>5476.4528120233763</v>
      </c>
      <c r="D844" s="38"/>
    </row>
    <row r="845" spans="1:4" ht="13.8" x14ac:dyDescent="0.25">
      <c r="A845" s="41">
        <v>0.21561338289962825</v>
      </c>
      <c r="B845" s="41">
        <v>9182.9265097999996</v>
      </c>
      <c r="C845" s="43">
        <f>C844+(((A845+A844)/2)*(B845-B844))</f>
        <v>5484.1636915935433</v>
      </c>
      <c r="D845" s="38"/>
    </row>
    <row r="846" spans="1:4" ht="13.8" x14ac:dyDescent="0.25">
      <c r="A846" s="40">
        <v>0.21468401486988847</v>
      </c>
      <c r="B846" s="40">
        <v>9212.9303403000013</v>
      </c>
      <c r="C846" s="43">
        <f>C845+(((A846+A845)/2)*(B846-B845))</f>
        <v>5490.6189766871776</v>
      </c>
      <c r="D846" s="38"/>
    </row>
    <row r="847" spans="1:4" ht="13.8" x14ac:dyDescent="0.25">
      <c r="A847" s="41">
        <v>0.21375464684014869</v>
      </c>
      <c r="B847" s="41">
        <v>9233.4246510999983</v>
      </c>
      <c r="C847" s="43">
        <f>C846+(((A847+A846)/2)*(B847-B846))</f>
        <v>5495.0092542330876</v>
      </c>
      <c r="D847" s="38"/>
    </row>
    <row r="848" spans="1:4" ht="13.8" x14ac:dyDescent="0.25">
      <c r="A848" s="40">
        <v>0.21282527881040891</v>
      </c>
      <c r="B848" s="40">
        <v>9234.8002420000012</v>
      </c>
      <c r="C848" s="43">
        <f>C847+(((A848+A847)/2)*(B848-B847))</f>
        <v>5495.3026539650118</v>
      </c>
      <c r="D848" s="38"/>
    </row>
    <row r="849" spans="1:4" ht="13.8" x14ac:dyDescent="0.25">
      <c r="A849" s="41">
        <v>0.21189591078066913</v>
      </c>
      <c r="B849" s="41">
        <v>9283.0456040000026</v>
      </c>
      <c r="C849" s="43">
        <f>C848+(((A849+A848)/2)*(B849-B848))</f>
        <v>5505.5480677354581</v>
      </c>
      <c r="D849" s="38"/>
    </row>
    <row r="850" spans="1:4" ht="13.8" x14ac:dyDescent="0.25">
      <c r="A850" s="40">
        <v>0.21096654275092938</v>
      </c>
      <c r="B850" s="40">
        <v>9314.9433640000007</v>
      </c>
      <c r="C850" s="43">
        <f>C849+(((A850+A849)/2)*(B850-B849))</f>
        <v>5512.2922502633382</v>
      </c>
      <c r="D850" s="38"/>
    </row>
    <row r="851" spans="1:4" ht="13.8" x14ac:dyDescent="0.25">
      <c r="A851" s="41">
        <v>0.2100371747211896</v>
      </c>
      <c r="B851" s="41">
        <v>9316.2192744000022</v>
      </c>
      <c r="C851" s="43">
        <f>C850+(((A851+A850)/2)*(B851-B850))</f>
        <v>5512.5608317741189</v>
      </c>
      <c r="D851" s="38"/>
    </row>
    <row r="852" spans="1:4" ht="13.8" x14ac:dyDescent="0.25">
      <c r="A852" s="40">
        <v>0.20910780669144982</v>
      </c>
      <c r="B852" s="40">
        <v>9365.2820164999994</v>
      </c>
      <c r="C852" s="43">
        <f>C851+(((A852+A851)/2)*(B852-B851))</f>
        <v>5522.8430328368968</v>
      </c>
      <c r="D852" s="38"/>
    </row>
    <row r="853" spans="1:4" ht="13.8" x14ac:dyDescent="0.25">
      <c r="A853" s="41">
        <v>0.20817843866171004</v>
      </c>
      <c r="B853" s="41">
        <v>9379.8353695000023</v>
      </c>
      <c r="C853" s="43">
        <f>C852+(((A853+A852)/2)*(B853-B852))</f>
        <v>5525.8794898522319</v>
      </c>
      <c r="D853" s="38"/>
    </row>
    <row r="854" spans="1:4" ht="13.8" x14ac:dyDescent="0.25">
      <c r="A854" s="40">
        <v>0.20724907063197026</v>
      </c>
      <c r="B854" s="40">
        <v>9395.9636744000018</v>
      </c>
      <c r="C854" s="43">
        <f>C853+(((A854+A853)/2)*(B854-B853))</f>
        <v>5529.2295606191001</v>
      </c>
      <c r="D854" s="38"/>
    </row>
    <row r="855" spans="1:4" ht="13.8" x14ac:dyDescent="0.25">
      <c r="A855" s="41">
        <v>0.20631970260223048</v>
      </c>
      <c r="B855" s="41">
        <v>9441.5375990000011</v>
      </c>
      <c r="C855" s="43">
        <f>C854+(((A855+A854)/2)*(B855-B854))</f>
        <v>5538.6535366632452</v>
      </c>
      <c r="D855" s="38"/>
    </row>
    <row r="856" spans="1:4" ht="13.8" x14ac:dyDescent="0.25">
      <c r="A856" s="40">
        <v>0.2053903345724907</v>
      </c>
      <c r="B856" s="40">
        <v>9450.4490356999995</v>
      </c>
      <c r="C856" s="43">
        <f>C855+(((A856+A855)/2)*(B856-B855))</f>
        <v>5540.4880006307631</v>
      </c>
      <c r="D856" s="38"/>
    </row>
    <row r="857" spans="1:4" ht="13.8" x14ac:dyDescent="0.25">
      <c r="A857" s="41">
        <v>0.20446096654275092</v>
      </c>
      <c r="B857" s="41">
        <v>9519.8665359000006</v>
      </c>
      <c r="C857" s="43">
        <f>C856+(((A857+A856)/2)*(B857-B856))</f>
        <v>5554.7134270193319</v>
      </c>
      <c r="D857" s="38"/>
    </row>
    <row r="858" spans="1:4" ht="13.8" x14ac:dyDescent="0.25">
      <c r="A858" s="40">
        <v>0.20353159851301114</v>
      </c>
      <c r="B858" s="40">
        <v>9534.6192499000008</v>
      </c>
      <c r="C858" s="43">
        <f>C857+(((A858+A857)/2)*(B858-B857))</f>
        <v>5557.7229258325287</v>
      </c>
      <c r="D858" s="38"/>
    </row>
    <row r="859" spans="1:4" ht="13.8" x14ac:dyDescent="0.25">
      <c r="A859" s="41">
        <v>0.20260223048327136</v>
      </c>
      <c r="B859" s="41">
        <v>9558.7818030999988</v>
      </c>
      <c r="C859" s="43">
        <f>C858+(((A859+A858)/2)*(B859-B858))</f>
        <v>5562.6295409572494</v>
      </c>
      <c r="D859" s="38"/>
    </row>
    <row r="860" spans="1:4" ht="13.8" x14ac:dyDescent="0.25">
      <c r="A860" s="40">
        <v>0.20167286245353161</v>
      </c>
      <c r="B860" s="40">
        <v>9606.409146</v>
      </c>
      <c r="C860" s="43">
        <f>C859+(((A860+A859)/2)*(B860-B859))</f>
        <v>5572.2568151958649</v>
      </c>
      <c r="D860" s="38"/>
    </row>
    <row r="861" spans="1:4" ht="13.8" x14ac:dyDescent="0.25">
      <c r="A861" s="41">
        <v>0.20074349442379183</v>
      </c>
      <c r="B861" s="41">
        <v>9644.5668414000011</v>
      </c>
      <c r="C861" s="43">
        <f>C860+(((A861+A860)/2)*(B861-B860))</f>
        <v>5579.9344555807165</v>
      </c>
      <c r="D861" s="38"/>
    </row>
    <row r="862" spans="1:4" ht="13.8" x14ac:dyDescent="0.25">
      <c r="A862" s="40">
        <v>0.19981412639405205</v>
      </c>
      <c r="B862" s="40">
        <v>9671.4606402999998</v>
      </c>
      <c r="C862" s="43">
        <f>C861+(((A862+A861)/2)*(B862-B861))</f>
        <v>5585.3207136317851</v>
      </c>
      <c r="D862" s="38"/>
    </row>
    <row r="863" spans="1:4" ht="13.8" x14ac:dyDescent="0.25">
      <c r="A863" s="41">
        <v>0.19888475836431227</v>
      </c>
      <c r="B863" s="41">
        <v>9675.3880519999984</v>
      </c>
      <c r="C863" s="43">
        <f>C862+(((A863+A862)/2)*(B863-B862))</f>
        <v>5586.1036409641729</v>
      </c>
      <c r="D863" s="38"/>
    </row>
    <row r="864" spans="1:4" ht="13.8" x14ac:dyDescent="0.25">
      <c r="A864" s="40">
        <v>0.19795539033457249</v>
      </c>
      <c r="B864" s="40">
        <v>9702.5410201999985</v>
      </c>
      <c r="C864" s="43">
        <f>C863+(((A864+A863)/2)*(B864-B863))</f>
        <v>5591.4913349332246</v>
      </c>
      <c r="D864" s="38"/>
    </row>
    <row r="865" spans="1:4" ht="13.8" x14ac:dyDescent="0.25">
      <c r="A865" s="41">
        <v>0.19702602230483271</v>
      </c>
      <c r="B865" s="41">
        <v>9734.3789719000015</v>
      </c>
      <c r="C865" s="43">
        <f>C864+(((A865+A864)/2)*(B865-B864))</f>
        <v>5597.7790345022304</v>
      </c>
      <c r="D865" s="38"/>
    </row>
    <row r="866" spans="1:4" ht="13.8" x14ac:dyDescent="0.25">
      <c r="A866" s="40">
        <v>0.19609665427509293</v>
      </c>
      <c r="B866" s="40">
        <v>9744.9251688000004</v>
      </c>
      <c r="C866" s="43">
        <f>C865+(((A866+A865)/2)*(B866-B865))</f>
        <v>5599.8520090787633</v>
      </c>
      <c r="D866" s="38"/>
    </row>
    <row r="867" spans="1:4" ht="13.8" x14ac:dyDescent="0.25">
      <c r="A867" s="41">
        <v>0.19516728624535315</v>
      </c>
      <c r="B867" s="41">
        <v>9787.1099563999996</v>
      </c>
      <c r="C867" s="43">
        <f>C866+(((A867+A866)/2)*(B867-B866))</f>
        <v>5608.1047021919603</v>
      </c>
      <c r="D867" s="38"/>
    </row>
    <row r="868" spans="1:4" ht="13.8" x14ac:dyDescent="0.25">
      <c r="A868" s="40">
        <v>0.19423791821561337</v>
      </c>
      <c r="B868" s="40">
        <v>9851.5833038000001</v>
      </c>
      <c r="C868" s="43">
        <f>C867+(((A868+A867)/2)*(B868-B867))</f>
        <v>5620.6578307052505</v>
      </c>
      <c r="D868" s="38"/>
    </row>
    <row r="869" spans="1:4" ht="13.8" x14ac:dyDescent="0.25">
      <c r="A869" s="41">
        <v>0.19330855018587362</v>
      </c>
      <c r="B869" s="41">
        <v>9896.7385703</v>
      </c>
      <c r="C869" s="43">
        <f>C868+(((A869+A868)/2)*(B869-B868))</f>
        <v>5629.4077127361516</v>
      </c>
      <c r="D869" s="38"/>
    </row>
    <row r="870" spans="1:4" ht="13.8" x14ac:dyDescent="0.25">
      <c r="A870" s="40">
        <v>0.19237918215613384</v>
      </c>
      <c r="B870" s="40">
        <v>9902.3206783000005</v>
      </c>
      <c r="C870" s="43">
        <f>C869+(((A870+A869)/2)*(B870-B869))</f>
        <v>5630.4841880242557</v>
      </c>
      <c r="D870" s="38"/>
    </row>
    <row r="871" spans="1:4" ht="13.8" x14ac:dyDescent="0.25">
      <c r="A871" s="41">
        <v>0.19144981412639406</v>
      </c>
      <c r="B871" s="41">
        <v>9947.8547307000008</v>
      </c>
      <c r="C871" s="43">
        <f>C870+(((A871+A870)/2)*(B871-B870))</f>
        <v>5639.2228328389401</v>
      </c>
      <c r="D871" s="38"/>
    </row>
    <row r="872" spans="1:4" ht="13.8" x14ac:dyDescent="0.25">
      <c r="A872" s="40">
        <v>0.19052044609665428</v>
      </c>
      <c r="B872" s="40">
        <v>9965.5579874999985</v>
      </c>
      <c r="C872" s="43">
        <f>C871+(((A872+A871)/2)*(B872-B871))</f>
        <v>5642.6038916422858</v>
      </c>
      <c r="D872" s="38"/>
    </row>
    <row r="873" spans="1:4" ht="13.8" x14ac:dyDescent="0.25">
      <c r="A873" s="41">
        <v>0.1895910780669145</v>
      </c>
      <c r="B873" s="41">
        <v>9976.3035454000019</v>
      </c>
      <c r="C873" s="43">
        <f>C872+(((A873+A872)/2)*(B873-B872))</f>
        <v>5644.6461468379648</v>
      </c>
      <c r="D873" s="38"/>
    </row>
    <row r="874" spans="1:4" ht="13.8" x14ac:dyDescent="0.25">
      <c r="A874" s="40">
        <v>0.18866171003717472</v>
      </c>
      <c r="B874" s="40">
        <v>9986.690253499999</v>
      </c>
      <c r="C874" s="43">
        <f>C873+(((A874+A873)/2)*(B874-B873))</f>
        <v>5646.6105474869883</v>
      </c>
      <c r="D874" s="38"/>
    </row>
    <row r="875" spans="1:4" ht="13.8" x14ac:dyDescent="0.25">
      <c r="A875" s="41">
        <v>0.18773234200743494</v>
      </c>
      <c r="B875" s="41">
        <v>10013.364755300001</v>
      </c>
      <c r="C875" s="43">
        <f>C874+(((A875+A874)/2)*(B875-B874))</f>
        <v>5651.6306093963749</v>
      </c>
      <c r="D875" s="38"/>
    </row>
    <row r="876" spans="1:4" ht="13.8" x14ac:dyDescent="0.25">
      <c r="A876" s="40">
        <v>0.18680297397769516</v>
      </c>
      <c r="B876" s="40">
        <v>10017.890249999999</v>
      </c>
      <c r="C876" s="43">
        <f>C875+(((A876+A875)/2)*(B876-B875))</f>
        <v>5652.4780881901015</v>
      </c>
      <c r="D876" s="38"/>
    </row>
    <row r="877" spans="1:4" ht="13.8" x14ac:dyDescent="0.25">
      <c r="A877" s="41">
        <v>0.18587360594795538</v>
      </c>
      <c r="B877" s="41">
        <v>10044.684368400001</v>
      </c>
      <c r="C877" s="43">
        <f>C876+(((A877+A876)/2)*(B877-B876))</f>
        <v>5657.4708583938191</v>
      </c>
      <c r="D877" s="38"/>
    </row>
    <row r="878" spans="1:4" ht="13.8" x14ac:dyDescent="0.25">
      <c r="A878" s="40">
        <v>0.18494423791821563</v>
      </c>
      <c r="B878" s="40">
        <v>10063.763216100002</v>
      </c>
      <c r="C878" s="43">
        <f>C877+(((A878+A877)/2)*(B878-B877))</f>
        <v>5661.0082469776016</v>
      </c>
      <c r="D878" s="38"/>
    </row>
    <row r="879" spans="1:4" ht="13.8" x14ac:dyDescent="0.25">
      <c r="A879" s="41">
        <v>0.18401486988847585</v>
      </c>
      <c r="B879" s="41">
        <v>10186.330358900001</v>
      </c>
      <c r="C879" s="43">
        <f>C878+(((A879+A878)/2)*(B879-B878))</f>
        <v>5683.619378804553</v>
      </c>
      <c r="D879" s="38"/>
    </row>
    <row r="880" spans="1:4" ht="13.8" x14ac:dyDescent="0.25">
      <c r="A880" s="40">
        <v>0.18308550185873607</v>
      </c>
      <c r="B880" s="40">
        <v>10206.984158500003</v>
      </c>
      <c r="C880" s="43">
        <f>C879+(((A880+A879)/2)*(B880-B879))</f>
        <v>5687.4103875601295</v>
      </c>
      <c r="D880" s="38"/>
    </row>
    <row r="881" spans="1:4" ht="13.8" x14ac:dyDescent="0.25">
      <c r="A881" s="41">
        <v>0.18215613382899629</v>
      </c>
      <c r="B881" s="41">
        <v>10222.554252600001</v>
      </c>
      <c r="C881" s="43">
        <f>C880+(((A881+A880)/2)*(B881-B880))</f>
        <v>5690.2538108785766</v>
      </c>
      <c r="D881" s="38"/>
    </row>
    <row r="882" spans="1:4" ht="13.8" x14ac:dyDescent="0.25">
      <c r="A882" s="40">
        <v>0.18122676579925651</v>
      </c>
      <c r="B882" s="40">
        <v>10253.734313000001</v>
      </c>
      <c r="C882" s="43">
        <f>C881+(((A882+A881)/2)*(B882-B881))</f>
        <v>5695.9189612579448</v>
      </c>
      <c r="D882" s="38"/>
    </row>
    <row r="883" spans="1:4" ht="13.8" x14ac:dyDescent="0.25">
      <c r="A883" s="41">
        <v>0.18029739776951673</v>
      </c>
      <c r="B883" s="41">
        <v>10257.8810218</v>
      </c>
      <c r="C883" s="43">
        <f>C882+(((A883+A882)/2)*(B883-B882))</f>
        <v>5696.6685289731859</v>
      </c>
      <c r="D883" s="38"/>
    </row>
    <row r="884" spans="1:4" ht="13.8" x14ac:dyDescent="0.25">
      <c r="A884" s="40">
        <v>0.17936802973977695</v>
      </c>
      <c r="B884" s="40">
        <v>10294.643190199999</v>
      </c>
      <c r="C884" s="43">
        <f>C883+(((A884+A883)/2)*(B884-B883))</f>
        <v>5703.2795694800625</v>
      </c>
      <c r="D884" s="38"/>
    </row>
    <row r="885" spans="1:4" ht="13.8" x14ac:dyDescent="0.25">
      <c r="A885" s="41">
        <v>0.17843866171003717</v>
      </c>
      <c r="B885" s="41">
        <v>10335.631811800002</v>
      </c>
      <c r="C885" s="43">
        <f>C884+(((A885+A884)/2)*(B885-B884))</f>
        <v>5710.6125710209553</v>
      </c>
      <c r="D885" s="38"/>
    </row>
    <row r="886" spans="1:4" ht="13.8" x14ac:dyDescent="0.25">
      <c r="A886" s="40">
        <v>0.17750929368029739</v>
      </c>
      <c r="B886" s="40">
        <v>10337.685230100002</v>
      </c>
      <c r="C886" s="43">
        <f>C885+(((A886+A885)/2)*(B886-B885))</f>
        <v>5710.9780260436783</v>
      </c>
      <c r="D886" s="38"/>
    </row>
    <row r="887" spans="1:4" ht="13.8" x14ac:dyDescent="0.25">
      <c r="A887" s="41">
        <v>0.17657992565055763</v>
      </c>
      <c r="B887" s="41">
        <v>10350.8031839</v>
      </c>
      <c r="C887" s="43">
        <f>C886+(((A887+A886)/2)*(B887-B886))</f>
        <v>5713.3004890538077</v>
      </c>
      <c r="D887" s="38"/>
    </row>
    <row r="888" spans="1:4" ht="13.8" x14ac:dyDescent="0.25">
      <c r="A888" s="40">
        <v>0.17565055762081785</v>
      </c>
      <c r="B888" s="40">
        <v>10386.0701448</v>
      </c>
      <c r="C888" s="43">
        <f>C887+(((A888+A887)/2)*(B888-B887))</f>
        <v>5719.5115383944676</v>
      </c>
      <c r="D888" s="38"/>
    </row>
    <row r="889" spans="1:4" ht="13.8" x14ac:dyDescent="0.25">
      <c r="A889" s="41">
        <v>0.17472118959107807</v>
      </c>
      <c r="B889" s="41">
        <v>10421.975060899998</v>
      </c>
      <c r="C889" s="43">
        <f>C888+(((A889+A888)/2)*(B889-B888))</f>
        <v>5725.8015724881943</v>
      </c>
      <c r="D889" s="38"/>
    </row>
    <row r="890" spans="1:4" ht="13.8" x14ac:dyDescent="0.25">
      <c r="A890" s="40">
        <v>0.17379182156133829</v>
      </c>
      <c r="B890" s="40">
        <v>10438.801129300002</v>
      </c>
      <c r="C890" s="43">
        <f>C889+(((A890+A889)/2)*(B890-B889))</f>
        <v>5728.7336243701648</v>
      </c>
      <c r="D890" s="38"/>
    </row>
    <row r="891" spans="1:4" ht="13.8" x14ac:dyDescent="0.25">
      <c r="A891" s="41">
        <v>0.17286245353159851</v>
      </c>
      <c r="B891" s="41">
        <v>10438.960618099998</v>
      </c>
      <c r="C891" s="43">
        <f>C890+(((A891+A890)/2)*(B891-B890))</f>
        <v>5728.7612681073388</v>
      </c>
      <c r="D891" s="38"/>
    </row>
    <row r="892" spans="1:4" ht="13.8" x14ac:dyDescent="0.25">
      <c r="A892" s="40">
        <v>0.17193308550185873</v>
      </c>
      <c r="B892" s="40">
        <v>10459.494801100001</v>
      </c>
      <c r="C892" s="43">
        <f>C891+(((A892+A891)/2)*(B892-B891))</f>
        <v>5732.3013154553873</v>
      </c>
      <c r="D892" s="38"/>
    </row>
    <row r="893" spans="1:4" ht="13.8" x14ac:dyDescent="0.25">
      <c r="A893" s="41">
        <v>0.17100371747211895</v>
      </c>
      <c r="B893" s="41">
        <v>10595.339386500002</v>
      </c>
      <c r="C893" s="43">
        <f>C892+(((A893+A892)/2)*(B893-B892))</f>
        <v>5755.5943693645877</v>
      </c>
      <c r="D893" s="38"/>
    </row>
    <row r="894" spans="1:4" ht="13.8" x14ac:dyDescent="0.25">
      <c r="A894" s="40">
        <v>0.17007434944237917</v>
      </c>
      <c r="B894" s="40">
        <v>10602.635999100001</v>
      </c>
      <c r="C894" s="43">
        <f>C893+(((A894+A893)/2)*(B894-B893))</f>
        <v>5756.8387266249038</v>
      </c>
      <c r="D894" s="38"/>
    </row>
    <row r="895" spans="1:4" ht="13.8" x14ac:dyDescent="0.25">
      <c r="A895" s="41">
        <v>0.16914498141263939</v>
      </c>
      <c r="B895" s="41">
        <v>10603.533123600002</v>
      </c>
      <c r="C895" s="43">
        <f>C894+(((A895+A894)/2)*(B895-B894))</f>
        <v>5756.9908876111958</v>
      </c>
      <c r="D895" s="38"/>
    </row>
    <row r="896" spans="1:4" ht="13.8" x14ac:dyDescent="0.25">
      <c r="A896" s="40">
        <v>0.16821561338289961</v>
      </c>
      <c r="B896" s="40">
        <v>10641.810435600002</v>
      </c>
      <c r="C896" s="43">
        <f>C895+(((A896+A895)/2)*(B896-B895))</f>
        <v>5763.4475159829435</v>
      </c>
      <c r="D896" s="38"/>
    </row>
    <row r="897" spans="1:4" ht="13.8" x14ac:dyDescent="0.25">
      <c r="A897" s="41">
        <v>0.16728624535315986</v>
      </c>
      <c r="B897" s="41">
        <v>10641.9898605</v>
      </c>
      <c r="C897" s="43">
        <f>C896+(((A897+A896)/2)*(B897-B896))</f>
        <v>5763.4776146766699</v>
      </c>
      <c r="D897" s="38"/>
    </row>
    <row r="898" spans="1:4" ht="13.8" x14ac:dyDescent="0.25">
      <c r="A898" s="40">
        <v>0.16635687732342008</v>
      </c>
      <c r="B898" s="40">
        <v>10678.492859600001</v>
      </c>
      <c r="C898" s="43">
        <f>C897+(((A898+A897)/2)*(B898-B897))</f>
        <v>5769.567101980062</v>
      </c>
      <c r="D898" s="38"/>
    </row>
    <row r="899" spans="1:4" ht="13.8" x14ac:dyDescent="0.25">
      <c r="A899" s="41">
        <v>0.1654275092936803</v>
      </c>
      <c r="B899" s="41">
        <v>10682.081357600004</v>
      </c>
      <c r="C899" s="43">
        <f>C898+(((A899+A898)/2)*(B899-B898))</f>
        <v>5770.1624057839663</v>
      </c>
      <c r="D899" s="38"/>
    </row>
    <row r="900" spans="1:4" ht="13.8" x14ac:dyDescent="0.25">
      <c r="A900" s="40">
        <v>0.16449814126394052</v>
      </c>
      <c r="B900" s="40">
        <v>10743.584226099998</v>
      </c>
      <c r="C900" s="43">
        <f>C899+(((A900+A899)/2)*(B900-B899))</f>
        <v>5780.3080927344763</v>
      </c>
      <c r="D900" s="38"/>
    </row>
    <row r="901" spans="1:4" ht="13.8" x14ac:dyDescent="0.25">
      <c r="A901" s="41">
        <v>0.16356877323420074</v>
      </c>
      <c r="B901" s="41">
        <v>10769.580900500001</v>
      </c>
      <c r="C901" s="43">
        <f>C900+(((A901+A900)/2)*(B901-B900))</f>
        <v>5784.572417113287</v>
      </c>
      <c r="D901" s="38"/>
    </row>
    <row r="902" spans="1:4" ht="13.8" x14ac:dyDescent="0.25">
      <c r="A902" s="40">
        <v>0.16263940520446096</v>
      </c>
      <c r="B902" s="40">
        <v>10793.962750799999</v>
      </c>
      <c r="C902" s="43">
        <f>C901+(((A902+A901)/2)*(B902-B901))</f>
        <v>5788.5491965999499</v>
      </c>
      <c r="D902" s="38"/>
    </row>
    <row r="903" spans="1:4" ht="13.8" x14ac:dyDescent="0.25">
      <c r="A903" s="41">
        <v>0.16171003717472118</v>
      </c>
      <c r="B903" s="41">
        <v>10811.984985200001</v>
      </c>
      <c r="C903" s="43">
        <f>C902+(((A903+A902)/2)*(B903-B902))</f>
        <v>5791.471947438984</v>
      </c>
      <c r="D903" s="38"/>
    </row>
    <row r="904" spans="1:4" ht="13.8" x14ac:dyDescent="0.25">
      <c r="A904" s="40">
        <v>0.1607806691449814</v>
      </c>
      <c r="B904" s="40">
        <v>10815.7927803</v>
      </c>
      <c r="C904" s="43">
        <f>C903+(((A904+A903)/2)*(B904-B903))</f>
        <v>5792.0859367046442</v>
      </c>
      <c r="D904" s="38"/>
    </row>
    <row r="905" spans="1:4" ht="13.8" x14ac:dyDescent="0.25">
      <c r="A905" s="41">
        <v>0.15985130111524162</v>
      </c>
      <c r="B905" s="41">
        <v>10858.077248399999</v>
      </c>
      <c r="C905" s="43">
        <f>C904+(((A905+A904)/2)*(B905-B904))</f>
        <v>5798.8648128637979</v>
      </c>
      <c r="D905" s="38"/>
    </row>
    <row r="906" spans="1:4" ht="13.8" x14ac:dyDescent="0.25">
      <c r="A906" s="40">
        <v>0.15892193308550187</v>
      </c>
      <c r="B906" s="40">
        <v>10868.244659399999</v>
      </c>
      <c r="C906" s="43">
        <f>C905+(((A906+A905)/2)*(B906-B905))</f>
        <v>5800.4853621077573</v>
      </c>
      <c r="D906" s="38"/>
    </row>
    <row r="907" spans="1:4" ht="13.8" x14ac:dyDescent="0.25">
      <c r="A907" s="41">
        <v>0.15799256505576209</v>
      </c>
      <c r="B907" s="41">
        <v>10890.413602600001</v>
      </c>
      <c r="C907" s="43">
        <f>C906+(((A907+A906)/2)*(B907-B906))</f>
        <v>5803.9981918620324</v>
      </c>
      <c r="D907" s="38"/>
    </row>
    <row r="908" spans="1:4" ht="13.8" x14ac:dyDescent="0.25">
      <c r="A908" s="40">
        <v>0.15706319702602231</v>
      </c>
      <c r="B908" s="40">
        <v>10901.338585400001</v>
      </c>
      <c r="C908" s="43">
        <f>C907+(((A908+A907)/2)*(B908-B907))</f>
        <v>5805.7191812529245</v>
      </c>
      <c r="D908" s="38"/>
    </row>
    <row r="909" spans="1:4" ht="13.8" x14ac:dyDescent="0.25">
      <c r="A909" s="41">
        <v>0.15613382899628253</v>
      </c>
      <c r="B909" s="41">
        <v>10935.509060800001</v>
      </c>
      <c r="C909" s="43">
        <f>C908+(((A909+A908)/2)*(B909-B908))</f>
        <v>5811.0702268894483</v>
      </c>
      <c r="D909" s="38"/>
    </row>
    <row r="910" spans="1:4" ht="13.8" x14ac:dyDescent="0.25">
      <c r="A910" s="40">
        <v>0.15520446096654275</v>
      </c>
      <c r="B910" s="40">
        <v>10991.928223800003</v>
      </c>
      <c r="C910" s="43">
        <f>C909+(((A910+A909)/2)*(B910-B909))</f>
        <v>5819.8529497542258</v>
      </c>
      <c r="D910" s="38"/>
    </row>
    <row r="911" spans="1:4" ht="13.8" x14ac:dyDescent="0.25">
      <c r="A911" s="41">
        <v>0.15427509293680297</v>
      </c>
      <c r="B911" s="41">
        <v>10993.343686900002</v>
      </c>
      <c r="C911" s="43">
        <f>C910+(((A911+A910)/2)*(B911-B910))</f>
        <v>5820.0719781986027</v>
      </c>
      <c r="D911" s="38"/>
    </row>
    <row r="912" spans="1:4" ht="13.8" x14ac:dyDescent="0.25">
      <c r="A912" s="40">
        <v>0.15334572490706319</v>
      </c>
      <c r="B912" s="40">
        <v>11028.112245300001</v>
      </c>
      <c r="C912" s="43">
        <f>C911+(((A912+A911)/2)*(B912-B911))</f>
        <v>5825.4197443837329</v>
      </c>
      <c r="D912" s="38"/>
    </row>
    <row r="913" spans="1:4" ht="13.8" x14ac:dyDescent="0.25">
      <c r="A913" s="41">
        <v>0.15241635687732341</v>
      </c>
      <c r="B913" s="41">
        <v>11067.984445300002</v>
      </c>
      <c r="C913" s="43">
        <f>C912+(((A913+A912)/2)*(B913-B912))</f>
        <v>5831.5154478223949</v>
      </c>
      <c r="D913" s="38"/>
    </row>
    <row r="914" spans="1:4" ht="13.8" x14ac:dyDescent="0.25">
      <c r="A914" s="40">
        <v>0.15148698884758363</v>
      </c>
      <c r="B914" s="40">
        <v>11141.1100601</v>
      </c>
      <c r="C914" s="43">
        <f>C913+(((A914+A913)/2)*(B914-B913))</f>
        <v>5842.6270073203495</v>
      </c>
      <c r="D914" s="38"/>
    </row>
    <row r="915" spans="1:4" ht="13.8" x14ac:dyDescent="0.25">
      <c r="A915" s="41">
        <v>0.15055762081784388</v>
      </c>
      <c r="B915" s="41">
        <v>11144.519133200001</v>
      </c>
      <c r="C915" s="43">
        <f>C914+(((A915+A914)/2)*(B915-B914))</f>
        <v>5843.1418533972546</v>
      </c>
      <c r="D915" s="38"/>
    </row>
    <row r="916" spans="1:4" ht="13.8" x14ac:dyDescent="0.25">
      <c r="A916" s="40">
        <v>0.1496282527881041</v>
      </c>
      <c r="B916" s="40">
        <v>11151.237598899999</v>
      </c>
      <c r="C916" s="43">
        <f>C915+(((A916+A915)/2)*(B916-B915))</f>
        <v>5844.1502476449778</v>
      </c>
      <c r="D916" s="38"/>
    </row>
    <row r="917" spans="1:4" ht="13.8" x14ac:dyDescent="0.25">
      <c r="A917" s="41">
        <v>0.14869888475836432</v>
      </c>
      <c r="B917" s="41">
        <v>11165.192868900001</v>
      </c>
      <c r="C917" s="43">
        <f>C916+(((A917+A916)/2)*(B917-B916))</f>
        <v>5846.2318655213721</v>
      </c>
      <c r="D917" s="38"/>
    </row>
    <row r="918" spans="1:4" ht="13.8" x14ac:dyDescent="0.25">
      <c r="A918" s="40">
        <v>0.14776951672862454</v>
      </c>
      <c r="B918" s="40">
        <v>11180.583538099998</v>
      </c>
      <c r="C918" s="43">
        <f>C917+(((A918+A917)/2)*(B918-B917))</f>
        <v>5848.5132890691411</v>
      </c>
      <c r="D918" s="38"/>
    </row>
    <row r="919" spans="1:4" ht="13.8" x14ac:dyDescent="0.25">
      <c r="A919" s="41">
        <v>0.14684014869888476</v>
      </c>
      <c r="B919" s="41">
        <v>11261.7234651</v>
      </c>
      <c r="C919" s="43">
        <f>C918+(((A919+A918)/2)*(B919-B918))</f>
        <v>5860.4655924422823</v>
      </c>
      <c r="D919" s="38"/>
    </row>
    <row r="920" spans="1:4" ht="13.8" x14ac:dyDescent="0.25">
      <c r="A920" s="40">
        <v>0.14591078066914498</v>
      </c>
      <c r="B920" s="40">
        <v>11263.896500000001</v>
      </c>
      <c r="C920" s="43">
        <f>C919+(((A920+A919)/2)*(B920-B919))</f>
        <v>5860.7836714355444</v>
      </c>
      <c r="D920" s="38"/>
    </row>
    <row r="921" spans="1:4" ht="13.8" x14ac:dyDescent="0.25">
      <c r="A921" s="41">
        <v>0.1449814126394052</v>
      </c>
      <c r="B921" s="41">
        <v>11294.2193081</v>
      </c>
      <c r="C921" s="43">
        <f>C920+(((A921+A920)/2)*(B921-B920))</f>
        <v>5865.1940055132864</v>
      </c>
      <c r="D921" s="38"/>
    </row>
    <row r="922" spans="1:4" ht="13.8" x14ac:dyDescent="0.25">
      <c r="A922" s="40">
        <v>0.14405204460966542</v>
      </c>
      <c r="B922" s="40">
        <v>11327.3730424</v>
      </c>
      <c r="C922" s="43">
        <f>C921+(((A922+A921)/2)*(B922-B921))</f>
        <v>5869.9852747360092</v>
      </c>
      <c r="D922" s="38"/>
    </row>
    <row r="923" spans="1:4" ht="13.8" x14ac:dyDescent="0.25">
      <c r="A923" s="41">
        <v>0.14312267657992564</v>
      </c>
      <c r="B923" s="41">
        <v>11329.067610900001</v>
      </c>
      <c r="C923" s="43">
        <f>C922+(((A923+A922)/2)*(B923-B922))</f>
        <v>5870.2285933542717</v>
      </c>
      <c r="D923" s="38"/>
    </row>
    <row r="924" spans="1:4" ht="13.8" x14ac:dyDescent="0.25">
      <c r="A924" s="40">
        <v>0.14219330855018589</v>
      </c>
      <c r="B924" s="40">
        <v>11355.363326799999</v>
      </c>
      <c r="C924" s="43">
        <f>C923+(((A924+A923)/2)*(B924-B923))</f>
        <v>5873.979887397626</v>
      </c>
      <c r="D924" s="38"/>
    </row>
    <row r="925" spans="1:4" ht="13.8" x14ac:dyDescent="0.25">
      <c r="A925" s="41">
        <v>0.14126394052044611</v>
      </c>
      <c r="B925" s="41">
        <v>11358.792336</v>
      </c>
      <c r="C925" s="43">
        <f>C924+(((A925+A924)/2)*(B925-B924))</f>
        <v>5874.4658761550609</v>
      </c>
      <c r="D925" s="38"/>
    </row>
    <row r="926" spans="1:4" ht="13.8" x14ac:dyDescent="0.25">
      <c r="A926" s="40">
        <v>0.14033457249070633</v>
      </c>
      <c r="B926" s="40">
        <v>11425.837440300002</v>
      </c>
      <c r="C926" s="43">
        <f>C925+(((A926+A925)/2)*(B926-B925))</f>
        <v>5883.9057769928395</v>
      </c>
      <c r="D926" s="38"/>
    </row>
    <row r="927" spans="1:4" ht="13.8" x14ac:dyDescent="0.25">
      <c r="A927" s="41">
        <v>0.13940520446096655</v>
      </c>
      <c r="B927" s="41">
        <v>11430.921145800001</v>
      </c>
      <c r="C927" s="43">
        <f>C926+(((A927+A926)/2)*(B927-B926))</f>
        <v>5884.616834314168</v>
      </c>
      <c r="D927" s="38"/>
    </row>
    <row r="928" spans="1:4" ht="13.8" x14ac:dyDescent="0.25">
      <c r="A928" s="40">
        <v>0.13847583643122677</v>
      </c>
      <c r="B928" s="40">
        <v>11438.7959053</v>
      </c>
      <c r="C928" s="43">
        <f>C927+(((A928+A927)/2)*(B928-B927))</f>
        <v>5885.7109574974857</v>
      </c>
      <c r="D928" s="38"/>
    </row>
    <row r="929" spans="1:4" ht="13.8" x14ac:dyDescent="0.25">
      <c r="A929" s="41">
        <v>0.13754646840148699</v>
      </c>
      <c r="B929" s="41">
        <v>11513.855321800002</v>
      </c>
      <c r="C929" s="43">
        <f>C928+(((A929+A928)/2)*(B929-B928))</f>
        <v>5896.0699940683498</v>
      </c>
      <c r="D929" s="38"/>
    </row>
    <row r="930" spans="1:4" ht="13.8" x14ac:dyDescent="0.25">
      <c r="A930" s="40">
        <v>0.13661710037174721</v>
      </c>
      <c r="B930" s="40">
        <v>11521.470912000001</v>
      </c>
      <c r="C930" s="43">
        <f>C929+(((A930+A929)/2)*(B930-B929))</f>
        <v>5897.1139527621226</v>
      </c>
      <c r="D930" s="38"/>
    </row>
    <row r="931" spans="1:4" ht="13.8" x14ac:dyDescent="0.25">
      <c r="A931" s="41">
        <v>0.13568773234200743</v>
      </c>
      <c r="B931" s="41">
        <v>11538.516277500003</v>
      </c>
      <c r="C931" s="43">
        <f>C930+(((A931+A930)/2)*(B931-B930))</f>
        <v>5899.4347204626338</v>
      </c>
      <c r="D931" s="38"/>
    </row>
    <row r="932" spans="1:4" ht="13.8" x14ac:dyDescent="0.25">
      <c r="A932" s="40">
        <v>0.13475836431226765</v>
      </c>
      <c r="B932" s="40">
        <v>11585.047134899998</v>
      </c>
      <c r="C932" s="43">
        <f>C931+(((A932+A931)/2)*(B932-B931))</f>
        <v>5905.7267648415364</v>
      </c>
      <c r="D932" s="38"/>
    </row>
    <row r="933" spans="1:4" ht="13.8" x14ac:dyDescent="0.25">
      <c r="A933" s="41">
        <v>0.13382899628252787</v>
      </c>
      <c r="B933" s="41">
        <v>11601.913075500002</v>
      </c>
      <c r="C933" s="43">
        <f>C932+(((A933+A932)/2)*(B933-B932))</f>
        <v>5907.9917540763881</v>
      </c>
      <c r="D933" s="38"/>
    </row>
    <row r="934" spans="1:4" ht="13.8" x14ac:dyDescent="0.25">
      <c r="A934" s="40">
        <v>0.13289962825278812</v>
      </c>
      <c r="B934" s="40">
        <v>11605.561381800002</v>
      </c>
      <c r="C934" s="43">
        <f>C933+(((A934+A933)/2)*(B934-B933))</f>
        <v>5908.4783079370291</v>
      </c>
      <c r="D934" s="38"/>
    </row>
    <row r="935" spans="1:4" ht="13.8" x14ac:dyDescent="0.25">
      <c r="A935" s="41">
        <v>0.13197026022304834</v>
      </c>
      <c r="B935" s="41">
        <v>11618.320485799999</v>
      </c>
      <c r="C935" s="43">
        <f>C934+(((A935+A934)/2)*(B935-B934))</f>
        <v>5910.1680591637942</v>
      </c>
      <c r="D935" s="38"/>
    </row>
    <row r="936" spans="1:4" ht="13.8" x14ac:dyDescent="0.25">
      <c r="A936" s="40">
        <v>0.13104089219330856</v>
      </c>
      <c r="B936" s="40">
        <v>11627.7701972</v>
      </c>
      <c r="C936" s="43">
        <f>C935+(((A936+A935)/2)*(B936-B935))</f>
        <v>5911.4107489064527</v>
      </c>
      <c r="D936" s="38"/>
    </row>
    <row r="937" spans="1:4" ht="13.8" x14ac:dyDescent="0.25">
      <c r="A937" s="41">
        <v>0.13011152416356878</v>
      </c>
      <c r="B937" s="41">
        <v>11691.525845</v>
      </c>
      <c r="C937" s="43">
        <f>C936+(((A937+A936)/2)*(B937-B936))</f>
        <v>5919.7357196461371</v>
      </c>
      <c r="D937" s="38"/>
    </row>
    <row r="938" spans="1:4" ht="13.8" x14ac:dyDescent="0.25">
      <c r="A938" s="40">
        <v>0.129182156133829</v>
      </c>
      <c r="B938" s="40">
        <v>11697.406994499999</v>
      </c>
      <c r="C938" s="43">
        <f>C937+(((A938+A937)/2)*(B938-B937))</f>
        <v>5920.4981920952541</v>
      </c>
      <c r="D938" s="38"/>
    </row>
    <row r="939" spans="1:4" ht="13.8" x14ac:dyDescent="0.25">
      <c r="A939" s="41">
        <v>0.12825278810408922</v>
      </c>
      <c r="B939" s="41">
        <v>11736.242517300001</v>
      </c>
      <c r="C939" s="43">
        <f>C938+(((A939+A938)/2)*(B939-B938))</f>
        <v>5925.4970024184886</v>
      </c>
      <c r="D939" s="38"/>
    </row>
    <row r="940" spans="1:4" ht="13.8" x14ac:dyDescent="0.25">
      <c r="A940" s="40">
        <v>0.12732342007434944</v>
      </c>
      <c r="B940" s="40">
        <v>11883.231382600001</v>
      </c>
      <c r="C940" s="43">
        <f>C939+(((A940+A939)/2)*(B940-B939))</f>
        <v>5944.2804308374016</v>
      </c>
      <c r="D940" s="38"/>
    </row>
    <row r="941" spans="1:4" ht="13.8" x14ac:dyDescent="0.25">
      <c r="A941" s="41">
        <v>0.12639405204460966</v>
      </c>
      <c r="B941" s="41">
        <v>11901.572594600002</v>
      </c>
      <c r="C941" s="43">
        <f>C940+(((A941+A940)/2)*(B941-B940))</f>
        <v>5946.6071738095206</v>
      </c>
      <c r="D941" s="38"/>
    </row>
    <row r="942" spans="1:4" ht="13.8" x14ac:dyDescent="0.25">
      <c r="A942" s="40">
        <v>0.12546468401486988</v>
      </c>
      <c r="B942" s="40">
        <v>11927.7088217</v>
      </c>
      <c r="C942" s="43">
        <f>C941+(((A942+A941)/2)*(B942-B941))</f>
        <v>5949.8984923709049</v>
      </c>
      <c r="D942" s="38"/>
    </row>
    <row r="943" spans="1:4" ht="13.8" x14ac:dyDescent="0.25">
      <c r="A943" s="41">
        <v>0.12453531598513011</v>
      </c>
      <c r="B943" s="41">
        <v>12014.291304000002</v>
      </c>
      <c r="C943" s="43">
        <f>C942+(((A943+A942)/2)*(B943-B942))</f>
        <v>5960.721302658405</v>
      </c>
      <c r="D943" s="38"/>
    </row>
    <row r="944" spans="1:4" ht="13.8" x14ac:dyDescent="0.25">
      <c r="A944" s="40">
        <v>0.12360594795539033</v>
      </c>
      <c r="B944" s="40">
        <v>12039.091812400002</v>
      </c>
      <c r="C944" s="43">
        <f>C943+(((A944+A943)/2)*(B944-B943))</f>
        <v>5963.7983174087767</v>
      </c>
      <c r="D944" s="38"/>
    </row>
    <row r="945" spans="1:4" ht="13.8" x14ac:dyDescent="0.25">
      <c r="A945" s="41">
        <v>0.12267657992565056</v>
      </c>
      <c r="B945" s="41">
        <v>12063.194557299999</v>
      </c>
      <c r="C945" s="43">
        <f>C944+(((A945+A944)/2)*(B945-B944))</f>
        <v>5966.7663598801983</v>
      </c>
      <c r="D945" s="38"/>
    </row>
    <row r="946" spans="1:4" ht="13.8" x14ac:dyDescent="0.25">
      <c r="A946" s="40">
        <v>0.12174721189591078</v>
      </c>
      <c r="B946" s="40">
        <v>12098.321965499999</v>
      </c>
      <c r="C946" s="43">
        <f>C945+(((A946+A945)/2)*(B946-B945))</f>
        <v>5971.0593470347521</v>
      </c>
      <c r="D946" s="38"/>
    </row>
    <row r="947" spans="1:4" ht="13.8" x14ac:dyDescent="0.25">
      <c r="A947" s="41">
        <v>0.120817843866171</v>
      </c>
      <c r="B947" s="41">
        <v>12131.4358276</v>
      </c>
      <c r="C947" s="43">
        <f>C946+(((A947+A946)/2)*(B947-B946))</f>
        <v>5975.0754799381448</v>
      </c>
      <c r="D947" s="38"/>
    </row>
    <row r="948" spans="1:4" ht="13.8" x14ac:dyDescent="0.25">
      <c r="A948" s="40">
        <v>0.11988847583643122</v>
      </c>
      <c r="B948" s="40">
        <v>12166.583171900002</v>
      </c>
      <c r="C948" s="43">
        <f>C947+(((A948+A947)/2)*(B948-B947))</f>
        <v>5979.3055738850317</v>
      </c>
      <c r="D948" s="38"/>
    </row>
    <row r="949" spans="1:4" ht="13.8" x14ac:dyDescent="0.25">
      <c r="A949" s="41">
        <v>0.11895910780669144</v>
      </c>
      <c r="B949" s="41">
        <v>12171.766557900002</v>
      </c>
      <c r="C949" s="43">
        <f>C948+(((A949+A948)/2)*(B949-B948))</f>
        <v>5979.9245934956261</v>
      </c>
      <c r="D949" s="38"/>
    </row>
    <row r="950" spans="1:4" ht="13.8" x14ac:dyDescent="0.25">
      <c r="A950" s="40">
        <v>0.11802973977695168</v>
      </c>
      <c r="B950" s="40">
        <v>12215.785466700001</v>
      </c>
      <c r="C950" s="43">
        <f>C949+(((A950+A949)/2)*(B950-B949))</f>
        <v>5985.140588729827</v>
      </c>
      <c r="D950" s="38"/>
    </row>
    <row r="951" spans="1:4" ht="13.8" x14ac:dyDescent="0.25">
      <c r="A951" s="41">
        <v>0.1171003717472119</v>
      </c>
      <c r="B951" s="41">
        <v>12240.566039000001</v>
      </c>
      <c r="C951" s="43">
        <f>C950+(((A951+A950)/2)*(B951-B950))</f>
        <v>5988.0539180940932</v>
      </c>
      <c r="D951" s="38"/>
    </row>
    <row r="952" spans="1:4" ht="13.8" x14ac:dyDescent="0.25">
      <c r="A952" s="40">
        <v>0.11617100371747212</v>
      </c>
      <c r="B952" s="40">
        <v>12262.914407100001</v>
      </c>
      <c r="C952" s="43">
        <f>C951+(((A952+A951)/2)*(B952-B951))</f>
        <v>5990.660535377132</v>
      </c>
      <c r="D952" s="38"/>
    </row>
    <row r="953" spans="1:4" ht="13.8" x14ac:dyDescent="0.25">
      <c r="A953" s="41">
        <v>0.11524163568773234</v>
      </c>
      <c r="B953" s="41">
        <v>12291.642327200001</v>
      </c>
      <c r="C953" s="43">
        <f>C952+(((A953+A952)/2)*(B953-B952))</f>
        <v>5993.984537284613</v>
      </c>
      <c r="D953" s="38"/>
    </row>
    <row r="954" spans="1:4" ht="13.8" x14ac:dyDescent="0.25">
      <c r="A954" s="40">
        <v>0.11431226765799256</v>
      </c>
      <c r="B954" s="40">
        <v>12345.1109474</v>
      </c>
      <c r="C954" s="43">
        <f>C953+(((A954+A953)/2)*(B954-B953))</f>
        <v>6000.1215025213232</v>
      </c>
      <c r="D954" s="38"/>
    </row>
    <row r="955" spans="1:4" ht="13.8" x14ac:dyDescent="0.25">
      <c r="A955" s="41">
        <v>0.11338289962825279</v>
      </c>
      <c r="B955" s="41">
        <v>12464.0696561</v>
      </c>
      <c r="C955" s="43">
        <f>C954+(((A955+A954)/2)*(B955-B954))</f>
        <v>6013.6646640601248</v>
      </c>
      <c r="D955" s="38"/>
    </row>
    <row r="956" spans="1:4" ht="13.8" x14ac:dyDescent="0.25">
      <c r="A956" s="40">
        <v>0.11245353159851301</v>
      </c>
      <c r="B956" s="40">
        <v>12469.831188999999</v>
      </c>
      <c r="C956" s="43">
        <f>C955+(((A956+A955)/2)*(B956-B955))</f>
        <v>6014.3152460743904</v>
      </c>
      <c r="D956" s="38"/>
    </row>
    <row r="957" spans="1:4" ht="13.8" x14ac:dyDescent="0.25">
      <c r="A957" s="41">
        <v>0.11152416356877323</v>
      </c>
      <c r="B957" s="41">
        <v>12507.530354100001</v>
      </c>
      <c r="C957" s="43">
        <f>C956+(((A957+A956)/2)*(B957-B956))</f>
        <v>6018.5371321288048</v>
      </c>
      <c r="D957" s="38"/>
    </row>
    <row r="958" spans="1:4" ht="13.8" x14ac:dyDescent="0.25">
      <c r="A958" s="40">
        <v>0.11059479553903345</v>
      </c>
      <c r="B958" s="40">
        <v>12635.799221500001</v>
      </c>
      <c r="C958" s="43">
        <f>C957+(((A958+A957)/2)*(B958-B957))</f>
        <v>6032.7826057852171</v>
      </c>
      <c r="D958" s="38"/>
    </row>
    <row r="959" spans="1:4" ht="13.8" x14ac:dyDescent="0.25">
      <c r="A959" s="41">
        <v>0.10966542750929369</v>
      </c>
      <c r="B959" s="41">
        <v>12659.224139</v>
      </c>
      <c r="C959" s="43">
        <f>C958+(((A959+A958)/2)*(B959-B958))</f>
        <v>6035.3623945619365</v>
      </c>
      <c r="D959" s="38"/>
    </row>
    <row r="960" spans="1:4" ht="13.8" x14ac:dyDescent="0.25">
      <c r="A960" s="40">
        <v>0.10873605947955391</v>
      </c>
      <c r="B960" s="40">
        <v>12823.776708400002</v>
      </c>
      <c r="C960" s="43">
        <f>C959+(((A960+A959)/2)*(B960-B959))</f>
        <v>6053.3316574843348</v>
      </c>
      <c r="D960" s="38"/>
    </row>
    <row r="961" spans="1:4" ht="13.8" x14ac:dyDescent="0.25">
      <c r="A961" s="41">
        <v>0.10780669144981413</v>
      </c>
      <c r="B961" s="41">
        <v>12847.201625900003</v>
      </c>
      <c r="C961" s="43">
        <f>C960+(((A961+A960)/2)*(B961-B960))</f>
        <v>6055.8679055222065</v>
      </c>
      <c r="D961" s="38"/>
    </row>
    <row r="962" spans="1:4" ht="13.8" x14ac:dyDescent="0.25">
      <c r="A962" s="40">
        <v>0.10687732342007435</v>
      </c>
      <c r="B962" s="40">
        <v>12855.694404500002</v>
      </c>
      <c r="C962" s="43">
        <f>C961+(((A962+A961)/2)*(B962-B961))</f>
        <v>6056.7795374258312</v>
      </c>
      <c r="D962" s="38"/>
    </row>
    <row r="963" spans="1:4" ht="13.8" x14ac:dyDescent="0.25">
      <c r="A963" s="41">
        <v>0.10594795539033457</v>
      </c>
      <c r="B963" s="41">
        <v>12879.896829900004</v>
      </c>
      <c r="C963" s="43">
        <f>C962+(((A963+A962)/2)*(B963-B962))</f>
        <v>6059.3549813926529</v>
      </c>
      <c r="D963" s="38"/>
    </row>
    <row r="964" spans="1:4" ht="13.8" x14ac:dyDescent="0.25">
      <c r="A964" s="40">
        <v>0.1050185873605948</v>
      </c>
      <c r="B964" s="40">
        <v>12900.590501700002</v>
      </c>
      <c r="C964" s="43">
        <f>C963+(((A964+A963)/2)*(B964-B963))</f>
        <v>6061.5378175908872</v>
      </c>
      <c r="D964" s="38"/>
    </row>
    <row r="965" spans="1:4" ht="13.8" x14ac:dyDescent="0.25">
      <c r="A965" s="41">
        <v>0.10408921933085502</v>
      </c>
      <c r="B965" s="41">
        <v>12929.0193803</v>
      </c>
      <c r="C965" s="43">
        <f>C964+(((A965+A964)/2)*(B965-B964))</f>
        <v>6064.5101678162591</v>
      </c>
      <c r="D965" s="38"/>
    </row>
    <row r="966" spans="1:4" ht="13.8" x14ac:dyDescent="0.25">
      <c r="A966" s="40">
        <v>0.10315985130111524</v>
      </c>
      <c r="B966" s="40">
        <v>12943.253755699996</v>
      </c>
      <c r="C966" s="43">
        <f>C965+(((A966+A965)/2)*(B966-B965))</f>
        <v>6065.9851983525969</v>
      </c>
      <c r="D966" s="38"/>
    </row>
    <row r="967" spans="1:4" ht="13.8" x14ac:dyDescent="0.25">
      <c r="A967" s="41">
        <v>0.10223048327137546</v>
      </c>
      <c r="B967" s="41">
        <v>12972.500014400001</v>
      </c>
      <c r="C967" s="43">
        <f>C966+(((A967+A966)/2)*(B967-B966))</f>
        <v>6068.9886477822911</v>
      </c>
      <c r="D967" s="38"/>
    </row>
    <row r="968" spans="1:4" ht="13.8" x14ac:dyDescent="0.25">
      <c r="A968" s="40">
        <v>0.10130111524163568</v>
      </c>
      <c r="B968" s="40">
        <v>13076.486712</v>
      </c>
      <c r="C968" s="43">
        <f>C967+(((A968+A967)/2)*(B968-B967))</f>
        <v>6079.5709371755993</v>
      </c>
      <c r="D968" s="38"/>
    </row>
    <row r="969" spans="1:4" ht="13.8" x14ac:dyDescent="0.25">
      <c r="A969" s="41">
        <v>0.10037174721189591</v>
      </c>
      <c r="B969" s="41">
        <v>13136.354820300003</v>
      </c>
      <c r="C969" s="43">
        <f>C968+(((A969+A968)/2)*(B969-B968))</f>
        <v>6085.6078235608693</v>
      </c>
      <c r="D969" s="38"/>
    </row>
    <row r="970" spans="1:4" ht="13.8" x14ac:dyDescent="0.25">
      <c r="A970" s="40">
        <v>9.9442379182156135E-2</v>
      </c>
      <c r="B970" s="40">
        <v>13228.240305199999</v>
      </c>
      <c r="C970" s="43">
        <f>C969+(((A970+A969)/2)*(B970-B969))</f>
        <v>6094.7878325076626</v>
      </c>
      <c r="D970" s="38"/>
    </row>
    <row r="971" spans="1:4" ht="13.8" x14ac:dyDescent="0.25">
      <c r="A971" s="41">
        <v>9.8513011152416355E-2</v>
      </c>
      <c r="B971" s="41">
        <v>13233.862285399999</v>
      </c>
      <c r="C971" s="43">
        <f>C970+(((A971+A970)/2)*(B971-B970))</f>
        <v>6095.3442831501343</v>
      </c>
      <c r="D971" s="38"/>
    </row>
    <row r="972" spans="1:4" ht="13.8" x14ac:dyDescent="0.25">
      <c r="A972" s="40">
        <v>9.7583643122676575E-2</v>
      </c>
      <c r="B972" s="40">
        <v>13367.793005200001</v>
      </c>
      <c r="C972" s="43">
        <f>C971+(((A972+A971)/2)*(B972-B971))</f>
        <v>6108.4759661788521</v>
      </c>
      <c r="D972" s="38"/>
    </row>
    <row r="973" spans="1:4" ht="13.8" x14ac:dyDescent="0.25">
      <c r="A973" s="41">
        <v>9.6654275092936809E-2</v>
      </c>
      <c r="B973" s="41">
        <v>13372.3184999</v>
      </c>
      <c r="C973" s="43">
        <f>C972+(((A973+A972)/2)*(B973-B972))</f>
        <v>6108.9154775135639</v>
      </c>
      <c r="D973" s="38"/>
    </row>
    <row r="974" spans="1:4" ht="13.8" x14ac:dyDescent="0.25">
      <c r="A974" s="40">
        <v>9.5724907063197029E-2</v>
      </c>
      <c r="B974" s="40">
        <v>13390.779328500001</v>
      </c>
      <c r="C974" s="43">
        <f>C973+(((A974+A973)/2)*(B974-B973))</f>
        <v>6110.6912170675605</v>
      </c>
      <c r="D974" s="38"/>
    </row>
    <row r="975" spans="1:4" ht="13.8" x14ac:dyDescent="0.25">
      <c r="A975" s="41">
        <v>9.4795539033457249E-2</v>
      </c>
      <c r="B975" s="41">
        <v>13424.969739999999</v>
      </c>
      <c r="C975" s="43">
        <f>C974+(((A975+A974)/2)*(B975-B974))</f>
        <v>6113.9482032931646</v>
      </c>
      <c r="D975" s="38"/>
    </row>
    <row r="976" spans="1:4" ht="13.8" x14ac:dyDescent="0.25">
      <c r="A976" s="40">
        <v>9.3866171003717469E-2</v>
      </c>
      <c r="B976" s="40">
        <v>13430.850889500003</v>
      </c>
      <c r="C976" s="43">
        <f>C975+(((A976+A975)/2)*(B976-B975))</f>
        <v>6114.5029771539921</v>
      </c>
      <c r="D976" s="38"/>
    </row>
    <row r="977" spans="1:4" ht="13.8" x14ac:dyDescent="0.25">
      <c r="A977" s="41">
        <v>9.2936802973977689E-2</v>
      </c>
      <c r="B977" s="41">
        <v>13456.0102477</v>
      </c>
      <c r="C977" s="43">
        <f>C976+(((A977+A976)/2)*(B977-B976))</f>
        <v>6116.852898621557</v>
      </c>
      <c r="D977" s="38"/>
    </row>
    <row r="978" spans="1:4" ht="13.8" x14ac:dyDescent="0.25">
      <c r="A978" s="40">
        <v>9.2007434944237923E-2</v>
      </c>
      <c r="B978" s="40">
        <v>13484.478998500001</v>
      </c>
      <c r="C978" s="43">
        <f>C977+(((A978+A977)/2)*(B978-B977))</f>
        <v>6119.4854643321514</v>
      </c>
      <c r="D978" s="38"/>
    </row>
    <row r="979" spans="1:4" ht="13.8" x14ac:dyDescent="0.25">
      <c r="A979" s="41">
        <v>9.1078066914498143E-2</v>
      </c>
      <c r="B979" s="41">
        <v>13497.716568900003</v>
      </c>
      <c r="C979" s="43">
        <f>C978+(((A979+A978)/2)*(B979-B978))</f>
        <v>6120.6972679421888</v>
      </c>
      <c r="D979" s="38"/>
    </row>
    <row r="980" spans="1:4" ht="13.8" x14ac:dyDescent="0.25">
      <c r="A980" s="40">
        <v>9.0148698884758363E-2</v>
      </c>
      <c r="B980" s="40">
        <v>13516.336886299998</v>
      </c>
      <c r="C980" s="43">
        <f>C979+(((A980+A979)/2)*(B980-B979))</f>
        <v>6122.3845178924676</v>
      </c>
      <c r="D980" s="38"/>
    </row>
    <row r="981" spans="1:4" ht="13.8" x14ac:dyDescent="0.25">
      <c r="A981" s="41">
        <v>8.9219330855018583E-2</v>
      </c>
      <c r="B981" s="41">
        <v>13539.024168100001</v>
      </c>
      <c r="C981" s="43">
        <f>C980+(((A981+A980)/2)*(B981-B980))</f>
        <v>6124.4192044107767</v>
      </c>
      <c r="D981" s="38"/>
    </row>
    <row r="982" spans="1:4" ht="13.8" x14ac:dyDescent="0.25">
      <c r="A982" s="40">
        <v>8.8289962825278817E-2</v>
      </c>
      <c r="B982" s="40">
        <v>13577.381224499999</v>
      </c>
      <c r="C982" s="43">
        <f>C981+(((A982+A981)/2)*(B982-B981))</f>
        <v>6127.8235714053862</v>
      </c>
      <c r="D982" s="38"/>
    </row>
    <row r="983" spans="1:4" ht="13.8" x14ac:dyDescent="0.25">
      <c r="A983" s="41">
        <v>8.7360594795539037E-2</v>
      </c>
      <c r="B983" s="41">
        <v>13596.798985899997</v>
      </c>
      <c r="C983" s="43">
        <f>C982+(((A983+A982)/2)*(B983-B982))</f>
        <v>6129.5289417142149</v>
      </c>
      <c r="D983" s="38"/>
    </row>
    <row r="984" spans="1:4" ht="13.8" x14ac:dyDescent="0.25">
      <c r="A984" s="40">
        <v>8.6431226765799257E-2</v>
      </c>
      <c r="B984" s="40">
        <v>13684.677314700002</v>
      </c>
      <c r="C984" s="43">
        <f>C983+(((A984+A983)/2)*(B984-B983))</f>
        <v>6137.1652091331744</v>
      </c>
      <c r="D984" s="38"/>
    </row>
    <row r="985" spans="1:4" ht="13.8" x14ac:dyDescent="0.25">
      <c r="A985" s="41">
        <v>8.5501858736059477E-2</v>
      </c>
      <c r="B985" s="41">
        <v>13720.701847400001</v>
      </c>
      <c r="C985" s="43">
        <f>C984+(((A985+A984)/2)*(B985-B984))</f>
        <v>6140.2621136636108</v>
      </c>
      <c r="D985" s="38"/>
    </row>
    <row r="986" spans="1:4" ht="13.8" x14ac:dyDescent="0.25">
      <c r="A986" s="40">
        <v>8.4572490706319697E-2</v>
      </c>
      <c r="B986" s="40">
        <v>13833.540173400001</v>
      </c>
      <c r="C986" s="43">
        <f>C985+(((A986+A985)/2)*(B986-B985))</f>
        <v>6149.857566106919</v>
      </c>
      <c r="D986" s="38"/>
    </row>
    <row r="987" spans="1:4" ht="13.8" x14ac:dyDescent="0.25">
      <c r="A987" s="41">
        <v>8.3643122676579931E-2</v>
      </c>
      <c r="B987" s="41">
        <v>13851.941193699999</v>
      </c>
      <c r="C987" s="43">
        <f>C986+(((A987+A986)/2)*(B987-B986))</f>
        <v>6151.4052355652366</v>
      </c>
      <c r="D987" s="38"/>
    </row>
    <row r="988" spans="1:4" ht="13.8" x14ac:dyDescent="0.25">
      <c r="A988" s="40">
        <v>8.2713754646840151E-2</v>
      </c>
      <c r="B988" s="40">
        <v>13960.453385999999</v>
      </c>
      <c r="C988" s="43">
        <f>C987+(((A988+A987)/2)*(B988-B987))</f>
        <v>6160.4311102965103</v>
      </c>
      <c r="D988" s="38"/>
    </row>
    <row r="989" spans="1:4" ht="13.8" x14ac:dyDescent="0.25">
      <c r="A989" s="41">
        <v>8.1784386617100371E-2</v>
      </c>
      <c r="B989" s="41">
        <v>13991.473957599999</v>
      </c>
      <c r="C989" s="43">
        <f>C988+(((A989+A988)/2)*(B989-B988))</f>
        <v>6162.9825234810824</v>
      </c>
      <c r="D989" s="38"/>
    </row>
    <row r="990" spans="1:4" ht="13.8" x14ac:dyDescent="0.25">
      <c r="A990" s="40">
        <v>8.0855018587360591E-2</v>
      </c>
      <c r="B990" s="40">
        <v>14136.409404599999</v>
      </c>
      <c r="C990" s="43">
        <f>C989+(((A990+A989)/2)*(B990-B989))</f>
        <v>6174.7686309276432</v>
      </c>
      <c r="D990" s="38"/>
    </row>
    <row r="991" spans="1:4" ht="13.8" x14ac:dyDescent="0.25">
      <c r="A991" s="41">
        <v>7.9925650557620811E-2</v>
      </c>
      <c r="B991" s="41">
        <v>14213.841217000001</v>
      </c>
      <c r="C991" s="43">
        <f>C990+(((A991+A990)/2)*(B991-B990))</f>
        <v>6180.9934002330338</v>
      </c>
      <c r="D991" s="38"/>
    </row>
    <row r="992" spans="1:4" ht="13.8" x14ac:dyDescent="0.25">
      <c r="A992" s="40">
        <v>7.8996282527881045E-2</v>
      </c>
      <c r="B992" s="40">
        <v>14239.3793611</v>
      </c>
      <c r="C992" s="43">
        <f>C991+(((A992+A991)/2)*(B992-B991))</f>
        <v>6183.0226858469277</v>
      </c>
      <c r="D992" s="38"/>
    </row>
    <row r="993" spans="1:4" ht="13.8" x14ac:dyDescent="0.25">
      <c r="A993" s="41">
        <v>7.8066914498141265E-2</v>
      </c>
      <c r="B993" s="41">
        <v>14376.141007099999</v>
      </c>
      <c r="C993" s="43">
        <f>C992+(((A993+A992)/2)*(B993-B992))</f>
        <v>6193.7627965225784</v>
      </c>
      <c r="D993" s="38"/>
    </row>
    <row r="994" spans="1:4" ht="13.8" x14ac:dyDescent="0.25">
      <c r="A994" s="40">
        <v>7.7137546468401486E-2</v>
      </c>
      <c r="B994" s="40">
        <v>14514.397860599998</v>
      </c>
      <c r="C994" s="43">
        <f>C993+(((A994+A993)/2)*(B994-B993))</f>
        <v>6204.4918367337768</v>
      </c>
      <c r="D994" s="38"/>
    </row>
    <row r="995" spans="1:4" ht="13.8" x14ac:dyDescent="0.25">
      <c r="A995" s="41">
        <v>7.6208178438661706E-2</v>
      </c>
      <c r="B995" s="41">
        <v>14563.081816800002</v>
      </c>
      <c r="C995" s="43">
        <f>C994+(((A995+A994)/2)*(B995-B994))</f>
        <v>6208.2245750111933</v>
      </c>
      <c r="D995" s="38"/>
    </row>
    <row r="996" spans="1:4" ht="13.8" x14ac:dyDescent="0.25">
      <c r="A996" s="40">
        <v>7.527881040892194E-2</v>
      </c>
      <c r="B996" s="40">
        <v>14575.8209847</v>
      </c>
      <c r="C996" s="43">
        <f>C995+(((A996+A995)/2)*(B996-B995))</f>
        <v>6209.1894841039903</v>
      </c>
      <c r="D996" s="38"/>
    </row>
    <row r="997" spans="1:4" ht="13.8" x14ac:dyDescent="0.25">
      <c r="A997" s="41">
        <v>7.434944237918216E-2</v>
      </c>
      <c r="B997" s="41">
        <v>14585.190951700002</v>
      </c>
      <c r="C997" s="43">
        <f>C996+(((A997+A996)/2)*(B997-B996))</f>
        <v>6209.8904899994368</v>
      </c>
      <c r="D997" s="38"/>
    </row>
    <row r="998" spans="1:4" ht="13.8" x14ac:dyDescent="0.25">
      <c r="A998" s="40">
        <v>7.342007434944238E-2</v>
      </c>
      <c r="B998" s="40">
        <v>14593.723602499998</v>
      </c>
      <c r="C998" s="43">
        <f>C997+(((A998+A997)/2)*(B998-B997))</f>
        <v>6210.5209228420017</v>
      </c>
      <c r="D998" s="38"/>
    </row>
    <row r="999" spans="1:4" ht="13.8" x14ac:dyDescent="0.25">
      <c r="A999" s="41">
        <v>7.24907063197026E-2</v>
      </c>
      <c r="B999" s="41">
        <v>14603.671716400002</v>
      </c>
      <c r="C999" s="43">
        <f>C998+(((A999+A998)/2)*(B999-B998))</f>
        <v>6211.2466913746694</v>
      </c>
      <c r="D999" s="38"/>
    </row>
    <row r="1000" spans="1:4" ht="13.8" x14ac:dyDescent="0.25">
      <c r="A1000" s="40">
        <v>7.156133828996282E-2</v>
      </c>
      <c r="B1000" s="40">
        <v>14614.357466000001</v>
      </c>
      <c r="C1000" s="43">
        <f>C999+(((A1000+A999)/2)*(B1000-B999))</f>
        <v>6212.016343413703</v>
      </c>
      <c r="D1000" s="38"/>
    </row>
    <row r="1001" spans="1:4" ht="13.8" x14ac:dyDescent="0.25">
      <c r="A1001" s="41">
        <v>7.0631970260223054E-2</v>
      </c>
      <c r="B1001" s="41">
        <v>14649.9234684</v>
      </c>
      <c r="C1001" s="43">
        <f>C1000+(((A1001+A1000)/2)*(B1001-B1000))</f>
        <v>6214.5449671902825</v>
      </c>
      <c r="D1001" s="38"/>
    </row>
    <row r="1002" spans="1:4" ht="13.8" x14ac:dyDescent="0.25">
      <c r="A1002" s="40">
        <v>6.9702602230483274E-2</v>
      </c>
      <c r="B1002" s="40">
        <v>14693.025316600002</v>
      </c>
      <c r="C1002" s="43">
        <f>C1001+(((A1002+A1001)/2)*(B1002-B1001))</f>
        <v>6217.5693069106355</v>
      </c>
      <c r="D1002" s="38"/>
    </row>
    <row r="1003" spans="1:4" ht="13.8" x14ac:dyDescent="0.25">
      <c r="A1003" s="41">
        <v>6.8773234200743494E-2</v>
      </c>
      <c r="B1003" s="41">
        <v>14823.806132600002</v>
      </c>
      <c r="C1003" s="43">
        <f>C1002+(((A1003+A1002)/2)*(B1003-B1002))</f>
        <v>6226.6242983530146</v>
      </c>
      <c r="D1003" s="38"/>
    </row>
    <row r="1004" spans="1:4" ht="13.8" x14ac:dyDescent="0.25">
      <c r="A1004" s="40">
        <v>6.7843866171003714E-2</v>
      </c>
      <c r="B1004" s="40">
        <v>14836.5453005</v>
      </c>
      <c r="C1004" s="43">
        <f>C1003+(((A1004+A1003)/2)*(B1004-B1003))</f>
        <v>6227.4944924428382</v>
      </c>
      <c r="D1004" s="38"/>
    </row>
    <row r="1005" spans="1:4" ht="13.8" x14ac:dyDescent="0.25">
      <c r="A1005" s="41">
        <v>6.6914498141263934E-2</v>
      </c>
      <c r="B1005" s="41">
        <v>14848.506960500001</v>
      </c>
      <c r="C1005" s="43">
        <f>C1004+(((A1005+A1004)/2)*(B1005-B1004))</f>
        <v>6228.3004593108681</v>
      </c>
      <c r="D1005" s="38"/>
    </row>
    <row r="1006" spans="1:4" ht="13.8" x14ac:dyDescent="0.25">
      <c r="A1006" s="40">
        <v>6.5985130111524168E-2</v>
      </c>
      <c r="B1006" s="40">
        <v>14951.437044799999</v>
      </c>
      <c r="C1006" s="43">
        <f>C1005+(((A1006+A1005)/2)*(B1006-B1005))</f>
        <v>6235.1401442806173</v>
      </c>
      <c r="D1006" s="38"/>
    </row>
    <row r="1007" spans="1:4" ht="13.8" x14ac:dyDescent="0.25">
      <c r="A1007" s="41">
        <v>6.5055762081784388E-2</v>
      </c>
      <c r="B1007" s="41">
        <v>14979.108351600002</v>
      </c>
      <c r="C1007" s="43">
        <f>C1006+(((A1007+A1006)/2)*(B1007-B1006))</f>
        <v>6236.953180646231</v>
      </c>
      <c r="D1007" s="38"/>
    </row>
    <row r="1008" spans="1:4" ht="13.8" x14ac:dyDescent="0.25">
      <c r="A1008" s="40">
        <v>6.4126394052044608E-2</v>
      </c>
      <c r="B1008" s="40">
        <v>15005.424003600003</v>
      </c>
      <c r="C1008" s="43">
        <f>C1007+(((A1008+A1007)/2)*(B1008-B1007))</f>
        <v>6238.652936978945</v>
      </c>
      <c r="D1008" s="38"/>
    </row>
    <row r="1009" spans="1:4" ht="13.8" x14ac:dyDescent="0.25">
      <c r="A1009" s="41">
        <v>6.3197026022304828E-2</v>
      </c>
      <c r="B1009" s="41">
        <v>15139.354723400002</v>
      </c>
      <c r="C1009" s="43">
        <f>C1008+(((A1009+A1008)/2)*(B1009-B1008))</f>
        <v>6247.179195627923</v>
      </c>
      <c r="D1009" s="38"/>
    </row>
    <row r="1010" spans="1:4" ht="13.8" x14ac:dyDescent="0.25">
      <c r="A1010" s="40">
        <v>6.2267657992565055E-2</v>
      </c>
      <c r="B1010" s="40">
        <v>15239.493753700001</v>
      </c>
      <c r="C1010" s="43">
        <f>C1009+(((A1010+A1009)/2)*(B1010-B1009))</f>
        <v>6253.4611515249953</v>
      </c>
      <c r="D1010" s="38"/>
    </row>
    <row r="1011" spans="1:4" ht="13.8" x14ac:dyDescent="0.25">
      <c r="A1011" s="41">
        <v>6.1338289962825282E-2</v>
      </c>
      <c r="B1011" s="41">
        <v>15376.933227100004</v>
      </c>
      <c r="C1011" s="43">
        <f>C1010+(((A1011+A1010)/2)*(B1011-B1010))</f>
        <v>6261.9553197230434</v>
      </c>
      <c r="D1011" s="38"/>
    </row>
    <row r="1012" spans="1:4" ht="13.8" x14ac:dyDescent="0.25">
      <c r="A1012" s="40">
        <v>6.0408921933085502E-2</v>
      </c>
      <c r="B1012" s="40">
        <v>15423.523892800002</v>
      </c>
      <c r="C1012" s="43">
        <f>C1011+(((A1012+A1011)/2)*(B1012-B1011))</f>
        <v>6264.7914615477184</v>
      </c>
      <c r="D1012" s="38"/>
    </row>
    <row r="1013" spans="1:4" ht="13.8" x14ac:dyDescent="0.25">
      <c r="A1013" s="41">
        <v>5.9479553903345722E-2</v>
      </c>
      <c r="B1013" s="41">
        <v>15467.981395800001</v>
      </c>
      <c r="C1013" s="43">
        <f>C1012+(((A1013+A1012)/2)*(B1013-B1012))</f>
        <v>6267.4564326848003</v>
      </c>
      <c r="D1013" s="38"/>
    </row>
    <row r="1014" spans="1:4" ht="13.8" x14ac:dyDescent="0.25">
      <c r="A1014" s="40">
        <v>5.8550185873605949E-2</v>
      </c>
      <c r="B1014" s="40">
        <v>15564.392375399999</v>
      </c>
      <c r="C1014" s="43">
        <f>C1013+(((A1014+A1013)/2)*(B1014-B1013))</f>
        <v>6273.1461141017144</v>
      </c>
      <c r="D1014" s="38"/>
    </row>
    <row r="1015" spans="1:4" ht="13.8" x14ac:dyDescent="0.25">
      <c r="A1015" s="41">
        <v>5.7620817843866169E-2</v>
      </c>
      <c r="B1015" s="41">
        <v>15822.604742599997</v>
      </c>
      <c r="C1015" s="43">
        <f>C1014+(((A1015+A1014)/2)*(B1015-B1014))</f>
        <v>6288.1445090366587</v>
      </c>
      <c r="D1015" s="38"/>
    </row>
    <row r="1016" spans="1:4" ht="13.8" x14ac:dyDescent="0.25">
      <c r="A1016" s="40">
        <v>5.6691449814126396E-2</v>
      </c>
      <c r="B1016" s="40">
        <v>15861.041543400001</v>
      </c>
      <c r="C1016" s="43">
        <f>C1015+(((A1016+A1015)/2)*(B1016-B1015))</f>
        <v>6290.341407967142</v>
      </c>
      <c r="D1016" s="38"/>
    </row>
    <row r="1017" spans="1:4" ht="13.8" x14ac:dyDescent="0.25">
      <c r="A1017" s="41">
        <v>5.5762081784386616E-2</v>
      </c>
      <c r="B1017" s="41">
        <v>15864.889210699999</v>
      </c>
      <c r="C1017" s="43">
        <f>C1016+(((A1017+A1016)/2)*(B1017-B1016))</f>
        <v>6290.5577498552921</v>
      </c>
      <c r="D1017" s="38"/>
    </row>
    <row r="1018" spans="1:4" ht="13.8" x14ac:dyDescent="0.25">
      <c r="A1018" s="40">
        <v>5.4832713754646843E-2</v>
      </c>
      <c r="B1018" s="40">
        <v>15905.379429799999</v>
      </c>
      <c r="C1018" s="43">
        <f>C1017+(((A1018+A1017)/2)*(B1018-B1017))</f>
        <v>6292.7967536066399</v>
      </c>
      <c r="D1018" s="38"/>
    </row>
    <row r="1019" spans="1:4" ht="13.8" x14ac:dyDescent="0.25">
      <c r="A1019" s="41">
        <v>5.3903345724907063E-2</v>
      </c>
      <c r="B1019" s="41">
        <v>16016.443442900001</v>
      </c>
      <c r="C1019" s="43">
        <f>C1018+(((A1019+A1018)/2)*(B1019-B1018))</f>
        <v>6298.8350851738796</v>
      </c>
      <c r="D1019" s="38"/>
    </row>
    <row r="1020" spans="1:4" ht="13.8" x14ac:dyDescent="0.25">
      <c r="A1020" s="40">
        <v>5.2973977695167283E-2</v>
      </c>
      <c r="B1020" s="40">
        <v>16085.641646000004</v>
      </c>
      <c r="C1020" s="43">
        <f>C1019+(((A1020+A1019)/2)*(B1020-B1019))</f>
        <v>6302.5329445402831</v>
      </c>
      <c r="D1020" s="38"/>
    </row>
    <row r="1021" spans="1:4" ht="13.8" x14ac:dyDescent="0.25">
      <c r="A1021" s="41">
        <v>5.204460966542751E-2</v>
      </c>
      <c r="B1021" s="41">
        <v>16090.246885100001</v>
      </c>
      <c r="C1021" s="43">
        <f>C1020+(((A1021+A1020)/2)*(B1021-B1020))</f>
        <v>6302.7747623926525</v>
      </c>
      <c r="D1021" s="38"/>
    </row>
    <row r="1022" spans="1:4" ht="13.8" x14ac:dyDescent="0.25">
      <c r="A1022" s="40">
        <v>5.111524163568773E-2</v>
      </c>
      <c r="B1022" s="40">
        <v>16183.747194100002</v>
      </c>
      <c r="C1022" s="43">
        <f>C1021+(((A1022+A1021)/2)*(B1022-B1021))</f>
        <v>6307.5975013791767</v>
      </c>
      <c r="D1022" s="38"/>
    </row>
    <row r="1023" spans="1:4" ht="13.8" x14ac:dyDescent="0.25">
      <c r="A1023" s="41">
        <v>5.0185873605947957E-2</v>
      </c>
      <c r="B1023" s="41">
        <v>16191.781442400001</v>
      </c>
      <c r="C1023" s="43">
        <f>C1022+(((A1023+A1022)/2)*(B1023-B1022))</f>
        <v>6308.0044405356357</v>
      </c>
      <c r="D1023" s="38"/>
    </row>
    <row r="1024" spans="1:4" ht="13.8" x14ac:dyDescent="0.25">
      <c r="A1024" s="40">
        <v>4.9256505576208177E-2</v>
      </c>
      <c r="B1024" s="40">
        <v>16221.665656300002</v>
      </c>
      <c r="C1024" s="43">
        <f>C1023+(((A1024+A1023)/2)*(B1024-B1023))</f>
        <v>6309.4903192007378</v>
      </c>
      <c r="D1024" s="38"/>
    </row>
    <row r="1025" spans="1:4" ht="13.8" x14ac:dyDescent="0.25">
      <c r="A1025" s="41">
        <v>4.8327137546468404E-2</v>
      </c>
      <c r="B1025" s="41">
        <v>16233.846613400003</v>
      </c>
      <c r="C1025" s="43">
        <f>C1024+(((A1025+A1024)/2)*(B1025-B1024))</f>
        <v>6310.0846502860077</v>
      </c>
      <c r="D1025" s="38"/>
    </row>
    <row r="1026" spans="1:4" ht="13.8" x14ac:dyDescent="0.25">
      <c r="A1026" s="40">
        <v>4.7397769516728624E-2</v>
      </c>
      <c r="B1026" s="40">
        <v>16286.278556400001</v>
      </c>
      <c r="C1026" s="43">
        <f>C1025+(((A1026+A1025)/2)*(B1026-B1025))</f>
        <v>6312.5941717214164</v>
      </c>
      <c r="D1026" s="38"/>
    </row>
    <row r="1027" spans="1:4" ht="13.8" x14ac:dyDescent="0.25">
      <c r="A1027" s="41">
        <v>4.6468401486988845E-2</v>
      </c>
      <c r="B1027" s="41">
        <v>16324.456187900001</v>
      </c>
      <c r="C1027" s="43">
        <f>C1026+(((A1027+A1026)/2)*(B1027-B1026))</f>
        <v>6314.3859657648645</v>
      </c>
      <c r="D1027" s="38"/>
    </row>
    <row r="1028" spans="1:4" ht="13.8" x14ac:dyDescent="0.25">
      <c r="A1028" s="40">
        <v>4.5539033457249072E-2</v>
      </c>
      <c r="B1028" s="40">
        <v>16328.3835996</v>
      </c>
      <c r="C1028" s="43">
        <f>C1027+(((A1028+A1027)/2)*(B1028-B1027))</f>
        <v>6314.5666413031076</v>
      </c>
      <c r="D1028" s="38"/>
    </row>
    <row r="1029" spans="1:4" ht="13.8" x14ac:dyDescent="0.25">
      <c r="A1029" s="41">
        <v>4.4609665427509292E-2</v>
      </c>
      <c r="B1029" s="41">
        <v>16412.474069400007</v>
      </c>
      <c r="C1029" s="43">
        <f>C1028+(((A1029+A1028)/2)*(B1029-B1028))</f>
        <v>6318.3569645236466</v>
      </c>
      <c r="D1029" s="38"/>
    </row>
    <row r="1030" spans="1:4" ht="13.8" x14ac:dyDescent="0.25">
      <c r="A1030" s="40">
        <v>4.3680297397769519E-2</v>
      </c>
      <c r="B1030" s="40">
        <v>16451.449144900005</v>
      </c>
      <c r="C1030" s="43">
        <f>C1029+(((A1030+A1029)/2)*(B1030-B1029))</f>
        <v>6320.0775185071507</v>
      </c>
      <c r="D1030" s="38"/>
    </row>
    <row r="1031" spans="1:4" ht="13.8" x14ac:dyDescent="0.25">
      <c r="A1031" s="41">
        <v>4.2750929368029739E-2</v>
      </c>
      <c r="B1031" s="41">
        <v>16482.6292053</v>
      </c>
      <c r="C1031" s="43">
        <f>C1030+(((A1031+A1030)/2)*(B1031-B1030))</f>
        <v>6321.424983942652</v>
      </c>
      <c r="D1031" s="38"/>
    </row>
    <row r="1032" spans="1:4" ht="13.8" x14ac:dyDescent="0.25">
      <c r="A1032" s="40">
        <v>4.1821561338289966E-2</v>
      </c>
      <c r="B1032" s="40">
        <v>16545.288367600002</v>
      </c>
      <c r="C1032" s="43">
        <f>C1031+(((A1032+A1031)/2)*(B1032-B1031))</f>
        <v>6324.0746046532931</v>
      </c>
      <c r="D1032" s="38"/>
    </row>
    <row r="1033" spans="1:4" ht="13.8" x14ac:dyDescent="0.25">
      <c r="A1033" s="41">
        <v>4.0892193308550186E-2</v>
      </c>
      <c r="B1033" s="41">
        <v>16736.296141700004</v>
      </c>
      <c r="C1033" s="43">
        <f>C1032+(((A1033+A1032)/2)*(B1033-B1032))</f>
        <v>6331.9740897345664</v>
      </c>
      <c r="D1033" s="38"/>
    </row>
    <row r="1034" spans="1:4" ht="13.8" x14ac:dyDescent="0.25">
      <c r="A1034" s="40">
        <v>3.9962825278810406E-2</v>
      </c>
      <c r="B1034" s="40">
        <v>16815.821244600003</v>
      </c>
      <c r="C1034" s="43">
        <f>C1033+(((A1034+A1033)/2)*(B1034-B1033))</f>
        <v>6335.1890915711374</v>
      </c>
      <c r="D1034" s="38"/>
    </row>
    <row r="1035" spans="1:4" ht="13.8" x14ac:dyDescent="0.25">
      <c r="A1035" s="41">
        <v>3.9033457249070633E-2</v>
      </c>
      <c r="B1035" s="41">
        <v>16833.404884800002</v>
      </c>
      <c r="C1035" s="43">
        <f>C1034+(((A1035+A1034)/2)*(B1035-B1034))</f>
        <v>6335.8836126756914</v>
      </c>
      <c r="D1035" s="38"/>
    </row>
    <row r="1036" spans="1:4" ht="13.8" x14ac:dyDescent="0.25">
      <c r="A1036" s="40">
        <v>3.8104089219330853E-2</v>
      </c>
      <c r="B1036" s="40">
        <v>16947.3795685</v>
      </c>
      <c r="C1036" s="43">
        <f>C1035+(((A1036+A1035)/2)*(B1036-B1035))</f>
        <v>6340.2794764057562</v>
      </c>
      <c r="D1036" s="38"/>
    </row>
    <row r="1037" spans="1:4" ht="13.8" x14ac:dyDescent="0.25">
      <c r="A1037" s="41">
        <v>3.717472118959108E-2</v>
      </c>
      <c r="B1037" s="41">
        <v>16957.686532200001</v>
      </c>
      <c r="C1037" s="43">
        <f>C1036+(((A1037+A1036)/2)*(B1037-B1036))</f>
        <v>6340.6674243888883</v>
      </c>
      <c r="D1037" s="38"/>
    </row>
    <row r="1038" spans="1:4" ht="13.8" x14ac:dyDescent="0.25">
      <c r="A1038" s="40">
        <v>3.62453531598513E-2</v>
      </c>
      <c r="B1038" s="40">
        <v>17159.220567100001</v>
      </c>
      <c r="C1038" s="43">
        <f>C1037+(((A1038+A1037)/2)*(B1038-B1037))</f>
        <v>6348.0657463020389</v>
      </c>
      <c r="D1038" s="38"/>
    </row>
    <row r="1039" spans="1:4" ht="13.8" x14ac:dyDescent="0.25">
      <c r="A1039" s="41">
        <v>3.5315985130111527E-2</v>
      </c>
      <c r="B1039" s="41">
        <v>17439.262963800003</v>
      </c>
      <c r="C1039" s="43">
        <f>C1038+(((A1039+A1038)/2)*(B1039-B1038))</f>
        <v>6358.0858506449295</v>
      </c>
      <c r="D1039" s="38"/>
    </row>
    <row r="1040" spans="1:4" ht="13.8" x14ac:dyDescent="0.25">
      <c r="A1040" s="40">
        <v>3.4386617100371747E-2</v>
      </c>
      <c r="B1040" s="40">
        <v>17555.311001900001</v>
      </c>
      <c r="C1040" s="43">
        <f>C1039+(((A1040+A1039)/2)*(B1040-B1039))</f>
        <v>6362.1302757645853</v>
      </c>
      <c r="D1040" s="38"/>
    </row>
    <row r="1041" spans="1:4" ht="13.8" x14ac:dyDescent="0.25">
      <c r="A1041" s="41">
        <v>3.3457249070631967E-2</v>
      </c>
      <c r="B1041" s="41">
        <v>17590.877004299997</v>
      </c>
      <c r="C1041" s="43">
        <f>C1040+(((A1041+A1040)/2)*(B1041-B1040))</f>
        <v>6363.3367433181165</v>
      </c>
      <c r="D1041" s="38"/>
    </row>
    <row r="1042" spans="1:4" ht="13.8" x14ac:dyDescent="0.25">
      <c r="A1042" s="40">
        <v>3.2527881040892194E-2</v>
      </c>
      <c r="B1042" s="40">
        <v>17704.991240700001</v>
      </c>
      <c r="C1042" s="43">
        <f>C1041+(((A1042+A1041)/2)*(B1042-B1041))</f>
        <v>6367.1016646863327</v>
      </c>
      <c r="D1042" s="38"/>
    </row>
    <row r="1043" spans="1:4" ht="13.8" x14ac:dyDescent="0.25">
      <c r="A1043" s="41">
        <v>3.1598513011152414E-2</v>
      </c>
      <c r="B1043" s="41">
        <v>17730.9081707</v>
      </c>
      <c r="C1043" s="43">
        <f>C1042+(((A1043+A1042)/2)*(B1043-B1042))</f>
        <v>6367.9326443192322</v>
      </c>
      <c r="D1043" s="38"/>
    </row>
    <row r="1044" spans="1:4" ht="13.8" x14ac:dyDescent="0.25">
      <c r="A1044" s="40">
        <v>3.0669144981412641E-2</v>
      </c>
      <c r="B1044" s="40">
        <v>17930.3090429</v>
      </c>
      <c r="C1044" s="43">
        <f>C1043+(((A1044+A1043)/2)*(B1044-B1043))</f>
        <v>6374.1407569760167</v>
      </c>
      <c r="D1044" s="38"/>
    </row>
    <row r="1045" spans="1:4" ht="13.8" x14ac:dyDescent="0.25">
      <c r="A1045" s="41">
        <v>2.9739776951672861E-2</v>
      </c>
      <c r="B1045" s="41">
        <v>18505.545272300002</v>
      </c>
      <c r="C1045" s="43">
        <f>C1044+(((A1045+A1044)/2)*(B1045-B1044))</f>
        <v>6391.5154572134707</v>
      </c>
      <c r="D1045" s="38"/>
    </row>
    <row r="1046" spans="1:4" ht="13.8" x14ac:dyDescent="0.25">
      <c r="A1046" s="40">
        <v>2.8810408921933085E-2</v>
      </c>
      <c r="B1046" s="40">
        <v>19032.057673300002</v>
      </c>
      <c r="C1046" s="43">
        <f>C1045+(((A1046+A1045)/2)*(B1046-B1045))</f>
        <v>6406.9291566851252</v>
      </c>
      <c r="D1046" s="38"/>
    </row>
    <row r="1047" spans="1:4" ht="13.8" x14ac:dyDescent="0.25">
      <c r="A1047" s="41">
        <v>2.7881040892193308E-2</v>
      </c>
      <c r="B1047" s="41">
        <v>19032.99467</v>
      </c>
      <c r="C1047" s="43">
        <f>C1046+(((A1047+A1046)/2)*(B1047-B1046))</f>
        <v>6406.9557165358219</v>
      </c>
      <c r="D1047" s="38"/>
    </row>
    <row r="1048" spans="1:4" ht="13.8" x14ac:dyDescent="0.25">
      <c r="A1048" s="40">
        <v>2.6951672862453532E-2</v>
      </c>
      <c r="B1048" s="40">
        <v>19204.485002199999</v>
      </c>
      <c r="C1048" s="43">
        <f>C1047+(((A1048+A1047)/2)*(B1048-B1047))</f>
        <v>6411.6573566844281</v>
      </c>
      <c r="D1048" s="38"/>
    </row>
    <row r="1049" spans="1:4" ht="13.8" x14ac:dyDescent="0.25">
      <c r="A1049" s="41">
        <v>2.6022304832713755E-2</v>
      </c>
      <c r="B1049" s="41">
        <v>19248.783016400004</v>
      </c>
      <c r="C1049" s="43">
        <f>C1048+(((A1049+A1048)/2)*(B1049-B1048))</f>
        <v>6412.8306776925137</v>
      </c>
      <c r="D1049" s="38"/>
    </row>
    <row r="1050" spans="1:4" ht="13.8" x14ac:dyDescent="0.25">
      <c r="A1050" s="40">
        <v>2.5092936802973979E-2</v>
      </c>
      <c r="B1050" s="40">
        <v>19289.990935099999</v>
      </c>
      <c r="C1050" s="43">
        <f>C1049+(((A1050+A1049)/2)*(B1050-B1049))</f>
        <v>6413.8838540533407</v>
      </c>
      <c r="D1050" s="38"/>
    </row>
    <row r="1051" spans="1:4" ht="13.8" x14ac:dyDescent="0.25">
      <c r="A1051" s="41">
        <v>2.4163568773234202E-2</v>
      </c>
      <c r="B1051" s="41">
        <v>19672.425141400003</v>
      </c>
      <c r="C1051" s="43">
        <f>C1050+(((A1051+A1050)/2)*(B1051-B1050))</f>
        <v>6423.3025403609154</v>
      </c>
      <c r="D1051" s="38"/>
    </row>
    <row r="1052" spans="1:4" ht="13.8" x14ac:dyDescent="0.25">
      <c r="A1052" s="40">
        <v>2.3234200743494422E-2</v>
      </c>
      <c r="B1052" s="40">
        <v>19856.574897100003</v>
      </c>
      <c r="C1052" s="43">
        <f>C1051+(((A1052+A1051)/2)*(B1052-B1051))</f>
        <v>6427.6666841995302</v>
      </c>
      <c r="D1052" s="38"/>
    </row>
    <row r="1053" spans="1:4" ht="13.8" x14ac:dyDescent="0.25">
      <c r="A1053" s="41">
        <v>2.2304832713754646E-2</v>
      </c>
      <c r="B1053" s="41">
        <v>19860.861158599997</v>
      </c>
      <c r="C1053" s="43">
        <f>C1052+(((A1053+A1052)/2)*(B1053-B1052))</f>
        <v>6427.7642803024573</v>
      </c>
      <c r="D1053" s="38"/>
    </row>
    <row r="1054" spans="1:4" ht="13.8" x14ac:dyDescent="0.25">
      <c r="A1054" s="40">
        <v>2.1375464684014869E-2</v>
      </c>
      <c r="B1054" s="40">
        <v>19891.502944300002</v>
      </c>
      <c r="C1054" s="43">
        <f>C1053+(((A1054+A1053)/2)*(B1054-B1053))</f>
        <v>6428.4335014585449</v>
      </c>
      <c r="D1054" s="38"/>
    </row>
    <row r="1055" spans="1:4" ht="13.8" x14ac:dyDescent="0.25">
      <c r="A1055" s="41">
        <v>2.0446096654275093E-2</v>
      </c>
      <c r="B1055" s="41">
        <v>20087.414999000001</v>
      </c>
      <c r="C1055" s="43">
        <f>C1054+(((A1055+A1054)/2)*(B1055-B1054))</f>
        <v>6432.5301754648181</v>
      </c>
      <c r="D1055" s="38"/>
    </row>
    <row r="1056" spans="1:4" ht="13.8" x14ac:dyDescent="0.25">
      <c r="A1056" s="40">
        <v>1.9516728624535316E-2</v>
      </c>
      <c r="B1056" s="40">
        <v>20281.2138271</v>
      </c>
      <c r="C1056" s="43">
        <f>C1055+(((A1056+A1055)/2)*(B1056-B1055))</f>
        <v>6436.4025498181172</v>
      </c>
      <c r="D1056" s="38"/>
    </row>
    <row r="1057" spans="1:4" ht="13.8" x14ac:dyDescent="0.25">
      <c r="A1057" s="41">
        <v>1.858736059479554E-2</v>
      </c>
      <c r="B1057" s="41">
        <v>20378.1431453</v>
      </c>
      <c r="C1057" s="43">
        <f>C1056+(((A1057+A1056)/2)*(B1057-B1056))</f>
        <v>6438.2492515124477</v>
      </c>
      <c r="D1057" s="38"/>
    </row>
    <row r="1058" spans="1:4" ht="13.8" x14ac:dyDescent="0.25">
      <c r="A1058" s="40">
        <v>1.7657992565055763E-2</v>
      </c>
      <c r="B1058" s="40">
        <v>20444.789527600002</v>
      </c>
      <c r="C1058" s="43">
        <f>C1057+(((A1058+A1057)/2)*(B1058-B1057))</f>
        <v>6439.4570623440923</v>
      </c>
      <c r="D1058" s="38"/>
    </row>
    <row r="1059" spans="1:4" ht="13.8" x14ac:dyDescent="0.25">
      <c r="A1059" s="41">
        <v>1.6728624535315983E-2</v>
      </c>
      <c r="B1059" s="41">
        <v>20602.444206400003</v>
      </c>
      <c r="C1059" s="43">
        <f>C1058+(((A1059+A1058)/2)*(B1059-B1058))</f>
        <v>6442.1676678810809</v>
      </c>
      <c r="D1059" s="38"/>
    </row>
    <row r="1060" spans="1:4" ht="13.8" x14ac:dyDescent="0.25">
      <c r="A1060" s="40">
        <v>1.5799256505576207E-2</v>
      </c>
      <c r="B1060" s="40">
        <v>21127.361719399996</v>
      </c>
      <c r="C1060" s="43">
        <f>C1059+(((A1060+A1059)/2)*(B1060-B1059))</f>
        <v>6450.7048950906528</v>
      </c>
      <c r="D1060" s="38"/>
    </row>
    <row r="1061" spans="1:4" ht="13.8" x14ac:dyDescent="0.25">
      <c r="A1061" s="41">
        <v>1.4869888475836431E-2</v>
      </c>
      <c r="B1061" s="41">
        <v>21681.844468699994</v>
      </c>
      <c r="C1061" s="43">
        <f>C1060+(((A1061+A1060)/2)*(B1061-B1060))</f>
        <v>6459.20765100464</v>
      </c>
      <c r="D1061" s="38"/>
    </row>
    <row r="1062" spans="1:4" ht="13.8" x14ac:dyDescent="0.25">
      <c r="A1062" s="40">
        <v>1.3940520446096654E-2</v>
      </c>
      <c r="B1062" s="40">
        <v>21977.197790200004</v>
      </c>
      <c r="C1062" s="43">
        <f>C1061+(((A1062+A1061)/2)*(B1062-B1061))</f>
        <v>6463.4622759890735</v>
      </c>
      <c r="D1062" s="38"/>
    </row>
    <row r="1063" spans="1:4" ht="13.8" x14ac:dyDescent="0.25">
      <c r="A1063" s="41">
        <v>1.3011152416356878E-2</v>
      </c>
      <c r="B1063" s="41">
        <v>22566.508906200001</v>
      </c>
      <c r="C1063" s="43">
        <f>C1062+(((A1063+A1062)/2)*(B1063-B1062))</f>
        <v>6471.4037361953933</v>
      </c>
      <c r="D1063" s="38"/>
    </row>
    <row r="1064" spans="1:4" ht="13.8" x14ac:dyDescent="0.25">
      <c r="A1064" s="40">
        <v>1.2081784386617101E-2</v>
      </c>
      <c r="B1064" s="40">
        <v>22759.5501625</v>
      </c>
      <c r="C1064" s="43">
        <f>C1063+(((A1064+A1063)/2)*(B1064-B1063))</f>
        <v>6473.8257222177444</v>
      </c>
      <c r="D1064" s="38"/>
    </row>
    <row r="1065" spans="1:4" ht="13.8" x14ac:dyDescent="0.25">
      <c r="A1065" s="41">
        <v>1.1152416356877323E-2</v>
      </c>
      <c r="B1065" s="41">
        <v>22969.317806699997</v>
      </c>
      <c r="C1065" s="43">
        <f>C1064+(((A1065+A1064)/2)*(B1065-B1064))</f>
        <v>6476.2626139951608</v>
      </c>
      <c r="D1065" s="38"/>
    </row>
    <row r="1066" spans="1:4" ht="13.8" x14ac:dyDescent="0.25">
      <c r="A1066" s="40">
        <v>1.0223048327137546E-2</v>
      </c>
      <c r="B1066" s="40">
        <v>23063.336454300003</v>
      </c>
      <c r="C1066" s="43">
        <f>C1065+(((A1066+A1065)/2)*(B1066-B1065))</f>
        <v>6477.2674601358667</v>
      </c>
      <c r="D1066" s="38"/>
    </row>
    <row r="1067" spans="1:4" ht="13.8" x14ac:dyDescent="0.25">
      <c r="A1067" s="41">
        <v>9.2936802973977699E-3</v>
      </c>
      <c r="B1067" s="41">
        <v>24114.846112700005</v>
      </c>
      <c r="C1067" s="43">
        <f>C1066+(((A1067+A1066)/2)*(B1067-B1066))</f>
        <v>6487.5284744604023</v>
      </c>
      <c r="D1067" s="38"/>
    </row>
    <row r="1068" spans="1:4" ht="13.8" x14ac:dyDescent="0.25">
      <c r="A1068" s="40">
        <v>8.3643122676579917E-3</v>
      </c>
      <c r="B1068" s="40">
        <v>25060.196038600003</v>
      </c>
      <c r="C1068" s="43">
        <f>C1067+(((A1068+A1067)/2)*(B1068-B1067))</f>
        <v>6495.8749654418616</v>
      </c>
      <c r="D1068" s="38"/>
    </row>
    <row r="1069" spans="1:4" ht="13.8" x14ac:dyDescent="0.25">
      <c r="A1069" s="41">
        <v>7.4349442379182153E-3</v>
      </c>
      <c r="B1069" s="41">
        <v>25760.491423300002</v>
      </c>
      <c r="C1069" s="43">
        <f>C1068+(((A1069+A1068)/2)*(B1069-B1068))</f>
        <v>6501.4070386481344</v>
      </c>
      <c r="D1069" s="38"/>
    </row>
    <row r="1070" spans="1:4" ht="13.8" x14ac:dyDescent="0.25">
      <c r="A1070" s="40">
        <v>6.5055762081784388E-3</v>
      </c>
      <c r="B1070" s="40">
        <v>26126.259050000004</v>
      </c>
      <c r="C1070" s="43">
        <f>C1069+(((A1070+A1069)/2)*(B1070-B1069))</f>
        <v>6503.9565341874004</v>
      </c>
      <c r="D1070" s="38"/>
    </row>
    <row r="1071" spans="1:4" ht="13.8" x14ac:dyDescent="0.25">
      <c r="A1071" s="41">
        <v>5.5762081784386614E-3</v>
      </c>
      <c r="B1071" s="41">
        <v>26724.322113900009</v>
      </c>
      <c r="C1071" s="43">
        <f>C1070+(((A1071+A1070)/2)*(B1071-B1070))</f>
        <v>6507.5693686812201</v>
      </c>
      <c r="D1071" s="38"/>
    </row>
    <row r="1072" spans="1:4" ht="13.8" x14ac:dyDescent="0.25">
      <c r="A1072" s="40">
        <v>4.646840148698885E-3</v>
      </c>
      <c r="B1072" s="40">
        <v>27179.403468600005</v>
      </c>
      <c r="C1072" s="43">
        <f>C1071+(((A1072+A1071)/2)*(B1072-B1071))</f>
        <v>6509.8955280221589</v>
      </c>
      <c r="D1072" s="38"/>
    </row>
    <row r="1073" spans="1:4" ht="13.8" x14ac:dyDescent="0.25">
      <c r="A1073" s="41">
        <v>3.7174721189591076E-3</v>
      </c>
      <c r="B1073" s="41">
        <v>27333.469649399995</v>
      </c>
      <c r="C1073" s="43">
        <f>C1072+(((A1073+A1072)/2)*(B1073-B1072))</f>
        <v>6510.5398568452074</v>
      </c>
      <c r="D1073" s="38"/>
    </row>
    <row r="1074" spans="1:4" ht="13.8" x14ac:dyDescent="0.25">
      <c r="A1074" s="40">
        <v>2.7881040892193307E-3</v>
      </c>
      <c r="B1074" s="40">
        <v>27583.568023900007</v>
      </c>
      <c r="C1074" s="43">
        <f>C1073+(((A1074+A1073)/2)*(B1074-B1073))</f>
        <v>6511.3533738626329</v>
      </c>
      <c r="D1074" s="38"/>
    </row>
    <row r="1075" spans="1:4" ht="13.8" x14ac:dyDescent="0.25">
      <c r="A1075" s="41">
        <v>1.8587360594795538E-3</v>
      </c>
      <c r="B1075" s="41">
        <v>27782.889151700001</v>
      </c>
      <c r="C1075" s="43">
        <f>C1074+(((A1075+A1074)/2)*(B1075-B1074))</f>
        <v>6511.8164805722054</v>
      </c>
      <c r="D1075" s="38"/>
    </row>
    <row r="1076" spans="1:4" ht="13.8" x14ac:dyDescent="0.25">
      <c r="A1076" s="40">
        <v>9.2936802973977691E-4</v>
      </c>
      <c r="B1076" s="40">
        <v>28530.7121988</v>
      </c>
      <c r="C1076" s="43">
        <f>C1075+(((A1076+A1075)/2)*(B1076-B1075))</f>
        <v>6512.8589848200218</v>
      </c>
      <c r="D1076" s="38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A18F-2FC8-486D-B88D-9B18D71E1140}">
  <dimension ref="A1:M1078"/>
  <sheetViews>
    <sheetView showGridLines="0" topLeftCell="F1" zoomScaleNormal="100" workbookViewId="0">
      <selection activeCell="J8" sqref="J8"/>
    </sheetView>
  </sheetViews>
  <sheetFormatPr defaultColWidth="12.33203125" defaultRowHeight="13.2" x14ac:dyDescent="0.25"/>
  <cols>
    <col min="1" max="1" width="14.33203125" style="8" bestFit="1" customWidth="1"/>
    <col min="2" max="3" width="14.21875" style="8" bestFit="1" customWidth="1"/>
    <col min="4" max="4" width="12.88671875" style="45" bestFit="1" customWidth="1"/>
    <col min="5" max="5" width="33.88671875" style="45" bestFit="1" customWidth="1"/>
    <col min="6" max="6" width="22.44140625" style="45" bestFit="1" customWidth="1"/>
    <col min="7" max="7" width="43.77734375" style="45" bestFit="1" customWidth="1"/>
    <col min="8" max="8" width="28.5546875" style="45" bestFit="1" customWidth="1"/>
    <col min="9" max="9" width="12.33203125" style="8"/>
    <col min="10" max="10" width="39.6640625" style="8" bestFit="1" customWidth="1"/>
    <col min="11" max="11" width="25.109375" style="8" bestFit="1" customWidth="1"/>
    <col min="12" max="12" width="7.88671875" style="8" bestFit="1" customWidth="1"/>
    <col min="13" max="13" width="20.5546875" style="8" bestFit="1" customWidth="1"/>
  </cols>
  <sheetData>
    <row r="1" spans="1:13" s="47" customFormat="1" ht="19.95" customHeight="1" x14ac:dyDescent="0.25">
      <c r="A1" s="48" t="s">
        <v>4</v>
      </c>
      <c r="B1" s="48" t="s">
        <v>9</v>
      </c>
      <c r="C1" s="48" t="s">
        <v>10</v>
      </c>
      <c r="D1" s="49" t="s">
        <v>11</v>
      </c>
      <c r="E1" s="49" t="s">
        <v>12</v>
      </c>
      <c r="F1" s="49" t="s">
        <v>13</v>
      </c>
      <c r="G1" s="49" t="s">
        <v>14</v>
      </c>
      <c r="H1" s="50" t="s">
        <v>15</v>
      </c>
      <c r="I1" s="46"/>
      <c r="J1" s="46"/>
      <c r="K1" s="46"/>
      <c r="L1" s="46"/>
      <c r="M1" s="46"/>
    </row>
    <row r="2" spans="1:13" ht="13.8" x14ac:dyDescent="0.25">
      <c r="A2" s="40">
        <v>0.99907063197026025</v>
      </c>
      <c r="B2" s="40">
        <v>652.88733890000003</v>
      </c>
      <c r="C2" s="40">
        <f>A2*B2</f>
        <v>652.28056628020454</v>
      </c>
      <c r="D2" s="51">
        <f>C2*24*365</f>
        <v>5713977.7606145917</v>
      </c>
      <c r="E2" s="54">
        <f>H2-G2-(F2*$K$5)</f>
        <v>801722.59480964777</v>
      </c>
      <c r="F2" s="53">
        <f>$K$4*B2</f>
        <v>5223098.7112000007</v>
      </c>
      <c r="G2" s="51">
        <f>F2*0.03</f>
        <v>156692.96133600001</v>
      </c>
      <c r="H2" s="52">
        <f>$K$3*D2</f>
        <v>1428494.4401536479</v>
      </c>
    </row>
    <row r="3" spans="1:13" ht="13.8" x14ac:dyDescent="0.25">
      <c r="A3" s="41">
        <v>0.9981412639405205</v>
      </c>
      <c r="B3" s="41">
        <v>819.75249590000021</v>
      </c>
      <c r="C3" s="41">
        <f>C2+(((A3+A2)/2)*(B3-B2))</f>
        <v>818.91310456691474</v>
      </c>
      <c r="D3" s="51">
        <f t="shared" ref="D3:D66" si="0">C3*24*365</f>
        <v>7173678.7960061738</v>
      </c>
      <c r="E3" s="54">
        <f t="shared" ref="E3:E66" si="1">H3-G3-(F3*$K$5)</f>
        <v>1137617.7022815433</v>
      </c>
      <c r="F3" s="53">
        <f>$K$4*B3</f>
        <v>6558019.9672000017</v>
      </c>
      <c r="G3" s="51">
        <f t="shared" ref="G3:G66" si="2">F3*0.01</f>
        <v>65580.199672000017</v>
      </c>
      <c r="H3" s="52">
        <f>$K$3*D3</f>
        <v>1793419.6990015435</v>
      </c>
      <c r="J3" s="55" t="s">
        <v>16</v>
      </c>
      <c r="K3" s="59">
        <v>0.25</v>
      </c>
      <c r="L3" s="56" t="s">
        <v>17</v>
      </c>
      <c r="M3" s="36"/>
    </row>
    <row r="4" spans="1:13" ht="13.8" x14ac:dyDescent="0.25">
      <c r="A4" s="40">
        <v>0.99721189591078063</v>
      </c>
      <c r="B4" s="40">
        <v>916.7216863000001</v>
      </c>
      <c r="C4" s="41">
        <f>C3+(((A4+A3)/2)*(B4-B3))</f>
        <v>915.65699480334592</v>
      </c>
      <c r="D4" s="51">
        <f t="shared" si="0"/>
        <v>8021155.2744773114</v>
      </c>
      <c r="E4" s="54">
        <f t="shared" si="1"/>
        <v>1271911.4695793279</v>
      </c>
      <c r="F4" s="53">
        <f>$K$4*B4</f>
        <v>7333773.4904000005</v>
      </c>
      <c r="G4" s="51">
        <f t="shared" si="2"/>
        <v>73337.734904000012</v>
      </c>
      <c r="H4" s="52">
        <f>$K$3*D4</f>
        <v>2005288.8186193279</v>
      </c>
      <c r="J4" s="55" t="s">
        <v>18</v>
      </c>
      <c r="K4" s="60">
        <v>8000</v>
      </c>
      <c r="L4" s="57" t="s">
        <v>17</v>
      </c>
    </row>
    <row r="5" spans="1:13" ht="14.4" thickBot="1" x14ac:dyDescent="0.3">
      <c r="A5" s="41">
        <v>0.99628252788104088</v>
      </c>
      <c r="B5" s="41">
        <v>921.58609469999988</v>
      </c>
      <c r="C5" s="41">
        <f>C4+(((A5+A4)/2)*(B5-B4))</f>
        <v>920.50558031356877</v>
      </c>
      <c r="D5" s="51">
        <f t="shared" si="0"/>
        <v>8063628.8835468628</v>
      </c>
      <c r="E5" s="54">
        <f t="shared" si="1"/>
        <v>1278638.3451267157</v>
      </c>
      <c r="F5" s="53">
        <f>$K$4*B5</f>
        <v>7372688.7575999992</v>
      </c>
      <c r="G5" s="51">
        <f t="shared" si="2"/>
        <v>73726.887575999994</v>
      </c>
      <c r="H5" s="52">
        <f>$K$3*D5</f>
        <v>2015907.2208867157</v>
      </c>
      <c r="J5" s="55" t="s">
        <v>20</v>
      </c>
      <c r="K5" s="61">
        <v>0.09</v>
      </c>
      <c r="L5" s="58" t="s">
        <v>30</v>
      </c>
    </row>
    <row r="6" spans="1:13" ht="14.4" thickBot="1" x14ac:dyDescent="0.3">
      <c r="A6" s="40">
        <v>0.99535315985130113</v>
      </c>
      <c r="B6" s="40">
        <v>1018.73471</v>
      </c>
      <c r="C6" s="41">
        <f>C5+(((A6+A5)/2)*(B6-B5))</f>
        <v>1017.2479049361989</v>
      </c>
      <c r="D6" s="51">
        <f t="shared" si="0"/>
        <v>8911091.6472411025</v>
      </c>
      <c r="E6" s="54">
        <f t="shared" si="1"/>
        <v>1412785.1438102755</v>
      </c>
      <c r="F6" s="53">
        <f>$K$4*B6</f>
        <v>8149877.6799999997</v>
      </c>
      <c r="G6" s="51">
        <f t="shared" si="2"/>
        <v>81498.776799999992</v>
      </c>
      <c r="H6" s="52">
        <f>$K$3*D6</f>
        <v>2227772.9118102756</v>
      </c>
      <c r="K6" s="95" t="s">
        <v>19</v>
      </c>
      <c r="L6" s="96"/>
    </row>
    <row r="7" spans="1:13" ht="13.8" x14ac:dyDescent="0.25">
      <c r="A7" s="41">
        <v>0.99442379182156138</v>
      </c>
      <c r="B7" s="41">
        <v>1030.9754754000001</v>
      </c>
      <c r="C7" s="41">
        <f>C6+(((A7+A6)/2)*(B7-B6))</f>
        <v>1029.4261013680764</v>
      </c>
      <c r="D7" s="51">
        <f t="shared" si="0"/>
        <v>9017772.6479843501</v>
      </c>
      <c r="E7" s="54">
        <f t="shared" si="1"/>
        <v>1429662.7816760875</v>
      </c>
      <c r="F7" s="53">
        <f>$K$4*B7</f>
        <v>8247803.8032</v>
      </c>
      <c r="G7" s="51">
        <f t="shared" si="2"/>
        <v>82478.038031999997</v>
      </c>
      <c r="H7" s="52">
        <f>$K$3*D7</f>
        <v>2254443.1619960875</v>
      </c>
    </row>
    <row r="8" spans="1:13" ht="13.8" x14ac:dyDescent="0.25">
      <c r="A8" s="40">
        <v>0.99349442379182151</v>
      </c>
      <c r="B8" s="40">
        <v>1048.0407770000002</v>
      </c>
      <c r="C8" s="41">
        <f>C7+(((A8+A7)/2)*(B8-B7))</f>
        <v>1046.3883133208647</v>
      </c>
      <c r="D8" s="51">
        <f t="shared" si="0"/>
        <v>9166361.6246907748</v>
      </c>
      <c r="E8" s="54">
        <f t="shared" si="1"/>
        <v>1453157.7845726938</v>
      </c>
      <c r="F8" s="53">
        <f>$K$4*B8</f>
        <v>8384326.2160000009</v>
      </c>
      <c r="G8" s="51">
        <f t="shared" si="2"/>
        <v>83843.262160000013</v>
      </c>
      <c r="H8" s="52">
        <f>$K$3*D8</f>
        <v>2291590.4061726937</v>
      </c>
    </row>
    <row r="9" spans="1:13" ht="13.8" x14ac:dyDescent="0.25">
      <c r="A9" s="41">
        <v>0.99256505576208176</v>
      </c>
      <c r="B9" s="41">
        <v>1119.2325900999999</v>
      </c>
      <c r="C9" s="41">
        <f>C8+(((A9+A8)/2)*(B9-B8))</f>
        <v>1117.0839009578067</v>
      </c>
      <c r="D9" s="51">
        <f t="shared" si="0"/>
        <v>9785654.9723903872</v>
      </c>
      <c r="E9" s="54">
        <f t="shared" si="1"/>
        <v>1551027.671017597</v>
      </c>
      <c r="F9" s="53">
        <f>$K$4*B9</f>
        <v>8953860.7207999993</v>
      </c>
      <c r="G9" s="51">
        <f t="shared" si="2"/>
        <v>89538.607208000001</v>
      </c>
      <c r="H9" s="52">
        <f>$K$3*D9</f>
        <v>2446413.7430975968</v>
      </c>
      <c r="J9" s="44"/>
    </row>
    <row r="10" spans="1:13" ht="13.8" x14ac:dyDescent="0.25">
      <c r="A10" s="40">
        <v>0.99163568773234201</v>
      </c>
      <c r="B10" s="40">
        <v>1158.1677934000004</v>
      </c>
      <c r="C10" s="41">
        <f>C9+(((A10+A9)/2)*(B10-B9))</f>
        <v>1155.7115306257904</v>
      </c>
      <c r="D10" s="51">
        <f t="shared" si="0"/>
        <v>10124033.008281924</v>
      </c>
      <c r="E10" s="54">
        <f t="shared" si="1"/>
        <v>1604474.0173504809</v>
      </c>
      <c r="F10" s="53">
        <f>$K$4*B10</f>
        <v>9265342.3472000025</v>
      </c>
      <c r="G10" s="51">
        <f t="shared" si="2"/>
        <v>92653.423472000024</v>
      </c>
      <c r="H10" s="52">
        <f>$K$3*D10</f>
        <v>2531008.252070481</v>
      </c>
    </row>
    <row r="11" spans="1:13" ht="13.8" x14ac:dyDescent="0.25">
      <c r="A11" s="41">
        <v>0.99070631970260226</v>
      </c>
      <c r="B11" s="41">
        <v>1188.19156</v>
      </c>
      <c r="C11" s="41">
        <f>C10+(((A11+A10)/2)*(B11-B10))</f>
        <v>1185.4702175020911</v>
      </c>
      <c r="D11" s="51">
        <f t="shared" si="0"/>
        <v>10384719.105318319</v>
      </c>
      <c r="E11" s="54">
        <f t="shared" si="1"/>
        <v>1645626.5283295796</v>
      </c>
      <c r="F11" s="53">
        <f>$K$4*B11</f>
        <v>9505532.4800000004</v>
      </c>
      <c r="G11" s="51">
        <f t="shared" si="2"/>
        <v>95055.324800000002</v>
      </c>
      <c r="H11" s="52">
        <f>$K$3*D11</f>
        <v>2596179.7763295798</v>
      </c>
    </row>
    <row r="12" spans="1:13" ht="13.8" x14ac:dyDescent="0.25">
      <c r="A12" s="40">
        <v>0.9897769516728625</v>
      </c>
      <c r="B12" s="40">
        <v>1230.8149418</v>
      </c>
      <c r="C12" s="41">
        <f>C11+(((A12+A11)/2)*(B12-B11))</f>
        <v>1227.6776648142659</v>
      </c>
      <c r="D12" s="51">
        <f t="shared" si="0"/>
        <v>10754456.343772968</v>
      </c>
      <c r="E12" s="54">
        <f t="shared" si="1"/>
        <v>1703962.1325032418</v>
      </c>
      <c r="F12" s="53">
        <f>$K$4*B12</f>
        <v>9846519.5344000012</v>
      </c>
      <c r="G12" s="51">
        <f t="shared" si="2"/>
        <v>98465.195344000007</v>
      </c>
      <c r="H12" s="52">
        <f>$K$3*D12</f>
        <v>2688614.0859432421</v>
      </c>
    </row>
    <row r="13" spans="1:13" ht="13.8" x14ac:dyDescent="0.25">
      <c r="A13" s="41">
        <v>0.98884758364312264</v>
      </c>
      <c r="B13" s="41">
        <v>1261.0779416</v>
      </c>
      <c r="C13" s="41">
        <f>C12+(((A13+A12)/2)*(B13-B12))</f>
        <v>1257.6172217725373</v>
      </c>
      <c r="D13" s="51">
        <f t="shared" si="0"/>
        <v>11016726.862727428</v>
      </c>
      <c r="E13" s="54">
        <f t="shared" si="1"/>
        <v>1745319.362401857</v>
      </c>
      <c r="F13" s="53">
        <f>$K$4*B13</f>
        <v>10088623.5328</v>
      </c>
      <c r="G13" s="51">
        <f t="shared" si="2"/>
        <v>100886.23532800001</v>
      </c>
      <c r="H13" s="52">
        <f>$K$3*D13</f>
        <v>2754181.715681857</v>
      </c>
    </row>
    <row r="14" spans="1:13" ht="13.8" x14ac:dyDescent="0.25">
      <c r="A14" s="40">
        <v>0.98791821561338289</v>
      </c>
      <c r="B14" s="40">
        <v>1283.8848400000002</v>
      </c>
      <c r="C14" s="41">
        <f>C13+(((A14+A13)/2)*(B14-B13))</f>
        <v>1280.1591701446564</v>
      </c>
      <c r="D14" s="51">
        <f t="shared" si="0"/>
        <v>11214194.330467191</v>
      </c>
      <c r="E14" s="54">
        <f t="shared" si="1"/>
        <v>1776440.7106167974</v>
      </c>
      <c r="F14" s="53">
        <f>$K$4*B14</f>
        <v>10271078.720000001</v>
      </c>
      <c r="G14" s="51">
        <f t="shared" si="2"/>
        <v>102710.78720000001</v>
      </c>
      <c r="H14" s="52">
        <f>$K$3*D14</f>
        <v>2803548.5826167976</v>
      </c>
    </row>
    <row r="15" spans="1:13" ht="13.8" x14ac:dyDescent="0.25">
      <c r="A15" s="41">
        <v>0.98698884758364314</v>
      </c>
      <c r="B15" s="41">
        <v>1306.1933359</v>
      </c>
      <c r="C15" s="41">
        <f>C14+(((A15+A14)/2)*(B15-B14))</f>
        <v>1302.1877732057621</v>
      </c>
      <c r="D15" s="51">
        <f t="shared" si="0"/>
        <v>11407164.893282477</v>
      </c>
      <c r="E15" s="54">
        <f t="shared" si="1"/>
        <v>1806836.554600619</v>
      </c>
      <c r="F15" s="53">
        <f>$K$4*B15</f>
        <v>10449546.687200001</v>
      </c>
      <c r="G15" s="51">
        <f t="shared" si="2"/>
        <v>104495.466872</v>
      </c>
      <c r="H15" s="52">
        <f>$K$3*D15</f>
        <v>2851791.2233206192</v>
      </c>
    </row>
    <row r="16" spans="1:13" ht="13.8" x14ac:dyDescent="0.25">
      <c r="A16" s="40">
        <v>0.98605947955390338</v>
      </c>
      <c r="B16" s="40">
        <v>1309.3033674999999</v>
      </c>
      <c r="C16" s="41">
        <f>C15+(((A16+A15)/2)*(B16-B15))</f>
        <v>1305.2558945286246</v>
      </c>
      <c r="D16" s="51">
        <f t="shared" si="0"/>
        <v>11434041.636070751</v>
      </c>
      <c r="E16" s="54">
        <f t="shared" si="1"/>
        <v>1811067.7150176875</v>
      </c>
      <c r="F16" s="53">
        <f>$K$4*B16</f>
        <v>10474426.939999999</v>
      </c>
      <c r="G16" s="51">
        <f t="shared" si="2"/>
        <v>104744.26939999999</v>
      </c>
      <c r="H16" s="52">
        <f>$K$3*D16</f>
        <v>2858510.4090176877</v>
      </c>
    </row>
    <row r="17" spans="1:8" ht="13.8" x14ac:dyDescent="0.25">
      <c r="A17" s="41">
        <v>0.98513011152416352</v>
      </c>
      <c r="B17" s="41">
        <v>1342.4371656999999</v>
      </c>
      <c r="C17" s="41">
        <f>C16+(((A17+A16)/2)*(B17-B16))</f>
        <v>1337.9123935909852</v>
      </c>
      <c r="D17" s="51">
        <f t="shared" si="0"/>
        <v>11720112.567857031</v>
      </c>
      <c r="E17" s="54">
        <f t="shared" si="1"/>
        <v>1856078.4094042578</v>
      </c>
      <c r="F17" s="53">
        <f>$K$4*B17</f>
        <v>10739497.3256</v>
      </c>
      <c r="G17" s="51">
        <f t="shared" si="2"/>
        <v>107394.973256</v>
      </c>
      <c r="H17" s="52">
        <f>$K$3*D17</f>
        <v>2930028.1419642577</v>
      </c>
    </row>
    <row r="18" spans="1:8" ht="13.8" x14ac:dyDescent="0.25">
      <c r="A18" s="40">
        <v>0.98420074349442377</v>
      </c>
      <c r="B18" s="40">
        <v>1348.2784430000002</v>
      </c>
      <c r="C18" s="41">
        <f>C17+(((A18+A17)/2)*(B18-B17))</f>
        <v>1343.6640974007903</v>
      </c>
      <c r="D18" s="51">
        <f t="shared" si="0"/>
        <v>11770497.493230922</v>
      </c>
      <c r="E18" s="54">
        <f t="shared" si="1"/>
        <v>1864001.6189077306</v>
      </c>
      <c r="F18" s="53">
        <f>$K$4*B18</f>
        <v>10786227.544000002</v>
      </c>
      <c r="G18" s="51">
        <f t="shared" si="2"/>
        <v>107862.27544000001</v>
      </c>
      <c r="H18" s="52">
        <f>$K$3*D18</f>
        <v>2942624.3733077305</v>
      </c>
    </row>
    <row r="19" spans="1:8" ht="13.8" x14ac:dyDescent="0.25">
      <c r="A19" s="41">
        <v>0.98327137546468402</v>
      </c>
      <c r="B19" s="41">
        <v>1387.5126878000001</v>
      </c>
      <c r="C19" s="41">
        <f>C18+(((A19+A18)/2)*(B19-B18))</f>
        <v>1382.2602387769984</v>
      </c>
      <c r="D19" s="51">
        <f t="shared" si="0"/>
        <v>12108599.691686507</v>
      </c>
      <c r="E19" s="54">
        <f t="shared" si="1"/>
        <v>1917139.772681627</v>
      </c>
      <c r="F19" s="53">
        <f>$K$4*B19</f>
        <v>11100101.502400002</v>
      </c>
      <c r="G19" s="51">
        <f t="shared" si="2"/>
        <v>111001.01502400002</v>
      </c>
      <c r="H19" s="52">
        <f>$K$3*D19</f>
        <v>3027149.9229216268</v>
      </c>
    </row>
    <row r="20" spans="1:8" ht="13.8" x14ac:dyDescent="0.25">
      <c r="A20" s="40">
        <v>0.98234200743494426</v>
      </c>
      <c r="B20" s="40">
        <v>1399.0955619000001</v>
      </c>
      <c r="C20" s="41">
        <f>C19+(((A20+A19)/2)*(B20-B19))</f>
        <v>1393.6439649486992</v>
      </c>
      <c r="D20" s="51">
        <f t="shared" si="0"/>
        <v>12208321.132950606</v>
      </c>
      <c r="E20" s="54">
        <f t="shared" si="1"/>
        <v>1932803.8337176512</v>
      </c>
      <c r="F20" s="53">
        <f>$K$4*B20</f>
        <v>11192764.495200001</v>
      </c>
      <c r="G20" s="51">
        <f t="shared" si="2"/>
        <v>111927.644952</v>
      </c>
      <c r="H20" s="52">
        <f>$K$3*D20</f>
        <v>3052080.2832376515</v>
      </c>
    </row>
    <row r="21" spans="1:8" ht="13.8" x14ac:dyDescent="0.25">
      <c r="A21" s="41">
        <v>0.98141263940520451</v>
      </c>
      <c r="B21" s="41">
        <v>1407.48866</v>
      </c>
      <c r="C21" s="41">
        <f>C20+(((A21+A20)/2)*(B21-B20))</f>
        <v>1401.8849576463292</v>
      </c>
      <c r="D21" s="51">
        <f t="shared" si="0"/>
        <v>12280512.228981845</v>
      </c>
      <c r="E21" s="54">
        <f t="shared" si="1"/>
        <v>1944137.1292454612</v>
      </c>
      <c r="F21" s="53">
        <f>$K$4*B21</f>
        <v>11259909.279999999</v>
      </c>
      <c r="G21" s="51">
        <f t="shared" si="2"/>
        <v>112599.0928</v>
      </c>
      <c r="H21" s="52">
        <f>$K$3*D21</f>
        <v>3070128.0572454613</v>
      </c>
    </row>
    <row r="22" spans="1:8" ht="13.8" x14ac:dyDescent="0.25">
      <c r="A22" s="40">
        <v>0.98048327137546465</v>
      </c>
      <c r="B22" s="40">
        <v>1429.8769003</v>
      </c>
      <c r="C22" s="41">
        <f>C21+(((A22+A21)/2)*(B22-B21))</f>
        <v>1423.8466561934017</v>
      </c>
      <c r="D22" s="51">
        <f t="shared" si="0"/>
        <v>12472896.708254198</v>
      </c>
      <c r="E22" s="54">
        <f t="shared" si="1"/>
        <v>1974322.6568235494</v>
      </c>
      <c r="F22" s="53">
        <f>$K$4*B22</f>
        <v>11439015.202400001</v>
      </c>
      <c r="G22" s="51">
        <f t="shared" si="2"/>
        <v>114390.15202400001</v>
      </c>
      <c r="H22" s="52">
        <f>$K$3*D22</f>
        <v>3118224.1770635494</v>
      </c>
    </row>
    <row r="23" spans="1:8" ht="13.8" x14ac:dyDescent="0.25">
      <c r="A23" s="41">
        <v>0.9795539033457249</v>
      </c>
      <c r="B23" s="41">
        <v>1438.9478257999999</v>
      </c>
      <c r="C23" s="41">
        <f>C22+(((A23+A22)/2)*(B23-B22))</f>
        <v>1432.7363317879649</v>
      </c>
      <c r="D23" s="51">
        <f t="shared" si="0"/>
        <v>12550770.266462574</v>
      </c>
      <c r="E23" s="54">
        <f t="shared" si="1"/>
        <v>1986534.3059756435</v>
      </c>
      <c r="F23" s="53">
        <f>$K$4*B23</f>
        <v>11511582.6064</v>
      </c>
      <c r="G23" s="51">
        <f t="shared" si="2"/>
        <v>115115.82606400001</v>
      </c>
      <c r="H23" s="52">
        <f>$K$3*D23</f>
        <v>3137692.5666156434</v>
      </c>
    </row>
    <row r="24" spans="1:8" ht="13.8" x14ac:dyDescent="0.25">
      <c r="A24" s="40">
        <v>0.97862453531598514</v>
      </c>
      <c r="B24" s="40">
        <v>1452.2252684</v>
      </c>
      <c r="C24" s="41">
        <f>C23+(((A24+A23)/2)*(B24-B23))</f>
        <v>1445.7361326979092</v>
      </c>
      <c r="D24" s="51">
        <f t="shared" si="0"/>
        <v>12664648.522433685</v>
      </c>
      <c r="E24" s="54">
        <f t="shared" si="1"/>
        <v>2004381.9158884212</v>
      </c>
      <c r="F24" s="53">
        <f>$K$4*B24</f>
        <v>11617802.1472</v>
      </c>
      <c r="G24" s="51">
        <f t="shared" si="2"/>
        <v>116178.02147199999</v>
      </c>
      <c r="H24" s="52">
        <f>$K$3*D24</f>
        <v>3166162.1306084213</v>
      </c>
    </row>
    <row r="25" spans="1:8" ht="13.8" x14ac:dyDescent="0.25">
      <c r="A25" s="41">
        <v>0.97769516728624539</v>
      </c>
      <c r="B25" s="41">
        <v>1460.5186860000001</v>
      </c>
      <c r="C25" s="41">
        <f>C24+(((A25+A24)/2)*(B25-B24))</f>
        <v>1453.8484208243033</v>
      </c>
      <c r="D25" s="51">
        <f t="shared" si="0"/>
        <v>12735712.166420896</v>
      </c>
      <c r="E25" s="54">
        <f t="shared" si="1"/>
        <v>2015513.0928052235</v>
      </c>
      <c r="F25" s="53">
        <f>$K$4*B25</f>
        <v>11684149.488000002</v>
      </c>
      <c r="G25" s="51">
        <f t="shared" si="2"/>
        <v>116841.49488000001</v>
      </c>
      <c r="H25" s="52">
        <f>$K$3*D25</f>
        <v>3183928.0416052239</v>
      </c>
    </row>
    <row r="26" spans="1:8" ht="13.8" x14ac:dyDescent="0.25">
      <c r="A26" s="40">
        <v>0.97676579925650553</v>
      </c>
      <c r="B26" s="40">
        <v>1461.4756188000001</v>
      </c>
      <c r="C26" s="41">
        <f>C25+(((A26+A25)/2)*(B26-B25))</f>
        <v>1454.7835647269055</v>
      </c>
      <c r="D26" s="51">
        <f t="shared" si="0"/>
        <v>12743904.027007692</v>
      </c>
      <c r="E26" s="54">
        <f t="shared" si="1"/>
        <v>2016795.5117119227</v>
      </c>
      <c r="F26" s="53">
        <f>$K$4*B26</f>
        <v>11691804.9504</v>
      </c>
      <c r="G26" s="51">
        <f t="shared" si="2"/>
        <v>116918.04950400001</v>
      </c>
      <c r="H26" s="52">
        <f>$K$3*D26</f>
        <v>3185976.0067519229</v>
      </c>
    </row>
    <row r="27" spans="1:8" ht="13.8" x14ac:dyDescent="0.25">
      <c r="A27" s="41">
        <v>0.97583643122676578</v>
      </c>
      <c r="B27" s="41">
        <v>1464.1071840000004</v>
      </c>
      <c r="C27" s="41">
        <f>C26+(((A27+A26)/2)*(B27-B26))</f>
        <v>1457.3527647664969</v>
      </c>
      <c r="D27" s="51">
        <f t="shared" si="0"/>
        <v>12766410.219354512</v>
      </c>
      <c r="E27" s="54">
        <f t="shared" si="1"/>
        <v>2020316.8076386279</v>
      </c>
      <c r="F27" s="53">
        <f>$K$4*B27</f>
        <v>11712857.472000003</v>
      </c>
      <c r="G27" s="51">
        <f t="shared" si="2"/>
        <v>117128.57472000003</v>
      </c>
      <c r="H27" s="52">
        <f>$K$3*D27</f>
        <v>3191602.554838628</v>
      </c>
    </row>
    <row r="28" spans="1:8" ht="13.8" x14ac:dyDescent="0.25">
      <c r="A28" s="40">
        <v>0.97490706319702602</v>
      </c>
      <c r="B28" s="40">
        <v>1491.1604716999998</v>
      </c>
      <c r="C28" s="41">
        <f>C27+(((A28+A27)/2)*(B28-B27))</f>
        <v>1483.7397772582713</v>
      </c>
      <c r="D28" s="51">
        <f t="shared" si="0"/>
        <v>12997560.448782455</v>
      </c>
      <c r="E28" s="54">
        <f t="shared" si="1"/>
        <v>2056461.734835614</v>
      </c>
      <c r="F28" s="53">
        <f>$K$4*B28</f>
        <v>11929283.773599999</v>
      </c>
      <c r="G28" s="51">
        <f t="shared" si="2"/>
        <v>119292.83773599999</v>
      </c>
      <c r="H28" s="52">
        <f>$K$3*D28</f>
        <v>3249390.1121956138</v>
      </c>
    </row>
    <row r="29" spans="1:8" ht="13.8" x14ac:dyDescent="0.25">
      <c r="A29" s="41">
        <v>0.97397769516728627</v>
      </c>
      <c r="B29" s="41">
        <v>1501.1883300000002</v>
      </c>
      <c r="C29" s="41">
        <f>C28+(((A29+A28)/2)*(B29-B28))</f>
        <v>1493.5113473582251</v>
      </c>
      <c r="D29" s="51">
        <f t="shared" si="0"/>
        <v>13083159.402858052</v>
      </c>
      <c r="E29" s="54">
        <f t="shared" si="1"/>
        <v>2069839.1867145132</v>
      </c>
      <c r="F29" s="53">
        <f>$K$4*B29</f>
        <v>12009506.640000001</v>
      </c>
      <c r="G29" s="51">
        <f t="shared" si="2"/>
        <v>120095.06640000001</v>
      </c>
      <c r="H29" s="52">
        <f>$K$3*D29</f>
        <v>3270789.8507145131</v>
      </c>
    </row>
    <row r="30" spans="1:8" ht="13.8" x14ac:dyDescent="0.25">
      <c r="A30" s="40">
        <v>0.97304832713754652</v>
      </c>
      <c r="B30" s="40">
        <v>1518.7520340999997</v>
      </c>
      <c r="C30" s="41">
        <f>C29+(((A30+A29)/2)*(B30-B29))</f>
        <v>1510.6098418236056</v>
      </c>
      <c r="D30" s="51">
        <f t="shared" si="0"/>
        <v>13232942.214374786</v>
      </c>
      <c r="E30" s="54">
        <f t="shared" si="1"/>
        <v>2093233.9263136967</v>
      </c>
      <c r="F30" s="53">
        <f>$K$4*B30</f>
        <v>12150016.272799999</v>
      </c>
      <c r="G30" s="51">
        <f t="shared" si="2"/>
        <v>121500.16272799998</v>
      </c>
      <c r="H30" s="52">
        <f>$K$3*D30</f>
        <v>3308235.5535936966</v>
      </c>
    </row>
    <row r="31" spans="1:8" ht="13.8" x14ac:dyDescent="0.25">
      <c r="A31" s="41">
        <v>0.97211895910780666</v>
      </c>
      <c r="B31" s="41">
        <v>1565.9208467000001</v>
      </c>
      <c r="C31" s="41">
        <f>C30+(((A31+A30)/2)*(B31-B30))</f>
        <v>1556.4854574238848</v>
      </c>
      <c r="D31" s="51">
        <f t="shared" si="0"/>
        <v>13634812.607033229</v>
      </c>
      <c r="E31" s="54">
        <f t="shared" si="1"/>
        <v>2155966.4743983075</v>
      </c>
      <c r="F31" s="53">
        <f>$K$4*B31</f>
        <v>12527366.773600001</v>
      </c>
      <c r="G31" s="51">
        <f t="shared" si="2"/>
        <v>125273.66773600002</v>
      </c>
      <c r="H31" s="52">
        <f>$K$3*D31</f>
        <v>3408703.1517583071</v>
      </c>
    </row>
    <row r="32" spans="1:8" ht="13.8" x14ac:dyDescent="0.25">
      <c r="A32" s="40">
        <v>0.97118959107806691</v>
      </c>
      <c r="B32" s="40">
        <v>1578.9391200000005</v>
      </c>
      <c r="C32" s="41">
        <f>C31+(((A32+A31)/2)*(B32-B31))</f>
        <v>1569.1347183301584</v>
      </c>
      <c r="D32" s="51">
        <f t="shared" si="0"/>
        <v>13745620.132572187</v>
      </c>
      <c r="E32" s="54">
        <f t="shared" si="1"/>
        <v>2173253.7371430462</v>
      </c>
      <c r="F32" s="53">
        <f>$K$4*B32</f>
        <v>12631512.960000003</v>
      </c>
      <c r="G32" s="51">
        <f t="shared" si="2"/>
        <v>126315.12960000003</v>
      </c>
      <c r="H32" s="52">
        <f>$K$3*D32</f>
        <v>3436405.0331430468</v>
      </c>
    </row>
    <row r="33" spans="1:8" ht="13.8" x14ac:dyDescent="0.25">
      <c r="A33" s="41">
        <v>0.97026022304832715</v>
      </c>
      <c r="B33" s="41">
        <v>1612.8504260999998</v>
      </c>
      <c r="C33" s="41">
        <f>C32+(((A33+A32)/2)*(B33-B32))</f>
        <v>1602.0532677924718</v>
      </c>
      <c r="D33" s="51">
        <f t="shared" si="0"/>
        <v>14033986.625862053</v>
      </c>
      <c r="E33" s="54">
        <f t="shared" si="1"/>
        <v>2218216.3155855131</v>
      </c>
      <c r="F33" s="53">
        <f>$K$4*B33</f>
        <v>12902803.408799998</v>
      </c>
      <c r="G33" s="51">
        <f t="shared" si="2"/>
        <v>129028.03408799999</v>
      </c>
      <c r="H33" s="52">
        <f>$K$3*D33</f>
        <v>3508496.6564655132</v>
      </c>
    </row>
    <row r="34" spans="1:8" ht="13.8" x14ac:dyDescent="0.25">
      <c r="A34" s="40">
        <v>0.9693308550185874</v>
      </c>
      <c r="B34" s="40">
        <v>1615.3424385999999</v>
      </c>
      <c r="C34" s="41">
        <f>C33+(((A34+A33)/2)*(B34-B33))</f>
        <v>1604.4700103981875</v>
      </c>
      <c r="D34" s="51">
        <f t="shared" si="0"/>
        <v>14055157.291088121</v>
      </c>
      <c r="E34" s="54">
        <f t="shared" si="1"/>
        <v>2221515.3718920304</v>
      </c>
      <c r="F34" s="53">
        <f>$K$4*B34</f>
        <v>12922739.5088</v>
      </c>
      <c r="G34" s="51">
        <f t="shared" si="2"/>
        <v>129227.395088</v>
      </c>
      <c r="H34" s="52">
        <f>$K$3*D34</f>
        <v>3513789.3227720303</v>
      </c>
    </row>
    <row r="35" spans="1:8" ht="13.8" x14ac:dyDescent="0.25">
      <c r="A35" s="41">
        <v>0.96840148698884754</v>
      </c>
      <c r="B35" s="41">
        <v>1616.8974544000005</v>
      </c>
      <c r="C35" s="41">
        <f>C34+(((A35+A34)/2)*(B35-B34))</f>
        <v>1605.9766126021843</v>
      </c>
      <c r="D35" s="51">
        <f t="shared" si="0"/>
        <v>14068355.126395136</v>
      </c>
      <c r="E35" s="54">
        <f t="shared" si="1"/>
        <v>2223570.8180787838</v>
      </c>
      <c r="F35" s="53">
        <f>$K$4*B35</f>
        <v>12935179.635200003</v>
      </c>
      <c r="G35" s="51">
        <f t="shared" si="2"/>
        <v>129351.79635200003</v>
      </c>
      <c r="H35" s="52">
        <f>$K$3*D35</f>
        <v>3517088.781598784</v>
      </c>
    </row>
    <row r="36" spans="1:8" ht="13.8" x14ac:dyDescent="0.25">
      <c r="A36" s="40">
        <v>0.96747211895910779</v>
      </c>
      <c r="B36" s="40">
        <v>1618.8511922000002</v>
      </c>
      <c r="C36" s="41">
        <f>C35+(((A36+A35)/2)*(B36-B35))</f>
        <v>1607.8677073221654</v>
      </c>
      <c r="D36" s="51">
        <f t="shared" si="0"/>
        <v>14084921.116142171</v>
      </c>
      <c r="E36" s="54">
        <f t="shared" si="1"/>
        <v>2226149.3252755427</v>
      </c>
      <c r="F36" s="53">
        <f>$K$4*B36</f>
        <v>12950809.537600001</v>
      </c>
      <c r="G36" s="51">
        <f t="shared" si="2"/>
        <v>129508.09537600001</v>
      </c>
      <c r="H36" s="52">
        <f>$K$3*D36</f>
        <v>3521230.2790355426</v>
      </c>
    </row>
    <row r="37" spans="1:8" ht="13.8" x14ac:dyDescent="0.25">
      <c r="A37" s="41">
        <v>0.96654275092936803</v>
      </c>
      <c r="B37" s="41">
        <v>1621.7419267000002</v>
      </c>
      <c r="C37" s="41">
        <f>C36+(((A37+A36)/2)*(B37-B36))</f>
        <v>1610.6630690761153</v>
      </c>
      <c r="D37" s="51">
        <f t="shared" si="0"/>
        <v>14109408.485106768</v>
      </c>
      <c r="E37" s="54">
        <f t="shared" si="1"/>
        <v>2229958.5799166923</v>
      </c>
      <c r="F37" s="53">
        <f>$K$4*B37</f>
        <v>12973935.413600001</v>
      </c>
      <c r="G37" s="51">
        <f t="shared" si="2"/>
        <v>129739.35413600002</v>
      </c>
      <c r="H37" s="52">
        <f>$K$3*D37</f>
        <v>3527352.121276692</v>
      </c>
    </row>
    <row r="38" spans="1:8" ht="13.8" x14ac:dyDescent="0.25">
      <c r="A38" s="40">
        <v>0.96561338289962828</v>
      </c>
      <c r="B38" s="40">
        <v>1628.7793700000002</v>
      </c>
      <c r="C38" s="41">
        <f>C37+(((A38+A37)/2)*(B38-B37))</f>
        <v>1617.4617886953997</v>
      </c>
      <c r="D38" s="51">
        <f t="shared" si="0"/>
        <v>14168965.2689717</v>
      </c>
      <c r="E38" s="54">
        <f t="shared" si="1"/>
        <v>2239217.8212429252</v>
      </c>
      <c r="F38" s="53">
        <f>$K$4*B38</f>
        <v>13030234.960000001</v>
      </c>
      <c r="G38" s="51">
        <f t="shared" si="2"/>
        <v>130302.34960000002</v>
      </c>
      <c r="H38" s="52">
        <f>$K$3*D38</f>
        <v>3542241.3172429251</v>
      </c>
    </row>
    <row r="39" spans="1:8" ht="13.8" x14ac:dyDescent="0.25">
      <c r="A39" s="41">
        <v>0.96468401486988853</v>
      </c>
      <c r="B39" s="41">
        <v>1634.6605195</v>
      </c>
      <c r="C39" s="41">
        <f>C38+(((A39+A38)/2)*(B39-B38))</f>
        <v>1623.1379724832711</v>
      </c>
      <c r="D39" s="51">
        <f t="shared" si="0"/>
        <v>14218688.638953455</v>
      </c>
      <c r="E39" s="54">
        <f t="shared" si="1"/>
        <v>2246943.7441383637</v>
      </c>
      <c r="F39" s="53">
        <f>$K$4*B39</f>
        <v>13077284.155999999</v>
      </c>
      <c r="G39" s="51">
        <f t="shared" si="2"/>
        <v>130772.84156</v>
      </c>
      <c r="H39" s="52">
        <f>$K$3*D39</f>
        <v>3554672.1597383637</v>
      </c>
    </row>
    <row r="40" spans="1:8" ht="13.8" x14ac:dyDescent="0.25">
      <c r="A40" s="40">
        <v>0.96375464684014867</v>
      </c>
      <c r="B40" s="40">
        <v>1657.1285042000004</v>
      </c>
      <c r="C40" s="41">
        <f>C39+(((A40+A39)/2)*(B40-B39))</f>
        <v>1644.8020376563663</v>
      </c>
      <c r="D40" s="51">
        <f t="shared" si="0"/>
        <v>14408465.849869769</v>
      </c>
      <c r="E40" s="54">
        <f t="shared" si="1"/>
        <v>2276413.659107442</v>
      </c>
      <c r="F40" s="53">
        <f>$K$4*B40</f>
        <v>13257028.033600003</v>
      </c>
      <c r="G40" s="51">
        <f t="shared" si="2"/>
        <v>132570.28033600003</v>
      </c>
      <c r="H40" s="52">
        <f>$K$3*D40</f>
        <v>3602116.4624674423</v>
      </c>
    </row>
    <row r="41" spans="1:8" ht="13.8" x14ac:dyDescent="0.25">
      <c r="A41" s="41">
        <v>0.96282527881040891</v>
      </c>
      <c r="B41" s="41">
        <v>1667.2959152000003</v>
      </c>
      <c r="C41" s="41">
        <f>C40+(((A41+A40)/2)*(B41-B40))</f>
        <v>1654.5962026205855</v>
      </c>
      <c r="D41" s="51">
        <f t="shared" si="0"/>
        <v>14494262.73495633</v>
      </c>
      <c r="E41" s="54">
        <f t="shared" si="1"/>
        <v>2289728.9515790818</v>
      </c>
      <c r="F41" s="53">
        <f>$K$4*B41</f>
        <v>13338367.321600003</v>
      </c>
      <c r="G41" s="51">
        <f t="shared" si="2"/>
        <v>133383.67321600002</v>
      </c>
      <c r="H41" s="52">
        <f>$K$3*D41</f>
        <v>3623565.6837390824</v>
      </c>
    </row>
    <row r="42" spans="1:8" ht="13.8" x14ac:dyDescent="0.25">
      <c r="A42" s="40">
        <v>0.96189591078066916</v>
      </c>
      <c r="B42" s="40">
        <v>1672.9976398000001</v>
      </c>
      <c r="C42" s="41">
        <f>C41+(((A42+A41)/2)*(B42-B41))</f>
        <v>1660.0833176980016</v>
      </c>
      <c r="D42" s="51">
        <f t="shared" si="0"/>
        <v>14542329.863034494</v>
      </c>
      <c r="E42" s="54">
        <f t="shared" si="1"/>
        <v>2297184.3539186232</v>
      </c>
      <c r="F42" s="53">
        <f>$K$4*B42</f>
        <v>13383981.1184</v>
      </c>
      <c r="G42" s="51">
        <f t="shared" si="2"/>
        <v>133839.81118399999</v>
      </c>
      <c r="H42" s="52">
        <f>$K$3*D42</f>
        <v>3635582.4657586236</v>
      </c>
    </row>
    <row r="43" spans="1:8" ht="13.8" x14ac:dyDescent="0.25">
      <c r="A43" s="41">
        <v>0.96096654275092941</v>
      </c>
      <c r="B43" s="41">
        <v>1686.8532292999998</v>
      </c>
      <c r="C43" s="41">
        <f>C42+(((A43+A42)/2)*(B43-B42))</f>
        <v>1673.4045141085496</v>
      </c>
      <c r="D43" s="51">
        <f t="shared" si="0"/>
        <v>14659023.543590894</v>
      </c>
      <c r="E43" s="54">
        <f t="shared" si="1"/>
        <v>2315273.3024577238</v>
      </c>
      <c r="F43" s="53">
        <f>$K$4*B43</f>
        <v>13494825.834399998</v>
      </c>
      <c r="G43" s="51">
        <f t="shared" si="2"/>
        <v>134948.25834399997</v>
      </c>
      <c r="H43" s="52">
        <f>$K$3*D43</f>
        <v>3664755.8858977235</v>
      </c>
    </row>
    <row r="44" spans="1:8" ht="13.8" x14ac:dyDescent="0.25">
      <c r="A44" s="40">
        <v>0.96003717472118955</v>
      </c>
      <c r="B44" s="40">
        <v>1687.7304176999999</v>
      </c>
      <c r="C44" s="41">
        <f>C43+(((A44+A43)/2)*(B44-B43))</f>
        <v>1674.2470551972112</v>
      </c>
      <c r="D44" s="51">
        <f t="shared" si="0"/>
        <v>14666404.203527572</v>
      </c>
      <c r="E44" s="54">
        <f t="shared" si="1"/>
        <v>2316416.7167218933</v>
      </c>
      <c r="F44" s="53">
        <f>$K$4*B44</f>
        <v>13501843.341599999</v>
      </c>
      <c r="G44" s="51">
        <f t="shared" si="2"/>
        <v>135018.43341599999</v>
      </c>
      <c r="H44" s="52">
        <f>$K$3*D44</f>
        <v>3666601.0508818929</v>
      </c>
    </row>
    <row r="45" spans="1:8" ht="13.8" x14ac:dyDescent="0.25">
      <c r="A45" s="41">
        <v>0.95910780669144979</v>
      </c>
      <c r="B45" s="41">
        <v>1732.6464510000003</v>
      </c>
      <c r="C45" s="41">
        <f>C44+(((A45+A44)/2)*(B45-B44))</f>
        <v>1717.3472451435407</v>
      </c>
      <c r="D45" s="51">
        <f t="shared" si="0"/>
        <v>15043961.867457416</v>
      </c>
      <c r="E45" s="54">
        <f t="shared" si="1"/>
        <v>2374873.3060643533</v>
      </c>
      <c r="F45" s="53">
        <f>$K$4*B45</f>
        <v>13861171.608000003</v>
      </c>
      <c r="G45" s="51">
        <f t="shared" si="2"/>
        <v>138611.71608000004</v>
      </c>
      <c r="H45" s="52">
        <f>$K$3*D45</f>
        <v>3760990.466864354</v>
      </c>
    </row>
    <row r="46" spans="1:8" ht="13.8" x14ac:dyDescent="0.25">
      <c r="A46" s="40">
        <v>0.95817843866171004</v>
      </c>
      <c r="B46" s="40">
        <v>1738.2883673000001</v>
      </c>
      <c r="C46" s="41">
        <f>C45+(((A46+A45)/2)*(B46-B45))</f>
        <v>1722.7558294032524</v>
      </c>
      <c r="D46" s="51">
        <f t="shared" si="0"/>
        <v>15091341.065572491</v>
      </c>
      <c r="E46" s="54">
        <f t="shared" si="1"/>
        <v>2382204.5725531229</v>
      </c>
      <c r="F46" s="53">
        <f>$K$4*B46</f>
        <v>13906306.9384</v>
      </c>
      <c r="G46" s="51">
        <f t="shared" si="2"/>
        <v>139063.069384</v>
      </c>
      <c r="H46" s="52">
        <f>$K$3*D46</f>
        <v>3772835.2663931227</v>
      </c>
    </row>
    <row r="47" spans="1:8" ht="13.8" x14ac:dyDescent="0.25">
      <c r="A47" s="41">
        <v>0.95724907063197029</v>
      </c>
      <c r="B47" s="41">
        <v>1759.5601860000002</v>
      </c>
      <c r="C47" s="41">
        <f>C46+(((A47+A46)/2)*(B47-B46))</f>
        <v>1743.1281427585964</v>
      </c>
      <c r="D47" s="51">
        <f t="shared" si="0"/>
        <v>15269802.530565305</v>
      </c>
      <c r="E47" s="54">
        <f t="shared" si="1"/>
        <v>2409802.4838413261</v>
      </c>
      <c r="F47" s="53">
        <f>$K$4*B47</f>
        <v>14076481.488000002</v>
      </c>
      <c r="G47" s="51">
        <f t="shared" si="2"/>
        <v>140764.81488000002</v>
      </c>
      <c r="H47" s="52">
        <f>$K$3*D47</f>
        <v>3817450.6326413262</v>
      </c>
    </row>
    <row r="48" spans="1:8" ht="13.8" x14ac:dyDescent="0.25">
      <c r="A48" s="40">
        <v>0.95631970260223054</v>
      </c>
      <c r="B48" s="40">
        <v>1759.8791635999999</v>
      </c>
      <c r="C48" s="41">
        <f>C47+(((A48+A47)/2)*(B48-B47))</f>
        <v>1743.4333355459567</v>
      </c>
      <c r="D48" s="51">
        <f t="shared" si="0"/>
        <v>15272476.019382581</v>
      </c>
      <c r="E48" s="54">
        <f t="shared" si="1"/>
        <v>2410215.6739656455</v>
      </c>
      <c r="F48" s="53">
        <f>$K$4*B48</f>
        <v>14079033.308799999</v>
      </c>
      <c r="G48" s="51">
        <f t="shared" si="2"/>
        <v>140790.33308799998</v>
      </c>
      <c r="H48" s="52">
        <f>$K$3*D48</f>
        <v>3818119.0048456453</v>
      </c>
    </row>
    <row r="49" spans="1:8" ht="13.8" x14ac:dyDescent="0.25">
      <c r="A49" s="41">
        <v>0.95539033457249067</v>
      </c>
      <c r="B49" s="41">
        <v>1794.1493195</v>
      </c>
      <c r="C49" s="41">
        <f>C48+(((A49+A48)/2)*(B49-B48))</f>
        <v>1776.190636050743</v>
      </c>
      <c r="D49" s="51">
        <f t="shared" si="0"/>
        <v>15559429.971804509</v>
      </c>
      <c r="E49" s="54">
        <f t="shared" si="1"/>
        <v>2454538.0373511277</v>
      </c>
      <c r="F49" s="53">
        <f>$K$4*B49</f>
        <v>14353194.556</v>
      </c>
      <c r="G49" s="51">
        <f t="shared" si="2"/>
        <v>143531.94555999999</v>
      </c>
      <c r="H49" s="52">
        <f>$K$3*D49</f>
        <v>3889857.4929511272</v>
      </c>
    </row>
    <row r="50" spans="1:8" ht="13.8" x14ac:dyDescent="0.25">
      <c r="A50" s="40">
        <v>0.95446096654275092</v>
      </c>
      <c r="B50" s="40">
        <v>1817.8334063000002</v>
      </c>
      <c r="C50" s="41">
        <f>C49+(((A50+A49)/2)*(B50-B49))</f>
        <v>1798.8071780460964</v>
      </c>
      <c r="D50" s="51">
        <f t="shared" si="0"/>
        <v>15757550.879683806</v>
      </c>
      <c r="E50" s="54">
        <f t="shared" si="1"/>
        <v>2485120.9948809515</v>
      </c>
      <c r="F50" s="53">
        <f>$K$4*B50</f>
        <v>14542667.250400001</v>
      </c>
      <c r="G50" s="51">
        <f t="shared" si="2"/>
        <v>145426.67250400002</v>
      </c>
      <c r="H50" s="52">
        <f>$K$3*D50</f>
        <v>3939387.7199209514</v>
      </c>
    </row>
    <row r="51" spans="1:8" ht="13.8" x14ac:dyDescent="0.25">
      <c r="A51" s="41">
        <v>0.95353159851301117</v>
      </c>
      <c r="B51" s="41">
        <v>1824.751233</v>
      </c>
      <c r="C51" s="41">
        <f>C50+(((A51+A50)/2)*(B51-B50))</f>
        <v>1805.4067590010682</v>
      </c>
      <c r="D51" s="51">
        <f t="shared" si="0"/>
        <v>15815363.208849357</v>
      </c>
      <c r="E51" s="54">
        <f t="shared" si="1"/>
        <v>2494039.8158123391</v>
      </c>
      <c r="F51" s="53">
        <f>$K$4*B51</f>
        <v>14598009.864</v>
      </c>
      <c r="G51" s="51">
        <f t="shared" si="2"/>
        <v>145980.09864000001</v>
      </c>
      <c r="H51" s="52">
        <f>$K$3*D51</f>
        <v>3953840.8022123394</v>
      </c>
    </row>
    <row r="52" spans="1:8" ht="13.8" x14ac:dyDescent="0.25">
      <c r="A52" s="40">
        <v>0.95260223048327142</v>
      </c>
      <c r="B52" s="40">
        <v>1856.8084818000004</v>
      </c>
      <c r="C52" s="41">
        <f>C51+(((A52+A51)/2)*(B52-B51))</f>
        <v>1835.9594622021839</v>
      </c>
      <c r="D52" s="51">
        <f t="shared" si="0"/>
        <v>16083004.888891131</v>
      </c>
      <c r="E52" s="54">
        <f t="shared" si="1"/>
        <v>2535304.4367827829</v>
      </c>
      <c r="F52" s="53">
        <f>$K$4*B52</f>
        <v>14854467.854400003</v>
      </c>
      <c r="G52" s="51">
        <f t="shared" si="2"/>
        <v>148544.67854400002</v>
      </c>
      <c r="H52" s="52">
        <f>$K$3*D52</f>
        <v>4020751.2222227827</v>
      </c>
    </row>
    <row r="53" spans="1:8" ht="13.8" x14ac:dyDescent="0.25">
      <c r="A53" s="41">
        <v>0.95167286245353155</v>
      </c>
      <c r="B53" s="41">
        <v>1871.9001095000001</v>
      </c>
      <c r="C53" s="41">
        <f>C52+(((A53+A52)/2)*(B53-B52))</f>
        <v>1850.328767572676</v>
      </c>
      <c r="D53" s="51">
        <f t="shared" si="0"/>
        <v>16208880.003936643</v>
      </c>
      <c r="E53" s="54">
        <f t="shared" si="1"/>
        <v>2554699.913384161</v>
      </c>
      <c r="F53" s="53">
        <f>$K$4*B53</f>
        <v>14975200.876</v>
      </c>
      <c r="G53" s="51">
        <f t="shared" si="2"/>
        <v>149752.00876</v>
      </c>
      <c r="H53" s="52">
        <f>$K$3*D53</f>
        <v>4052220.0009841607</v>
      </c>
    </row>
    <row r="54" spans="1:8" ht="13.8" x14ac:dyDescent="0.25">
      <c r="A54" s="40">
        <v>0.9507434944237918</v>
      </c>
      <c r="B54" s="40">
        <v>1874.3123776000002</v>
      </c>
      <c r="C54" s="41">
        <f>C53+(((A54+A53)/2)*(B54-B53))</f>
        <v>1852.6233367179827</v>
      </c>
      <c r="D54" s="51">
        <f t="shared" si="0"/>
        <v>16228980.429649528</v>
      </c>
      <c r="E54" s="54">
        <f t="shared" si="1"/>
        <v>2557795.2053323817</v>
      </c>
      <c r="F54" s="53">
        <f>$K$4*B54</f>
        <v>14994499.020800002</v>
      </c>
      <c r="G54" s="51">
        <f t="shared" si="2"/>
        <v>149944.99020800003</v>
      </c>
      <c r="H54" s="52">
        <f>$K$3*D54</f>
        <v>4057245.107412382</v>
      </c>
    </row>
    <row r="55" spans="1:8" ht="13.8" x14ac:dyDescent="0.25">
      <c r="A55" s="41">
        <v>0.94981412639405205</v>
      </c>
      <c r="B55" s="41">
        <v>1876.2860515</v>
      </c>
      <c r="C55" s="41">
        <f>C54+(((A55+A54)/2)*(B55-B54))</f>
        <v>1854.4988772038096</v>
      </c>
      <c r="D55" s="51">
        <f t="shared" si="0"/>
        <v>16245410.164305372</v>
      </c>
      <c r="E55" s="54">
        <f t="shared" si="1"/>
        <v>2560323.6998763429</v>
      </c>
      <c r="F55" s="53">
        <f>$K$4*B55</f>
        <v>15010288.412</v>
      </c>
      <c r="G55" s="51">
        <f t="shared" si="2"/>
        <v>150102.88412</v>
      </c>
      <c r="H55" s="52">
        <f>$K$3*D55</f>
        <v>4061352.541076343</v>
      </c>
    </row>
    <row r="56" spans="1:8" ht="13.8" x14ac:dyDescent="0.25">
      <c r="A56" s="40">
        <v>0.9488847583643123</v>
      </c>
      <c r="B56" s="40">
        <v>1911.4333958</v>
      </c>
      <c r="C56" s="41">
        <f>C55+(((A56+A55)/2)*(B56-B55))</f>
        <v>1887.8659889161236</v>
      </c>
      <c r="D56" s="51">
        <f t="shared" si="0"/>
        <v>16537706.062905243</v>
      </c>
      <c r="E56" s="54">
        <f t="shared" si="1"/>
        <v>2605279.7990863109</v>
      </c>
      <c r="F56" s="53">
        <f>$K$4*B56</f>
        <v>15291467.1664</v>
      </c>
      <c r="G56" s="51">
        <f t="shared" si="2"/>
        <v>152914.67166399999</v>
      </c>
      <c r="H56" s="52">
        <f>$K$3*D56</f>
        <v>4134426.5157263107</v>
      </c>
    </row>
    <row r="57" spans="1:8" ht="13.8" x14ac:dyDescent="0.25">
      <c r="A57" s="41">
        <v>0.94795539033457255</v>
      </c>
      <c r="B57" s="41">
        <v>1913.7061112000004</v>
      </c>
      <c r="C57" s="41">
        <f>C56+(((A57+A56)/2)*(B57-B56))</f>
        <v>1890.0214778247671</v>
      </c>
      <c r="D57" s="51">
        <f t="shared" si="0"/>
        <v>16556588.145744959</v>
      </c>
      <c r="E57" s="54">
        <f t="shared" si="1"/>
        <v>2608182.1474762391</v>
      </c>
      <c r="F57" s="53">
        <f>$K$4*B57</f>
        <v>15309648.889600003</v>
      </c>
      <c r="G57" s="51">
        <f t="shared" si="2"/>
        <v>153096.48889600002</v>
      </c>
      <c r="H57" s="52">
        <f>$K$3*D57</f>
        <v>4139147.0364362397</v>
      </c>
    </row>
    <row r="58" spans="1:8" ht="13.8" x14ac:dyDescent="0.25">
      <c r="A58" s="40">
        <v>0.94702602230483268</v>
      </c>
      <c r="B58" s="40">
        <v>1930.9109654999997</v>
      </c>
      <c r="C58" s="41">
        <f>C57+(((A58+A57)/2)*(B58-B57))</f>
        <v>1906.322917377601</v>
      </c>
      <c r="D58" s="51">
        <f t="shared" si="0"/>
        <v>16699388.756227786</v>
      </c>
      <c r="E58" s="54">
        <f t="shared" si="1"/>
        <v>2630118.4166569468</v>
      </c>
      <c r="F58" s="53">
        <f>$K$4*B58</f>
        <v>15447287.723999998</v>
      </c>
      <c r="G58" s="51">
        <f t="shared" si="2"/>
        <v>154472.87723999997</v>
      </c>
      <c r="H58" s="52">
        <f>$K$3*D58</f>
        <v>4174847.1890569464</v>
      </c>
    </row>
    <row r="59" spans="1:8" ht="13.8" x14ac:dyDescent="0.25">
      <c r="A59" s="41">
        <v>0.94609665427509293</v>
      </c>
      <c r="B59" s="41">
        <v>1931.3894319000001</v>
      </c>
      <c r="C59" s="41">
        <f>C58+(((A59+A58)/2)*(B59-B58))</f>
        <v>1906.7758151735122</v>
      </c>
      <c r="D59" s="51">
        <f t="shared" si="0"/>
        <v>16703356.140919967</v>
      </c>
      <c r="E59" s="54">
        <f t="shared" si="1"/>
        <v>2630727.4897099915</v>
      </c>
      <c r="F59" s="53">
        <f>$K$4*B59</f>
        <v>15451115.455200002</v>
      </c>
      <c r="G59" s="51">
        <f t="shared" si="2"/>
        <v>154511.15455200002</v>
      </c>
      <c r="H59" s="52">
        <f>$K$3*D59</f>
        <v>4175839.0352299917</v>
      </c>
    </row>
    <row r="60" spans="1:8" ht="13.8" x14ac:dyDescent="0.25">
      <c r="A60" s="40">
        <v>0.94516728624535318</v>
      </c>
      <c r="B60" s="40">
        <v>1933.2833614000006</v>
      </c>
      <c r="C60" s="41">
        <f>C59+(((A60+A59)/2)*(B60-B59))</f>
        <v>1908.5667754581316</v>
      </c>
      <c r="D60" s="51">
        <f t="shared" si="0"/>
        <v>16719044.953013232</v>
      </c>
      <c r="E60" s="54">
        <f t="shared" si="1"/>
        <v>2633134.5491333078</v>
      </c>
      <c r="F60" s="53">
        <f>$K$4*B60</f>
        <v>15466266.891200004</v>
      </c>
      <c r="G60" s="51">
        <f t="shared" si="2"/>
        <v>154662.66891200005</v>
      </c>
      <c r="H60" s="52">
        <f>$K$3*D60</f>
        <v>4179761.238253308</v>
      </c>
    </row>
    <row r="61" spans="1:8" ht="13.8" x14ac:dyDescent="0.25">
      <c r="A61" s="41">
        <v>0.94423791821561343</v>
      </c>
      <c r="B61" s="41">
        <v>1937.6892395000002</v>
      </c>
      <c r="C61" s="41">
        <f>C60+(((A61+A60)/2)*(B61-B60))</f>
        <v>1912.7290199643116</v>
      </c>
      <c r="D61" s="51">
        <f t="shared" si="0"/>
        <v>16755506.214887369</v>
      </c>
      <c r="E61" s="54">
        <f t="shared" si="1"/>
        <v>2638725.1621218426</v>
      </c>
      <c r="F61" s="53">
        <f>$K$4*B61</f>
        <v>15501513.916000001</v>
      </c>
      <c r="G61" s="51">
        <f t="shared" si="2"/>
        <v>155015.13916000002</v>
      </c>
      <c r="H61" s="52">
        <f>$K$3*D61</f>
        <v>4188876.5537218424</v>
      </c>
    </row>
    <row r="62" spans="1:8" ht="13.8" x14ac:dyDescent="0.25">
      <c r="A62" s="40">
        <v>0.94330855018587356</v>
      </c>
      <c r="B62" s="40">
        <v>1945.2051492000003</v>
      </c>
      <c r="C62" s="41">
        <f>C61+(((A62+A61)/2)*(B62-B61))</f>
        <v>1919.8223343698414</v>
      </c>
      <c r="D62" s="51">
        <f t="shared" si="0"/>
        <v>16817643.649079811</v>
      </c>
      <c r="E62" s="54">
        <f t="shared" si="1"/>
        <v>2648246.7929099528</v>
      </c>
      <c r="F62" s="53">
        <f>$K$4*B62</f>
        <v>15561641.193600003</v>
      </c>
      <c r="G62" s="51">
        <f t="shared" si="2"/>
        <v>155616.41193600002</v>
      </c>
      <c r="H62" s="52">
        <f>$K$3*D62</f>
        <v>4204410.9122699527</v>
      </c>
    </row>
    <row r="63" spans="1:8" ht="13.8" x14ac:dyDescent="0.25">
      <c r="A63" s="41">
        <v>0.94237918215613381</v>
      </c>
      <c r="B63" s="41">
        <v>1946.6206123000002</v>
      </c>
      <c r="C63" s="41">
        <f>C62+(((A63+A62)/2)*(B63-B62))</f>
        <v>1921.1568950714677</v>
      </c>
      <c r="D63" s="51">
        <f t="shared" si="0"/>
        <v>16829334.400826056</v>
      </c>
      <c r="E63" s="54">
        <f t="shared" si="1"/>
        <v>2650037.110366514</v>
      </c>
      <c r="F63" s="53">
        <f>$K$4*B63</f>
        <v>15572964.898400001</v>
      </c>
      <c r="G63" s="51">
        <f t="shared" si="2"/>
        <v>155729.64898400003</v>
      </c>
      <c r="H63" s="52">
        <f>$K$3*D63</f>
        <v>4207333.6002065139</v>
      </c>
    </row>
    <row r="64" spans="1:8" ht="13.8" x14ac:dyDescent="0.25">
      <c r="A64" s="40">
        <v>0.94144981412639406</v>
      </c>
      <c r="B64" s="40">
        <v>1979.9338354000004</v>
      </c>
      <c r="C64" s="41">
        <f>C63+(((A64+A63)/2)*(B64-B63))</f>
        <v>1952.5351028891723</v>
      </c>
      <c r="D64" s="51">
        <f t="shared" si="0"/>
        <v>17104207.501309149</v>
      </c>
      <c r="E64" s="54">
        <f t="shared" si="1"/>
        <v>2692104.8070072867</v>
      </c>
      <c r="F64" s="53">
        <f>$K$4*B64</f>
        <v>15839470.683200004</v>
      </c>
      <c r="G64" s="51">
        <f t="shared" si="2"/>
        <v>158394.70683200003</v>
      </c>
      <c r="H64" s="52">
        <f>$K$3*D64</f>
        <v>4276051.8753272872</v>
      </c>
    </row>
    <row r="65" spans="1:8" ht="13.8" x14ac:dyDescent="0.25">
      <c r="A65" s="41">
        <v>0.94052044609665431</v>
      </c>
      <c r="B65" s="41">
        <v>1984.2998413000003</v>
      </c>
      <c r="C65" s="41">
        <f>C64+(((A65+A64)/2)*(B65-B64))</f>
        <v>1956.6434495190515</v>
      </c>
      <c r="D65" s="51">
        <f t="shared" si="0"/>
        <v>17140196.617786892</v>
      </c>
      <c r="E65" s="54">
        <f t="shared" si="1"/>
        <v>2697609.281406723</v>
      </c>
      <c r="F65" s="53">
        <f>$K$4*B65</f>
        <v>15874398.730400002</v>
      </c>
      <c r="G65" s="51">
        <f t="shared" si="2"/>
        <v>158743.98730400001</v>
      </c>
      <c r="H65" s="52">
        <f>$K$3*D65</f>
        <v>4285049.1544467229</v>
      </c>
    </row>
    <row r="66" spans="1:8" ht="13.8" x14ac:dyDescent="0.25">
      <c r="A66" s="40">
        <v>0.93959107806691455</v>
      </c>
      <c r="B66" s="40">
        <v>1993.6299361000001</v>
      </c>
      <c r="C66" s="41">
        <f>C65+(((A66+A65)/2)*(B66-B65))</f>
        <v>1965.4142588965606</v>
      </c>
      <c r="D66" s="51">
        <f t="shared" si="0"/>
        <v>17217028.907933872</v>
      </c>
      <c r="E66" s="54">
        <f t="shared" si="1"/>
        <v>2709353.278103468</v>
      </c>
      <c r="F66" s="53">
        <f>$K$4*B66</f>
        <v>15949039.4888</v>
      </c>
      <c r="G66" s="51">
        <f t="shared" si="2"/>
        <v>159490.39488800001</v>
      </c>
      <c r="H66" s="52">
        <f>$K$3*D66</f>
        <v>4304257.226983468</v>
      </c>
    </row>
    <row r="67" spans="1:8" ht="13.8" x14ac:dyDescent="0.25">
      <c r="A67" s="41">
        <v>0.93866171003717469</v>
      </c>
      <c r="B67" s="41">
        <v>2001.9632259</v>
      </c>
      <c r="C67" s="41">
        <f>C66+(((A67+A66)/2)*(B67-B66))</f>
        <v>1973.2402712970252</v>
      </c>
      <c r="D67" s="51">
        <f t="shared" ref="D67:D130" si="3">C67*24*365</f>
        <v>17285584.776561942</v>
      </c>
      <c r="E67" s="54">
        <f t="shared" ref="E67:E130" si="4">H67-G67-(F67*$K$5)</f>
        <v>2719825.6134204855</v>
      </c>
      <c r="F67" s="53">
        <f>$K$4*B67</f>
        <v>16015705.8072</v>
      </c>
      <c r="G67" s="51">
        <f t="shared" ref="G67:G130" si="5">F67*0.01</f>
        <v>160157.05807200001</v>
      </c>
      <c r="H67" s="52">
        <f>$K$3*D67</f>
        <v>4321396.1941404855</v>
      </c>
    </row>
    <row r="68" spans="1:8" ht="13.8" x14ac:dyDescent="0.25">
      <c r="A68" s="40">
        <v>0.93773234200743494</v>
      </c>
      <c r="B68" s="40">
        <v>2009.55888</v>
      </c>
      <c r="C68" s="41">
        <f>C67+(((A68+A67)/2)*(B68-B67))</f>
        <v>1980.3664913843393</v>
      </c>
      <c r="D68" s="51">
        <f t="shared" si="3"/>
        <v>17348010.46452681</v>
      </c>
      <c r="E68" s="54">
        <f t="shared" si="4"/>
        <v>2729355.5121317022</v>
      </c>
      <c r="F68" s="53">
        <f>$K$4*B68</f>
        <v>16076471.040000001</v>
      </c>
      <c r="G68" s="51">
        <f t="shared" si="5"/>
        <v>160764.71040000001</v>
      </c>
      <c r="H68" s="52">
        <f>$K$3*D68</f>
        <v>4337002.6161317024</v>
      </c>
    </row>
    <row r="69" spans="1:8" ht="13.8" x14ac:dyDescent="0.25">
      <c r="A69" s="41">
        <v>0.93680297397769519</v>
      </c>
      <c r="B69" s="41">
        <v>2014.8818187000002</v>
      </c>
      <c r="C69" s="41">
        <f>C68+(((A69+A68)/2)*(B69-B68))</f>
        <v>1985.3555096733264</v>
      </c>
      <c r="D69" s="51">
        <f t="shared" si="3"/>
        <v>17391714.26473834</v>
      </c>
      <c r="E69" s="54">
        <f t="shared" si="4"/>
        <v>2736023.1112245852</v>
      </c>
      <c r="F69" s="53">
        <f>$K$4*B69</f>
        <v>16119054.549600001</v>
      </c>
      <c r="G69" s="51">
        <f t="shared" si="5"/>
        <v>161190.54549600001</v>
      </c>
      <c r="H69" s="52">
        <f>$K$3*D69</f>
        <v>4347928.566184585</v>
      </c>
    </row>
    <row r="70" spans="1:8" ht="13.8" x14ac:dyDescent="0.25">
      <c r="A70" s="40">
        <v>0.93587360594795543</v>
      </c>
      <c r="B70" s="40">
        <v>2022.9160670000001</v>
      </c>
      <c r="C70" s="41">
        <f>C69+(((A70+A69)/2)*(B70-B69))</f>
        <v>1992.8782839876851</v>
      </c>
      <c r="D70" s="51">
        <f t="shared" si="3"/>
        <v>17457613.767732121</v>
      </c>
      <c r="E70" s="54">
        <f t="shared" si="4"/>
        <v>2746070.5883330302</v>
      </c>
      <c r="F70" s="53">
        <f>$K$4*B70</f>
        <v>16183328.536</v>
      </c>
      <c r="G70" s="51">
        <f t="shared" si="5"/>
        <v>161833.28536000001</v>
      </c>
      <c r="H70" s="52">
        <f>$K$3*D70</f>
        <v>4364403.4419330303</v>
      </c>
    </row>
    <row r="71" spans="1:8" ht="13.8" x14ac:dyDescent="0.25">
      <c r="A71" s="41">
        <v>0.93494423791821557</v>
      </c>
      <c r="B71" s="41">
        <v>2026.4646928</v>
      </c>
      <c r="C71" s="41">
        <f>C70+(((A71+A70)/2)*(B71-B70))</f>
        <v>1996.197700221607</v>
      </c>
      <c r="D71" s="51">
        <f t="shared" si="3"/>
        <v>17486691.853941277</v>
      </c>
      <c r="E71" s="54">
        <f t="shared" si="4"/>
        <v>2750501.209245319</v>
      </c>
      <c r="F71" s="53">
        <f>$K$4*B71</f>
        <v>16211717.542400001</v>
      </c>
      <c r="G71" s="51">
        <f t="shared" si="5"/>
        <v>162117.17542400002</v>
      </c>
      <c r="H71" s="52">
        <f>$K$3*D71</f>
        <v>4371672.9634853192</v>
      </c>
    </row>
    <row r="72" spans="1:8" ht="13.8" x14ac:dyDescent="0.25">
      <c r="A72" s="40">
        <v>0.93401486988847582</v>
      </c>
      <c r="B72" s="40">
        <v>2047.9358725000006</v>
      </c>
      <c r="C72" s="41">
        <f>C71+(((A72+A71)/2)*(B72-B71))</f>
        <v>2016.2620786494422</v>
      </c>
      <c r="D72" s="51">
        <f t="shared" si="3"/>
        <v>17662455.80896911</v>
      </c>
      <c r="E72" s="54">
        <f t="shared" si="4"/>
        <v>2777265.2542422768</v>
      </c>
      <c r="F72" s="53">
        <f>$K$4*B72</f>
        <v>16383486.980000006</v>
      </c>
      <c r="G72" s="51">
        <f t="shared" si="5"/>
        <v>163834.86980000007</v>
      </c>
      <c r="H72" s="52">
        <f>$K$3*D72</f>
        <v>4415613.9522422776</v>
      </c>
    </row>
    <row r="73" spans="1:8" ht="13.8" x14ac:dyDescent="0.25">
      <c r="A73" s="41">
        <v>0.93308550185873607</v>
      </c>
      <c r="B73" s="41">
        <v>2048.2947223000001</v>
      </c>
      <c r="C73" s="41">
        <f>C72+(((A73+A72)/2)*(B73-B72))</f>
        <v>2016.5970829469325</v>
      </c>
      <c r="D73" s="51">
        <f t="shared" si="3"/>
        <v>17665390.44661513</v>
      </c>
      <c r="E73" s="54">
        <f t="shared" si="4"/>
        <v>2777711.8338137828</v>
      </c>
      <c r="F73" s="53">
        <f>$K$4*B73</f>
        <v>16386357.7784</v>
      </c>
      <c r="G73" s="51">
        <f t="shared" si="5"/>
        <v>163863.57778399999</v>
      </c>
      <c r="H73" s="52">
        <f>$K$3*D73</f>
        <v>4416347.6116537824</v>
      </c>
    </row>
    <row r="74" spans="1:8" ht="13.8" x14ac:dyDescent="0.25">
      <c r="A74" s="40">
        <v>0.93215613382899631</v>
      </c>
      <c r="B74" s="40">
        <v>2054.3353606000001</v>
      </c>
      <c r="C74" s="41">
        <f>C73+(((A74+A73)/2)*(B74-B73))</f>
        <v>2022.2307079785774</v>
      </c>
      <c r="D74" s="51">
        <f t="shared" si="3"/>
        <v>17714741.001892339</v>
      </c>
      <c r="E74" s="54">
        <f t="shared" si="4"/>
        <v>2785216.9619930852</v>
      </c>
      <c r="F74" s="53">
        <f>$K$4*B74</f>
        <v>16434682.8848</v>
      </c>
      <c r="G74" s="51">
        <f t="shared" si="5"/>
        <v>164346.828848</v>
      </c>
      <c r="H74" s="52">
        <f>$K$3*D74</f>
        <v>4428685.2504730849</v>
      </c>
    </row>
    <row r="75" spans="1:8" ht="13.8" x14ac:dyDescent="0.25">
      <c r="A75" s="41">
        <v>0.93122676579925645</v>
      </c>
      <c r="B75" s="41">
        <v>2076.2850067000004</v>
      </c>
      <c r="C75" s="41">
        <f>C74+(((A75+A74)/2)*(B75-B74))</f>
        <v>2042.6810055763935</v>
      </c>
      <c r="D75" s="51">
        <f t="shared" si="3"/>
        <v>17893885.608849209</v>
      </c>
      <c r="E75" s="54">
        <f t="shared" si="4"/>
        <v>2812443.3968523014</v>
      </c>
      <c r="F75" s="53">
        <f>$K$4*B75</f>
        <v>16610280.053600004</v>
      </c>
      <c r="G75" s="51">
        <f t="shared" si="5"/>
        <v>166102.80053600005</v>
      </c>
      <c r="H75" s="52">
        <f>$K$3*D75</f>
        <v>4473471.4022123022</v>
      </c>
    </row>
    <row r="76" spans="1:8" ht="13.8" x14ac:dyDescent="0.25">
      <c r="A76" s="40">
        <v>0.9302973977695167</v>
      </c>
      <c r="B76" s="40">
        <v>2082.2060284000004</v>
      </c>
      <c r="C76" s="41">
        <f>C75+(((A76+A75)/2)*(B76-B75))</f>
        <v>2048.1920680601761</v>
      </c>
      <c r="D76" s="51">
        <f t="shared" si="3"/>
        <v>17942162.516207144</v>
      </c>
      <c r="E76" s="54">
        <f t="shared" si="4"/>
        <v>2819775.8063317854</v>
      </c>
      <c r="F76" s="53">
        <f>$K$4*B76</f>
        <v>16657648.227200003</v>
      </c>
      <c r="G76" s="51">
        <f t="shared" si="5"/>
        <v>166576.48227200002</v>
      </c>
      <c r="H76" s="52">
        <f>$K$3*D76</f>
        <v>4485540.6290517859</v>
      </c>
    </row>
    <row r="77" spans="1:8" ht="13.8" x14ac:dyDescent="0.25">
      <c r="A77" s="41">
        <v>0.92936802973977695</v>
      </c>
      <c r="B77" s="41">
        <v>2085.4954848999996</v>
      </c>
      <c r="C77" s="41">
        <f>C76+(((A77+A76)/2)*(B77-B76))</f>
        <v>2051.2507123243481</v>
      </c>
      <c r="D77" s="51">
        <f t="shared" si="3"/>
        <v>17968956.239961289</v>
      </c>
      <c r="E77" s="54">
        <f t="shared" si="4"/>
        <v>2823842.6720703226</v>
      </c>
      <c r="F77" s="53">
        <f>$K$4*B77</f>
        <v>16683963.879199997</v>
      </c>
      <c r="G77" s="51">
        <f t="shared" si="5"/>
        <v>166839.63879199998</v>
      </c>
      <c r="H77" s="52">
        <f>$K$3*D77</f>
        <v>4492239.0599903222</v>
      </c>
    </row>
    <row r="78" spans="1:8" ht="13.8" x14ac:dyDescent="0.25">
      <c r="A78" s="40">
        <v>0.92843866171003719</v>
      </c>
      <c r="B78" s="40">
        <v>2086.4524177000003</v>
      </c>
      <c r="C78" s="41">
        <f>C77+(((A78+A77)/2)*(B78-B77))</f>
        <v>2052.1396104039027</v>
      </c>
      <c r="D78" s="51">
        <f t="shared" si="3"/>
        <v>17976742.987138186</v>
      </c>
      <c r="E78" s="54">
        <f t="shared" si="4"/>
        <v>2825023.8126245458</v>
      </c>
      <c r="F78" s="53">
        <f>$K$4*B78</f>
        <v>16691619.341600003</v>
      </c>
      <c r="G78" s="51">
        <f t="shared" si="5"/>
        <v>166916.19341600002</v>
      </c>
      <c r="H78" s="52">
        <f>$K$3*D78</f>
        <v>4494185.7467845464</v>
      </c>
    </row>
    <row r="79" spans="1:8" ht="13.8" x14ac:dyDescent="0.25">
      <c r="A79" s="41">
        <v>0.92750929368029744</v>
      </c>
      <c r="B79" s="41">
        <v>2087.3096700000006</v>
      </c>
      <c r="C79" s="41">
        <f>C78+(((A79+A78)/2)*(B79-B78))</f>
        <v>2052.9351182306223</v>
      </c>
      <c r="D79" s="51">
        <f t="shared" si="3"/>
        <v>17983711.635700252</v>
      </c>
      <c r="E79" s="54">
        <f t="shared" si="4"/>
        <v>2826080.1729250625</v>
      </c>
      <c r="F79" s="53">
        <f>$K$4*B79</f>
        <v>16698477.360000005</v>
      </c>
      <c r="G79" s="51">
        <f t="shared" si="5"/>
        <v>166984.77360000004</v>
      </c>
      <c r="H79" s="52">
        <f>$K$3*D79</f>
        <v>4495927.908925063</v>
      </c>
    </row>
    <row r="80" spans="1:8" ht="13.8" x14ac:dyDescent="0.25">
      <c r="A80" s="40">
        <v>0.92657992565055758</v>
      </c>
      <c r="B80" s="40">
        <v>2089.9412351999999</v>
      </c>
      <c r="C80" s="41">
        <f>C79+(((A80+A79)/2)*(B80-B79))</f>
        <v>2055.3746965642649</v>
      </c>
      <c r="D80" s="51">
        <f t="shared" si="3"/>
        <v>18005082.34190296</v>
      </c>
      <c r="E80" s="54">
        <f t="shared" si="4"/>
        <v>2829317.5973157398</v>
      </c>
      <c r="F80" s="53">
        <f>$K$4*B80</f>
        <v>16719529.8816</v>
      </c>
      <c r="G80" s="51">
        <f t="shared" si="5"/>
        <v>167195.29881599999</v>
      </c>
      <c r="H80" s="52">
        <f>$K$3*D80</f>
        <v>4501270.58547574</v>
      </c>
    </row>
    <row r="81" spans="1:8" ht="13.8" x14ac:dyDescent="0.25">
      <c r="A81" s="41">
        <v>0.92565055762081783</v>
      </c>
      <c r="B81" s="41">
        <v>2101.9028952000003</v>
      </c>
      <c r="C81" s="41">
        <f>C80+(((A81+A80)/2)*(B81-B80))</f>
        <v>2066.4525722055291</v>
      </c>
      <c r="D81" s="51">
        <f t="shared" si="3"/>
        <v>18102124.532520432</v>
      </c>
      <c r="E81" s="54">
        <f t="shared" si="4"/>
        <v>2844008.8169701081</v>
      </c>
      <c r="F81" s="53">
        <f>$K$4*B81</f>
        <v>16815223.161600001</v>
      </c>
      <c r="G81" s="51">
        <f t="shared" si="5"/>
        <v>168152.231616</v>
      </c>
      <c r="H81" s="52">
        <f>$K$3*D81</f>
        <v>4525531.133130108</v>
      </c>
    </row>
    <row r="82" spans="1:8" ht="13.8" x14ac:dyDescent="0.25">
      <c r="A82" s="40">
        <v>0.92472118959107807</v>
      </c>
      <c r="B82" s="40">
        <v>2107.0065368</v>
      </c>
      <c r="C82" s="41">
        <f>C81+(((A82+A81)/2)*(B82-B81))</f>
        <v>2071.1743893177963</v>
      </c>
      <c r="D82" s="51">
        <f t="shared" si="3"/>
        <v>18143487.650423896</v>
      </c>
      <c r="E82" s="54">
        <f t="shared" si="4"/>
        <v>2850266.6831659744</v>
      </c>
      <c r="F82" s="53">
        <f>$K$4*B82</f>
        <v>16856052.294399999</v>
      </c>
      <c r="G82" s="51">
        <f t="shared" si="5"/>
        <v>168560.522944</v>
      </c>
      <c r="H82" s="52">
        <f>$K$3*D82</f>
        <v>4535871.9126059739</v>
      </c>
    </row>
    <row r="83" spans="1:8" ht="13.8" x14ac:dyDescent="0.25">
      <c r="A83" s="41">
        <v>0.92379182156133832</v>
      </c>
      <c r="B83" s="41">
        <v>2111.5918397999999</v>
      </c>
      <c r="C83" s="41">
        <f>C82+(((A83+A82)/2)*(B83-B82))</f>
        <v>2075.4123854455843</v>
      </c>
      <c r="D83" s="51">
        <f t="shared" si="3"/>
        <v>18180612.496503316</v>
      </c>
      <c r="E83" s="54">
        <f t="shared" si="4"/>
        <v>2855879.6522858297</v>
      </c>
      <c r="F83" s="53">
        <f>$K$4*B83</f>
        <v>16892734.718399998</v>
      </c>
      <c r="G83" s="51">
        <f t="shared" si="5"/>
        <v>168927.34718399998</v>
      </c>
      <c r="H83" s="52">
        <f>$K$3*D83</f>
        <v>4545153.124125829</v>
      </c>
    </row>
    <row r="84" spans="1:8" ht="13.8" x14ac:dyDescent="0.25">
      <c r="A84" s="40">
        <v>0.92286245353159846</v>
      </c>
      <c r="B84" s="40">
        <v>2116.2170150000002</v>
      </c>
      <c r="C84" s="41">
        <f>C83+(((A84+A83)/2)*(B84-B83))</f>
        <v>2079.6829352236514</v>
      </c>
      <c r="D84" s="51">
        <f t="shared" si="3"/>
        <v>18218022.512559187</v>
      </c>
      <c r="E84" s="54">
        <f t="shared" si="4"/>
        <v>2861532.0161397965</v>
      </c>
      <c r="F84" s="53">
        <f>$K$4*B84</f>
        <v>16929736.120000001</v>
      </c>
      <c r="G84" s="51">
        <f t="shared" si="5"/>
        <v>169297.36120000001</v>
      </c>
      <c r="H84" s="52">
        <f>$K$3*D84</f>
        <v>4554505.6281397967</v>
      </c>
    </row>
    <row r="85" spans="1:8" ht="13.8" x14ac:dyDescent="0.25">
      <c r="A85" s="41">
        <v>0.92193308550185871</v>
      </c>
      <c r="B85" s="41">
        <v>2130.0726045000001</v>
      </c>
      <c r="C85" s="41">
        <f>C84+(((A85+A84)/2)*(B85-B84))</f>
        <v>2092.4633000737908</v>
      </c>
      <c r="D85" s="51">
        <f t="shared" si="3"/>
        <v>18329978.50864641</v>
      </c>
      <c r="E85" s="54">
        <f t="shared" si="4"/>
        <v>2878436.5435616025</v>
      </c>
      <c r="F85" s="53">
        <f>$K$4*B85</f>
        <v>17040580.835999999</v>
      </c>
      <c r="G85" s="51">
        <f t="shared" si="5"/>
        <v>170405.80836</v>
      </c>
      <c r="H85" s="52">
        <f>$K$3*D85</f>
        <v>4582494.6271616025</v>
      </c>
    </row>
    <row r="86" spans="1:8" ht="13.8" x14ac:dyDescent="0.25">
      <c r="A86" s="40">
        <v>0.92100371747211895</v>
      </c>
      <c r="B86" s="40">
        <v>2136.4322204000005</v>
      </c>
      <c r="C86" s="41">
        <f>C85+(((A86+A85)/2)*(B86-B85))</f>
        <v>2098.3234851712355</v>
      </c>
      <c r="D86" s="51">
        <f t="shared" si="3"/>
        <v>18381313.730100024</v>
      </c>
      <c r="E86" s="54">
        <f t="shared" si="4"/>
        <v>2886182.6562050059</v>
      </c>
      <c r="F86" s="53">
        <f>$K$4*B86</f>
        <v>17091457.763200004</v>
      </c>
      <c r="G86" s="51">
        <f t="shared" si="5"/>
        <v>170914.57763200003</v>
      </c>
      <c r="H86" s="52">
        <f>$K$3*D86</f>
        <v>4595328.4325250061</v>
      </c>
    </row>
    <row r="87" spans="1:8" ht="13.8" x14ac:dyDescent="0.25">
      <c r="A87" s="41">
        <v>0.9200743494423792</v>
      </c>
      <c r="B87" s="41">
        <v>2148.9520911999998</v>
      </c>
      <c r="C87" s="41">
        <f>C86+(((A87+A86)/2)*(B87-B86))</f>
        <v>2109.8485149364765</v>
      </c>
      <c r="D87" s="51">
        <f t="shared" si="3"/>
        <v>18482272.990843534</v>
      </c>
      <c r="E87" s="54">
        <f t="shared" si="4"/>
        <v>2901406.574750884</v>
      </c>
      <c r="F87" s="53">
        <f>$K$4*B87</f>
        <v>17191616.729599997</v>
      </c>
      <c r="G87" s="51">
        <f t="shared" si="5"/>
        <v>171916.16729599997</v>
      </c>
      <c r="H87" s="52">
        <f>$K$3*D87</f>
        <v>4620568.2477108836</v>
      </c>
    </row>
    <row r="88" spans="1:8" ht="13.8" x14ac:dyDescent="0.25">
      <c r="A88" s="40">
        <v>0.91914498141263945</v>
      </c>
      <c r="B88" s="40">
        <v>2152.2814198999999</v>
      </c>
      <c r="C88" s="41">
        <f>C87+(((A88+A87)/2)*(B88-B87))</f>
        <v>2112.910197788382</v>
      </c>
      <c r="D88" s="51">
        <f t="shared" si="3"/>
        <v>18509093.332626227</v>
      </c>
      <c r="E88" s="54">
        <f t="shared" si="4"/>
        <v>2905448.1972365566</v>
      </c>
      <c r="F88" s="53">
        <f>$K$4*B88</f>
        <v>17218251.359200001</v>
      </c>
      <c r="G88" s="51">
        <f t="shared" si="5"/>
        <v>172182.513592</v>
      </c>
      <c r="H88" s="52">
        <f>$K$3*D88</f>
        <v>4627273.3331565568</v>
      </c>
    </row>
    <row r="89" spans="1:8" ht="13.8" x14ac:dyDescent="0.25">
      <c r="A89" s="41">
        <v>0.91821561338289959</v>
      </c>
      <c r="B89" s="41">
        <v>2178.8562412000001</v>
      </c>
      <c r="C89" s="41">
        <f>C88+(((A89+A88)/2)*(B89-B88))</f>
        <v>2137.3239625235587</v>
      </c>
      <c r="D89" s="51">
        <f t="shared" si="3"/>
        <v>18722957.911706377</v>
      </c>
      <c r="E89" s="54">
        <f t="shared" si="4"/>
        <v>2937654.4849665938</v>
      </c>
      <c r="F89" s="53">
        <f>$K$4*B89</f>
        <v>17430849.9296</v>
      </c>
      <c r="G89" s="51">
        <f t="shared" si="5"/>
        <v>174308.49929599999</v>
      </c>
      <c r="H89" s="52">
        <f>$K$3*D89</f>
        <v>4680739.4779265942</v>
      </c>
    </row>
    <row r="90" spans="1:8" ht="13.8" x14ac:dyDescent="0.25">
      <c r="A90" s="40">
        <v>0.91728624535315983</v>
      </c>
      <c r="B90" s="40">
        <v>2183.0428222000005</v>
      </c>
      <c r="C90" s="41">
        <f>C89+(((A90+A89)/2)*(B90-B89))</f>
        <v>2141.1662011271837</v>
      </c>
      <c r="D90" s="51">
        <f t="shared" si="3"/>
        <v>18756615.921874128</v>
      </c>
      <c r="E90" s="54">
        <f t="shared" si="4"/>
        <v>2942719.7227085317</v>
      </c>
      <c r="F90" s="53">
        <f>$K$4*B90</f>
        <v>17464342.577600002</v>
      </c>
      <c r="G90" s="51">
        <f t="shared" si="5"/>
        <v>174643.42577600002</v>
      </c>
      <c r="H90" s="52">
        <f>$K$3*D90</f>
        <v>4689153.9804685321</v>
      </c>
    </row>
    <row r="91" spans="1:8" ht="13.8" x14ac:dyDescent="0.25">
      <c r="A91" s="41">
        <v>0.91635687732342008</v>
      </c>
      <c r="B91" s="41">
        <v>2211.4318286000002</v>
      </c>
      <c r="C91" s="41">
        <f>C90+(((A91+A90)/2)*(B91-B90))</f>
        <v>2167.1938542996741</v>
      </c>
      <c r="D91" s="51">
        <f t="shared" si="3"/>
        <v>18984618.163665146</v>
      </c>
      <c r="E91" s="54">
        <f t="shared" si="4"/>
        <v>2977009.0780362859</v>
      </c>
      <c r="F91" s="53">
        <f>$K$4*B91</f>
        <v>17691454.628800001</v>
      </c>
      <c r="G91" s="51">
        <f t="shared" si="5"/>
        <v>176914.54628800001</v>
      </c>
      <c r="H91" s="52">
        <f>$K$3*D91</f>
        <v>4746154.5409162864</v>
      </c>
    </row>
    <row r="92" spans="1:8" ht="13.8" x14ac:dyDescent="0.25">
      <c r="A92" s="40">
        <v>0.91542750929368033</v>
      </c>
      <c r="B92" s="40">
        <v>2212.3488892</v>
      </c>
      <c r="C92" s="41">
        <f>C91+(((A92+A91)/2)*(B92-B91))</f>
        <v>2168.0337829440045</v>
      </c>
      <c r="D92" s="51">
        <f t="shared" si="3"/>
        <v>18991975.93858948</v>
      </c>
      <c r="E92" s="54">
        <f t="shared" si="4"/>
        <v>2978114.8732873695</v>
      </c>
      <c r="F92" s="53">
        <f>$K$4*B92</f>
        <v>17698791.113600001</v>
      </c>
      <c r="G92" s="51">
        <f t="shared" si="5"/>
        <v>176987.91113600001</v>
      </c>
      <c r="H92" s="52">
        <f>$K$3*D92</f>
        <v>4747993.9846473699</v>
      </c>
    </row>
    <row r="93" spans="1:8" ht="13.8" x14ac:dyDescent="0.25">
      <c r="A93" s="41">
        <v>0.91449814126394047</v>
      </c>
      <c r="B93" s="41">
        <v>2219.1271632000003</v>
      </c>
      <c r="C93" s="41">
        <f>C92+(((A93+A92)/2)*(B93-B92))</f>
        <v>2174.2356516735586</v>
      </c>
      <c r="D93" s="51">
        <f t="shared" si="3"/>
        <v>19046304.308660373</v>
      </c>
      <c r="E93" s="54">
        <f t="shared" si="4"/>
        <v>2986274.3466050932</v>
      </c>
      <c r="F93" s="53">
        <f>$K$4*B93</f>
        <v>17753017.305600002</v>
      </c>
      <c r="G93" s="51">
        <f t="shared" si="5"/>
        <v>177530.17305600003</v>
      </c>
      <c r="H93" s="52">
        <f>$K$3*D93</f>
        <v>4761576.0771650933</v>
      </c>
    </row>
    <row r="94" spans="1:8" ht="13.8" x14ac:dyDescent="0.25">
      <c r="A94" s="40">
        <v>0.91356877323420072</v>
      </c>
      <c r="B94" s="40">
        <v>2219.3464603000002</v>
      </c>
      <c r="C94" s="41">
        <f>C93+(((A94+A93)/2)*(B94-B93))</f>
        <v>2174.4360965600363</v>
      </c>
      <c r="D94" s="51">
        <f t="shared" si="3"/>
        <v>19048060.20586592</v>
      </c>
      <c r="E94" s="54">
        <f t="shared" si="4"/>
        <v>2986537.8832264799</v>
      </c>
      <c r="F94" s="53">
        <f>$K$4*B94</f>
        <v>17754771.682400003</v>
      </c>
      <c r="G94" s="51">
        <f t="shared" si="5"/>
        <v>177547.71682400003</v>
      </c>
      <c r="H94" s="52">
        <f>$K$3*D94</f>
        <v>4762015.0514664799</v>
      </c>
    </row>
    <row r="95" spans="1:8" ht="13.8" x14ac:dyDescent="0.25">
      <c r="A95" s="41">
        <v>0.91263940520446096</v>
      </c>
      <c r="B95" s="41">
        <v>2232.7235834000003</v>
      </c>
      <c r="C95" s="41">
        <f>C94+(((A95+A94)/2)*(B95-B94))</f>
        <v>2186.6508023646365</v>
      </c>
      <c r="D95" s="51">
        <f t="shared" si="3"/>
        <v>19155061.028714217</v>
      </c>
      <c r="E95" s="54">
        <f t="shared" si="4"/>
        <v>3002586.390458554</v>
      </c>
      <c r="F95" s="53">
        <f>$K$4*B95</f>
        <v>17861788.667200003</v>
      </c>
      <c r="G95" s="51">
        <f t="shared" si="5"/>
        <v>178617.88667200002</v>
      </c>
      <c r="H95" s="52">
        <f>$K$3*D95</f>
        <v>4788765.2571785543</v>
      </c>
    </row>
    <row r="96" spans="1:8" ht="13.8" x14ac:dyDescent="0.25">
      <c r="A96" s="40">
        <v>0.91171003717472121</v>
      </c>
      <c r="B96" s="40">
        <v>2233.8998133</v>
      </c>
      <c r="C96" s="41">
        <f>C95+(((A96+A95)/2)*(B96-B95))</f>
        <v>2187.7237295457235</v>
      </c>
      <c r="D96" s="51">
        <f t="shared" si="3"/>
        <v>19164459.870820537</v>
      </c>
      <c r="E96" s="54">
        <f t="shared" si="4"/>
        <v>3003995.1170651345</v>
      </c>
      <c r="F96" s="53">
        <f>$K$4*B96</f>
        <v>17871198.5064</v>
      </c>
      <c r="G96" s="51">
        <f t="shared" si="5"/>
        <v>178711.98506400001</v>
      </c>
      <c r="H96" s="52">
        <f>$K$3*D96</f>
        <v>4791114.9677051343</v>
      </c>
    </row>
    <row r="97" spans="1:8" ht="13.8" x14ac:dyDescent="0.25">
      <c r="A97" s="41">
        <v>0.91078066914498146</v>
      </c>
      <c r="B97" s="41">
        <v>2235.9133594</v>
      </c>
      <c r="C97" s="41">
        <f>C96+(((A97+A96)/2)*(B97-B96))</f>
        <v>2189.5585640727218</v>
      </c>
      <c r="D97" s="51">
        <f t="shared" si="3"/>
        <v>19180533.02127704</v>
      </c>
      <c r="E97" s="54">
        <f t="shared" si="4"/>
        <v>3006402.5677992599</v>
      </c>
      <c r="F97" s="53">
        <f>$K$4*B97</f>
        <v>17887306.8752</v>
      </c>
      <c r="G97" s="51">
        <f t="shared" si="5"/>
        <v>178873.06875199999</v>
      </c>
      <c r="H97" s="52">
        <f>$K$3*D97</f>
        <v>4795133.2553192601</v>
      </c>
    </row>
    <row r="98" spans="1:8" ht="13.8" x14ac:dyDescent="0.25">
      <c r="A98" s="40">
        <v>0.9098513011152416</v>
      </c>
      <c r="B98" s="40">
        <v>2235.9931037999995</v>
      </c>
      <c r="C98" s="41">
        <f>C97+(((A98+A97)/2)*(B98-B97))</f>
        <v>2189.6311566747659</v>
      </c>
      <c r="D98" s="51">
        <f t="shared" si="3"/>
        <v>19181168.932470948</v>
      </c>
      <c r="E98" s="54">
        <f t="shared" si="4"/>
        <v>3006497.7500777366</v>
      </c>
      <c r="F98" s="53">
        <f>$K$4*B98</f>
        <v>17887944.830399998</v>
      </c>
      <c r="G98" s="51">
        <f t="shared" si="5"/>
        <v>178879.44830399999</v>
      </c>
      <c r="H98" s="52">
        <f>$K$3*D98</f>
        <v>4795292.2331177369</v>
      </c>
    </row>
    <row r="99" spans="1:8" ht="13.8" x14ac:dyDescent="0.25">
      <c r="A99" s="41">
        <v>0.90892193308550184</v>
      </c>
      <c r="B99" s="41">
        <v>2238.6246690000003</v>
      </c>
      <c r="C99" s="41">
        <f>C98+(((A99+A98)/2)*(B99-B98))</f>
        <v>2192.0242668496735</v>
      </c>
      <c r="D99" s="51">
        <f t="shared" si="3"/>
        <v>19202132.577603139</v>
      </c>
      <c r="E99" s="54">
        <f t="shared" si="4"/>
        <v>3009633.4092007843</v>
      </c>
      <c r="F99" s="53">
        <f>$K$4*B99</f>
        <v>17908997.352000002</v>
      </c>
      <c r="G99" s="51">
        <f t="shared" si="5"/>
        <v>179089.97352000003</v>
      </c>
      <c r="H99" s="52">
        <f>$K$3*D99</f>
        <v>4800533.1444007847</v>
      </c>
    </row>
    <row r="100" spans="1:8" ht="13.8" x14ac:dyDescent="0.25">
      <c r="A100" s="40">
        <v>0.90799256505576209</v>
      </c>
      <c r="B100" s="40">
        <v>2242.7514417000007</v>
      </c>
      <c r="C100" s="41">
        <f>C99+(((A100+A99)/2)*(B100-B99))</f>
        <v>2195.7732634242557</v>
      </c>
      <c r="D100" s="51">
        <f t="shared" si="3"/>
        <v>19234973.787596479</v>
      </c>
      <c r="E100" s="54">
        <f t="shared" si="4"/>
        <v>3014542.293539119</v>
      </c>
      <c r="F100" s="53">
        <f>$K$4*B100</f>
        <v>17942011.533600006</v>
      </c>
      <c r="G100" s="51">
        <f t="shared" si="5"/>
        <v>179420.11533600008</v>
      </c>
      <c r="H100" s="52">
        <f>$K$3*D100</f>
        <v>4808743.4468991198</v>
      </c>
    </row>
    <row r="101" spans="1:8" ht="13.8" x14ac:dyDescent="0.25">
      <c r="A101" s="41">
        <v>0.90706319702602234</v>
      </c>
      <c r="B101" s="41">
        <v>2248.3534857999998</v>
      </c>
      <c r="C101" s="41">
        <f>C100+(((A101+A100)/2)*(B101-B100))</f>
        <v>2200.8572746358254</v>
      </c>
      <c r="D101" s="51">
        <f t="shared" si="3"/>
        <v>19279509.725809831</v>
      </c>
      <c r="E101" s="54">
        <f t="shared" si="4"/>
        <v>3021194.6428124579</v>
      </c>
      <c r="F101" s="53">
        <f>$K$4*B101</f>
        <v>17986827.886399999</v>
      </c>
      <c r="G101" s="51">
        <f t="shared" si="5"/>
        <v>179868.27886399999</v>
      </c>
      <c r="H101" s="52">
        <f>$K$3*D101</f>
        <v>4819877.4314524578</v>
      </c>
    </row>
    <row r="102" spans="1:8" ht="13.8" x14ac:dyDescent="0.25">
      <c r="A102" s="40">
        <v>0.90613382899628248</v>
      </c>
      <c r="B102" s="40">
        <v>2248.9715049000006</v>
      </c>
      <c r="C102" s="41">
        <f>C101+(((A102+A101)/2)*(B102-B101))</f>
        <v>2201.4175698328986</v>
      </c>
      <c r="D102" s="51">
        <f t="shared" si="3"/>
        <v>19284417.911736194</v>
      </c>
      <c r="E102" s="54">
        <f t="shared" si="4"/>
        <v>3021927.2740140483</v>
      </c>
      <c r="F102" s="53">
        <f>$K$4*B102</f>
        <v>17991772.039200004</v>
      </c>
      <c r="G102" s="51">
        <f t="shared" si="5"/>
        <v>179917.72039200005</v>
      </c>
      <c r="H102" s="52">
        <f>$K$3*D102</f>
        <v>4821104.4779340485</v>
      </c>
    </row>
    <row r="103" spans="1:8" ht="13.8" x14ac:dyDescent="0.25">
      <c r="A103" s="41">
        <v>0.90520446096654272</v>
      </c>
      <c r="B103" s="41">
        <v>2263.1460720000005</v>
      </c>
      <c r="C103" s="41">
        <f>C102+(((A103+A102)/2)*(B103-B102))</f>
        <v>2214.2550378988371</v>
      </c>
      <c r="D103" s="51">
        <f t="shared" si="3"/>
        <v>19396874.131993812</v>
      </c>
      <c r="E103" s="54">
        <f t="shared" si="4"/>
        <v>3038701.6753984527</v>
      </c>
      <c r="F103" s="53">
        <f>$K$4*B103</f>
        <v>18105168.576000005</v>
      </c>
      <c r="G103" s="51">
        <f t="shared" si="5"/>
        <v>181051.68576000005</v>
      </c>
      <c r="H103" s="52">
        <f>$K$3*D103</f>
        <v>4849218.5329984529</v>
      </c>
    </row>
    <row r="104" spans="1:8" ht="13.8" x14ac:dyDescent="0.25">
      <c r="A104" s="40">
        <v>0.90427509293680297</v>
      </c>
      <c r="B104" s="40">
        <v>2273.2138025000008</v>
      </c>
      <c r="C104" s="41">
        <f>C103+(((A104+A103)/2)*(B104-B103))</f>
        <v>2223.3637141458171</v>
      </c>
      <c r="D104" s="51">
        <f t="shared" si="3"/>
        <v>19476666.135917358</v>
      </c>
      <c r="E104" s="54">
        <f t="shared" si="4"/>
        <v>3050595.4919793392</v>
      </c>
      <c r="F104" s="53">
        <f>$K$4*B104</f>
        <v>18185710.420000006</v>
      </c>
      <c r="G104" s="51">
        <f t="shared" si="5"/>
        <v>181857.10420000006</v>
      </c>
      <c r="H104" s="52">
        <f>$K$3*D104</f>
        <v>4869166.5339793395</v>
      </c>
    </row>
    <row r="105" spans="1:8" ht="13.8" x14ac:dyDescent="0.25">
      <c r="A105" s="41">
        <v>0.90334572490706322</v>
      </c>
      <c r="B105" s="41">
        <v>2283.0422998000004</v>
      </c>
      <c r="C105" s="41">
        <f>C104+(((A105+A104)/2)*(B105-B104))</f>
        <v>2232.2468123096178</v>
      </c>
      <c r="D105" s="51">
        <f t="shared" si="3"/>
        <v>19554482.075832251</v>
      </c>
      <c r="E105" s="54">
        <f t="shared" si="4"/>
        <v>3062186.6791180624</v>
      </c>
      <c r="F105" s="53">
        <f>$K$4*B105</f>
        <v>18264338.398400001</v>
      </c>
      <c r="G105" s="51">
        <f t="shared" si="5"/>
        <v>182643.38398400001</v>
      </c>
      <c r="H105" s="52">
        <f>$K$3*D105</f>
        <v>4888620.5189580629</v>
      </c>
    </row>
    <row r="106" spans="1:8" ht="13.8" x14ac:dyDescent="0.25">
      <c r="A106" s="40">
        <v>0.90241635687732347</v>
      </c>
      <c r="B106" s="40">
        <v>2296.8380810000003</v>
      </c>
      <c r="C106" s="41">
        <f>C105+(((A106+A105)/2)*(B106-B105))</f>
        <v>2244.7027615993948</v>
      </c>
      <c r="D106" s="51">
        <f t="shared" si="3"/>
        <v>19663596.191610698</v>
      </c>
      <c r="E106" s="54">
        <f t="shared" si="4"/>
        <v>3078428.5831026742</v>
      </c>
      <c r="F106" s="53">
        <f>$K$4*B106</f>
        <v>18374704.648000002</v>
      </c>
      <c r="G106" s="51">
        <f t="shared" si="5"/>
        <v>183747.04648000002</v>
      </c>
      <c r="H106" s="52">
        <f>$K$3*D106</f>
        <v>4915899.0479026744</v>
      </c>
    </row>
    <row r="107" spans="1:8" ht="13.8" x14ac:dyDescent="0.25">
      <c r="A107" s="41">
        <v>0.9014869888475836</v>
      </c>
      <c r="B107" s="41">
        <v>2300.6458761000004</v>
      </c>
      <c r="C107" s="41">
        <f>C106+(((A107+A106)/2)*(B107-B106))</f>
        <v>2248.1372087597574</v>
      </c>
      <c r="D107" s="51">
        <f t="shared" si="3"/>
        <v>19693681.948735476</v>
      </c>
      <c r="E107" s="54">
        <f t="shared" si="4"/>
        <v>3082903.786303869</v>
      </c>
      <c r="F107" s="53">
        <f>$K$4*B107</f>
        <v>18405167.008800004</v>
      </c>
      <c r="G107" s="51">
        <f t="shared" si="5"/>
        <v>184051.67008800004</v>
      </c>
      <c r="H107" s="52">
        <f>$K$3*D107</f>
        <v>4923420.4871838689</v>
      </c>
    </row>
    <row r="108" spans="1:8" ht="13.8" x14ac:dyDescent="0.25">
      <c r="A108" s="40">
        <v>0.90055762081784385</v>
      </c>
      <c r="B108" s="40">
        <v>2300.8253010000003</v>
      </c>
      <c r="C108" s="41">
        <f>C107+(((A108+A107)/2)*(B108-B107))</f>
        <v>2248.2988745966995</v>
      </c>
      <c r="D108" s="51">
        <f t="shared" si="3"/>
        <v>19695098.141467087</v>
      </c>
      <c r="E108" s="54">
        <f t="shared" si="4"/>
        <v>3083114.2945667719</v>
      </c>
      <c r="F108" s="53">
        <f>$K$4*B108</f>
        <v>18406602.408000004</v>
      </c>
      <c r="G108" s="51">
        <f t="shared" si="5"/>
        <v>184066.02408000003</v>
      </c>
      <c r="H108" s="52">
        <f>$K$3*D108</f>
        <v>4923774.5353667717</v>
      </c>
    </row>
    <row r="109" spans="1:8" ht="13.8" x14ac:dyDescent="0.25">
      <c r="A109" s="41">
        <v>0.8996282527881041</v>
      </c>
      <c r="B109" s="41">
        <v>2302.4401250999999</v>
      </c>
      <c r="C109" s="41">
        <f>C108+(((A109+A108)/2)*(B109-B108))</f>
        <v>2249.7523663632883</v>
      </c>
      <c r="D109" s="51">
        <f t="shared" si="3"/>
        <v>19707830.729342405</v>
      </c>
      <c r="E109" s="54">
        <f t="shared" si="4"/>
        <v>3085005.5822556014</v>
      </c>
      <c r="F109" s="53">
        <f>$K$4*B109</f>
        <v>18419521.000799999</v>
      </c>
      <c r="G109" s="51">
        <f t="shared" si="5"/>
        <v>184195.21000799999</v>
      </c>
      <c r="H109" s="52">
        <f>$K$3*D109</f>
        <v>4926957.6823356012</v>
      </c>
    </row>
    <row r="110" spans="1:8" ht="13.8" x14ac:dyDescent="0.25">
      <c r="A110" s="40">
        <v>0.89869888475836435</v>
      </c>
      <c r="B110" s="40">
        <v>2318.5484939000003</v>
      </c>
      <c r="C110" s="41">
        <f>C109+(((A110+A109)/2)*(B110-B109))</f>
        <v>2264.2364247406122</v>
      </c>
      <c r="D110" s="51">
        <f t="shared" si="3"/>
        <v>19834711.080727763</v>
      </c>
      <c r="E110" s="54">
        <f t="shared" si="4"/>
        <v>3103838.975061941</v>
      </c>
      <c r="F110" s="53">
        <f>$K$4*B110</f>
        <v>18548387.951200001</v>
      </c>
      <c r="G110" s="51">
        <f t="shared" si="5"/>
        <v>185483.87951200001</v>
      </c>
      <c r="H110" s="52">
        <f>$K$3*D110</f>
        <v>4958677.7701819409</v>
      </c>
    </row>
    <row r="111" spans="1:8" ht="13.8" x14ac:dyDescent="0.25">
      <c r="A111" s="41">
        <v>0.89776951672862448</v>
      </c>
      <c r="B111" s="41">
        <v>2327.2007613000001</v>
      </c>
      <c r="C111" s="41">
        <f>C110+(((A111+A110)/2)*(B111-B110))</f>
        <v>2272.0081872332698</v>
      </c>
      <c r="D111" s="51">
        <f t="shared" si="3"/>
        <v>19902791.720163442</v>
      </c>
      <c r="E111" s="54">
        <f t="shared" si="4"/>
        <v>3113937.321000861</v>
      </c>
      <c r="F111" s="53">
        <f>$K$4*B111</f>
        <v>18617606.090399999</v>
      </c>
      <c r="G111" s="51">
        <f t="shared" si="5"/>
        <v>186176.06090399998</v>
      </c>
      <c r="H111" s="52">
        <f>$K$3*D111</f>
        <v>4975697.9300408605</v>
      </c>
    </row>
    <row r="112" spans="1:8" ht="13.8" x14ac:dyDescent="0.25">
      <c r="A112" s="40">
        <v>0.89684014869888473</v>
      </c>
      <c r="B112" s="40">
        <v>2333.5005689000004</v>
      </c>
      <c r="C112" s="41">
        <f>C111+(((A112+A111)/2)*(B112-B111))</f>
        <v>2277.6610350379169</v>
      </c>
      <c r="D112" s="51">
        <f t="shared" si="3"/>
        <v>19952310.666932151</v>
      </c>
      <c r="E112" s="54">
        <f t="shared" si="4"/>
        <v>3121277.2116130376</v>
      </c>
      <c r="F112" s="53">
        <f>$K$4*B112</f>
        <v>18668004.551200002</v>
      </c>
      <c r="G112" s="51">
        <f t="shared" si="5"/>
        <v>186680.04551200004</v>
      </c>
      <c r="H112" s="52">
        <f>$K$3*D112</f>
        <v>4988077.6667330377</v>
      </c>
    </row>
    <row r="113" spans="1:8" ht="13.8" x14ac:dyDescent="0.25">
      <c r="A113" s="41">
        <v>0.89591078066914498</v>
      </c>
      <c r="B113" s="41">
        <v>2336.4710477999997</v>
      </c>
      <c r="C113" s="41">
        <f>C112+(((A113+A112)/2)*(B113-B112))</f>
        <v>2280.3236994422377</v>
      </c>
      <c r="D113" s="51">
        <f t="shared" si="3"/>
        <v>19975635.607114002</v>
      </c>
      <c r="E113" s="54">
        <f t="shared" si="4"/>
        <v>3124732.063538501</v>
      </c>
      <c r="F113" s="53">
        <f>$K$4*B113</f>
        <v>18691768.382399999</v>
      </c>
      <c r="G113" s="51">
        <f t="shared" si="5"/>
        <v>186917.68382399998</v>
      </c>
      <c r="H113" s="52">
        <f>$K$3*D113</f>
        <v>4993908.9017785005</v>
      </c>
    </row>
    <row r="114" spans="1:8" ht="13.8" x14ac:dyDescent="0.25">
      <c r="A114" s="40">
        <v>0.89498141263940523</v>
      </c>
      <c r="B114" s="40">
        <v>2338.1456801999998</v>
      </c>
      <c r="C114" s="41">
        <f>C113+(((A114+A113)/2)*(B114-B113))</f>
        <v>2281.8232424881485</v>
      </c>
      <c r="D114" s="51">
        <f t="shared" si="3"/>
        <v>19988771.604196183</v>
      </c>
      <c r="E114" s="54">
        <f t="shared" si="4"/>
        <v>3126676.3568890467</v>
      </c>
      <c r="F114" s="53">
        <f>$K$4*B114</f>
        <v>18705165.441599999</v>
      </c>
      <c r="G114" s="51">
        <f t="shared" si="5"/>
        <v>187051.65441599998</v>
      </c>
      <c r="H114" s="52">
        <f>$K$3*D114</f>
        <v>4997192.9010490458</v>
      </c>
    </row>
    <row r="115" spans="1:8" ht="13.8" x14ac:dyDescent="0.25">
      <c r="A115" s="41">
        <v>0.89405204460966547</v>
      </c>
      <c r="B115" s="41">
        <v>2338.4646577999997</v>
      </c>
      <c r="C115" s="41">
        <f>C114+(((A115+A114)/2)*(B115-B114))</f>
        <v>2282.1085732874049</v>
      </c>
      <c r="D115" s="51">
        <f t="shared" si="3"/>
        <v>19991271.101997666</v>
      </c>
      <c r="E115" s="54">
        <f t="shared" si="4"/>
        <v>3127046.0492594168</v>
      </c>
      <c r="F115" s="53">
        <f>$K$4*B115</f>
        <v>18707717.262399998</v>
      </c>
      <c r="G115" s="51">
        <f t="shared" si="5"/>
        <v>187077.17262399997</v>
      </c>
      <c r="H115" s="52">
        <f>$K$3*D115</f>
        <v>4997817.7754994165</v>
      </c>
    </row>
    <row r="116" spans="1:8" ht="13.8" x14ac:dyDescent="0.25">
      <c r="A116" s="40">
        <v>0.89312267657992561</v>
      </c>
      <c r="B116" s="40">
        <v>2352.8385859000005</v>
      </c>
      <c r="C116" s="41">
        <f>C115+(((A116+A115)/2)*(B116-B115))</f>
        <v>2294.9529337596637</v>
      </c>
      <c r="D116" s="51">
        <f t="shared" si="3"/>
        <v>20103787.699734654</v>
      </c>
      <c r="E116" s="54">
        <f t="shared" si="4"/>
        <v>3143676.056213663</v>
      </c>
      <c r="F116" s="53">
        <f>$K$4*B116</f>
        <v>18822708.687200002</v>
      </c>
      <c r="G116" s="51">
        <f t="shared" si="5"/>
        <v>188227.08687200001</v>
      </c>
      <c r="H116" s="52">
        <f>$K$3*D116</f>
        <v>5025946.9249336636</v>
      </c>
    </row>
    <row r="117" spans="1:8" ht="13.8" x14ac:dyDescent="0.25">
      <c r="A117" s="41">
        <v>0.89219330855018586</v>
      </c>
      <c r="B117" s="41">
        <v>2357.1447834999999</v>
      </c>
      <c r="C117" s="41">
        <f>C116+(((A117+A116)/2)*(B117-B116))</f>
        <v>2298.7968954648677</v>
      </c>
      <c r="D117" s="51">
        <f t="shared" si="3"/>
        <v>20137460.804272242</v>
      </c>
      <c r="E117" s="54">
        <f t="shared" si="4"/>
        <v>3148649.3742680606</v>
      </c>
      <c r="F117" s="53">
        <f>$K$4*B117</f>
        <v>18857158.267999999</v>
      </c>
      <c r="G117" s="51">
        <f t="shared" si="5"/>
        <v>188571.58267999999</v>
      </c>
      <c r="H117" s="52">
        <f>$K$3*D117</f>
        <v>5034365.2010680605</v>
      </c>
    </row>
    <row r="118" spans="1:8" ht="13.8" x14ac:dyDescent="0.25">
      <c r="A118" s="40">
        <v>0.89126394052044611</v>
      </c>
      <c r="B118" s="40">
        <v>2367.4118749999998</v>
      </c>
      <c r="C118" s="41">
        <f>C117+(((A118+A117)/2)*(B118-B117))</f>
        <v>2307.9523548461407</v>
      </c>
      <c r="D118" s="51">
        <f t="shared" si="3"/>
        <v>20217662.628452193</v>
      </c>
      <c r="E118" s="54">
        <f t="shared" si="4"/>
        <v>3160486.1571130482</v>
      </c>
      <c r="F118" s="53">
        <f>$K$4*B118</f>
        <v>18939295</v>
      </c>
      <c r="G118" s="51">
        <f t="shared" si="5"/>
        <v>189392.95</v>
      </c>
      <c r="H118" s="52">
        <f>$K$3*D118</f>
        <v>5054415.6571130482</v>
      </c>
    </row>
    <row r="119" spans="1:8" ht="13.8" x14ac:dyDescent="0.25">
      <c r="A119" s="41">
        <v>0.89033457249070636</v>
      </c>
      <c r="B119" s="41">
        <v>2373.6319382000001</v>
      </c>
      <c r="C119" s="41">
        <f>C118+(((A119+A118)/2)*(B119-B118))</f>
        <v>2313.4931825201188</v>
      </c>
      <c r="D119" s="51">
        <f t="shared" si="3"/>
        <v>20266200.278876241</v>
      </c>
      <c r="E119" s="54">
        <f t="shared" si="4"/>
        <v>3167644.51915906</v>
      </c>
      <c r="F119" s="53">
        <f>$K$4*B119</f>
        <v>18989055.505600002</v>
      </c>
      <c r="G119" s="51">
        <f t="shared" si="5"/>
        <v>189890.55505600001</v>
      </c>
      <c r="H119" s="52">
        <f>$K$3*D119</f>
        <v>5066550.0697190603</v>
      </c>
    </row>
    <row r="120" spans="1:8" ht="13.8" x14ac:dyDescent="0.25">
      <c r="A120" s="40">
        <v>0.88940520446096649</v>
      </c>
      <c r="B120" s="40">
        <v>2386.8695086000002</v>
      </c>
      <c r="C120" s="41">
        <f>C119+(((A120+A119)/2)*(B120-B119))</f>
        <v>2325.2728978156579</v>
      </c>
      <c r="D120" s="51">
        <f t="shared" si="3"/>
        <v>20369390.584865164</v>
      </c>
      <c r="E120" s="54">
        <f t="shared" si="4"/>
        <v>3182852.0393362907</v>
      </c>
      <c r="F120" s="53">
        <f>$K$4*B120</f>
        <v>19094956.068800002</v>
      </c>
      <c r="G120" s="51">
        <f t="shared" si="5"/>
        <v>190949.56068800003</v>
      </c>
      <c r="H120" s="52">
        <f>$K$3*D120</f>
        <v>5092347.646216291</v>
      </c>
    </row>
    <row r="121" spans="1:8" ht="13.8" x14ac:dyDescent="0.25">
      <c r="A121" s="41">
        <v>0.88847583643122674</v>
      </c>
      <c r="B121" s="41">
        <v>2394.3854182999999</v>
      </c>
      <c r="C121" s="41">
        <f>C120+(((A121+A120)/2)*(B121-B120))</f>
        <v>2331.9540944960013</v>
      </c>
      <c r="D121" s="51">
        <f t="shared" si="3"/>
        <v>20427917.867784973</v>
      </c>
      <c r="E121" s="54">
        <f t="shared" si="4"/>
        <v>3191471.1323062433</v>
      </c>
      <c r="F121" s="53">
        <f>$K$4*B121</f>
        <v>19155083.3464</v>
      </c>
      <c r="G121" s="51">
        <f t="shared" si="5"/>
        <v>191550.833464</v>
      </c>
      <c r="H121" s="52">
        <f>$K$3*D121</f>
        <v>5106979.4669462433</v>
      </c>
    </row>
    <row r="122" spans="1:8" ht="13.8" x14ac:dyDescent="0.25">
      <c r="A122" s="40">
        <v>0.88754646840148699</v>
      </c>
      <c r="B122" s="40">
        <v>2395.9803062999999</v>
      </c>
      <c r="C122" s="41">
        <f>C121+(((A122+A121)/2)*(B122-B121))</f>
        <v>2333.3703728268565</v>
      </c>
      <c r="D122" s="51">
        <f t="shared" si="3"/>
        <v>20440324.465963263</v>
      </c>
      <c r="E122" s="54">
        <f t="shared" si="4"/>
        <v>3193296.8714508163</v>
      </c>
      <c r="F122" s="53">
        <f>$K$4*B122</f>
        <v>19167842.450399999</v>
      </c>
      <c r="G122" s="51">
        <f t="shared" si="5"/>
        <v>191678.424504</v>
      </c>
      <c r="H122" s="52">
        <f>$K$3*D122</f>
        <v>5110081.1164908158</v>
      </c>
    </row>
    <row r="123" spans="1:8" ht="13.8" x14ac:dyDescent="0.25">
      <c r="A123" s="41">
        <v>0.88661710037174724</v>
      </c>
      <c r="B123" s="41">
        <v>2397.0767918000001</v>
      </c>
      <c r="C123" s="41">
        <f>C122+(((A123+A122)/2)*(B123-B122))</f>
        <v>2334.3430451407507</v>
      </c>
      <c r="D123" s="51">
        <f t="shared" si="3"/>
        <v>20448845.075432975</v>
      </c>
      <c r="E123" s="54">
        <f t="shared" si="4"/>
        <v>3194549.8354182439</v>
      </c>
      <c r="F123" s="53">
        <f>$K$4*B123</f>
        <v>19176614.334400002</v>
      </c>
      <c r="G123" s="51">
        <f t="shared" si="5"/>
        <v>191766.14334400001</v>
      </c>
      <c r="H123" s="52">
        <f>$K$3*D123</f>
        <v>5112211.2688582437</v>
      </c>
    </row>
    <row r="124" spans="1:8" ht="13.8" x14ac:dyDescent="0.25">
      <c r="A124" s="40">
        <v>0.88568773234200748</v>
      </c>
      <c r="B124" s="40">
        <v>2400.7250981000002</v>
      </c>
      <c r="C124" s="41">
        <f>C123+(((A124+A123)/2)*(B124-B123))</f>
        <v>2337.5760005841057</v>
      </c>
      <c r="D124" s="51">
        <f t="shared" si="3"/>
        <v>20477165.765116766</v>
      </c>
      <c r="E124" s="54">
        <f t="shared" si="4"/>
        <v>3198711.3627991914</v>
      </c>
      <c r="F124" s="53">
        <f>$K$4*B124</f>
        <v>19205800.7848</v>
      </c>
      <c r="G124" s="51">
        <f t="shared" si="5"/>
        <v>192058.00784800001</v>
      </c>
      <c r="H124" s="52">
        <f>$K$3*D124</f>
        <v>5119291.4412791915</v>
      </c>
    </row>
    <row r="125" spans="1:8" ht="13.8" x14ac:dyDescent="0.25">
      <c r="A125" s="41">
        <v>0.88475836431226762</v>
      </c>
      <c r="B125" s="41">
        <v>2401.8415196999999</v>
      </c>
      <c r="C125" s="41">
        <f>C124+(((A125+A124)/2)*(B125-B124))</f>
        <v>2338.5642827160759</v>
      </c>
      <c r="D125" s="51">
        <f t="shared" si="3"/>
        <v>20485823.116592828</v>
      </c>
      <c r="E125" s="54">
        <f t="shared" si="4"/>
        <v>3199982.563388207</v>
      </c>
      <c r="F125" s="53">
        <f>$K$4*B125</f>
        <v>19214732.157600001</v>
      </c>
      <c r="G125" s="51">
        <f t="shared" si="5"/>
        <v>192147.32157600002</v>
      </c>
      <c r="H125" s="52">
        <f>$K$3*D125</f>
        <v>5121455.779148207</v>
      </c>
    </row>
    <row r="126" spans="1:8" ht="13.8" x14ac:dyDescent="0.25">
      <c r="A126" s="40">
        <v>0.88382899628252787</v>
      </c>
      <c r="B126" s="40">
        <v>2405.1708484000001</v>
      </c>
      <c r="C126" s="41">
        <f>C125+(((A126+A125)/2)*(B126-B125))</f>
        <v>2341.508387045119</v>
      </c>
      <c r="D126" s="51">
        <f t="shared" si="3"/>
        <v>20511613.470515244</v>
      </c>
      <c r="E126" s="54">
        <f t="shared" si="4"/>
        <v>3203766.6889088117</v>
      </c>
      <c r="F126" s="53">
        <f>$K$4*B126</f>
        <v>19241366.7872</v>
      </c>
      <c r="G126" s="51">
        <f t="shared" si="5"/>
        <v>192413.66787199999</v>
      </c>
      <c r="H126" s="52">
        <f>$K$3*D126</f>
        <v>5127903.3676288109</v>
      </c>
    </row>
    <row r="127" spans="1:8" ht="13.8" x14ac:dyDescent="0.25">
      <c r="A127" s="41">
        <v>0.88289962825278812</v>
      </c>
      <c r="B127" s="41">
        <v>2407.8622219000003</v>
      </c>
      <c r="C127" s="41">
        <f>C126+(((A127+A126)/2)*(B127-B126))</f>
        <v>2343.8858503460019</v>
      </c>
      <c r="D127" s="51">
        <f t="shared" si="3"/>
        <v>20532440.049030978</v>
      </c>
      <c r="E127" s="54">
        <f t="shared" si="4"/>
        <v>3206820.2347377446</v>
      </c>
      <c r="F127" s="53">
        <f>$K$4*B127</f>
        <v>19262897.775200002</v>
      </c>
      <c r="G127" s="51">
        <f t="shared" si="5"/>
        <v>192628.97775200004</v>
      </c>
      <c r="H127" s="52">
        <f>$K$3*D127</f>
        <v>5133110.0122577446</v>
      </c>
    </row>
    <row r="128" spans="1:8" ht="13.8" x14ac:dyDescent="0.25">
      <c r="A128" s="40">
        <v>0.88197026022304836</v>
      </c>
      <c r="B128" s="40">
        <v>2413.3446494</v>
      </c>
      <c r="C128" s="41">
        <f>C127+(((A128+A127)/2)*(B128-B127))</f>
        <v>2348.7237359512524</v>
      </c>
      <c r="D128" s="51">
        <f t="shared" si="3"/>
        <v>20574819.926932968</v>
      </c>
      <c r="E128" s="54">
        <f t="shared" si="4"/>
        <v>3213029.2622132418</v>
      </c>
      <c r="F128" s="53">
        <f>$K$4*B128</f>
        <v>19306757.1952</v>
      </c>
      <c r="G128" s="51">
        <f t="shared" si="5"/>
        <v>193067.571952</v>
      </c>
      <c r="H128" s="52">
        <f>$K$3*D128</f>
        <v>5143704.981733242</v>
      </c>
    </row>
    <row r="129" spans="1:8" ht="13.8" x14ac:dyDescent="0.25">
      <c r="A129" s="41">
        <v>0.8810408921933085</v>
      </c>
      <c r="B129" s="41">
        <v>2437.9856689999997</v>
      </c>
      <c r="C129" s="41">
        <f>C128+(((A129+A128)/2)*(B129-B128))</f>
        <v>2370.4449321321072</v>
      </c>
      <c r="D129" s="51">
        <f t="shared" si="3"/>
        <v>20765097.605477259</v>
      </c>
      <c r="E129" s="54">
        <f t="shared" si="4"/>
        <v>3240885.8661693148</v>
      </c>
      <c r="F129" s="53">
        <f>$K$4*B129</f>
        <v>19503885.351999998</v>
      </c>
      <c r="G129" s="51">
        <f t="shared" si="5"/>
        <v>195038.85351999998</v>
      </c>
      <c r="H129" s="52">
        <f>$K$3*D129</f>
        <v>5191274.4013693146</v>
      </c>
    </row>
    <row r="130" spans="1:8" ht="13.8" x14ac:dyDescent="0.25">
      <c r="A130" s="40">
        <v>0.88011152416356875</v>
      </c>
      <c r="B130" s="40">
        <v>2442.0326973000001</v>
      </c>
      <c r="C130" s="41">
        <f>C129+(((A130+A129)/2)*(B130-B129))</f>
        <v>2374.0086489669125</v>
      </c>
      <c r="D130" s="51">
        <f t="shared" si="3"/>
        <v>20796315.764950156</v>
      </c>
      <c r="E130" s="54">
        <f t="shared" si="4"/>
        <v>3245452.7833975395</v>
      </c>
      <c r="F130" s="53">
        <f>$K$4*B130</f>
        <v>19536261.578400001</v>
      </c>
      <c r="G130" s="51">
        <f t="shared" si="5"/>
        <v>195362.61578400002</v>
      </c>
      <c r="H130" s="52">
        <f>$K$3*D130</f>
        <v>5199078.9412375391</v>
      </c>
    </row>
    <row r="131" spans="1:8" ht="13.8" x14ac:dyDescent="0.25">
      <c r="A131" s="41">
        <v>0.879182156133829</v>
      </c>
      <c r="B131" s="41">
        <v>2449.4090543000002</v>
      </c>
      <c r="C131" s="41">
        <f>C130+(((A131+A130)/2)*(B131-B130))</f>
        <v>2380.4972380937711</v>
      </c>
      <c r="D131" s="51">
        <f t="shared" ref="D131:D194" si="6">C131*24*365</f>
        <v>20853155.805701435</v>
      </c>
      <c r="E131" s="54">
        <f t="shared" ref="E131:E194" si="7">H131-G131-(F131*$K$5)</f>
        <v>3253761.7079853583</v>
      </c>
      <c r="F131" s="53">
        <f>$K$4*B131</f>
        <v>19595272.434400003</v>
      </c>
      <c r="G131" s="51">
        <f t="shared" ref="G131:G194" si="8">F131*0.01</f>
        <v>195952.72434400005</v>
      </c>
      <c r="H131" s="52">
        <f>$K$3*D131</f>
        <v>5213288.9514253587</v>
      </c>
    </row>
    <row r="132" spans="1:8" ht="13.8" x14ac:dyDescent="0.25">
      <c r="A132" s="40">
        <v>0.87825278810408924</v>
      </c>
      <c r="B132" s="40">
        <v>2449.8675846000001</v>
      </c>
      <c r="C132" s="41">
        <f>C131+(((A132+A131)/2)*(B132-B131))</f>
        <v>2380.900156679877</v>
      </c>
      <c r="D132" s="51">
        <f t="shared" si="6"/>
        <v>20856685.372515723</v>
      </c>
      <c r="E132" s="54">
        <f t="shared" si="7"/>
        <v>3254277.2754489309</v>
      </c>
      <c r="F132" s="53">
        <f>$K$4*B132</f>
        <v>19598940.676800001</v>
      </c>
      <c r="G132" s="51">
        <f t="shared" si="8"/>
        <v>195989.40676800002</v>
      </c>
      <c r="H132" s="52">
        <f>$K$3*D132</f>
        <v>5214171.3431289308</v>
      </c>
    </row>
    <row r="133" spans="1:8" ht="13.8" x14ac:dyDescent="0.25">
      <c r="A133" s="41">
        <v>0.87732342007434949</v>
      </c>
      <c r="B133" s="41">
        <v>2453.8747407000001</v>
      </c>
      <c r="C133" s="41">
        <f>C132+(((A133+A132)/2)*(B133-B132))</f>
        <v>2384.4175906356854</v>
      </c>
      <c r="D133" s="51">
        <f t="shared" si="6"/>
        <v>20887498.093968607</v>
      </c>
      <c r="E133" s="54">
        <f t="shared" si="7"/>
        <v>3258774.7309321519</v>
      </c>
      <c r="F133" s="53">
        <f>$K$4*B133</f>
        <v>19630997.9256</v>
      </c>
      <c r="G133" s="51">
        <f t="shared" si="8"/>
        <v>196309.97925599999</v>
      </c>
      <c r="H133" s="52">
        <f>$K$3*D133</f>
        <v>5221874.5234921519</v>
      </c>
    </row>
    <row r="134" spans="1:8" ht="13.8" x14ac:dyDescent="0.25">
      <c r="A134" s="40">
        <v>0.87639405204460963</v>
      </c>
      <c r="B134" s="40">
        <v>2458.3404271000004</v>
      </c>
      <c r="C134" s="41">
        <f>C133+(((A134+A133)/2)*(B134-B133))</f>
        <v>2388.3333667680276</v>
      </c>
      <c r="D134" s="51">
        <f t="shared" si="6"/>
        <v>20921800.292887922</v>
      </c>
      <c r="E134" s="54">
        <f t="shared" si="7"/>
        <v>3263777.731541981</v>
      </c>
      <c r="F134" s="53">
        <f>$K$4*B134</f>
        <v>19666723.416800003</v>
      </c>
      <c r="G134" s="51">
        <f t="shared" si="8"/>
        <v>196667.23416800005</v>
      </c>
      <c r="H134" s="52">
        <f>$K$3*D134</f>
        <v>5230450.0732219806</v>
      </c>
    </row>
    <row r="135" spans="1:8" ht="13.8" x14ac:dyDescent="0.25">
      <c r="A135" s="41">
        <v>0.87546468401486988</v>
      </c>
      <c r="B135" s="41">
        <v>2461.8890529</v>
      </c>
      <c r="C135" s="41">
        <f>C134+(((A135+A134)/2)*(B135-B134))</f>
        <v>2391.4417123223952</v>
      </c>
      <c r="D135" s="51">
        <f t="shared" si="6"/>
        <v>20949029.399944182</v>
      </c>
      <c r="E135" s="54">
        <f t="shared" si="7"/>
        <v>3267746.1076660459</v>
      </c>
      <c r="F135" s="53">
        <f>$K$4*B135</f>
        <v>19695112.4232</v>
      </c>
      <c r="G135" s="51">
        <f t="shared" si="8"/>
        <v>196951.124232</v>
      </c>
      <c r="H135" s="52">
        <f>$K$3*D135</f>
        <v>5237257.3499860456</v>
      </c>
    </row>
    <row r="136" spans="1:8" ht="13.8" x14ac:dyDescent="0.25">
      <c r="A136" s="40">
        <v>0.87453531598513012</v>
      </c>
      <c r="B136" s="40">
        <v>2462.3675193000004</v>
      </c>
      <c r="C136" s="41">
        <f>C135+(((A136+A135)/2)*(B136-B135))</f>
        <v>2391.8603704223956</v>
      </c>
      <c r="D136" s="51">
        <f t="shared" si="6"/>
        <v>20952696.844900187</v>
      </c>
      <c r="E136" s="54">
        <f t="shared" si="7"/>
        <v>3268280.1957850466</v>
      </c>
      <c r="F136" s="53">
        <f>$K$4*B136</f>
        <v>19698940.154400002</v>
      </c>
      <c r="G136" s="51">
        <f t="shared" si="8"/>
        <v>196989.40154400002</v>
      </c>
      <c r="H136" s="52">
        <f>$K$3*D136</f>
        <v>5238174.2112250468</v>
      </c>
    </row>
    <row r="137" spans="1:8" ht="13.8" x14ac:dyDescent="0.25">
      <c r="A137" s="41">
        <v>0.87360594795539037</v>
      </c>
      <c r="B137" s="41">
        <v>2472.9735245000002</v>
      </c>
      <c r="C137" s="41">
        <f>C136+(((A137+A136)/2)*(B137-B136))</f>
        <v>2401.1307680902391</v>
      </c>
      <c r="D137" s="51">
        <f t="shared" si="6"/>
        <v>21033905.528470494</v>
      </c>
      <c r="E137" s="54">
        <f t="shared" si="7"/>
        <v>3280097.5625176234</v>
      </c>
      <c r="F137" s="53">
        <f>$K$4*B137</f>
        <v>19783788.196000002</v>
      </c>
      <c r="G137" s="51">
        <f t="shared" si="8"/>
        <v>197837.88196000003</v>
      </c>
      <c r="H137" s="52">
        <f>$K$3*D137</f>
        <v>5258476.3821176235</v>
      </c>
    </row>
    <row r="138" spans="1:8" ht="13.8" x14ac:dyDescent="0.25">
      <c r="A138" s="40">
        <v>0.87267657992565051</v>
      </c>
      <c r="B138" s="40">
        <v>2476.9208723000006</v>
      </c>
      <c r="C138" s="41">
        <f>C137+(((A138+A137)/2)*(B138-B137))</f>
        <v>2404.5773603375442</v>
      </c>
      <c r="D138" s="51">
        <f t="shared" si="6"/>
        <v>21064097.676556889</v>
      </c>
      <c r="E138" s="54">
        <f t="shared" si="7"/>
        <v>3284487.7212992217</v>
      </c>
      <c r="F138" s="53">
        <f>$K$4*B138</f>
        <v>19815366.978400003</v>
      </c>
      <c r="G138" s="51">
        <f t="shared" si="8"/>
        <v>198153.66978400003</v>
      </c>
      <c r="H138" s="52">
        <f>$K$3*D138</f>
        <v>5266024.4191392222</v>
      </c>
    </row>
    <row r="139" spans="1:8" ht="13.8" x14ac:dyDescent="0.25">
      <c r="A139" s="41">
        <v>0.87174721189591076</v>
      </c>
      <c r="B139" s="41">
        <v>2477.9176772999999</v>
      </c>
      <c r="C139" s="41">
        <f>C138+(((A139+A138)/2)*(B139-B138))</f>
        <v>2405.4467855164471</v>
      </c>
      <c r="D139" s="51">
        <f t="shared" si="6"/>
        <v>21071713.841124076</v>
      </c>
      <c r="E139" s="54">
        <f t="shared" si="7"/>
        <v>3285594.3184410185</v>
      </c>
      <c r="F139" s="53">
        <f>$K$4*B139</f>
        <v>19823341.418400001</v>
      </c>
      <c r="G139" s="51">
        <f t="shared" si="8"/>
        <v>198233.41418400002</v>
      </c>
      <c r="H139" s="52">
        <f>$K$3*D139</f>
        <v>5267928.4602810191</v>
      </c>
    </row>
    <row r="140" spans="1:8" ht="13.8" x14ac:dyDescent="0.25">
      <c r="A140" s="40">
        <v>0.870817843866171</v>
      </c>
      <c r="B140" s="40">
        <v>2480.4296259000002</v>
      </c>
      <c r="C140" s="41">
        <f>C139+(((A140+A139)/2)*(B140-B139))</f>
        <v>2407.6354024425627</v>
      </c>
      <c r="D140" s="51">
        <f t="shared" si="6"/>
        <v>21090886.125396848</v>
      </c>
      <c r="E140" s="54">
        <f t="shared" si="7"/>
        <v>3288377.8306292119</v>
      </c>
      <c r="F140" s="53">
        <f>$K$4*B140</f>
        <v>19843437.007200003</v>
      </c>
      <c r="G140" s="51">
        <f t="shared" si="8"/>
        <v>198434.37007200002</v>
      </c>
      <c r="H140" s="52">
        <f>$K$3*D140</f>
        <v>5272721.5313492119</v>
      </c>
    </row>
    <row r="141" spans="1:8" ht="13.8" x14ac:dyDescent="0.25">
      <c r="A141" s="41">
        <v>0.86988847583643125</v>
      </c>
      <c r="B141" s="41">
        <v>2496.3984420000002</v>
      </c>
      <c r="C141" s="41">
        <f>C140+(((A141+A140)/2)*(B141-B140))</f>
        <v>2421.5339119942819</v>
      </c>
      <c r="D141" s="51">
        <f t="shared" si="6"/>
        <v>21212637.069069911</v>
      </c>
      <c r="E141" s="54">
        <f t="shared" si="7"/>
        <v>3306040.5136674773</v>
      </c>
      <c r="F141" s="53">
        <f>$K$4*B141</f>
        <v>19971187.536000002</v>
      </c>
      <c r="G141" s="51">
        <f t="shared" si="8"/>
        <v>199711.87536000003</v>
      </c>
      <c r="H141" s="52">
        <f>$K$3*D141</f>
        <v>5303159.2672674777</v>
      </c>
    </row>
    <row r="142" spans="1:8" ht="13.8" x14ac:dyDescent="0.25">
      <c r="A142" s="40">
        <v>0.8689591078066915</v>
      </c>
      <c r="B142" s="40">
        <v>2497.2556943</v>
      </c>
      <c r="C142" s="41">
        <f>C141+(((A142+A141)/2)*(B142-B141))</f>
        <v>2422.2792275394954</v>
      </c>
      <c r="D142" s="51">
        <f t="shared" si="6"/>
        <v>21219166.033245981</v>
      </c>
      <c r="E142" s="54">
        <f t="shared" si="7"/>
        <v>3306986.9528714949</v>
      </c>
      <c r="F142" s="53">
        <f>$K$4*B142</f>
        <v>19978045.554400001</v>
      </c>
      <c r="G142" s="51">
        <f t="shared" si="8"/>
        <v>199780.45554400003</v>
      </c>
      <c r="H142" s="52">
        <f>$K$3*D142</f>
        <v>5304791.5083114952</v>
      </c>
    </row>
    <row r="143" spans="1:8" ht="13.8" x14ac:dyDescent="0.25">
      <c r="A143" s="41">
        <v>0.86802973977695164</v>
      </c>
      <c r="B143" s="41">
        <v>2528.8145405999994</v>
      </c>
      <c r="C143" s="41">
        <f>C142+(((A143+A142)/2)*(B143-B142))</f>
        <v>2449.687909572348</v>
      </c>
      <c r="D143" s="51">
        <f t="shared" si="6"/>
        <v>21459266.087853767</v>
      </c>
      <c r="E143" s="54">
        <f t="shared" si="7"/>
        <v>3341764.8894834425</v>
      </c>
      <c r="F143" s="53">
        <f>$K$4*B143</f>
        <v>20230516.324799996</v>
      </c>
      <c r="G143" s="51">
        <f t="shared" si="8"/>
        <v>202305.16324799997</v>
      </c>
      <c r="H143" s="52">
        <f>$K$3*D143</f>
        <v>5364816.5219634417</v>
      </c>
    </row>
    <row r="144" spans="1:8" ht="13.8" x14ac:dyDescent="0.25">
      <c r="A144" s="40">
        <v>0.86710037174721188</v>
      </c>
      <c r="B144" s="40">
        <v>2549.6677011999996</v>
      </c>
      <c r="C144" s="41">
        <f>C143+(((A144+A143)/2)*(B144-B143))</f>
        <v>2467.7793830111027</v>
      </c>
      <c r="D144" s="51">
        <f t="shared" si="6"/>
        <v>21617747.39517726</v>
      </c>
      <c r="E144" s="54">
        <f t="shared" si="7"/>
        <v>3364702.6878343155</v>
      </c>
      <c r="F144" s="53">
        <f>$K$4*B144</f>
        <v>20397341.609599996</v>
      </c>
      <c r="G144" s="51">
        <f t="shared" si="8"/>
        <v>203973.41609599997</v>
      </c>
      <c r="H144" s="52">
        <f>$K$3*D144</f>
        <v>5404436.848794315</v>
      </c>
    </row>
    <row r="145" spans="1:8" ht="13.8" x14ac:dyDescent="0.25">
      <c r="A145" s="41">
        <v>0.86617100371747213</v>
      </c>
      <c r="B145" s="41">
        <v>2550.2657842000003</v>
      </c>
      <c r="C145" s="41">
        <f>C144+(((A145+A144)/2)*(B145-B144))</f>
        <v>2468.2977030831294</v>
      </c>
      <c r="D145" s="51">
        <f t="shared" si="6"/>
        <v>21622287.879008211</v>
      </c>
      <c r="E145" s="54">
        <f t="shared" si="7"/>
        <v>3365359.3423920525</v>
      </c>
      <c r="F145" s="53">
        <f>$K$4*B145</f>
        <v>20402126.273600001</v>
      </c>
      <c r="G145" s="51">
        <f t="shared" si="8"/>
        <v>204021.262736</v>
      </c>
      <c r="H145" s="52">
        <f>$K$3*D145</f>
        <v>5405571.9697520528</v>
      </c>
    </row>
    <row r="146" spans="1:8" ht="13.8" x14ac:dyDescent="0.25">
      <c r="A146" s="40">
        <v>0.86524163568773238</v>
      </c>
      <c r="B146" s="40">
        <v>2552.0999053999999</v>
      </c>
      <c r="C146" s="41">
        <f>C145+(((A146+A145)/2)*(B146-B145))</f>
        <v>2469.8855133970696</v>
      </c>
      <c r="D146" s="51">
        <f t="shared" si="6"/>
        <v>21636197.097358327</v>
      </c>
      <c r="E146" s="54">
        <f t="shared" si="7"/>
        <v>3367369.3500195816</v>
      </c>
      <c r="F146" s="53">
        <f>$K$4*B146</f>
        <v>20416799.2432</v>
      </c>
      <c r="G146" s="51">
        <f t="shared" si="8"/>
        <v>204167.992432</v>
      </c>
      <c r="H146" s="52">
        <f>$K$3*D146</f>
        <v>5409049.2743395818</v>
      </c>
    </row>
    <row r="147" spans="1:8" ht="13.8" x14ac:dyDescent="0.25">
      <c r="A147" s="41">
        <v>0.86431226765799252</v>
      </c>
      <c r="B147" s="41">
        <v>2562.9052716000006</v>
      </c>
      <c r="C147" s="41">
        <f>C146+(((A147+A146)/2)*(B147-B146))</f>
        <v>2479.2297450412152</v>
      </c>
      <c r="D147" s="51">
        <f t="shared" si="6"/>
        <v>21718052.566561047</v>
      </c>
      <c r="E147" s="54">
        <f t="shared" si="7"/>
        <v>3379188.9243602613</v>
      </c>
      <c r="F147" s="53">
        <f>$K$4*B147</f>
        <v>20503242.172800004</v>
      </c>
      <c r="G147" s="51">
        <f t="shared" si="8"/>
        <v>205032.42172800004</v>
      </c>
      <c r="H147" s="52">
        <f>$K$3*D147</f>
        <v>5429513.1416402617</v>
      </c>
    </row>
    <row r="148" spans="1:8" ht="13.8" x14ac:dyDescent="0.25">
      <c r="A148" s="40">
        <v>0.86338289962825276</v>
      </c>
      <c r="B148" s="40">
        <v>2566.9921721000001</v>
      </c>
      <c r="C148" s="41">
        <f>C147+(((A148+A147)/2)*(B148-B147))</f>
        <v>2482.7602041627297</v>
      </c>
      <c r="D148" s="51">
        <f t="shared" si="6"/>
        <v>21748979.388465513</v>
      </c>
      <c r="E148" s="54">
        <f t="shared" si="7"/>
        <v>3383651.1094363779</v>
      </c>
      <c r="F148" s="53">
        <f>$K$4*B148</f>
        <v>20535937.376800001</v>
      </c>
      <c r="G148" s="51">
        <f t="shared" si="8"/>
        <v>205359.37376800002</v>
      </c>
      <c r="H148" s="52">
        <f>$K$3*D148</f>
        <v>5437244.8471163781</v>
      </c>
    </row>
    <row r="149" spans="1:8" ht="13.8" x14ac:dyDescent="0.25">
      <c r="A149" s="41">
        <v>0.86245353159851301</v>
      </c>
      <c r="B149" s="41">
        <v>2572.8932577</v>
      </c>
      <c r="C149" s="41">
        <f>C148+(((A149+A148)/2)*(B149-B148))</f>
        <v>2487.8523584188633</v>
      </c>
      <c r="D149" s="51">
        <f t="shared" si="6"/>
        <v>21793586.659749243</v>
      </c>
      <c r="E149" s="54">
        <f t="shared" si="7"/>
        <v>3390082.0587773109</v>
      </c>
      <c r="F149" s="53">
        <f>$K$4*B149</f>
        <v>20583146.0616</v>
      </c>
      <c r="G149" s="51">
        <f t="shared" si="8"/>
        <v>205831.460616</v>
      </c>
      <c r="H149" s="52">
        <f>$K$3*D149</f>
        <v>5448396.6649373109</v>
      </c>
    </row>
    <row r="150" spans="1:8" ht="13.8" x14ac:dyDescent="0.25">
      <c r="A150" s="40">
        <v>0.86152416356877326</v>
      </c>
      <c r="B150" s="40">
        <v>2573.7106378000008</v>
      </c>
      <c r="C150" s="41">
        <f>C149+(((A150+A149)/2)*(B150-B149))</f>
        <v>2488.5569309493007</v>
      </c>
      <c r="D150" s="51">
        <f t="shared" si="6"/>
        <v>21799758.715115875</v>
      </c>
      <c r="E150" s="54">
        <f t="shared" si="7"/>
        <v>3390971.1685389681</v>
      </c>
      <c r="F150" s="53">
        <f>$K$4*B150</f>
        <v>20589685.102400005</v>
      </c>
      <c r="G150" s="51">
        <f t="shared" si="8"/>
        <v>205896.85102400006</v>
      </c>
      <c r="H150" s="52">
        <f>$K$3*D150</f>
        <v>5449939.6787789688</v>
      </c>
    </row>
    <row r="151" spans="1:8" ht="13.8" x14ac:dyDescent="0.25">
      <c r="A151" s="41">
        <v>0.86059479553903351</v>
      </c>
      <c r="B151" s="41">
        <v>2575.5048868000003</v>
      </c>
      <c r="C151" s="41">
        <f>C150+(((A151+A150)/2)*(B151-B150))</f>
        <v>2490.1018860594304</v>
      </c>
      <c r="D151" s="51">
        <f t="shared" si="6"/>
        <v>21813292.521880612</v>
      </c>
      <c r="E151" s="54">
        <f t="shared" si="7"/>
        <v>3392919.2210301524</v>
      </c>
      <c r="F151" s="53">
        <f>$K$4*B151</f>
        <v>20604039.094400004</v>
      </c>
      <c r="G151" s="51">
        <f t="shared" si="8"/>
        <v>206040.39094400004</v>
      </c>
      <c r="H151" s="52">
        <f>$K$3*D151</f>
        <v>5453323.1304701529</v>
      </c>
    </row>
    <row r="152" spans="1:8" ht="13.8" x14ac:dyDescent="0.25">
      <c r="A152" s="40">
        <v>0.85966542750929364</v>
      </c>
      <c r="B152" s="40">
        <v>2584.0176014999993</v>
      </c>
      <c r="C152" s="41">
        <f>C151+(((A152+A151)/2)*(B152-B151))</f>
        <v>2497.4239283037136</v>
      </c>
      <c r="D152" s="51">
        <f t="shared" si="6"/>
        <v>21877433.611940533</v>
      </c>
      <c r="E152" s="54">
        <f t="shared" si="7"/>
        <v>3402144.3217851343</v>
      </c>
      <c r="F152" s="53">
        <f>$K$4*B152</f>
        <v>20672140.811999995</v>
      </c>
      <c r="G152" s="51">
        <f t="shared" si="8"/>
        <v>206721.40811999995</v>
      </c>
      <c r="H152" s="52">
        <f>$K$3*D152</f>
        <v>5469358.4029851332</v>
      </c>
    </row>
    <row r="153" spans="1:8" ht="13.8" x14ac:dyDescent="0.25">
      <c r="A153" s="41">
        <v>0.85873605947955389</v>
      </c>
      <c r="B153" s="41">
        <v>2587.6060994999998</v>
      </c>
      <c r="C153" s="41">
        <f>C152+(((A153+A152)/2)*(B153-B152))</f>
        <v>2500.5071684533423</v>
      </c>
      <c r="D153" s="51">
        <f t="shared" si="6"/>
        <v>21904442.795651279</v>
      </c>
      <c r="E153" s="54">
        <f t="shared" si="7"/>
        <v>3406025.8193128202</v>
      </c>
      <c r="F153" s="53">
        <f>$K$4*B153</f>
        <v>20700848.796</v>
      </c>
      <c r="G153" s="51">
        <f t="shared" si="8"/>
        <v>207008.48796</v>
      </c>
      <c r="H153" s="52">
        <f>$K$3*D153</f>
        <v>5476110.6989128198</v>
      </c>
    </row>
    <row r="154" spans="1:8" ht="13.8" x14ac:dyDescent="0.25">
      <c r="A154" s="40">
        <v>0.85780669144981414</v>
      </c>
      <c r="B154" s="40">
        <v>2600.2256508</v>
      </c>
      <c r="C154" s="41">
        <f>C153+(((A154+A153)/2)*(B154-B153))</f>
        <v>2511.3381681053406</v>
      </c>
      <c r="D154" s="51">
        <f t="shared" si="6"/>
        <v>21999322.352602784</v>
      </c>
      <c r="E154" s="54">
        <f t="shared" si="7"/>
        <v>3419650.0675106961</v>
      </c>
      <c r="F154" s="53">
        <f>$K$4*B154</f>
        <v>20801805.2064</v>
      </c>
      <c r="G154" s="51">
        <f t="shared" si="8"/>
        <v>208018.05206399999</v>
      </c>
      <c r="H154" s="52">
        <f>$K$3*D154</f>
        <v>5499830.5881506959</v>
      </c>
    </row>
    <row r="155" spans="1:8" ht="13.8" x14ac:dyDescent="0.25">
      <c r="A155" s="41">
        <v>0.85687732342007439</v>
      </c>
      <c r="B155" s="41">
        <v>2608.6785572000003</v>
      </c>
      <c r="C155" s="41">
        <f>C154+(((A155+A154)/2)*(B155-B154))</f>
        <v>2518.5851998469766</v>
      </c>
      <c r="D155" s="51">
        <f t="shared" si="6"/>
        <v>22062806.350659512</v>
      </c>
      <c r="E155" s="54">
        <f t="shared" si="7"/>
        <v>3428758.7419048781</v>
      </c>
      <c r="F155" s="53">
        <f>$K$4*B155</f>
        <v>20869428.457600001</v>
      </c>
      <c r="G155" s="51">
        <f t="shared" si="8"/>
        <v>208694.28457600001</v>
      </c>
      <c r="H155" s="52">
        <f>$K$3*D155</f>
        <v>5515701.587664878</v>
      </c>
    </row>
    <row r="156" spans="1:8" ht="13.8" x14ac:dyDescent="0.25">
      <c r="A156" s="40">
        <v>0.85594795539033453</v>
      </c>
      <c r="B156" s="40">
        <v>2611.4696112000001</v>
      </c>
      <c r="C156" s="41">
        <f>C155+(((A156+A155)/2)*(B156-B155))</f>
        <v>2520.975493769839</v>
      </c>
      <c r="D156" s="51">
        <f t="shared" si="6"/>
        <v>22083745.325423788</v>
      </c>
      <c r="E156" s="54">
        <f t="shared" si="7"/>
        <v>3431760.6423959467</v>
      </c>
      <c r="F156" s="53">
        <f>$K$4*B156</f>
        <v>20891756.889600001</v>
      </c>
      <c r="G156" s="51">
        <f t="shared" si="8"/>
        <v>208917.56889600001</v>
      </c>
      <c r="H156" s="52">
        <f>$K$3*D156</f>
        <v>5520936.3313559471</v>
      </c>
    </row>
    <row r="157" spans="1:8" ht="13.8" x14ac:dyDescent="0.25">
      <c r="A157" s="41">
        <v>0.85501858736059477</v>
      </c>
      <c r="B157" s="41">
        <v>2617.1115274999997</v>
      </c>
      <c r="C157" s="41">
        <f>C156+(((A157+A156)/2)*(B157-B156))</f>
        <v>2525.8020587829892</v>
      </c>
      <c r="D157" s="51">
        <f t="shared" si="6"/>
        <v>22126026.034938987</v>
      </c>
      <c r="E157" s="54">
        <f t="shared" si="7"/>
        <v>3437817.2867347468</v>
      </c>
      <c r="F157" s="53">
        <f>$K$4*B157</f>
        <v>20936892.219999999</v>
      </c>
      <c r="G157" s="51">
        <f t="shared" si="8"/>
        <v>209368.9222</v>
      </c>
      <c r="H157" s="52">
        <f>$K$3*D157</f>
        <v>5531506.5087347468</v>
      </c>
    </row>
    <row r="158" spans="1:8" ht="13.8" x14ac:dyDescent="0.25">
      <c r="A158" s="40">
        <v>0.85408921933085502</v>
      </c>
      <c r="B158" s="40">
        <v>2624.4480122999998</v>
      </c>
      <c r="C158" s="41">
        <f>C157+(((A158+A157)/2)*(B158-B157))</f>
        <v>2532.0714805056659</v>
      </c>
      <c r="D158" s="51">
        <f t="shared" si="6"/>
        <v>22180946.169229634</v>
      </c>
      <c r="E158" s="54">
        <f t="shared" si="7"/>
        <v>3445678.1324674087</v>
      </c>
      <c r="F158" s="53">
        <f>$K$4*B158</f>
        <v>20995584.0984</v>
      </c>
      <c r="G158" s="51">
        <f t="shared" si="8"/>
        <v>209955.84098400001</v>
      </c>
      <c r="H158" s="52">
        <f>$K$3*D158</f>
        <v>5545236.5423074085</v>
      </c>
    </row>
    <row r="159" spans="1:8" ht="13.8" x14ac:dyDescent="0.25">
      <c r="A159" s="41">
        <v>0.85315985130111527</v>
      </c>
      <c r="B159" s="41">
        <v>2640.2972118000002</v>
      </c>
      <c r="C159" s="41">
        <f>C158+(((A159+A158)/2)*(B159-B158))</f>
        <v>2545.6007460639839</v>
      </c>
      <c r="D159" s="51">
        <f t="shared" si="6"/>
        <v>22299462.535520498</v>
      </c>
      <c r="E159" s="54">
        <f t="shared" si="7"/>
        <v>3462627.864440124</v>
      </c>
      <c r="F159" s="53">
        <f>$K$4*B159</f>
        <v>21122377.694400001</v>
      </c>
      <c r="G159" s="51">
        <f t="shared" si="8"/>
        <v>211223.77694400001</v>
      </c>
      <c r="H159" s="52">
        <f>$K$3*D159</f>
        <v>5574865.6338801244</v>
      </c>
    </row>
    <row r="160" spans="1:8" ht="13.8" x14ac:dyDescent="0.25">
      <c r="A160" s="40">
        <v>0.85223048327137552</v>
      </c>
      <c r="B160" s="40">
        <v>2643.4869878000004</v>
      </c>
      <c r="C160" s="41">
        <f>C159+(((A160+A159)/2)*(B160-B159))</f>
        <v>2548.3206526439099</v>
      </c>
      <c r="D160" s="51">
        <f t="shared" si="6"/>
        <v>22323288.917160649</v>
      </c>
      <c r="E160" s="54">
        <f t="shared" si="7"/>
        <v>3466032.6390501624</v>
      </c>
      <c r="F160" s="53">
        <f>$K$4*B160</f>
        <v>21147895.902400002</v>
      </c>
      <c r="G160" s="51">
        <f t="shared" si="8"/>
        <v>211478.95902400001</v>
      </c>
      <c r="H160" s="52">
        <f>$K$3*D160</f>
        <v>5580822.2292901622</v>
      </c>
    </row>
    <row r="161" spans="1:8" ht="13.8" x14ac:dyDescent="0.25">
      <c r="A161" s="41">
        <v>0.85130111524163565</v>
      </c>
      <c r="B161" s="41">
        <v>2655.1496063000004</v>
      </c>
      <c r="C161" s="41">
        <f>C160+(((A161+A160)/2)*(B161-B160))</f>
        <v>2558.254472211986</v>
      </c>
      <c r="D161" s="51">
        <f t="shared" si="6"/>
        <v>22410309.176576998</v>
      </c>
      <c r="E161" s="54">
        <f t="shared" si="7"/>
        <v>3478457.6091042487</v>
      </c>
      <c r="F161" s="53">
        <f>$K$4*B161</f>
        <v>21241196.850400005</v>
      </c>
      <c r="G161" s="51">
        <f t="shared" si="8"/>
        <v>212411.96850400005</v>
      </c>
      <c r="H161" s="52">
        <f>$K$3*D161</f>
        <v>5602577.2941442495</v>
      </c>
    </row>
    <row r="162" spans="1:8" ht="13.8" x14ac:dyDescent="0.25">
      <c r="A162" s="40">
        <v>0.8503717472118959</v>
      </c>
      <c r="B162" s="40">
        <v>2668.446985000001</v>
      </c>
      <c r="C162" s="41">
        <f>C161+(((A162+A161)/2)*(B162-B161))</f>
        <v>2569.5683664497651</v>
      </c>
      <c r="D162" s="51">
        <f t="shared" si="6"/>
        <v>22509418.890099943</v>
      </c>
      <c r="E162" s="54">
        <f t="shared" si="7"/>
        <v>3492597.1345249852</v>
      </c>
      <c r="F162" s="53">
        <f>$K$4*B162</f>
        <v>21347575.880000006</v>
      </c>
      <c r="G162" s="51">
        <f t="shared" si="8"/>
        <v>213475.75880000007</v>
      </c>
      <c r="H162" s="52">
        <f>$K$3*D162</f>
        <v>5627354.7225249857</v>
      </c>
    </row>
    <row r="163" spans="1:8" ht="13.8" x14ac:dyDescent="0.25">
      <c r="A163" s="41">
        <v>0.84944237918215615</v>
      </c>
      <c r="B163" s="41">
        <v>2673.869604200001</v>
      </c>
      <c r="C163" s="41">
        <f>C162+(((A163+A162)/2)*(B163-B162))</f>
        <v>2574.1770888088731</v>
      </c>
      <c r="D163" s="51">
        <f t="shared" si="6"/>
        <v>22549791.297965728</v>
      </c>
      <c r="E163" s="54">
        <f t="shared" si="7"/>
        <v>3498352.1411314318</v>
      </c>
      <c r="F163" s="53">
        <f>$K$4*B163</f>
        <v>21390956.833600007</v>
      </c>
      <c r="G163" s="51">
        <f t="shared" si="8"/>
        <v>213909.56833600008</v>
      </c>
      <c r="H163" s="52">
        <f>$K$3*D163</f>
        <v>5637447.8244914319</v>
      </c>
    </row>
    <row r="164" spans="1:8" ht="13.8" x14ac:dyDescent="0.25">
      <c r="A164" s="40">
        <v>0.8485130111524164</v>
      </c>
      <c r="B164" s="40">
        <v>2675.6239809999997</v>
      </c>
      <c r="C164" s="41">
        <f>C163+(((A164+A163)/2)*(B164-B163))</f>
        <v>2575.666515580991</v>
      </c>
      <c r="D164" s="51">
        <f t="shared" si="6"/>
        <v>22562838.67648948</v>
      </c>
      <c r="E164" s="54">
        <f t="shared" si="7"/>
        <v>3500210.484322371</v>
      </c>
      <c r="F164" s="53">
        <f>$K$4*B164</f>
        <v>21404991.847999997</v>
      </c>
      <c r="G164" s="51">
        <f t="shared" si="8"/>
        <v>214049.91847999999</v>
      </c>
      <c r="H164" s="52">
        <f>$K$3*D164</f>
        <v>5640709.66912237</v>
      </c>
    </row>
    <row r="165" spans="1:8" ht="13.8" x14ac:dyDescent="0.25">
      <c r="A165" s="41">
        <v>0.84758364312267653</v>
      </c>
      <c r="B165" s="41">
        <v>2676.620786</v>
      </c>
      <c r="C165" s="41">
        <f>C164+(((A165+A164)/2)*(B165-B164))</f>
        <v>2576.5118543937238</v>
      </c>
      <c r="D165" s="51">
        <f t="shared" si="6"/>
        <v>22570243.844489019</v>
      </c>
      <c r="E165" s="54">
        <f t="shared" si="7"/>
        <v>3501264.3323222552</v>
      </c>
      <c r="F165" s="53">
        <f>$K$4*B165</f>
        <v>21412966.287999999</v>
      </c>
      <c r="G165" s="51">
        <f t="shared" si="8"/>
        <v>214129.66287999999</v>
      </c>
      <c r="H165" s="52">
        <f>$K$3*D165</f>
        <v>5642560.9611222548</v>
      </c>
    </row>
    <row r="166" spans="1:8" ht="13.8" x14ac:dyDescent="0.25">
      <c r="A166" s="40">
        <v>0.84665427509293678</v>
      </c>
      <c r="B166" s="40">
        <v>2687.2267912000007</v>
      </c>
      <c r="C166" s="41">
        <f>C165+(((A166+A165)/2)*(B166-B165))</f>
        <v>2585.4964024790402</v>
      </c>
      <c r="D166" s="51">
        <f t="shared" si="6"/>
        <v>22648948.485716391</v>
      </c>
      <c r="E166" s="54">
        <f t="shared" si="7"/>
        <v>3512455.688469097</v>
      </c>
      <c r="F166" s="53">
        <f>$K$4*B166</f>
        <v>21497814.329600006</v>
      </c>
      <c r="G166" s="51">
        <f t="shared" si="8"/>
        <v>214978.14329600008</v>
      </c>
      <c r="H166" s="52">
        <f>$K$3*D166</f>
        <v>5662237.1214290978</v>
      </c>
    </row>
    <row r="167" spans="1:8" ht="13.8" x14ac:dyDescent="0.25">
      <c r="A167" s="41">
        <v>0.84572490706319703</v>
      </c>
      <c r="B167" s="41">
        <v>2688.2435323</v>
      </c>
      <c r="C167" s="41">
        <f>C166+(((A167+A166)/2)*(B167-B166))</f>
        <v>2586.3567582146807</v>
      </c>
      <c r="D167" s="51">
        <f t="shared" si="6"/>
        <v>22656485.201960601</v>
      </c>
      <c r="E167" s="54">
        <f t="shared" si="7"/>
        <v>3513526.4746501506</v>
      </c>
      <c r="F167" s="53">
        <f>$K$4*B167</f>
        <v>21505948.258400001</v>
      </c>
      <c r="G167" s="51">
        <f t="shared" si="8"/>
        <v>215059.48258400001</v>
      </c>
      <c r="H167" s="52">
        <f>$K$3*D167</f>
        <v>5664121.3004901502</v>
      </c>
    </row>
    <row r="168" spans="1:8" ht="13.8" x14ac:dyDescent="0.25">
      <c r="A168" s="40">
        <v>0.84479553903345728</v>
      </c>
      <c r="B168" s="40">
        <v>2690.0776535</v>
      </c>
      <c r="C168" s="41">
        <f>C167+(((A168+A167)/2)*(B168-B167))</f>
        <v>2587.9070679092902</v>
      </c>
      <c r="D168" s="51">
        <f t="shared" si="6"/>
        <v>22670065.914885383</v>
      </c>
      <c r="E168" s="54">
        <f t="shared" si="7"/>
        <v>3515454.3559213462</v>
      </c>
      <c r="F168" s="53">
        <f>$K$4*B168</f>
        <v>21520621.228</v>
      </c>
      <c r="G168" s="51">
        <f t="shared" si="8"/>
        <v>215206.21228000001</v>
      </c>
      <c r="H168" s="52">
        <f>$K$3*D168</f>
        <v>5667516.4787213458</v>
      </c>
    </row>
    <row r="169" spans="1:8" ht="13.8" x14ac:dyDescent="0.25">
      <c r="A169" s="41">
        <v>0.84386617100371752</v>
      </c>
      <c r="B169" s="41">
        <v>2690.9349058000003</v>
      </c>
      <c r="C169" s="41">
        <f>C168+(((A169+A168)/2)*(B169-B168))</f>
        <v>2588.6308724767159</v>
      </c>
      <c r="D169" s="51">
        <f t="shared" si="6"/>
        <v>22676406.442896031</v>
      </c>
      <c r="E169" s="54">
        <f t="shared" si="7"/>
        <v>3516353.6860840074</v>
      </c>
      <c r="F169" s="53">
        <f>$K$4*B169</f>
        <v>21527479.246400002</v>
      </c>
      <c r="G169" s="51">
        <f t="shared" si="8"/>
        <v>215274.79246400003</v>
      </c>
      <c r="H169" s="52">
        <f>$K$3*D169</f>
        <v>5669101.6107240077</v>
      </c>
    </row>
    <row r="170" spans="1:8" ht="13.8" x14ac:dyDescent="0.25">
      <c r="A170" s="40">
        <v>0.84293680297397766</v>
      </c>
      <c r="B170" s="40">
        <v>2692.5896020999999</v>
      </c>
      <c r="C170" s="41">
        <f>C169+(((A170+A169)/2)*(B170-B169))</f>
        <v>2590.0264457966505</v>
      </c>
      <c r="D170" s="51">
        <f t="shared" si="6"/>
        <v>22688631.665178657</v>
      </c>
      <c r="E170" s="54">
        <f t="shared" si="7"/>
        <v>3518086.2346146647</v>
      </c>
      <c r="F170" s="53">
        <f>$K$4*B170</f>
        <v>21540716.816799998</v>
      </c>
      <c r="G170" s="51">
        <f t="shared" si="8"/>
        <v>215407.16816799997</v>
      </c>
      <c r="H170" s="52">
        <f>$K$3*D170</f>
        <v>5672157.9162946641</v>
      </c>
    </row>
    <row r="171" spans="1:8" ht="13.8" x14ac:dyDescent="0.25">
      <c r="A171" s="41">
        <v>0.84200743494423791</v>
      </c>
      <c r="B171" s="41">
        <v>2701.0225724000002</v>
      </c>
      <c r="C171" s="41">
        <f>C170+(((A171+A170)/2)*(B171-B170))</f>
        <v>2597.1309881544112</v>
      </c>
      <c r="D171" s="51">
        <f t="shared" si="6"/>
        <v>22750867.456232641</v>
      </c>
      <c r="E171" s="54">
        <f t="shared" si="7"/>
        <v>3526898.8061381602</v>
      </c>
      <c r="F171" s="53">
        <f>$K$4*B171</f>
        <v>21608180.5792</v>
      </c>
      <c r="G171" s="51">
        <f t="shared" si="8"/>
        <v>216081.805792</v>
      </c>
      <c r="H171" s="52">
        <f>$K$3*D171</f>
        <v>5687716.8640581602</v>
      </c>
    </row>
    <row r="172" spans="1:8" ht="13.8" x14ac:dyDescent="0.25">
      <c r="A172" s="40">
        <v>0.84107806691449816</v>
      </c>
      <c r="B172" s="40">
        <v>2704.9699202000002</v>
      </c>
      <c r="C172" s="41">
        <f>C171+(((A172+A171)/2)*(B172-B171))</f>
        <v>2600.4528500808983</v>
      </c>
      <c r="D172" s="51">
        <f t="shared" si="6"/>
        <v>22779966.966708668</v>
      </c>
      <c r="E172" s="54">
        <f t="shared" si="7"/>
        <v>3531015.8055171669</v>
      </c>
      <c r="F172" s="53">
        <f>$K$4*B172</f>
        <v>21639759.3616</v>
      </c>
      <c r="G172" s="51">
        <f t="shared" si="8"/>
        <v>216397.593616</v>
      </c>
      <c r="H172" s="52">
        <f>$K$3*D172</f>
        <v>5694991.7416771669</v>
      </c>
    </row>
    <row r="173" spans="1:8" ht="13.8" x14ac:dyDescent="0.25">
      <c r="A173" s="41">
        <v>0.8401486988847584</v>
      </c>
      <c r="B173" s="41">
        <v>2706.3255749999998</v>
      </c>
      <c r="C173" s="41">
        <f>C172+(((A173+A172)/2)*(B173-B172))</f>
        <v>2601.5924316483702</v>
      </c>
      <c r="D173" s="51">
        <f t="shared" si="6"/>
        <v>22789949.70123972</v>
      </c>
      <c r="E173" s="54">
        <f t="shared" si="7"/>
        <v>3532426.96530993</v>
      </c>
      <c r="F173" s="53">
        <f>$K$4*B173</f>
        <v>21650604.599999998</v>
      </c>
      <c r="G173" s="51">
        <f t="shared" si="8"/>
        <v>216506.04599999997</v>
      </c>
      <c r="H173" s="52">
        <f>$K$3*D173</f>
        <v>5697487.42530993</v>
      </c>
    </row>
    <row r="174" spans="1:8" ht="13.8" x14ac:dyDescent="0.25">
      <c r="A174" s="40">
        <v>0.83921933085501854</v>
      </c>
      <c r="B174" s="40">
        <v>2709.8143924999999</v>
      </c>
      <c r="C174" s="41">
        <f>C173+(((A174+A173)/2)*(B174-B173))</f>
        <v>2604.5219359339185</v>
      </c>
      <c r="D174" s="51">
        <f t="shared" si="6"/>
        <v>22815612.158781126</v>
      </c>
      <c r="E174" s="54">
        <f t="shared" si="7"/>
        <v>3536051.525695282</v>
      </c>
      <c r="F174" s="53">
        <f>$K$4*B174</f>
        <v>21678515.140000001</v>
      </c>
      <c r="G174" s="51">
        <f t="shared" si="8"/>
        <v>216785.1514</v>
      </c>
      <c r="H174" s="52">
        <f>$K$3*D174</f>
        <v>5703903.0396952815</v>
      </c>
    </row>
    <row r="175" spans="1:8" ht="13.8" x14ac:dyDescent="0.25">
      <c r="A175" s="41">
        <v>0.83828996282527879</v>
      </c>
      <c r="B175" s="41">
        <v>2710.5520282000002</v>
      </c>
      <c r="C175" s="41">
        <f>C174+(((A175+A174)/2)*(B175-B174))</f>
        <v>2605.1406313049688</v>
      </c>
      <c r="D175" s="51">
        <f t="shared" si="6"/>
        <v>22821031.930231526</v>
      </c>
      <c r="E175" s="54">
        <f t="shared" si="7"/>
        <v>3536816.359997882</v>
      </c>
      <c r="F175" s="53">
        <f>$K$4*B175</f>
        <v>21684416.2256</v>
      </c>
      <c r="G175" s="51">
        <f t="shared" si="8"/>
        <v>216844.16225600001</v>
      </c>
      <c r="H175" s="52">
        <f>$K$3*D175</f>
        <v>5705257.9825578816</v>
      </c>
    </row>
    <row r="176" spans="1:8" ht="13.8" x14ac:dyDescent="0.25">
      <c r="A176" s="40">
        <v>0.83736059479553904</v>
      </c>
      <c r="B176" s="40">
        <v>2713.3829544000005</v>
      </c>
      <c r="C176" s="41">
        <f>C175+(((A176+A175)/2)*(B176-B175))</f>
        <v>2607.5124528377755</v>
      </c>
      <c r="D176" s="51">
        <f t="shared" si="6"/>
        <v>22841809.086858913</v>
      </c>
      <c r="E176" s="54">
        <f t="shared" si="7"/>
        <v>3539745.9081947282</v>
      </c>
      <c r="F176" s="53">
        <f>$K$4*B176</f>
        <v>21707063.635200005</v>
      </c>
      <c r="G176" s="51">
        <f t="shared" si="8"/>
        <v>217070.63635200006</v>
      </c>
      <c r="H176" s="52">
        <f>$K$3*D176</f>
        <v>5710452.2717147283</v>
      </c>
    </row>
    <row r="177" spans="1:8" ht="13.8" x14ac:dyDescent="0.25">
      <c r="A177" s="41">
        <v>0.83643122676579928</v>
      </c>
      <c r="B177" s="41">
        <v>2715.6955419999999</v>
      </c>
      <c r="C177" s="41">
        <f>C176+(((A177+A176)/2)*(B177-B176))</f>
        <v>2609.447847943537</v>
      </c>
      <c r="D177" s="51">
        <f t="shared" si="6"/>
        <v>22858763.147985384</v>
      </c>
      <c r="E177" s="54">
        <f t="shared" si="7"/>
        <v>3542134.3533963459</v>
      </c>
      <c r="F177" s="53">
        <f>$K$4*B177</f>
        <v>21725564.335999999</v>
      </c>
      <c r="G177" s="51">
        <f t="shared" si="8"/>
        <v>217255.64335999999</v>
      </c>
      <c r="H177" s="52">
        <f>$K$3*D177</f>
        <v>5714690.786996346</v>
      </c>
    </row>
    <row r="178" spans="1:8" ht="13.8" x14ac:dyDescent="0.25">
      <c r="A178" s="40">
        <v>0.83550185873605953</v>
      </c>
      <c r="B178" s="40">
        <v>2717.5695353999999</v>
      </c>
      <c r="C178" s="41">
        <f>C177+(((A178+A177)/2)*(B178-B177))</f>
        <v>2611.0144437272729</v>
      </c>
      <c r="D178" s="51">
        <f t="shared" si="6"/>
        <v>22872486.527050912</v>
      </c>
      <c r="E178" s="54">
        <f t="shared" si="7"/>
        <v>3544066.0034427284</v>
      </c>
      <c r="F178" s="53">
        <f>$K$4*B178</f>
        <v>21740556.283199999</v>
      </c>
      <c r="G178" s="51">
        <f t="shared" si="8"/>
        <v>217405.562832</v>
      </c>
      <c r="H178" s="52">
        <f>$K$3*D178</f>
        <v>5718121.6317627281</v>
      </c>
    </row>
    <row r="179" spans="1:8" ht="13.8" x14ac:dyDescent="0.25">
      <c r="A179" s="41">
        <v>0.83457249070631967</v>
      </c>
      <c r="B179" s="41">
        <v>2717.7290241999999</v>
      </c>
      <c r="C179" s="41">
        <f>C178+(((A179+A178)/2)*(B179-B178))</f>
        <v>2611.1476228042247</v>
      </c>
      <c r="D179" s="51">
        <f t="shared" si="6"/>
        <v>22873653.175765008</v>
      </c>
      <c r="E179" s="54">
        <f t="shared" si="7"/>
        <v>3544230.0745812519</v>
      </c>
      <c r="F179" s="53">
        <f>$K$4*B179</f>
        <v>21741832.193599999</v>
      </c>
      <c r="G179" s="51">
        <f t="shared" si="8"/>
        <v>217418.32193599999</v>
      </c>
      <c r="H179" s="52">
        <f>$K$3*D179</f>
        <v>5718413.2939412519</v>
      </c>
    </row>
    <row r="180" spans="1:8" ht="13.8" x14ac:dyDescent="0.25">
      <c r="A180" s="40">
        <v>0.83364312267657992</v>
      </c>
      <c r="B180" s="40">
        <v>2721.4371388000004</v>
      </c>
      <c r="C180" s="41">
        <f>C179+(((A180+A179)/2)*(B180-B179))</f>
        <v>2614.2405901401917</v>
      </c>
      <c r="D180" s="51">
        <f t="shared" si="6"/>
        <v>22900747.569628078</v>
      </c>
      <c r="E180" s="54">
        <f t="shared" si="7"/>
        <v>3548037.1813670197</v>
      </c>
      <c r="F180" s="53">
        <f>$K$4*B180</f>
        <v>21771497.110400002</v>
      </c>
      <c r="G180" s="51">
        <f t="shared" si="8"/>
        <v>217714.97110400003</v>
      </c>
      <c r="H180" s="52">
        <f>$K$3*D180</f>
        <v>5725186.8924070196</v>
      </c>
    </row>
    <row r="181" spans="1:8" ht="13.8" x14ac:dyDescent="0.25">
      <c r="A181" s="41">
        <v>0.83271375464684017</v>
      </c>
      <c r="B181" s="41">
        <v>2729.9897256999998</v>
      </c>
      <c r="C181" s="41">
        <f>C180+(((A181+A180)/2)*(B181-B180))</f>
        <v>2621.3664211400519</v>
      </c>
      <c r="D181" s="51">
        <f t="shared" si="6"/>
        <v>22963169.849186856</v>
      </c>
      <c r="E181" s="54">
        <f t="shared" si="7"/>
        <v>3556800.6817367142</v>
      </c>
      <c r="F181" s="53">
        <f>$K$4*B181</f>
        <v>21839917.805599999</v>
      </c>
      <c r="G181" s="51">
        <f t="shared" si="8"/>
        <v>218399.178056</v>
      </c>
      <c r="H181" s="52">
        <f>$K$3*D181</f>
        <v>5740792.4622967141</v>
      </c>
    </row>
    <row r="182" spans="1:8" ht="13.8" x14ac:dyDescent="0.25">
      <c r="A182" s="40">
        <v>0.83178438661710041</v>
      </c>
      <c r="B182" s="40">
        <v>2742.5893408999996</v>
      </c>
      <c r="C182" s="41">
        <f>C181+(((A182+A181)/2)*(B182-B181))</f>
        <v>2631.8524391805722</v>
      </c>
      <c r="D182" s="51">
        <f t="shared" si="6"/>
        <v>23055027.367221814</v>
      </c>
      <c r="E182" s="54">
        <f t="shared" si="7"/>
        <v>3569685.3690854535</v>
      </c>
      <c r="F182" s="53">
        <f>$K$4*B182</f>
        <v>21940714.727199998</v>
      </c>
      <c r="G182" s="51">
        <f t="shared" si="8"/>
        <v>219407.14727199997</v>
      </c>
      <c r="H182" s="52">
        <f>$K$3*D182</f>
        <v>5763756.8418054534</v>
      </c>
    </row>
    <row r="183" spans="1:8" ht="13.8" x14ac:dyDescent="0.25">
      <c r="A183" s="41">
        <v>0.83085501858736055</v>
      </c>
      <c r="B183" s="41">
        <v>2756.1259528000005</v>
      </c>
      <c r="C183" s="41">
        <f>C182+(((A183+A182)/2)*(B183-B182))</f>
        <v>2643.105691359523</v>
      </c>
      <c r="D183" s="51">
        <f t="shared" si="6"/>
        <v>23153605.856309421</v>
      </c>
      <c r="E183" s="54">
        <f t="shared" si="7"/>
        <v>3583500.7018373548</v>
      </c>
      <c r="F183" s="53">
        <f>$K$4*B183</f>
        <v>22049007.622400004</v>
      </c>
      <c r="G183" s="51">
        <f t="shared" si="8"/>
        <v>220490.07622400005</v>
      </c>
      <c r="H183" s="52">
        <f>$K$3*D183</f>
        <v>5788401.4640773553</v>
      </c>
    </row>
    <row r="184" spans="1:8" ht="13.8" x14ac:dyDescent="0.25">
      <c r="A184" s="40">
        <v>0.8299256505576208</v>
      </c>
      <c r="B184" s="40">
        <v>2762.8045462999999</v>
      </c>
      <c r="C184" s="41">
        <f>C183+(((A184+A183)/2)*(B184-B183))</f>
        <v>2648.6515308504613</v>
      </c>
      <c r="D184" s="51">
        <f t="shared" si="6"/>
        <v>23202187.410250042</v>
      </c>
      <c r="E184" s="54">
        <f t="shared" si="7"/>
        <v>3590303.2155225109</v>
      </c>
      <c r="F184" s="53">
        <f>$K$4*B184</f>
        <v>22102436.3704</v>
      </c>
      <c r="G184" s="51">
        <f t="shared" si="8"/>
        <v>221024.36370400002</v>
      </c>
      <c r="H184" s="52">
        <f>$K$3*D184</f>
        <v>5800546.8525625104</v>
      </c>
    </row>
    <row r="185" spans="1:8" ht="13.8" x14ac:dyDescent="0.25">
      <c r="A185" s="41">
        <v>0.82899628252788105</v>
      </c>
      <c r="B185" s="41">
        <v>2767.8284435</v>
      </c>
      <c r="C185" s="41">
        <f>C184+(((A185+A184)/2)*(B185-B184))</f>
        <v>2652.8186574777851</v>
      </c>
      <c r="D185" s="51">
        <f t="shared" si="6"/>
        <v>23238691.439505398</v>
      </c>
      <c r="E185" s="54">
        <f t="shared" si="7"/>
        <v>3595410.1050763493</v>
      </c>
      <c r="F185" s="53">
        <f>$K$4*B185</f>
        <v>22142627.548</v>
      </c>
      <c r="G185" s="51">
        <f t="shared" si="8"/>
        <v>221426.27548000001</v>
      </c>
      <c r="H185" s="52">
        <f>$K$3*D185</f>
        <v>5809672.8598763496</v>
      </c>
    </row>
    <row r="186" spans="1:8" ht="13.8" x14ac:dyDescent="0.25">
      <c r="A186" s="40">
        <v>0.82806691449814129</v>
      </c>
      <c r="B186" s="40">
        <v>2774.8060784999998</v>
      </c>
      <c r="C186" s="41">
        <f>C185+(((A186+A185)/2)*(B186-B185))</f>
        <v>2658.5998485581754</v>
      </c>
      <c r="D186" s="51">
        <f t="shared" si="6"/>
        <v>23289334.673369616</v>
      </c>
      <c r="E186" s="54">
        <f t="shared" si="7"/>
        <v>3602488.8055424048</v>
      </c>
      <c r="F186" s="53">
        <f>$K$4*B186</f>
        <v>22198448.627999999</v>
      </c>
      <c r="G186" s="51">
        <f t="shared" si="8"/>
        <v>221984.48627999998</v>
      </c>
      <c r="H186" s="52">
        <f>$K$3*D186</f>
        <v>5822333.6683424041</v>
      </c>
    </row>
    <row r="187" spans="1:8" ht="13.8" x14ac:dyDescent="0.25">
      <c r="A187" s="41">
        <v>0.82713754646840154</v>
      </c>
      <c r="B187" s="41">
        <v>2780.2685698999999</v>
      </c>
      <c r="C187" s="41">
        <f>C186+(((A187+A186)/2)*(B187-B186))</f>
        <v>2663.120618624811</v>
      </c>
      <c r="D187" s="51">
        <f t="shared" si="6"/>
        <v>23328936.619153343</v>
      </c>
      <c r="E187" s="54">
        <f t="shared" si="7"/>
        <v>3608019.2988683358</v>
      </c>
      <c r="F187" s="53">
        <f>$K$4*B187</f>
        <v>22242148.5592</v>
      </c>
      <c r="G187" s="51">
        <f t="shared" si="8"/>
        <v>222421.48559200001</v>
      </c>
      <c r="H187" s="52">
        <f>$K$3*D187</f>
        <v>5832234.1547883358</v>
      </c>
    </row>
    <row r="188" spans="1:8" ht="13.8" x14ac:dyDescent="0.25">
      <c r="A188" s="40">
        <v>0.82620817843866168</v>
      </c>
      <c r="B188" s="40">
        <v>2790.9343834000001</v>
      </c>
      <c r="C188" s="41">
        <f>C187+(((A188+A187)/2)*(B188-B187))</f>
        <v>2671.9377572012518</v>
      </c>
      <c r="D188" s="51">
        <f t="shared" si="6"/>
        <v>23406174.753082965</v>
      </c>
      <c r="E188" s="54">
        <f t="shared" si="7"/>
        <v>3618796.1815507407</v>
      </c>
      <c r="F188" s="53">
        <f>$K$4*B188</f>
        <v>22327475.067200001</v>
      </c>
      <c r="G188" s="51">
        <f t="shared" si="8"/>
        <v>223274.75067200002</v>
      </c>
      <c r="H188" s="52">
        <f>$K$3*D188</f>
        <v>5851543.6882707411</v>
      </c>
    </row>
    <row r="189" spans="1:8" ht="13.8" x14ac:dyDescent="0.25">
      <c r="A189" s="41">
        <v>0.82527881040892193</v>
      </c>
      <c r="B189" s="41">
        <v>2801.6201330000004</v>
      </c>
      <c r="C189" s="41">
        <f>C188+(((A189+A188)/2)*(B189-B188))</f>
        <v>2680.7614454164936</v>
      </c>
      <c r="D189" s="51">
        <f t="shared" si="6"/>
        <v>23483470.261848483</v>
      </c>
      <c r="E189" s="54">
        <f t="shared" si="7"/>
        <v>3629571.4590621209</v>
      </c>
      <c r="F189" s="53">
        <f>$K$4*B189</f>
        <v>22412961.064000003</v>
      </c>
      <c r="G189" s="51">
        <f t="shared" si="8"/>
        <v>224129.61064000003</v>
      </c>
      <c r="H189" s="52">
        <f>$K$3*D189</f>
        <v>5870867.5654621208</v>
      </c>
    </row>
    <row r="190" spans="1:8" ht="13.8" x14ac:dyDescent="0.25">
      <c r="A190" s="40">
        <v>0.82434944237918217</v>
      </c>
      <c r="B190" s="40">
        <v>2807.00288</v>
      </c>
      <c r="C190" s="41">
        <f>C189+(((A190+A189)/2)*(B190-B189))</f>
        <v>2685.2012111808986</v>
      </c>
      <c r="D190" s="51">
        <f t="shared" si="6"/>
        <v>23522362.609944671</v>
      </c>
      <c r="E190" s="54">
        <f t="shared" si="7"/>
        <v>3634988.3484861683</v>
      </c>
      <c r="F190" s="53">
        <f>$K$4*B190</f>
        <v>22456023.039999999</v>
      </c>
      <c r="G190" s="51">
        <f t="shared" si="8"/>
        <v>224560.2304</v>
      </c>
      <c r="H190" s="52">
        <f>$K$3*D190</f>
        <v>5880590.6524861678</v>
      </c>
    </row>
    <row r="191" spans="1:8" ht="13.8" x14ac:dyDescent="0.25">
      <c r="A191" s="41">
        <v>0.82342007434944242</v>
      </c>
      <c r="B191" s="41">
        <v>2808.5778319000001</v>
      </c>
      <c r="C191" s="41">
        <f>C190+(((A191+A190)/2)*(B191-B190))</f>
        <v>2686.4987900464657</v>
      </c>
      <c r="D191" s="51">
        <f t="shared" si="6"/>
        <v>23533729.400807038</v>
      </c>
      <c r="E191" s="54">
        <f t="shared" si="7"/>
        <v>3636570.0846817591</v>
      </c>
      <c r="F191" s="53">
        <f>$K$4*B191</f>
        <v>22468622.655200001</v>
      </c>
      <c r="G191" s="51">
        <f t="shared" si="8"/>
        <v>224686.22655200001</v>
      </c>
      <c r="H191" s="52">
        <f>$K$3*D191</f>
        <v>5883432.3502017595</v>
      </c>
    </row>
    <row r="192" spans="1:8" ht="13.8" x14ac:dyDescent="0.25">
      <c r="A192" s="40">
        <v>0.82249070631970256</v>
      </c>
      <c r="B192" s="40">
        <v>2808.7373207000001</v>
      </c>
      <c r="C192" s="41">
        <f>C191+(((A192+A191)/2)*(B192-B191))</f>
        <v>2686.6300422141235</v>
      </c>
      <c r="D192" s="51">
        <f t="shared" si="6"/>
        <v>23534879.169795722</v>
      </c>
      <c r="E192" s="54">
        <f t="shared" si="7"/>
        <v>3636729.9358889307</v>
      </c>
      <c r="F192" s="53">
        <f>$K$4*B192</f>
        <v>22469898.5656</v>
      </c>
      <c r="G192" s="51">
        <f t="shared" si="8"/>
        <v>224698.985656</v>
      </c>
      <c r="H192" s="52">
        <f>$K$3*D192</f>
        <v>5883719.7924489304</v>
      </c>
    </row>
    <row r="193" spans="1:8" ht="13.8" x14ac:dyDescent="0.25">
      <c r="A193" s="41">
        <v>0.82156133828996281</v>
      </c>
      <c r="B193" s="41">
        <v>2808.9964900000004</v>
      </c>
      <c r="C193" s="41">
        <f>C192+(((A193+A192)/2)*(B193-B192))</f>
        <v>2686.8430861229062</v>
      </c>
      <c r="D193" s="51">
        <f t="shared" si="6"/>
        <v>23536745.43443666</v>
      </c>
      <c r="E193" s="54">
        <f t="shared" si="7"/>
        <v>3636989.1666091648</v>
      </c>
      <c r="F193" s="53">
        <f>$K$4*B193</f>
        <v>22471971.920000002</v>
      </c>
      <c r="G193" s="51">
        <f t="shared" si="8"/>
        <v>224719.71920000002</v>
      </c>
      <c r="H193" s="52">
        <f>$K$3*D193</f>
        <v>5884186.3586091651</v>
      </c>
    </row>
    <row r="194" spans="1:8" ht="13.8" x14ac:dyDescent="0.25">
      <c r="A194" s="40">
        <v>0.82063197026022305</v>
      </c>
      <c r="B194" s="40">
        <v>2809.8736784000007</v>
      </c>
      <c r="C194" s="41">
        <f>C193+(((A194+A193)/2)*(B194-B193))</f>
        <v>2687.5633425833153</v>
      </c>
      <c r="D194" s="51">
        <f t="shared" si="6"/>
        <v>23543054.881029844</v>
      </c>
      <c r="E194" s="54">
        <f t="shared" si="7"/>
        <v>3637864.7775374614</v>
      </c>
      <c r="F194" s="53">
        <f>$K$4*B194</f>
        <v>22478989.427200004</v>
      </c>
      <c r="G194" s="51">
        <f t="shared" si="8"/>
        <v>224789.89427200006</v>
      </c>
      <c r="H194" s="52">
        <f>$K$3*D194</f>
        <v>5885763.7202574611</v>
      </c>
    </row>
    <row r="195" spans="1:8" ht="13.8" x14ac:dyDescent="0.25">
      <c r="A195" s="41">
        <v>0.8197026022304833</v>
      </c>
      <c r="B195" s="41">
        <v>2824.0482455000006</v>
      </c>
      <c r="C195" s="41">
        <f>C194+(((A195+A194)/2)*(B195-B194))</f>
        <v>2699.1888588154247</v>
      </c>
      <c r="D195" s="51">
        <f t="shared" ref="D195:D258" si="9">C195*24*365</f>
        <v>23644894.40322312</v>
      </c>
      <c r="E195" s="54">
        <f t="shared" ref="E195:E258" si="10">H195-G195-(F195*$K$5)</f>
        <v>3651985.0044057788</v>
      </c>
      <c r="F195" s="53">
        <f>$K$4*B195</f>
        <v>22592385.964000005</v>
      </c>
      <c r="G195" s="51">
        <f t="shared" ref="G195:G258" si="11">F195*0.01</f>
        <v>225923.85964000007</v>
      </c>
      <c r="H195" s="52">
        <f>$K$3*D195</f>
        <v>5911223.6008057799</v>
      </c>
    </row>
    <row r="196" spans="1:8" ht="13.8" x14ac:dyDescent="0.25">
      <c r="A196" s="40">
        <v>0.81877323420074355</v>
      </c>
      <c r="B196" s="40">
        <v>2831.0059443999999</v>
      </c>
      <c r="C196" s="41">
        <f>C195+(((A196+A195)/2)*(B196-B195))</f>
        <v>2704.8888695778314</v>
      </c>
      <c r="D196" s="51">
        <f t="shared" si="9"/>
        <v>23694826.497501802</v>
      </c>
      <c r="E196" s="54">
        <f t="shared" si="10"/>
        <v>3658901.8688554503</v>
      </c>
      <c r="F196" s="53">
        <f>$K$4*B196</f>
        <v>22648047.555199999</v>
      </c>
      <c r="G196" s="51">
        <f t="shared" si="11"/>
        <v>226480.47555199999</v>
      </c>
      <c r="H196" s="52">
        <f>$K$3*D196</f>
        <v>5923706.6243754504</v>
      </c>
    </row>
    <row r="197" spans="1:8" ht="13.8" x14ac:dyDescent="0.25">
      <c r="A197" s="41">
        <v>0.81784386617100369</v>
      </c>
      <c r="B197" s="41">
        <v>2832.7603211999999</v>
      </c>
      <c r="C197" s="41">
        <f>C196+(((A197+A196)/2)*(B197-B196))</f>
        <v>2706.3244911135193</v>
      </c>
      <c r="D197" s="51">
        <f t="shared" si="9"/>
        <v>23707402.542154431</v>
      </c>
      <c r="E197" s="54">
        <f t="shared" si="10"/>
        <v>3660642.3785786079</v>
      </c>
      <c r="F197" s="53">
        <f>$K$4*B197</f>
        <v>22662082.569600001</v>
      </c>
      <c r="G197" s="51">
        <f t="shared" si="11"/>
        <v>226620.82569600001</v>
      </c>
      <c r="H197" s="52">
        <f>$K$3*D197</f>
        <v>5926850.6355386078</v>
      </c>
    </row>
    <row r="198" spans="1:8" ht="13.8" x14ac:dyDescent="0.25">
      <c r="A198" s="40">
        <v>0.81691449814126393</v>
      </c>
      <c r="B198" s="40">
        <v>2856.8032578000002</v>
      </c>
      <c r="C198" s="41">
        <f>C197+(((A198+A197)/2)*(B198-B197))</f>
        <v>2725.9766869682594</v>
      </c>
      <c r="D198" s="51">
        <f t="shared" si="9"/>
        <v>23879555.777841955</v>
      </c>
      <c r="E198" s="54">
        <f t="shared" si="10"/>
        <v>3684446.3382204892</v>
      </c>
      <c r="F198" s="53">
        <f>$K$4*B198</f>
        <v>22854426.062400002</v>
      </c>
      <c r="G198" s="51">
        <f t="shared" si="11"/>
        <v>228544.26062400002</v>
      </c>
      <c r="H198" s="52">
        <f>$K$3*D198</f>
        <v>5969888.9444604889</v>
      </c>
    </row>
    <row r="199" spans="1:8" ht="13.8" x14ac:dyDescent="0.25">
      <c r="A199" s="41">
        <v>0.81598513011152418</v>
      </c>
      <c r="B199" s="41">
        <v>2856.8830022000002</v>
      </c>
      <c r="C199" s="41">
        <f>C198+(((A199+A198)/2)*(B199-B198))</f>
        <v>2726.0417942688168</v>
      </c>
      <c r="D199" s="51">
        <f t="shared" si="9"/>
        <v>23880126.117794838</v>
      </c>
      <c r="E199" s="54">
        <f t="shared" si="10"/>
        <v>3684525.1276887096</v>
      </c>
      <c r="F199" s="53">
        <f>$K$4*B199</f>
        <v>22855064.0176</v>
      </c>
      <c r="G199" s="51">
        <f t="shared" si="11"/>
        <v>228550.64017600002</v>
      </c>
      <c r="H199" s="52">
        <f>$K$3*D199</f>
        <v>5970031.5294487095</v>
      </c>
    </row>
    <row r="200" spans="1:8" ht="13.8" x14ac:dyDescent="0.25">
      <c r="A200" s="40">
        <v>0.81505576208178443</v>
      </c>
      <c r="B200" s="40">
        <v>2861.6277940000004</v>
      </c>
      <c r="C200" s="41">
        <f>C199+(((A200+A199)/2)*(B200-B199))</f>
        <v>2729.911268994189</v>
      </c>
      <c r="D200" s="51">
        <f t="shared" si="9"/>
        <v>23914022.716389097</v>
      </c>
      <c r="E200" s="54">
        <f t="shared" si="10"/>
        <v>3689203.4438972739</v>
      </c>
      <c r="F200" s="53">
        <f>$K$4*B200</f>
        <v>22893022.352000002</v>
      </c>
      <c r="G200" s="51">
        <f t="shared" si="11"/>
        <v>228930.22352000003</v>
      </c>
      <c r="H200" s="52">
        <f>$K$3*D200</f>
        <v>5978505.6790972743</v>
      </c>
    </row>
    <row r="201" spans="1:8" ht="13.8" x14ac:dyDescent="0.25">
      <c r="A201" s="41">
        <v>0.81412639405204457</v>
      </c>
      <c r="B201" s="41">
        <v>2877.4769935000004</v>
      </c>
      <c r="C201" s="41">
        <f>C200+(((A201+A200)/2)*(B201-B200))</f>
        <v>2742.8218855013915</v>
      </c>
      <c r="D201" s="51">
        <f t="shared" si="9"/>
        <v>24027119.716992192</v>
      </c>
      <c r="E201" s="54">
        <f t="shared" si="10"/>
        <v>3704798.3344480479</v>
      </c>
      <c r="F201" s="53">
        <f>$K$4*B201</f>
        <v>23019815.948000003</v>
      </c>
      <c r="G201" s="51">
        <f t="shared" si="11"/>
        <v>230198.15948000003</v>
      </c>
      <c r="H201" s="52">
        <f>$K$3*D201</f>
        <v>6006779.929248048</v>
      </c>
    </row>
    <row r="202" spans="1:8" ht="13.8" x14ac:dyDescent="0.25">
      <c r="A202" s="40">
        <v>0.81319702602230481</v>
      </c>
      <c r="B202" s="40">
        <v>2878.9921371</v>
      </c>
      <c r="C202" s="41">
        <f>C201+(((A202+A201)/2)*(B202-B201))</f>
        <v>2744.0546998339191</v>
      </c>
      <c r="D202" s="51">
        <f t="shared" si="9"/>
        <v>24037919.170545131</v>
      </c>
      <c r="E202" s="54">
        <f t="shared" si="10"/>
        <v>3706286.0829562829</v>
      </c>
      <c r="F202" s="53">
        <f>$K$4*B202</f>
        <v>23031937.096799999</v>
      </c>
      <c r="G202" s="51">
        <f t="shared" si="11"/>
        <v>230319.370968</v>
      </c>
      <c r="H202" s="52">
        <f>$K$3*D202</f>
        <v>6009479.7926362827</v>
      </c>
    </row>
    <row r="203" spans="1:8" ht="13.8" x14ac:dyDescent="0.25">
      <c r="A203" s="41">
        <v>0.81226765799256506</v>
      </c>
      <c r="B203" s="41">
        <v>2897.4729017999998</v>
      </c>
      <c r="C203" s="41">
        <f>C202+(((A203+A202)/2)*(B203-B202))</f>
        <v>2759.0746150106384</v>
      </c>
      <c r="D203" s="51">
        <f t="shared" si="9"/>
        <v>24169493.627493192</v>
      </c>
      <c r="E203" s="54">
        <f t="shared" si="10"/>
        <v>3724395.0854332987</v>
      </c>
      <c r="F203" s="53">
        <f>$K$4*B203</f>
        <v>23179783.214399997</v>
      </c>
      <c r="G203" s="51">
        <f t="shared" si="11"/>
        <v>231797.83214399999</v>
      </c>
      <c r="H203" s="52">
        <f>$K$3*D203</f>
        <v>6042373.4068732979</v>
      </c>
    </row>
    <row r="204" spans="1:8" ht="13.8" x14ac:dyDescent="0.25">
      <c r="A204" s="40">
        <v>0.81133828996282531</v>
      </c>
      <c r="B204" s="40">
        <v>2898.9880454000004</v>
      </c>
      <c r="C204" s="41">
        <f>C203+(((A204+A203)/2)*(B204-B203))</f>
        <v>2760.3046130911221</v>
      </c>
      <c r="D204" s="51">
        <f t="shared" si="9"/>
        <v>24180268.410678227</v>
      </c>
      <c r="E204" s="54">
        <f t="shared" si="10"/>
        <v>3725876.6663495568</v>
      </c>
      <c r="F204" s="53">
        <f>$K$4*B204</f>
        <v>23191904.363200001</v>
      </c>
      <c r="G204" s="51">
        <f t="shared" si="11"/>
        <v>231919.04363200002</v>
      </c>
      <c r="H204" s="52">
        <f>$K$3*D204</f>
        <v>6045067.1026695566</v>
      </c>
    </row>
    <row r="205" spans="1:8" ht="13.8" x14ac:dyDescent="0.25">
      <c r="A205" s="41">
        <v>0.81040892193308545</v>
      </c>
      <c r="B205" s="41">
        <v>2899.3867674000003</v>
      </c>
      <c r="C205" s="41">
        <f>C204+(((A205+A204)/2)*(B205-B204))</f>
        <v>2760.6279262370326</v>
      </c>
      <c r="D205" s="51">
        <f t="shared" si="9"/>
        <v>24183100.633836403</v>
      </c>
      <c r="E205" s="54">
        <f t="shared" si="10"/>
        <v>3726265.7445391007</v>
      </c>
      <c r="F205" s="53">
        <f>$K$4*B205</f>
        <v>23195094.139200002</v>
      </c>
      <c r="G205" s="51">
        <f t="shared" si="11"/>
        <v>231950.94139200004</v>
      </c>
      <c r="H205" s="52">
        <f>$K$3*D205</f>
        <v>6045775.1584591009</v>
      </c>
    </row>
    <row r="206" spans="1:8" ht="13.8" x14ac:dyDescent="0.25">
      <c r="A206" s="40">
        <v>0.80947955390334569</v>
      </c>
      <c r="B206" s="40">
        <v>2904.7695144000004</v>
      </c>
      <c r="C206" s="41">
        <f>C205+(((A206+A205)/2)*(B206-B205))</f>
        <v>2764.9876511538541</v>
      </c>
      <c r="D206" s="51">
        <f t="shared" si="9"/>
        <v>24221291.824107766</v>
      </c>
      <c r="E206" s="54">
        <f t="shared" si="10"/>
        <v>3731507.3445069417</v>
      </c>
      <c r="F206" s="53">
        <f>$K$4*B206</f>
        <v>23238156.115200002</v>
      </c>
      <c r="G206" s="51">
        <f t="shared" si="11"/>
        <v>232381.56115200001</v>
      </c>
      <c r="H206" s="52">
        <f>$K$3*D206</f>
        <v>6055322.9560269415</v>
      </c>
    </row>
    <row r="207" spans="1:8" ht="13.8" x14ac:dyDescent="0.25">
      <c r="A207" s="41">
        <v>0.80855018587360594</v>
      </c>
      <c r="B207" s="41">
        <v>2910.9297693000003</v>
      </c>
      <c r="C207" s="41">
        <f>C206+(((A207+A206)/2)*(B207-B206))</f>
        <v>2769.9713889702575</v>
      </c>
      <c r="D207" s="51">
        <f t="shared" si="9"/>
        <v>24264949.367379453</v>
      </c>
      <c r="E207" s="54">
        <f t="shared" si="10"/>
        <v>3737493.5264048628</v>
      </c>
      <c r="F207" s="53">
        <f>$K$4*B207</f>
        <v>23287438.154400002</v>
      </c>
      <c r="G207" s="51">
        <f t="shared" si="11"/>
        <v>232874.38154400003</v>
      </c>
      <c r="H207" s="52">
        <f>$K$3*D207</f>
        <v>6066237.3418448633</v>
      </c>
    </row>
    <row r="208" spans="1:8" ht="13.8" x14ac:dyDescent="0.25">
      <c r="A208" s="40">
        <v>0.80762081784386619</v>
      </c>
      <c r="B208" s="40">
        <v>2925.1840808000002</v>
      </c>
      <c r="C208" s="41">
        <f>C207+(((A208+A207)/2)*(B208-B207))</f>
        <v>2781.4900914323857</v>
      </c>
      <c r="D208" s="51">
        <f t="shared" si="9"/>
        <v>24365853.200947698</v>
      </c>
      <c r="E208" s="54">
        <f t="shared" si="10"/>
        <v>3751316.0355969248</v>
      </c>
      <c r="F208" s="53">
        <f>$K$4*B208</f>
        <v>23401472.646400001</v>
      </c>
      <c r="G208" s="51">
        <f t="shared" si="11"/>
        <v>234014.72646400001</v>
      </c>
      <c r="H208" s="52">
        <f>$K$3*D208</f>
        <v>6091463.3002369246</v>
      </c>
    </row>
    <row r="209" spans="1:8" ht="13.8" x14ac:dyDescent="0.25">
      <c r="A209" s="41">
        <v>0.80669144981412644</v>
      </c>
      <c r="B209" s="41">
        <v>2925.4033779000001</v>
      </c>
      <c r="C209" s="41">
        <f>C208+(((A209+A208)/2)*(B209-B208))</f>
        <v>2781.6670984317816</v>
      </c>
      <c r="D209" s="51">
        <f t="shared" si="9"/>
        <v>24367403.782262404</v>
      </c>
      <c r="E209" s="54">
        <f t="shared" si="10"/>
        <v>3751528.2432456003</v>
      </c>
      <c r="F209" s="53">
        <f>$K$4*B209</f>
        <v>23403227.023200002</v>
      </c>
      <c r="G209" s="51">
        <f t="shared" si="11"/>
        <v>234032.27023200001</v>
      </c>
      <c r="H209" s="52">
        <f>$K$3*D209</f>
        <v>6091850.9455656009</v>
      </c>
    </row>
    <row r="210" spans="1:8" ht="13.8" x14ac:dyDescent="0.25">
      <c r="A210" s="40">
        <v>0.80576208178438657</v>
      </c>
      <c r="B210" s="40">
        <v>2927.7558377</v>
      </c>
      <c r="C210" s="41">
        <f>C209+(((A210+A209)/2)*(B210-B209))</f>
        <v>2783.5637144880084</v>
      </c>
      <c r="D210" s="51">
        <f t="shared" si="9"/>
        <v>24384018.13891495</v>
      </c>
      <c r="E210" s="54">
        <f t="shared" si="10"/>
        <v>3753799.8645687373</v>
      </c>
      <c r="F210" s="53">
        <f>$K$4*B210</f>
        <v>23422046.7016</v>
      </c>
      <c r="G210" s="51">
        <f t="shared" si="11"/>
        <v>234220.46701600001</v>
      </c>
      <c r="H210" s="52">
        <f>$K$3*D210</f>
        <v>6096004.5347287375</v>
      </c>
    </row>
    <row r="211" spans="1:8" ht="13.8" x14ac:dyDescent="0.25">
      <c r="A211" s="41">
        <v>0.80483271375464682</v>
      </c>
      <c r="B211" s="41">
        <v>2942.3889351000003</v>
      </c>
      <c r="C211" s="41">
        <f>C210+(((A211+A210)/2)*(B211-B210))</f>
        <v>2795.3477097455366</v>
      </c>
      <c r="D211" s="51">
        <f t="shared" si="9"/>
        <v>24487245.9373709</v>
      </c>
      <c r="E211" s="54">
        <f t="shared" si="10"/>
        <v>3767900.3362627253</v>
      </c>
      <c r="F211" s="53">
        <f>$K$4*B211</f>
        <v>23539111.480800003</v>
      </c>
      <c r="G211" s="51">
        <f t="shared" si="11"/>
        <v>235391.11480800004</v>
      </c>
      <c r="H211" s="52">
        <f>$K$3*D211</f>
        <v>6121811.484342725</v>
      </c>
    </row>
    <row r="212" spans="1:8" ht="13.8" x14ac:dyDescent="0.25">
      <c r="A212" s="40">
        <v>0.80390334572490707</v>
      </c>
      <c r="B212" s="40">
        <v>2944.5619699999997</v>
      </c>
      <c r="C212" s="41">
        <f>C211+(((A212+A211)/2)*(B212-B211))</f>
        <v>2797.0956295466049</v>
      </c>
      <c r="D212" s="51">
        <f t="shared" si="9"/>
        <v>24502557.714828257</v>
      </c>
      <c r="E212" s="54">
        <f t="shared" si="10"/>
        <v>3769989.8527070642</v>
      </c>
      <c r="F212" s="53">
        <f>$K$4*B212</f>
        <v>23556495.759999998</v>
      </c>
      <c r="G212" s="51">
        <f t="shared" si="11"/>
        <v>235564.95759999999</v>
      </c>
      <c r="H212" s="52">
        <f>$K$3*D212</f>
        <v>6125639.4287070641</v>
      </c>
    </row>
    <row r="213" spans="1:8" ht="13.8" x14ac:dyDescent="0.25">
      <c r="A213" s="41">
        <v>0.80297397769516732</v>
      </c>
      <c r="B213" s="41">
        <v>2957.3210739999995</v>
      </c>
      <c r="C213" s="41">
        <f>C212+(((A213+A212)/2)*(B213-B212))</f>
        <v>2807.3467869889837</v>
      </c>
      <c r="D213" s="51">
        <f t="shared" si="9"/>
        <v>24592357.854023501</v>
      </c>
      <c r="E213" s="54">
        <f t="shared" si="10"/>
        <v>3782232.6043058755</v>
      </c>
      <c r="F213" s="53">
        <f>$K$4*B213</f>
        <v>23658568.591999996</v>
      </c>
      <c r="G213" s="51">
        <f t="shared" si="11"/>
        <v>236585.68591999996</v>
      </c>
      <c r="H213" s="52">
        <f>$K$3*D213</f>
        <v>6148089.4635058753</v>
      </c>
    </row>
    <row r="214" spans="1:8" ht="13.8" x14ac:dyDescent="0.25">
      <c r="A214" s="40">
        <v>0.80204460966542745</v>
      </c>
      <c r="B214" s="40">
        <v>2961.3082940000004</v>
      </c>
      <c r="C214" s="41">
        <f>C213+(((A214+A213)/2)*(B214-B213))</f>
        <v>2810.5465680949324</v>
      </c>
      <c r="D214" s="51">
        <f t="shared" si="9"/>
        <v>24620387.936511606</v>
      </c>
      <c r="E214" s="54">
        <f t="shared" si="10"/>
        <v>3786050.3489279016</v>
      </c>
      <c r="F214" s="53">
        <f>$K$4*B214</f>
        <v>23690466.352000002</v>
      </c>
      <c r="G214" s="51">
        <f t="shared" si="11"/>
        <v>236904.66352000003</v>
      </c>
      <c r="H214" s="52">
        <f>$K$3*D214</f>
        <v>6155096.9841279015</v>
      </c>
    </row>
    <row r="215" spans="1:8" ht="13.8" x14ac:dyDescent="0.25">
      <c r="A215" s="41">
        <v>0.8011152416356877</v>
      </c>
      <c r="B215" s="41">
        <v>2963.7604343000007</v>
      </c>
      <c r="C215" s="41">
        <f>C214+(((A215+A214)/2)*(B215-B214))</f>
        <v>2812.5121545342913</v>
      </c>
      <c r="D215" s="51">
        <f t="shared" si="9"/>
        <v>24637606.47372039</v>
      </c>
      <c r="E215" s="54">
        <f t="shared" si="10"/>
        <v>3788393.2709900974</v>
      </c>
      <c r="F215" s="53">
        <f>$K$4*B215</f>
        <v>23710083.474400006</v>
      </c>
      <c r="G215" s="51">
        <f t="shared" si="11"/>
        <v>237100.83474400008</v>
      </c>
      <c r="H215" s="52">
        <f>$K$3*D215</f>
        <v>6159401.6184300976</v>
      </c>
    </row>
    <row r="216" spans="1:8" ht="13.8" x14ac:dyDescent="0.25">
      <c r="A216" s="40">
        <v>0.80018587360594795</v>
      </c>
      <c r="B216" s="40">
        <v>2963.8003064999998</v>
      </c>
      <c r="C216" s="41">
        <f>C215+(((A216+A215)/2)*(B216-B215))</f>
        <v>2812.544078233454</v>
      </c>
      <c r="D216" s="51">
        <f t="shared" si="9"/>
        <v>24637886.125325058</v>
      </c>
      <c r="E216" s="54">
        <f t="shared" si="10"/>
        <v>3788431.2861312642</v>
      </c>
      <c r="F216" s="53">
        <f>$K$4*B216</f>
        <v>23710402.452</v>
      </c>
      <c r="G216" s="51">
        <f t="shared" si="11"/>
        <v>237104.02452000001</v>
      </c>
      <c r="H216" s="52">
        <f>$K$3*D216</f>
        <v>6159471.5313312644</v>
      </c>
    </row>
    <row r="217" spans="1:8" ht="13.8" x14ac:dyDescent="0.25">
      <c r="A217" s="41">
        <v>0.7992565055762082</v>
      </c>
      <c r="B217" s="41">
        <v>2968.8042676000005</v>
      </c>
      <c r="C217" s="41">
        <f>C216+(((A217+A216)/2)*(B217-B216))</f>
        <v>2816.5458519570138</v>
      </c>
      <c r="D217" s="51">
        <f t="shared" si="9"/>
        <v>24672941.663143445</v>
      </c>
      <c r="E217" s="54">
        <f t="shared" si="10"/>
        <v>3793192.0017058607</v>
      </c>
      <c r="F217" s="53">
        <f>$K$4*B217</f>
        <v>23750434.140800003</v>
      </c>
      <c r="G217" s="51">
        <f t="shared" si="11"/>
        <v>237504.34140800004</v>
      </c>
      <c r="H217" s="52">
        <f>$K$3*D217</f>
        <v>6168235.4157858612</v>
      </c>
    </row>
    <row r="218" spans="1:8" ht="13.8" x14ac:dyDescent="0.25">
      <c r="A218" s="40">
        <v>0.79832713754646845</v>
      </c>
      <c r="B218" s="40">
        <v>2969.7811365000002</v>
      </c>
      <c r="C218" s="41">
        <f>C217+(((A218+A217)/2)*(B218-B217))</f>
        <v>2817.3261668450714</v>
      </c>
      <c r="D218" s="51">
        <f t="shared" si="9"/>
        <v>24679777.221562821</v>
      </c>
      <c r="E218" s="54">
        <f t="shared" si="10"/>
        <v>3794119.3961907057</v>
      </c>
      <c r="F218" s="53">
        <f>$K$4*B218</f>
        <v>23758249.092</v>
      </c>
      <c r="G218" s="51">
        <f t="shared" si="11"/>
        <v>237582.49092000001</v>
      </c>
      <c r="H218" s="52">
        <f>$K$3*D218</f>
        <v>6169944.3053907054</v>
      </c>
    </row>
    <row r="219" spans="1:8" ht="13.8" x14ac:dyDescent="0.25">
      <c r="A219" s="41">
        <v>0.79739776951672858</v>
      </c>
      <c r="B219" s="41">
        <v>2971.2962800999999</v>
      </c>
      <c r="C219" s="41">
        <f>C218+(((A219+A218)/2)*(B219-B218))</f>
        <v>2818.5350430352196</v>
      </c>
      <c r="D219" s="51">
        <f t="shared" si="9"/>
        <v>24690366.976988524</v>
      </c>
      <c r="E219" s="54">
        <f t="shared" si="10"/>
        <v>3795554.7201671312</v>
      </c>
      <c r="F219" s="53">
        <f>$K$4*B219</f>
        <v>23770370.240800001</v>
      </c>
      <c r="G219" s="51">
        <f t="shared" si="11"/>
        <v>237703.70240800001</v>
      </c>
      <c r="H219" s="52">
        <f>$K$3*D219</f>
        <v>6172591.744247131</v>
      </c>
    </row>
    <row r="220" spans="1:8" ht="13.8" x14ac:dyDescent="0.25">
      <c r="A220" s="40">
        <v>0.79646840148698883</v>
      </c>
      <c r="B220" s="40">
        <v>2971.6551299000002</v>
      </c>
      <c r="C220" s="41">
        <f>C219+(((A220+A219)/2)*(B220-B219))</f>
        <v>2818.8210223135657</v>
      </c>
      <c r="D220" s="51">
        <f t="shared" si="9"/>
        <v>24692872.15546684</v>
      </c>
      <c r="E220" s="54">
        <f t="shared" si="10"/>
        <v>3795893.9349467098</v>
      </c>
      <c r="F220" s="53">
        <f>$K$4*B220</f>
        <v>23773241.0392</v>
      </c>
      <c r="G220" s="51">
        <f t="shared" si="11"/>
        <v>237732.41039200002</v>
      </c>
      <c r="H220" s="52">
        <f>$K$3*D220</f>
        <v>6173218.0388667099</v>
      </c>
    </row>
    <row r="221" spans="1:8" ht="13.8" x14ac:dyDescent="0.25">
      <c r="A221" s="41">
        <v>0.79553903345724908</v>
      </c>
      <c r="B221" s="41">
        <v>2977.6758320999998</v>
      </c>
      <c r="C221" s="41">
        <f>C220+(((A221+A220)/2)*(B221-B220))</f>
        <v>2823.613523646558</v>
      </c>
      <c r="D221" s="51">
        <f t="shared" si="9"/>
        <v>24734854.467143849</v>
      </c>
      <c r="E221" s="54">
        <f t="shared" si="10"/>
        <v>3801572.951105962</v>
      </c>
      <c r="F221" s="53">
        <f>$K$4*B221</f>
        <v>23821406.656799998</v>
      </c>
      <c r="G221" s="51">
        <f t="shared" si="11"/>
        <v>238214.06656799998</v>
      </c>
      <c r="H221" s="52">
        <f>$K$3*D221</f>
        <v>6183713.6167859621</v>
      </c>
    </row>
    <row r="222" spans="1:8" ht="13.8" x14ac:dyDescent="0.25">
      <c r="A222" s="40">
        <v>0.79460966542750933</v>
      </c>
      <c r="B222" s="40">
        <v>2980.8656081000004</v>
      </c>
      <c r="C222" s="41">
        <f>C221+(((A222+A221)/2)*(B222-B221))</f>
        <v>2826.1496327246255</v>
      </c>
      <c r="D222" s="51">
        <f t="shared" si="9"/>
        <v>24757070.782667719</v>
      </c>
      <c r="E222" s="54">
        <f t="shared" si="10"/>
        <v>3804575.2091869297</v>
      </c>
      <c r="F222" s="53">
        <f>$K$4*B222</f>
        <v>23846924.864800002</v>
      </c>
      <c r="G222" s="51">
        <f t="shared" si="11"/>
        <v>238469.24864800004</v>
      </c>
      <c r="H222" s="52">
        <f>$K$3*D222</f>
        <v>6189267.6956669297</v>
      </c>
    </row>
    <row r="223" spans="1:8" ht="13.8" x14ac:dyDescent="0.25">
      <c r="A223" s="41">
        <v>0.79368029739776946</v>
      </c>
      <c r="B223" s="41">
        <v>2987.3448406000002</v>
      </c>
      <c r="C223" s="41">
        <f>C222+(((A223+A222)/2)*(B223-B222))</f>
        <v>2831.2950826979059</v>
      </c>
      <c r="D223" s="51">
        <f t="shared" si="9"/>
        <v>24802144.924433652</v>
      </c>
      <c r="E223" s="54">
        <f t="shared" si="10"/>
        <v>3810660.3586284127</v>
      </c>
      <c r="F223" s="53">
        <f>$K$4*B223</f>
        <v>23898758.724800002</v>
      </c>
      <c r="G223" s="51">
        <f t="shared" si="11"/>
        <v>238987.58724800003</v>
      </c>
      <c r="H223" s="52">
        <f>$K$3*D223</f>
        <v>6200536.2311084131</v>
      </c>
    </row>
    <row r="224" spans="1:8" ht="13.8" x14ac:dyDescent="0.25">
      <c r="A224" s="40">
        <v>0.79275092936802971</v>
      </c>
      <c r="B224" s="40">
        <v>2989.8169170000001</v>
      </c>
      <c r="C224" s="41">
        <f>C223+(((A224+A223)/2)*(B224-B223))</f>
        <v>2833.2559722958613</v>
      </c>
      <c r="D224" s="51">
        <f t="shared" si="9"/>
        <v>24819322.317311745</v>
      </c>
      <c r="E224" s="54">
        <f t="shared" si="10"/>
        <v>3812977.0457279366</v>
      </c>
      <c r="F224" s="53">
        <f>$K$4*B224</f>
        <v>23918535.335999999</v>
      </c>
      <c r="G224" s="51">
        <f t="shared" si="11"/>
        <v>239185.35336000001</v>
      </c>
      <c r="H224" s="52">
        <f>$K$3*D224</f>
        <v>6204830.5793279363</v>
      </c>
    </row>
    <row r="225" spans="1:8" ht="13.8" x14ac:dyDescent="0.25">
      <c r="A225" s="41">
        <v>0.79182156133828996</v>
      </c>
      <c r="B225" s="41">
        <v>3002.1772989999995</v>
      </c>
      <c r="C225" s="41">
        <f>C224+(((A225+A224)/2)*(B225-B224))</f>
        <v>2843.0489329417715</v>
      </c>
      <c r="D225" s="51">
        <f t="shared" si="9"/>
        <v>24905108.652569916</v>
      </c>
      <c r="E225" s="54">
        <f t="shared" si="10"/>
        <v>3824535.3239424797</v>
      </c>
      <c r="F225" s="53">
        <f>$K$4*B225</f>
        <v>24017418.391999997</v>
      </c>
      <c r="G225" s="51">
        <f t="shared" si="11"/>
        <v>240174.18391999998</v>
      </c>
      <c r="H225" s="52">
        <f>$K$3*D225</f>
        <v>6226277.163142479</v>
      </c>
    </row>
    <row r="226" spans="1:8" ht="13.8" x14ac:dyDescent="0.25">
      <c r="A226" s="40">
        <v>0.79089219330855021</v>
      </c>
      <c r="B226" s="40">
        <v>3011.7266909</v>
      </c>
      <c r="C226" s="41">
        <f>C225+(((A226+A225)/2)*(B226-B225))</f>
        <v>2850.6059098960936</v>
      </c>
      <c r="D226" s="51">
        <f t="shared" si="9"/>
        <v>24971307.770689778</v>
      </c>
      <c r="E226" s="54">
        <f t="shared" si="10"/>
        <v>3833445.5899524447</v>
      </c>
      <c r="F226" s="53">
        <f>$K$4*B226</f>
        <v>24093813.527199998</v>
      </c>
      <c r="G226" s="51">
        <f t="shared" si="11"/>
        <v>240938.13527199998</v>
      </c>
      <c r="H226" s="52">
        <f>$K$3*D226</f>
        <v>6242826.9426724445</v>
      </c>
    </row>
    <row r="227" spans="1:8" ht="13.8" x14ac:dyDescent="0.25">
      <c r="A227" s="41">
        <v>0.78996282527881045</v>
      </c>
      <c r="B227" s="41">
        <v>3019.1827923000001</v>
      </c>
      <c r="C227" s="41">
        <f>C226+(((A227+A226)/2)*(B227-B226))</f>
        <v>2856.4994175547367</v>
      </c>
      <c r="D227" s="51">
        <f t="shared" si="9"/>
        <v>25022934.897779495</v>
      </c>
      <c r="E227" s="54">
        <f t="shared" si="10"/>
        <v>3840387.4906048742</v>
      </c>
      <c r="F227" s="53">
        <f>$K$4*B227</f>
        <v>24153462.338399999</v>
      </c>
      <c r="G227" s="51">
        <f t="shared" si="11"/>
        <v>241534.62338400001</v>
      </c>
      <c r="H227" s="52">
        <f>$K$3*D227</f>
        <v>6255733.7244448736</v>
      </c>
    </row>
    <row r="228" spans="1:8" ht="13.8" x14ac:dyDescent="0.25">
      <c r="A228" s="40">
        <v>0.78903345724907059</v>
      </c>
      <c r="B228" s="40">
        <v>3021.9937823999999</v>
      </c>
      <c r="C228" s="41">
        <f>C227+(((A228+A227)/2)*(B228-B227))</f>
        <v>2858.7186890137978</v>
      </c>
      <c r="D228" s="51">
        <f t="shared" si="9"/>
        <v>25042375.715760868</v>
      </c>
      <c r="E228" s="54">
        <f t="shared" si="10"/>
        <v>3842998.9030202171</v>
      </c>
      <c r="F228" s="53">
        <f>$K$4*B228</f>
        <v>24175950.259199999</v>
      </c>
      <c r="G228" s="51">
        <f t="shared" si="11"/>
        <v>241759.502592</v>
      </c>
      <c r="H228" s="52">
        <f>$K$3*D228</f>
        <v>6260593.928940217</v>
      </c>
    </row>
    <row r="229" spans="1:8" ht="13.8" x14ac:dyDescent="0.25">
      <c r="A229" s="41">
        <v>0.78810408921933084</v>
      </c>
      <c r="B229" s="41">
        <v>3023.4092455</v>
      </c>
      <c r="C229" s="41">
        <f>C228+(((A229+A228)/2)*(B229-B228))</f>
        <v>2859.8348790141231</v>
      </c>
      <c r="D229" s="51">
        <f t="shared" si="9"/>
        <v>25052153.540163718</v>
      </c>
      <c r="E229" s="54">
        <f t="shared" si="10"/>
        <v>3844310.9886409291</v>
      </c>
      <c r="F229" s="53">
        <f>$K$4*B229</f>
        <v>24187273.964000002</v>
      </c>
      <c r="G229" s="51">
        <f t="shared" si="11"/>
        <v>241872.73964000001</v>
      </c>
      <c r="H229" s="52">
        <f>$K$3*D229</f>
        <v>6263038.3850409295</v>
      </c>
    </row>
    <row r="230" spans="1:8" ht="13.8" x14ac:dyDescent="0.25">
      <c r="A230" s="40">
        <v>0.78717472118959109</v>
      </c>
      <c r="B230" s="40">
        <v>3023.9076479999994</v>
      </c>
      <c r="C230" s="41">
        <f>C229+(((A230+A229)/2)*(B230-B229))</f>
        <v>2860.2274404627751</v>
      </c>
      <c r="D230" s="51">
        <f t="shared" si="9"/>
        <v>25055592.37845391</v>
      </c>
      <c r="E230" s="54">
        <f t="shared" si="10"/>
        <v>3844771.9762134776</v>
      </c>
      <c r="F230" s="53">
        <f>$K$4*B230</f>
        <v>24191261.183999997</v>
      </c>
      <c r="G230" s="51">
        <f t="shared" si="11"/>
        <v>241912.61183999997</v>
      </c>
      <c r="H230" s="52">
        <f>$K$3*D230</f>
        <v>6263898.0946134776</v>
      </c>
    </row>
    <row r="231" spans="1:8" ht="13.8" x14ac:dyDescent="0.25">
      <c r="A231" s="41">
        <v>0.78624535315985133</v>
      </c>
      <c r="B231" s="41">
        <v>3024.9642613000001</v>
      </c>
      <c r="C231" s="41">
        <f>C230+(((A231+A230)/2)*(B231-B230))</f>
        <v>2861.0586887512977</v>
      </c>
      <c r="D231" s="51">
        <f t="shared" si="9"/>
        <v>25062874.113461368</v>
      </c>
      <c r="E231" s="54">
        <f t="shared" si="10"/>
        <v>3845747.1193253421</v>
      </c>
      <c r="F231" s="53">
        <f>$K$4*B231</f>
        <v>24199714.090399999</v>
      </c>
      <c r="G231" s="51">
        <f t="shared" si="11"/>
        <v>241997.140904</v>
      </c>
      <c r="H231" s="52">
        <f>$K$3*D231</f>
        <v>6265718.5283653419</v>
      </c>
    </row>
    <row r="232" spans="1:8" ht="13.8" x14ac:dyDescent="0.25">
      <c r="A232" s="40">
        <v>0.78531598513011147</v>
      </c>
      <c r="B232" s="40">
        <v>3029.1109701</v>
      </c>
      <c r="C232" s="41">
        <f>C231+(((A232+A231)/2)*(B232-B231))</f>
        <v>2864.3170923669109</v>
      </c>
      <c r="D232" s="51">
        <f t="shared" si="9"/>
        <v>25091417.729134139</v>
      </c>
      <c r="E232" s="54">
        <f t="shared" si="10"/>
        <v>3849565.6562035345</v>
      </c>
      <c r="F232" s="53">
        <f>$K$4*B232</f>
        <v>24232887.7608</v>
      </c>
      <c r="G232" s="51">
        <f t="shared" si="11"/>
        <v>242328.87760800001</v>
      </c>
      <c r="H232" s="52">
        <f>$K$3*D232</f>
        <v>6272854.4322835347</v>
      </c>
    </row>
    <row r="233" spans="1:8" ht="13.8" x14ac:dyDescent="0.25">
      <c r="A233" s="41">
        <v>0.78438661710037172</v>
      </c>
      <c r="B233" s="41">
        <v>3030.4666249000002</v>
      </c>
      <c r="C233" s="41">
        <f>C232+(((A233+A232)/2)*(B233-B232))</f>
        <v>2865.3810798005543</v>
      </c>
      <c r="D233" s="51">
        <f t="shared" si="9"/>
        <v>25100738.259052854</v>
      </c>
      <c r="E233" s="54">
        <f t="shared" si="10"/>
        <v>3850811.2648432134</v>
      </c>
      <c r="F233" s="53">
        <f>$K$4*B233</f>
        <v>24243732.999200001</v>
      </c>
      <c r="G233" s="51">
        <f t="shared" si="11"/>
        <v>242437.32999200001</v>
      </c>
      <c r="H233" s="52">
        <f>$K$3*D233</f>
        <v>6275184.5647632135</v>
      </c>
    </row>
    <row r="234" spans="1:8" ht="13.8" x14ac:dyDescent="0.25">
      <c r="A234" s="40">
        <v>0.78345724907063197</v>
      </c>
      <c r="B234" s="40">
        <v>3030.9849635</v>
      </c>
      <c r="C234" s="41">
        <f>C233+(((A234+A233)/2)*(B234-B233))</f>
        <v>2865.7874167978589</v>
      </c>
      <c r="D234" s="51">
        <f t="shared" si="9"/>
        <v>25104297.771149244</v>
      </c>
      <c r="E234" s="54">
        <f t="shared" si="10"/>
        <v>3851286.4719873113</v>
      </c>
      <c r="F234" s="53">
        <f>$K$4*B234</f>
        <v>24247879.708000001</v>
      </c>
      <c r="G234" s="51">
        <f t="shared" si="11"/>
        <v>242478.79708000002</v>
      </c>
      <c r="H234" s="52">
        <f>$K$3*D234</f>
        <v>6276074.442787311</v>
      </c>
    </row>
    <row r="235" spans="1:8" ht="13.8" x14ac:dyDescent="0.25">
      <c r="A235" s="41">
        <v>0.78252788104089221</v>
      </c>
      <c r="B235" s="41">
        <v>3031.2441328000004</v>
      </c>
      <c r="C235" s="41">
        <f>C234+(((A235+A234)/2)*(B235-B234))</f>
        <v>2865.9903444328497</v>
      </c>
      <c r="D235" s="51">
        <f t="shared" si="9"/>
        <v>25106075.417231761</v>
      </c>
      <c r="E235" s="54">
        <f t="shared" si="10"/>
        <v>3851523.5480679399</v>
      </c>
      <c r="F235" s="53">
        <f>$K$4*B235</f>
        <v>24249953.062400002</v>
      </c>
      <c r="G235" s="51">
        <f t="shared" si="11"/>
        <v>242499.53062400004</v>
      </c>
      <c r="H235" s="52">
        <f>$K$3*D235</f>
        <v>6276518.8543079402</v>
      </c>
    </row>
    <row r="236" spans="1:8" ht="13.8" x14ac:dyDescent="0.25">
      <c r="A236" s="40">
        <v>0.78159851301115246</v>
      </c>
      <c r="B236" s="40">
        <v>3044.6212558999996</v>
      </c>
      <c r="C236" s="41">
        <f>C235+(((A236+A235)/2)*(B236-B235))</f>
        <v>2876.4521000914456</v>
      </c>
      <c r="D236" s="51">
        <f t="shared" si="9"/>
        <v>25197720.396801062</v>
      </c>
      <c r="E236" s="54">
        <f t="shared" si="10"/>
        <v>3863733.0944802659</v>
      </c>
      <c r="F236" s="53">
        <f>$K$4*B236</f>
        <v>24356970.047199998</v>
      </c>
      <c r="G236" s="51">
        <f t="shared" si="11"/>
        <v>243569.700472</v>
      </c>
      <c r="H236" s="52">
        <f>$K$3*D236</f>
        <v>6299430.0992002655</v>
      </c>
    </row>
    <row r="237" spans="1:8" ht="13.8" x14ac:dyDescent="0.25">
      <c r="A237" s="41">
        <v>0.7806691449814126</v>
      </c>
      <c r="B237" s="41">
        <v>3046.4155049000005</v>
      </c>
      <c r="C237" s="41">
        <f>C236+(((A237+A236)/2)*(B237-B236))</f>
        <v>2877.8536486829889</v>
      </c>
      <c r="D237" s="51">
        <f t="shared" si="9"/>
        <v>25209997.962462984</v>
      </c>
      <c r="E237" s="54">
        <f t="shared" si="10"/>
        <v>3865367.0866957451</v>
      </c>
      <c r="F237" s="53">
        <f>$K$4*B237</f>
        <v>24371324.039200004</v>
      </c>
      <c r="G237" s="51">
        <f t="shared" si="11"/>
        <v>243713.24039200004</v>
      </c>
      <c r="H237" s="52">
        <f>$K$3*D237</f>
        <v>6302499.490615746</v>
      </c>
    </row>
    <row r="238" spans="1:8" ht="13.8" x14ac:dyDescent="0.25">
      <c r="A238" s="40">
        <v>0.77973977695167285</v>
      </c>
      <c r="B238" s="40">
        <v>3051.7583797000002</v>
      </c>
      <c r="C238" s="41">
        <f>C237+(((A238+A237)/2)*(B238-B237))</f>
        <v>2882.0221834363342</v>
      </c>
      <c r="D238" s="51">
        <f t="shared" si="9"/>
        <v>25246514.326902285</v>
      </c>
      <c r="E238" s="54">
        <f t="shared" si="10"/>
        <v>3870221.8779655709</v>
      </c>
      <c r="F238" s="53">
        <f>$K$4*B238</f>
        <v>24414067.037600003</v>
      </c>
      <c r="G238" s="51">
        <f t="shared" si="11"/>
        <v>244140.67037600002</v>
      </c>
      <c r="H238" s="52">
        <f>$K$3*D238</f>
        <v>6311628.5817255713</v>
      </c>
    </row>
    <row r="239" spans="1:8" ht="13.8" x14ac:dyDescent="0.25">
      <c r="A239" s="41">
        <v>0.77881040892193309</v>
      </c>
      <c r="B239" s="41">
        <v>3054.2902643999996</v>
      </c>
      <c r="C239" s="41">
        <f>C238+(((A239+A238)/2)*(B239-B238))</f>
        <v>2883.9952181212316</v>
      </c>
      <c r="D239" s="51">
        <f t="shared" si="9"/>
        <v>25263798.110741988</v>
      </c>
      <c r="E239" s="54">
        <f t="shared" si="10"/>
        <v>3872517.3161654971</v>
      </c>
      <c r="F239" s="53">
        <f>$K$4*B239</f>
        <v>24434322.115199998</v>
      </c>
      <c r="G239" s="51">
        <f t="shared" si="11"/>
        <v>244343.22115199998</v>
      </c>
      <c r="H239" s="52">
        <f>$K$3*D239</f>
        <v>6315949.527685497</v>
      </c>
    </row>
    <row r="240" spans="1:8" ht="13.8" x14ac:dyDescent="0.25">
      <c r="A240" s="40">
        <v>0.77788104089219334</v>
      </c>
      <c r="B240" s="40">
        <v>3056.0446412000006</v>
      </c>
      <c r="C240" s="41">
        <f>C239+(((A240+A239)/2)*(B240-B239))</f>
        <v>2885.3607298033885</v>
      </c>
      <c r="D240" s="51">
        <f t="shared" si="9"/>
        <v>25275759.99307768</v>
      </c>
      <c r="E240" s="54">
        <f t="shared" si="10"/>
        <v>3874104.28530942</v>
      </c>
      <c r="F240" s="53">
        <f>$K$4*B240</f>
        <v>24448357.129600003</v>
      </c>
      <c r="G240" s="51">
        <f t="shared" si="11"/>
        <v>244483.57129600004</v>
      </c>
      <c r="H240" s="52">
        <f>$K$3*D240</f>
        <v>6318939.9982694201</v>
      </c>
    </row>
    <row r="241" spans="1:8" ht="13.8" x14ac:dyDescent="0.25">
      <c r="A241" s="41">
        <v>0.77695167286245348</v>
      </c>
      <c r="B241" s="41">
        <v>3058.6562703</v>
      </c>
      <c r="C241" s="41">
        <f>C240+(((A241+A240)/2)*(B241-B240))</f>
        <v>2887.3910529838249</v>
      </c>
      <c r="D241" s="51">
        <f t="shared" si="9"/>
        <v>25293545.624138307</v>
      </c>
      <c r="E241" s="54">
        <f t="shared" si="10"/>
        <v>3876461.3897945764</v>
      </c>
      <c r="F241" s="53">
        <f>$K$4*B241</f>
        <v>24469250.1624</v>
      </c>
      <c r="G241" s="51">
        <f t="shared" si="11"/>
        <v>244692.501624</v>
      </c>
      <c r="H241" s="52">
        <f>$K$3*D241</f>
        <v>6323386.4060345767</v>
      </c>
    </row>
    <row r="242" spans="1:8" ht="13.8" x14ac:dyDescent="0.25">
      <c r="A242" s="40">
        <v>0.77602230483271373</v>
      </c>
      <c r="B242" s="40">
        <v>3059.3540338000003</v>
      </c>
      <c r="C242" s="41">
        <f>C241+(((A242+A241)/2)*(B242-B241))</f>
        <v>2887.9328572628679</v>
      </c>
      <c r="D242" s="51">
        <f t="shared" si="9"/>
        <v>25298291.829622723</v>
      </c>
      <c r="E242" s="54">
        <f t="shared" si="10"/>
        <v>3877089.7303656801</v>
      </c>
      <c r="F242" s="53">
        <f>$K$4*B242</f>
        <v>24474832.270400003</v>
      </c>
      <c r="G242" s="51">
        <f t="shared" si="11"/>
        <v>244748.32270400002</v>
      </c>
      <c r="H242" s="52">
        <f>$K$3*D242</f>
        <v>6324572.9574056808</v>
      </c>
    </row>
    <row r="243" spans="1:8" ht="13.8" x14ac:dyDescent="0.25">
      <c r="A243" s="41">
        <v>0.77509293680297398</v>
      </c>
      <c r="B243" s="41">
        <v>3060.1913500000001</v>
      </c>
      <c r="C243" s="41">
        <f>C242+(((A243+A242)/2)*(B243-B242))</f>
        <v>2888.5822442228118</v>
      </c>
      <c r="D243" s="51">
        <f t="shared" si="9"/>
        <v>25303980.459391829</v>
      </c>
      <c r="E243" s="54">
        <f t="shared" si="10"/>
        <v>3877842.0348479571</v>
      </c>
      <c r="F243" s="53">
        <f>$K$4*B243</f>
        <v>24481530.800000001</v>
      </c>
      <c r="G243" s="51">
        <f t="shared" si="11"/>
        <v>244815.30800000002</v>
      </c>
      <c r="H243" s="52">
        <f>$K$3*D243</f>
        <v>6325995.1148479572</v>
      </c>
    </row>
    <row r="244" spans="1:8" ht="13.8" x14ac:dyDescent="0.25">
      <c r="A244" s="40">
        <v>0.77416356877323422</v>
      </c>
      <c r="B244" s="40">
        <v>3060.5103276000004</v>
      </c>
      <c r="C244" s="41">
        <f>C243+(((A244+A243)/2)*(B244-B243))</f>
        <v>2888.8293332837789</v>
      </c>
      <c r="D244" s="51">
        <f t="shared" si="9"/>
        <v>25306144.959565904</v>
      </c>
      <c r="E244" s="54">
        <f t="shared" si="10"/>
        <v>3878127.9778114758</v>
      </c>
      <c r="F244" s="53">
        <f>$K$4*B244</f>
        <v>24484082.620800003</v>
      </c>
      <c r="G244" s="51">
        <f t="shared" si="11"/>
        <v>244840.82620800004</v>
      </c>
      <c r="H244" s="52">
        <f>$K$3*D244</f>
        <v>6326536.239891476</v>
      </c>
    </row>
    <row r="245" spans="1:8" ht="13.8" x14ac:dyDescent="0.25">
      <c r="A245" s="41">
        <v>0.77323420074349447</v>
      </c>
      <c r="B245" s="41">
        <v>3062.1052156000001</v>
      </c>
      <c r="C245" s="41">
        <f>C244+(((A245+A244)/2)*(B245-B244))</f>
        <v>2890.0632963506932</v>
      </c>
      <c r="D245" s="51">
        <f t="shared" si="9"/>
        <v>25316954.476032071</v>
      </c>
      <c r="E245" s="54">
        <f t="shared" si="10"/>
        <v>3879554.4465280171</v>
      </c>
      <c r="F245" s="53">
        <f>$K$4*B245</f>
        <v>24496841.724800002</v>
      </c>
      <c r="G245" s="51">
        <f t="shared" si="11"/>
        <v>244968.41724800001</v>
      </c>
      <c r="H245" s="52">
        <f>$K$3*D245</f>
        <v>6329238.6190080177</v>
      </c>
    </row>
    <row r="246" spans="1:8" ht="13.8" x14ac:dyDescent="0.25">
      <c r="A246" s="40">
        <v>0.77230483271375461</v>
      </c>
      <c r="B246" s="40">
        <v>3064.0190812000001</v>
      </c>
      <c r="C246" s="41">
        <f>C245+(((A246+A245)/2)*(B246-B245))</f>
        <v>2891.5422733454889</v>
      </c>
      <c r="D246" s="51">
        <f t="shared" si="9"/>
        <v>25329910.314506482</v>
      </c>
      <c r="E246" s="54">
        <f t="shared" si="10"/>
        <v>3881262.3136666212</v>
      </c>
      <c r="F246" s="53">
        <f>$K$4*B246</f>
        <v>24512152.649599999</v>
      </c>
      <c r="G246" s="51">
        <f t="shared" si="11"/>
        <v>245121.52649600001</v>
      </c>
      <c r="H246" s="52">
        <f>$K$3*D246</f>
        <v>6332477.5786266206</v>
      </c>
    </row>
    <row r="247" spans="1:8" ht="13.8" x14ac:dyDescent="0.25">
      <c r="A247" s="41">
        <v>0.77137546468401486</v>
      </c>
      <c r="B247" s="41">
        <v>3073.0501345000007</v>
      </c>
      <c r="C247" s="41">
        <f>C246+(((A247+A246)/2)*(B247-B246))</f>
        <v>2898.512802867469</v>
      </c>
      <c r="D247" s="51">
        <f t="shared" si="9"/>
        <v>25390972.153119024</v>
      </c>
      <c r="E247" s="54">
        <f t="shared" si="10"/>
        <v>3889302.9306797558</v>
      </c>
      <c r="F247" s="53">
        <f>$K$4*B247</f>
        <v>24584401.076000005</v>
      </c>
      <c r="G247" s="51">
        <f t="shared" si="11"/>
        <v>245844.01076000006</v>
      </c>
      <c r="H247" s="52">
        <f>$K$3*D247</f>
        <v>6347743.038279756</v>
      </c>
    </row>
    <row r="248" spans="1:8" ht="13.8" x14ac:dyDescent="0.25">
      <c r="A248" s="40">
        <v>0.7704460966542751</v>
      </c>
      <c r="B248" s="40">
        <v>3074.5054697999999</v>
      </c>
      <c r="C248" s="41">
        <f>C247+(((A248+A247)/2)*(B248-B247))</f>
        <v>2899.6347365397269</v>
      </c>
      <c r="D248" s="51">
        <f t="shared" si="9"/>
        <v>25400800.292088006</v>
      </c>
      <c r="E248" s="54">
        <f t="shared" si="10"/>
        <v>3890595.6971820015</v>
      </c>
      <c r="F248" s="53">
        <f>$K$4*B248</f>
        <v>24596043.758400001</v>
      </c>
      <c r="G248" s="51">
        <f t="shared" si="11"/>
        <v>245960.437584</v>
      </c>
      <c r="H248" s="52">
        <f>$K$3*D248</f>
        <v>6350200.0730220014</v>
      </c>
    </row>
    <row r="249" spans="1:8" ht="13.8" x14ac:dyDescent="0.25">
      <c r="A249" s="41">
        <v>0.76951672862453535</v>
      </c>
      <c r="B249" s="41">
        <v>3077.3962043000001</v>
      </c>
      <c r="C249" s="41">
        <f>C248+(((A249+A248)/2)*(B249-B248))</f>
        <v>2901.8605483736023</v>
      </c>
      <c r="D249" s="51">
        <f t="shared" si="9"/>
        <v>25420298.403752755</v>
      </c>
      <c r="E249" s="54">
        <f t="shared" si="10"/>
        <v>3893157.6374981883</v>
      </c>
      <c r="F249" s="53">
        <f>$K$4*B249</f>
        <v>24619169.634400003</v>
      </c>
      <c r="G249" s="51">
        <f t="shared" si="11"/>
        <v>246191.69634400003</v>
      </c>
      <c r="H249" s="52">
        <f>$K$3*D249</f>
        <v>6355074.6009381888</v>
      </c>
    </row>
    <row r="250" spans="1:8" ht="13.8" x14ac:dyDescent="0.25">
      <c r="A250" s="40">
        <v>0.76858736059479549</v>
      </c>
      <c r="B250" s="40">
        <v>3078.8116674000007</v>
      </c>
      <c r="C250" s="41">
        <f>C249+(((A250+A249)/2)*(B250-B249))</f>
        <v>2902.9491131647274</v>
      </c>
      <c r="D250" s="51">
        <f t="shared" si="9"/>
        <v>25429834.231323015</v>
      </c>
      <c r="E250" s="54">
        <f t="shared" si="10"/>
        <v>3894409.2239107531</v>
      </c>
      <c r="F250" s="53">
        <f>$K$4*B250</f>
        <v>24630493.339200005</v>
      </c>
      <c r="G250" s="51">
        <f t="shared" si="11"/>
        <v>246304.93339200006</v>
      </c>
      <c r="H250" s="52">
        <f>$K$3*D250</f>
        <v>6357458.5578307537</v>
      </c>
    </row>
    <row r="251" spans="1:8" ht="13.8" x14ac:dyDescent="0.25">
      <c r="A251" s="41">
        <v>0.76765799256505574</v>
      </c>
      <c r="B251" s="41">
        <v>3080.0477056</v>
      </c>
      <c r="C251" s="41">
        <f>C250+(((A251+A250)/2)*(B251-B250))</f>
        <v>2903.8985421352659</v>
      </c>
      <c r="D251" s="51">
        <f t="shared" si="9"/>
        <v>25438151.229104929</v>
      </c>
      <c r="E251" s="54">
        <f t="shared" si="10"/>
        <v>3895499.6427962319</v>
      </c>
      <c r="F251" s="53">
        <f>$K$4*B251</f>
        <v>24640381.6448</v>
      </c>
      <c r="G251" s="51">
        <f t="shared" si="11"/>
        <v>246403.816448</v>
      </c>
      <c r="H251" s="52">
        <f>$K$3*D251</f>
        <v>6359537.8072762322</v>
      </c>
    </row>
    <row r="252" spans="1:8" ht="13.8" x14ac:dyDescent="0.25">
      <c r="A252" s="40">
        <v>0.76672862453531598</v>
      </c>
      <c r="B252" s="40">
        <v>3101.8976712000003</v>
      </c>
      <c r="C252" s="41">
        <f>C251+(((A252+A251)/2)*(B252-B251))</f>
        <v>2920.6616895356378</v>
      </c>
      <c r="D252" s="51">
        <f t="shared" si="9"/>
        <v>25584996.400332186</v>
      </c>
      <c r="E252" s="54">
        <f t="shared" si="10"/>
        <v>3914730.9631230468</v>
      </c>
      <c r="F252" s="53">
        <f>$K$4*B252</f>
        <v>24815181.369600002</v>
      </c>
      <c r="G252" s="51">
        <f t="shared" si="11"/>
        <v>248151.81369600003</v>
      </c>
      <c r="H252" s="52">
        <f>$K$3*D252</f>
        <v>6396249.1000830466</v>
      </c>
    </row>
    <row r="253" spans="1:8" ht="13.8" x14ac:dyDescent="0.25">
      <c r="A253" s="41">
        <v>0.76579925650557623</v>
      </c>
      <c r="B253" s="41">
        <v>3103.253326</v>
      </c>
      <c r="C253" s="41">
        <f>C252+(((A253+A252)/2)*(B253-B252))</f>
        <v>2921.7004789246712</v>
      </c>
      <c r="D253" s="51">
        <f t="shared" si="9"/>
        <v>25594096.195380121</v>
      </c>
      <c r="E253" s="54">
        <f t="shared" si="10"/>
        <v>3915921.3880450302</v>
      </c>
      <c r="F253" s="53">
        <f>$K$4*B253</f>
        <v>24826026.607999999</v>
      </c>
      <c r="G253" s="51">
        <f t="shared" si="11"/>
        <v>248260.26608</v>
      </c>
      <c r="H253" s="52">
        <f>$K$3*D253</f>
        <v>6398524.0488450304</v>
      </c>
    </row>
    <row r="254" spans="1:8" ht="13.8" x14ac:dyDescent="0.25">
      <c r="A254" s="40">
        <v>0.76486988847583648</v>
      </c>
      <c r="B254" s="40">
        <v>3103.7517285000004</v>
      </c>
      <c r="C254" s="41">
        <f>C253+(((A254+A253)/2)*(B254-B253))</f>
        <v>2922.0819235889371</v>
      </c>
      <c r="D254" s="51">
        <f t="shared" si="9"/>
        <v>25597437.650639087</v>
      </c>
      <c r="E254" s="54">
        <f t="shared" si="10"/>
        <v>3916358.029859772</v>
      </c>
      <c r="F254" s="53">
        <f>$K$4*B254</f>
        <v>24830013.828000002</v>
      </c>
      <c r="G254" s="51">
        <f t="shared" si="11"/>
        <v>248300.13828000001</v>
      </c>
      <c r="H254" s="52">
        <f>$K$3*D254</f>
        <v>6399359.4126597717</v>
      </c>
    </row>
    <row r="255" spans="1:8" ht="13.8" x14ac:dyDescent="0.25">
      <c r="A255" s="41">
        <v>0.76394052044609662</v>
      </c>
      <c r="B255" s="41">
        <v>3106.5427824999997</v>
      </c>
      <c r="C255" s="41">
        <f>C254+(((A255+A254)/2)*(B255-B254))</f>
        <v>2924.2154197924683</v>
      </c>
      <c r="D255" s="51">
        <f t="shared" si="9"/>
        <v>25616127.077382021</v>
      </c>
      <c r="E255" s="54">
        <f t="shared" si="10"/>
        <v>3918797.5433455054</v>
      </c>
      <c r="F255" s="53">
        <f>$K$4*B255</f>
        <v>24852342.259999998</v>
      </c>
      <c r="G255" s="51">
        <f t="shared" si="11"/>
        <v>248523.42259999999</v>
      </c>
      <c r="H255" s="52">
        <f>$K$3*D255</f>
        <v>6404031.7693455052</v>
      </c>
    </row>
    <row r="256" spans="1:8" ht="13.8" x14ac:dyDescent="0.25">
      <c r="A256" s="40">
        <v>0.76301115241635686</v>
      </c>
      <c r="B256" s="40">
        <v>3107.6990763000003</v>
      </c>
      <c r="C256" s="41">
        <f>C255+(((A256+A255)/2)*(B256-B255))</f>
        <v>2925.098222168584</v>
      </c>
      <c r="D256" s="51">
        <f t="shared" si="9"/>
        <v>25623860.426196795</v>
      </c>
      <c r="E256" s="54">
        <f t="shared" si="10"/>
        <v>3919805.845509199</v>
      </c>
      <c r="F256" s="53">
        <f>$K$4*B256</f>
        <v>24861592.610400002</v>
      </c>
      <c r="G256" s="51">
        <f t="shared" si="11"/>
        <v>248615.92610400004</v>
      </c>
      <c r="H256" s="52">
        <f>$K$3*D256</f>
        <v>6405965.1065491987</v>
      </c>
    </row>
    <row r="257" spans="1:8" ht="13.8" x14ac:dyDescent="0.25">
      <c r="A257" s="41">
        <v>0.76208178438661711</v>
      </c>
      <c r="B257" s="41">
        <v>3109.6926863000008</v>
      </c>
      <c r="C257" s="41">
        <f>C256+(((A257+A256)/2)*(B257-B256))</f>
        <v>2926.6184424334542</v>
      </c>
      <c r="D257" s="51">
        <f t="shared" si="9"/>
        <v>25637177.555717062</v>
      </c>
      <c r="E257" s="54">
        <f t="shared" si="10"/>
        <v>3921540.239889265</v>
      </c>
      <c r="F257" s="53">
        <f>$K$4*B257</f>
        <v>24877541.490400005</v>
      </c>
      <c r="G257" s="51">
        <f t="shared" si="11"/>
        <v>248775.41490400006</v>
      </c>
      <c r="H257" s="52">
        <f>$K$3*D257</f>
        <v>6409294.3889292656</v>
      </c>
    </row>
    <row r="258" spans="1:8" ht="13.8" x14ac:dyDescent="0.25">
      <c r="A258" s="40">
        <v>0.76115241635687736</v>
      </c>
      <c r="B258" s="40">
        <v>3111.0882133</v>
      </c>
      <c r="C258" s="41">
        <f>C257+(((A258+A257)/2)*(B258-B257))</f>
        <v>2927.6812996606841</v>
      </c>
      <c r="D258" s="51">
        <f t="shared" si="9"/>
        <v>25646488.185027592</v>
      </c>
      <c r="E258" s="54">
        <f t="shared" si="10"/>
        <v>3922751.4756168984</v>
      </c>
      <c r="F258" s="53">
        <f>$K$4*B258</f>
        <v>24888705.7064</v>
      </c>
      <c r="G258" s="51">
        <f t="shared" si="11"/>
        <v>248887.05706399999</v>
      </c>
      <c r="H258" s="52">
        <f>$K$3*D258</f>
        <v>6411622.046256898</v>
      </c>
    </row>
    <row r="259" spans="1:8" ht="13.8" x14ac:dyDescent="0.25">
      <c r="A259" s="41">
        <v>0.7602230483271375</v>
      </c>
      <c r="B259" s="41">
        <v>3118.8234200999996</v>
      </c>
      <c r="C259" s="41">
        <f>C258+(((A259+A258)/2)*(B259-B258))</f>
        <v>2933.5653765805723</v>
      </c>
      <c r="D259" s="51">
        <f t="shared" ref="D259:D322" si="12">C259*24*365</f>
        <v>25698032.698845811</v>
      </c>
      <c r="E259" s="54">
        <f t="shared" ref="E259:E322" si="13">H259-G259-(F259*$K$5)</f>
        <v>3929449.4386314536</v>
      </c>
      <c r="F259" s="53">
        <f>$K$4*B259</f>
        <v>24950587.360799998</v>
      </c>
      <c r="G259" s="51">
        <f t="shared" ref="G259:G322" si="14">F259*0.01</f>
        <v>249505.87360799999</v>
      </c>
      <c r="H259" s="52">
        <f>$K$3*D259</f>
        <v>6424508.1747114528</v>
      </c>
    </row>
    <row r="260" spans="1:8" ht="13.8" x14ac:dyDescent="0.25">
      <c r="A260" s="40">
        <v>0.75929368029739774</v>
      </c>
      <c r="B260" s="40">
        <v>3121.8736433999998</v>
      </c>
      <c r="C260" s="41">
        <f>C259+(((A260+A259)/2)*(B260-B259))</f>
        <v>2935.8828092457675</v>
      </c>
      <c r="D260" s="51">
        <f t="shared" si="12"/>
        <v>25718333.40899292</v>
      </c>
      <c r="E260" s="54">
        <f t="shared" si="13"/>
        <v>3932084.4375282302</v>
      </c>
      <c r="F260" s="53">
        <f>$K$4*B260</f>
        <v>24974989.1472</v>
      </c>
      <c r="G260" s="51">
        <f t="shared" si="14"/>
        <v>249749.89147199999</v>
      </c>
      <c r="H260" s="52">
        <f>$K$3*D260</f>
        <v>6429583.35224823</v>
      </c>
    </row>
    <row r="261" spans="1:8" ht="13.8" x14ac:dyDescent="0.25">
      <c r="A261" s="41">
        <v>0.75836431226765799</v>
      </c>
      <c r="B261" s="41">
        <v>3123.1495538000004</v>
      </c>
      <c r="C261" s="41">
        <f>C260+(((A261+A260)/2)*(B261-B260))</f>
        <v>2936.8510070539464</v>
      </c>
      <c r="D261" s="51">
        <f t="shared" si="12"/>
        <v>25726814.821792569</v>
      </c>
      <c r="E261" s="54">
        <f t="shared" si="13"/>
        <v>3933184.0624081418</v>
      </c>
      <c r="F261" s="53">
        <f>$K$4*B261</f>
        <v>24985196.430400003</v>
      </c>
      <c r="G261" s="51">
        <f t="shared" si="14"/>
        <v>249851.96430400002</v>
      </c>
      <c r="H261" s="52">
        <f>$K$3*D261</f>
        <v>6431703.7054481423</v>
      </c>
    </row>
    <row r="262" spans="1:8" ht="13.8" x14ac:dyDescent="0.25">
      <c r="A262" s="40">
        <v>0.75743494423791824</v>
      </c>
      <c r="B262" s="40">
        <v>3129.1303837999999</v>
      </c>
      <c r="C262" s="41">
        <f>C261+(((A262+A261)/2)*(B262-B261))</f>
        <v>2941.3838758875891</v>
      </c>
      <c r="D262" s="51">
        <f t="shared" si="12"/>
        <v>25766522.752775278</v>
      </c>
      <c r="E262" s="54">
        <f t="shared" si="13"/>
        <v>3938326.3811538192</v>
      </c>
      <c r="F262" s="53">
        <f>$K$4*B262</f>
        <v>25033043.0704</v>
      </c>
      <c r="G262" s="51">
        <f t="shared" si="14"/>
        <v>250330.430704</v>
      </c>
      <c r="H262" s="52">
        <f>$K$3*D262</f>
        <v>6441630.6881938195</v>
      </c>
    </row>
    <row r="263" spans="1:8" ht="13.8" x14ac:dyDescent="0.25">
      <c r="A263" s="41">
        <v>0.75650557620817849</v>
      </c>
      <c r="B263" s="41">
        <v>3146.0960049000005</v>
      </c>
      <c r="C263" s="41">
        <f>C262+(((A263+A262)/2)*(B263-B262))</f>
        <v>2954.2263465065021</v>
      </c>
      <c r="D263" s="51">
        <f t="shared" si="12"/>
        <v>25879022.795396958</v>
      </c>
      <c r="E263" s="54">
        <f t="shared" si="13"/>
        <v>3952878.8949292391</v>
      </c>
      <c r="F263" s="53">
        <f>$K$4*B263</f>
        <v>25168768.039200004</v>
      </c>
      <c r="G263" s="51">
        <f t="shared" si="14"/>
        <v>251687.68039200004</v>
      </c>
      <c r="H263" s="52">
        <f>$K$3*D263</f>
        <v>6469755.6988492394</v>
      </c>
    </row>
    <row r="264" spans="1:8" ht="13.8" x14ac:dyDescent="0.25">
      <c r="A264" s="40">
        <v>0.75557620817843862</v>
      </c>
      <c r="B264" s="40">
        <v>3147.1326820999993</v>
      </c>
      <c r="C264" s="41">
        <f>C263+(((A264+A263)/2)*(B264-B263))</f>
        <v>2955.0101168617057</v>
      </c>
      <c r="D264" s="51">
        <f t="shared" si="12"/>
        <v>25885888.623708542</v>
      </c>
      <c r="E264" s="54">
        <f t="shared" si="13"/>
        <v>3953766.0102471365</v>
      </c>
      <c r="F264" s="53">
        <f>$K$4*B264</f>
        <v>25177061.456799995</v>
      </c>
      <c r="G264" s="51">
        <f t="shared" si="14"/>
        <v>251770.61456799996</v>
      </c>
      <c r="H264" s="52">
        <f>$K$3*D264</f>
        <v>6471472.1559271356</v>
      </c>
    </row>
    <row r="265" spans="1:8" ht="13.8" x14ac:dyDescent="0.25">
      <c r="A265" s="41">
        <v>0.75464684014869887</v>
      </c>
      <c r="B265" s="41">
        <v>3154.9675693999998</v>
      </c>
      <c r="C265" s="41">
        <f>C264+(((A265+A264)/2)*(B265-B264))</f>
        <v>2960.9263305524587</v>
      </c>
      <c r="D265" s="51">
        <f t="shared" si="12"/>
        <v>25937714.65563954</v>
      </c>
      <c r="E265" s="54">
        <f t="shared" si="13"/>
        <v>3960454.6083898856</v>
      </c>
      <c r="F265" s="53">
        <f>$K$4*B265</f>
        <v>25239740.555199999</v>
      </c>
      <c r="G265" s="51">
        <f t="shared" si="14"/>
        <v>252397.40555200001</v>
      </c>
      <c r="H265" s="52">
        <f>$K$3*D265</f>
        <v>6484428.6639098851</v>
      </c>
    </row>
    <row r="266" spans="1:8" ht="13.8" x14ac:dyDescent="0.25">
      <c r="A266" s="40">
        <v>0.75371747211895912</v>
      </c>
      <c r="B266" s="40">
        <v>3168.5241174000003</v>
      </c>
      <c r="C266" s="41">
        <f>C265+(((A266+A265)/2)*(B266-B265))</f>
        <v>2971.1504371528308</v>
      </c>
      <c r="D266" s="51">
        <f t="shared" si="12"/>
        <v>26027277.829458795</v>
      </c>
      <c r="E266" s="54">
        <f t="shared" si="13"/>
        <v>3972000.1634446988</v>
      </c>
      <c r="F266" s="53">
        <f>$K$4*B266</f>
        <v>25348192.939200003</v>
      </c>
      <c r="G266" s="51">
        <f t="shared" si="14"/>
        <v>253481.92939200002</v>
      </c>
      <c r="H266" s="52">
        <f>$K$3*D266</f>
        <v>6506819.4573646989</v>
      </c>
    </row>
    <row r="267" spans="1:8" ht="13.8" x14ac:dyDescent="0.25">
      <c r="A267" s="41">
        <v>0.75278810408921937</v>
      </c>
      <c r="B267" s="41">
        <v>3175.2625191999996</v>
      </c>
      <c r="C267" s="41">
        <f>C266+(((A267+A266)/2)*(B267-B266))</f>
        <v>2976.2261570960459</v>
      </c>
      <c r="D267" s="51">
        <f t="shared" si="12"/>
        <v>26071741.136161365</v>
      </c>
      <c r="E267" s="54">
        <f t="shared" si="13"/>
        <v>3977725.268680342</v>
      </c>
      <c r="F267" s="53">
        <f>$K$4*B267</f>
        <v>25402100.153599996</v>
      </c>
      <c r="G267" s="51">
        <f t="shared" si="14"/>
        <v>254021.00153599997</v>
      </c>
      <c r="H267" s="52">
        <f>$K$3*D267</f>
        <v>6517935.2840403412</v>
      </c>
    </row>
    <row r="268" spans="1:8" ht="13.8" x14ac:dyDescent="0.25">
      <c r="A268" s="40">
        <v>0.7518587360594795</v>
      </c>
      <c r="B268" s="40">
        <v>3176.1795798000003</v>
      </c>
      <c r="C268" s="41">
        <f>C267+(((A268+A267)/2)*(B268-B267))</f>
        <v>2976.9160832630537</v>
      </c>
      <c r="D268" s="51">
        <f t="shared" si="12"/>
        <v>26077784.889384352</v>
      </c>
      <c r="E268" s="54">
        <f t="shared" si="13"/>
        <v>3978502.5585060883</v>
      </c>
      <c r="F268" s="53">
        <f>$K$4*B268</f>
        <v>25409436.638400003</v>
      </c>
      <c r="G268" s="51">
        <f t="shared" si="14"/>
        <v>254094.36638400005</v>
      </c>
      <c r="H268" s="52">
        <f>$K$3*D268</f>
        <v>6519446.2223460879</v>
      </c>
    </row>
    <row r="269" spans="1:8" ht="13.8" x14ac:dyDescent="0.25">
      <c r="A269" s="41">
        <v>0.75092936802973975</v>
      </c>
      <c r="B269" s="41">
        <v>3181.2632853000005</v>
      </c>
      <c r="C269" s="41">
        <f>C268+(((A269+A268)/2)*(B269-B268))</f>
        <v>2980.7359493381005</v>
      </c>
      <c r="D269" s="51">
        <f t="shared" si="12"/>
        <v>26111246.916201759</v>
      </c>
      <c r="E269" s="54">
        <f t="shared" si="13"/>
        <v>3982801.1008104398</v>
      </c>
      <c r="F269" s="53">
        <f>$K$4*B269</f>
        <v>25450106.282400005</v>
      </c>
      <c r="G269" s="51">
        <f t="shared" si="14"/>
        <v>254501.06282400005</v>
      </c>
      <c r="H269" s="52">
        <f>$K$3*D269</f>
        <v>6527811.7290504398</v>
      </c>
    </row>
    <row r="270" spans="1:8" ht="13.8" x14ac:dyDescent="0.25">
      <c r="A270" s="40">
        <v>0.75</v>
      </c>
      <c r="B270" s="40">
        <v>3185.7489077999999</v>
      </c>
      <c r="C270" s="41">
        <f>C269+(((A270+A269)/2)*(B270-B269))</f>
        <v>2984.1022506101726</v>
      </c>
      <c r="D270" s="51">
        <f t="shared" si="12"/>
        <v>26140735.715345111</v>
      </c>
      <c r="E270" s="54">
        <f t="shared" si="13"/>
        <v>3986584.8025962785</v>
      </c>
      <c r="F270" s="53">
        <f>$K$4*B270</f>
        <v>25485991.262399998</v>
      </c>
      <c r="G270" s="51">
        <f t="shared" si="14"/>
        <v>254859.91262399999</v>
      </c>
      <c r="H270" s="52">
        <f>$K$3*D270</f>
        <v>6535183.9288362777</v>
      </c>
    </row>
    <row r="271" spans="1:8" ht="13.8" x14ac:dyDescent="0.25">
      <c r="A271" s="41">
        <v>0.74907063197026025</v>
      </c>
      <c r="B271" s="41">
        <v>3189.0981726</v>
      </c>
      <c r="C271" s="41">
        <f>C270+(((A271+A270)/2)*(B271-B270))</f>
        <v>2986.6126428603584</v>
      </c>
      <c r="D271" s="51">
        <f t="shared" si="12"/>
        <v>26162726.751456741</v>
      </c>
      <c r="E271" s="54">
        <f t="shared" si="13"/>
        <v>3989403.1497841855</v>
      </c>
      <c r="F271" s="53">
        <f>$K$4*B271</f>
        <v>25512785.380800001</v>
      </c>
      <c r="G271" s="51">
        <f t="shared" si="14"/>
        <v>255127.85380800001</v>
      </c>
      <c r="H271" s="52">
        <f>$K$3*D271</f>
        <v>6540681.6878641853</v>
      </c>
    </row>
    <row r="272" spans="1:8" ht="13.8" x14ac:dyDescent="0.25">
      <c r="A272" s="40">
        <v>0.7481412639405205</v>
      </c>
      <c r="B272" s="40">
        <v>3193.8030921999998</v>
      </c>
      <c r="C272" s="41">
        <f>C271+(((A272+A271)/2)*(B272-B271))</f>
        <v>2990.1347736575703</v>
      </c>
      <c r="D272" s="51">
        <f t="shared" si="12"/>
        <v>26193580.617240317</v>
      </c>
      <c r="E272" s="54">
        <f t="shared" si="13"/>
        <v>3993352.6805500798</v>
      </c>
      <c r="F272" s="53">
        <f>$K$4*B272</f>
        <v>25550424.737599999</v>
      </c>
      <c r="G272" s="51">
        <f t="shared" si="14"/>
        <v>255504.24737599998</v>
      </c>
      <c r="H272" s="52">
        <f>$K$3*D272</f>
        <v>6548395.1543100793</v>
      </c>
    </row>
    <row r="273" spans="1:8" ht="13.8" x14ac:dyDescent="0.25">
      <c r="A273" s="41">
        <v>0.74721189591078063</v>
      </c>
      <c r="B273" s="41">
        <v>3199.2855196999994</v>
      </c>
      <c r="C273" s="41">
        <f>C272+(((A273+A272)/2)*(B273-B272))</f>
        <v>2994.2338563004605</v>
      </c>
      <c r="D273" s="51">
        <f t="shared" si="12"/>
        <v>26229488.581192035</v>
      </c>
      <c r="E273" s="54">
        <f t="shared" si="13"/>
        <v>3997943.7295380095</v>
      </c>
      <c r="F273" s="53">
        <f>$K$4*B273</f>
        <v>25594284.157599997</v>
      </c>
      <c r="G273" s="51">
        <f t="shared" si="14"/>
        <v>255942.84157599998</v>
      </c>
      <c r="H273" s="52">
        <f>$K$3*D273</f>
        <v>6557372.1452980088</v>
      </c>
    </row>
    <row r="274" spans="1:8" ht="13.8" x14ac:dyDescent="0.25">
      <c r="A274" s="40">
        <v>0.74628252788104088</v>
      </c>
      <c r="B274" s="40">
        <v>3205.1866052999999</v>
      </c>
      <c r="C274" s="41">
        <f>C273+(((A274+A273)/2)*(B274-B273))</f>
        <v>2998.6404755194199</v>
      </c>
      <c r="D274" s="51">
        <f t="shared" si="12"/>
        <v>26268090.565550119</v>
      </c>
      <c r="E274" s="54">
        <f t="shared" si="13"/>
        <v>4002873.3571475302</v>
      </c>
      <c r="F274" s="53">
        <f>$K$4*B274</f>
        <v>25641492.842399999</v>
      </c>
      <c r="G274" s="51">
        <f t="shared" si="14"/>
        <v>256414.92842400001</v>
      </c>
      <c r="H274" s="52">
        <f>$K$3*D274</f>
        <v>6567022.6413875297</v>
      </c>
    </row>
    <row r="275" spans="1:8" ht="13.8" x14ac:dyDescent="0.25">
      <c r="A275" s="41">
        <v>0.74535315985130113</v>
      </c>
      <c r="B275" s="41">
        <v>3212.5230901</v>
      </c>
      <c r="C275" s="41">
        <f>C274+(((A275+A274)/2)*(B275-B274))</f>
        <v>3004.1121567945129</v>
      </c>
      <c r="D275" s="51">
        <f t="shared" si="12"/>
        <v>26316022.493519936</v>
      </c>
      <c r="E275" s="54">
        <f t="shared" si="13"/>
        <v>4008987.1512999842</v>
      </c>
      <c r="F275" s="53">
        <f>$K$4*B275</f>
        <v>25700184.720800001</v>
      </c>
      <c r="G275" s="51">
        <f t="shared" si="14"/>
        <v>257001.84720800002</v>
      </c>
      <c r="H275" s="52">
        <f>$K$3*D275</f>
        <v>6579005.6233799839</v>
      </c>
    </row>
    <row r="276" spans="1:8" ht="13.8" x14ac:dyDescent="0.25">
      <c r="A276" s="40">
        <v>0.74442379182156138</v>
      </c>
      <c r="B276" s="40">
        <v>3213.4600868000007</v>
      </c>
      <c r="C276" s="41">
        <f>C275+(((A276+A275)/2)*(B276-B275))</f>
        <v>3004.8101148382402</v>
      </c>
      <c r="D276" s="51">
        <f t="shared" si="12"/>
        <v>26322136.605982982</v>
      </c>
      <c r="E276" s="54">
        <f t="shared" si="13"/>
        <v>4009766.0820557456</v>
      </c>
      <c r="F276" s="53">
        <f>$K$4*B276</f>
        <v>25707680.694400005</v>
      </c>
      <c r="G276" s="51">
        <f t="shared" si="14"/>
        <v>257076.80694400007</v>
      </c>
      <c r="H276" s="52">
        <f>$K$3*D276</f>
        <v>6580534.1514957454</v>
      </c>
    </row>
    <row r="277" spans="1:8" ht="13.8" x14ac:dyDescent="0.25">
      <c r="A277" s="41">
        <v>0.74349442379182151</v>
      </c>
      <c r="B277" s="41">
        <v>3230.7247494000003</v>
      </c>
      <c r="C277" s="41">
        <f>C276+(((A277+A276)/2)*(B277-B276))</f>
        <v>3017.6543178227193</v>
      </c>
      <c r="D277" s="51">
        <f t="shared" si="12"/>
        <v>26434651.824127026</v>
      </c>
      <c r="E277" s="54">
        <f t="shared" si="13"/>
        <v>4024083.1565117566</v>
      </c>
      <c r="F277" s="53">
        <f>$K$4*B277</f>
        <v>25845797.995200001</v>
      </c>
      <c r="G277" s="51">
        <f t="shared" si="14"/>
        <v>258457.97995200002</v>
      </c>
      <c r="H277" s="52">
        <f>$K$3*D277</f>
        <v>6608662.9560317565</v>
      </c>
    </row>
    <row r="278" spans="1:8" ht="13.8" x14ac:dyDescent="0.25">
      <c r="A278" s="40">
        <v>0.74256505576208176</v>
      </c>
      <c r="B278" s="40">
        <v>3231.9807237000005</v>
      </c>
      <c r="C278" s="41">
        <f>C277+(((A278+A277)/2)*(B278-B277))</f>
        <v>3018.587544080015</v>
      </c>
      <c r="D278" s="51">
        <f t="shared" si="12"/>
        <v>26442826.886140931</v>
      </c>
      <c r="E278" s="54">
        <f t="shared" si="13"/>
        <v>4025122.1425752328</v>
      </c>
      <c r="F278" s="53">
        <f>$K$4*B278</f>
        <v>25855845.789600004</v>
      </c>
      <c r="G278" s="51">
        <f t="shared" si="14"/>
        <v>258558.45789600004</v>
      </c>
      <c r="H278" s="52">
        <f>$K$3*D278</f>
        <v>6610706.7215352328</v>
      </c>
    </row>
    <row r="279" spans="1:8" ht="13.8" x14ac:dyDescent="0.25">
      <c r="A279" s="41">
        <v>0.74163568773234201</v>
      </c>
      <c r="B279" s="41">
        <v>3240.7326716000007</v>
      </c>
      <c r="C279" s="41">
        <f>C278+(((A279+A278)/2)*(B279-B278))</f>
        <v>3025.0823678701177</v>
      </c>
      <c r="D279" s="51">
        <f t="shared" si="12"/>
        <v>26499721.54254223</v>
      </c>
      <c r="E279" s="54">
        <f t="shared" si="13"/>
        <v>4032344.2483555577</v>
      </c>
      <c r="F279" s="53">
        <f>$K$4*B279</f>
        <v>25925861.372800004</v>
      </c>
      <c r="G279" s="51">
        <f t="shared" si="14"/>
        <v>259258.61372800005</v>
      </c>
      <c r="H279" s="52">
        <f>$K$3*D279</f>
        <v>6624930.3856355576</v>
      </c>
    </row>
    <row r="280" spans="1:8" ht="13.8" x14ac:dyDescent="0.25">
      <c r="A280" s="40">
        <v>0.74070631970260226</v>
      </c>
      <c r="B280" s="40">
        <v>3247.7900509999999</v>
      </c>
      <c r="C280" s="41">
        <f>C279+(((A280+A279)/2)*(B280-B279))</f>
        <v>3030.3130928436303</v>
      </c>
      <c r="D280" s="51">
        <f t="shared" si="12"/>
        <v>26545542.693310205</v>
      </c>
      <c r="E280" s="54">
        <f t="shared" si="13"/>
        <v>4038153.6325275516</v>
      </c>
      <c r="F280" s="53">
        <f>$K$4*B280</f>
        <v>25982320.408</v>
      </c>
      <c r="G280" s="51">
        <f t="shared" si="14"/>
        <v>259823.20408</v>
      </c>
      <c r="H280" s="52">
        <f>$K$3*D280</f>
        <v>6636385.6733275512</v>
      </c>
    </row>
    <row r="281" spans="1:8" ht="13.8" x14ac:dyDescent="0.25">
      <c r="A281" s="41">
        <v>0.7397769516728625</v>
      </c>
      <c r="B281" s="41">
        <v>3276.3186101000006</v>
      </c>
      <c r="C281" s="41">
        <f>C280+(((A281+A280)/2)*(B281-B280))</f>
        <v>3051.431120095629</v>
      </c>
      <c r="D281" s="51">
        <f t="shared" si="12"/>
        <v>26730536.612037711</v>
      </c>
      <c r="E281" s="54">
        <f t="shared" si="13"/>
        <v>4061579.2649294268</v>
      </c>
      <c r="F281" s="53">
        <f>$K$4*B281</f>
        <v>26210548.880800005</v>
      </c>
      <c r="G281" s="51">
        <f t="shared" si="14"/>
        <v>262105.48880800005</v>
      </c>
      <c r="H281" s="52">
        <f>$K$3*D281</f>
        <v>6682634.1530094277</v>
      </c>
    </row>
    <row r="282" spans="1:8" ht="13.8" x14ac:dyDescent="0.25">
      <c r="A282" s="40">
        <v>0.73884758364312264</v>
      </c>
      <c r="B282" s="40">
        <v>3277.4948400000003</v>
      </c>
      <c r="C282" s="41">
        <f>C281+(((A282+A281)/2)*(B282-B281))</f>
        <v>3052.3007212902849</v>
      </c>
      <c r="D282" s="51">
        <f t="shared" si="12"/>
        <v>26738154.318502896</v>
      </c>
      <c r="E282" s="54">
        <f t="shared" si="13"/>
        <v>4062542.7076257239</v>
      </c>
      <c r="F282" s="53">
        <f>$K$4*B282</f>
        <v>26219958.720000003</v>
      </c>
      <c r="G282" s="51">
        <f t="shared" si="14"/>
        <v>262199.58720000001</v>
      </c>
      <c r="H282" s="52">
        <f>$K$3*D282</f>
        <v>6684538.5796257239</v>
      </c>
    </row>
    <row r="283" spans="1:8" ht="13.8" x14ac:dyDescent="0.25">
      <c r="A283" s="41">
        <v>0.73791821561338289</v>
      </c>
      <c r="B283" s="41">
        <v>3278.7707504000005</v>
      </c>
      <c r="C283" s="41">
        <f>C282+(((A283+A282)/2)*(B283-B282))</f>
        <v>3053.242831711103</v>
      </c>
      <c r="D283" s="51">
        <f t="shared" si="12"/>
        <v>26746407.205789264</v>
      </c>
      <c r="E283" s="54">
        <f t="shared" si="13"/>
        <v>4063585.2011273154</v>
      </c>
      <c r="F283" s="53">
        <f>$K$4*B283</f>
        <v>26230166.003200002</v>
      </c>
      <c r="G283" s="51">
        <f t="shared" si="14"/>
        <v>262301.66003200004</v>
      </c>
      <c r="H283" s="52">
        <f>$K$3*D283</f>
        <v>6686601.8014473161</v>
      </c>
    </row>
    <row r="284" spans="1:8" ht="13.8" x14ac:dyDescent="0.25">
      <c r="A284" s="40">
        <v>0.73698884758364314</v>
      </c>
      <c r="B284" s="40">
        <v>3280.2858939999996</v>
      </c>
      <c r="C284" s="41">
        <f>C283+(((A284+A283)/2)*(B284-B283))</f>
        <v>3054.3601797098013</v>
      </c>
      <c r="D284" s="51">
        <f t="shared" si="12"/>
        <v>26756195.17425786</v>
      </c>
      <c r="E284" s="54">
        <f t="shared" si="13"/>
        <v>4064820.0783644654</v>
      </c>
      <c r="F284" s="53">
        <f>$K$4*B284</f>
        <v>26242287.151999999</v>
      </c>
      <c r="G284" s="51">
        <f t="shared" si="14"/>
        <v>262422.87151999999</v>
      </c>
      <c r="H284" s="52">
        <f>$K$3*D284</f>
        <v>6689048.7935644649</v>
      </c>
    </row>
    <row r="285" spans="1:8" ht="13.8" x14ac:dyDescent="0.25">
      <c r="A285" s="41">
        <v>0.73605947955390338</v>
      </c>
      <c r="B285" s="41">
        <v>3284.5721555</v>
      </c>
      <c r="C285" s="41">
        <f>C284+(((A285+A284)/2)*(B285-B284))</f>
        <v>3057.5171148759259</v>
      </c>
      <c r="D285" s="51">
        <f t="shared" si="12"/>
        <v>26783849.926313113</v>
      </c>
      <c r="E285" s="54">
        <f t="shared" si="13"/>
        <v>4068304.7571782782</v>
      </c>
      <c r="F285" s="53">
        <f>$K$4*B285</f>
        <v>26276577.243999999</v>
      </c>
      <c r="G285" s="51">
        <f t="shared" si="14"/>
        <v>262765.77243999997</v>
      </c>
      <c r="H285" s="52">
        <f>$K$3*D285</f>
        <v>6695962.4815782784</v>
      </c>
    </row>
    <row r="286" spans="1:8" ht="13.8" x14ac:dyDescent="0.25">
      <c r="A286" s="40">
        <v>0.73513011152416352</v>
      </c>
      <c r="B286" s="40">
        <v>3295.6964993000006</v>
      </c>
      <c r="C286" s="41">
        <f>C285+(((A286+A285)/2)*(B286-B285))</f>
        <v>3065.7001242789934</v>
      </c>
      <c r="D286" s="51">
        <f t="shared" si="12"/>
        <v>26855533.088683981</v>
      </c>
      <c r="E286" s="54">
        <f t="shared" si="13"/>
        <v>4077326.0727309948</v>
      </c>
      <c r="F286" s="53">
        <f>$K$4*B286</f>
        <v>26365571.994400006</v>
      </c>
      <c r="G286" s="51">
        <f t="shared" si="14"/>
        <v>263655.71994400007</v>
      </c>
      <c r="H286" s="52">
        <f>$K$3*D286</f>
        <v>6713883.2721709954</v>
      </c>
    </row>
    <row r="287" spans="1:8" ht="13.8" x14ac:dyDescent="0.25">
      <c r="A287" s="41">
        <v>0.73420074349442377</v>
      </c>
      <c r="B287" s="41">
        <v>3297.6701732000001</v>
      </c>
      <c r="C287" s="41">
        <f>C286+(((A287+A286)/2)*(B287-B286))</f>
        <v>3067.1501142585003</v>
      </c>
      <c r="D287" s="51">
        <f t="shared" si="12"/>
        <v>26868235.000904463</v>
      </c>
      <c r="E287" s="54">
        <f t="shared" si="13"/>
        <v>4078922.6116661159</v>
      </c>
      <c r="F287" s="53">
        <f>$K$4*B287</f>
        <v>26381361.385600001</v>
      </c>
      <c r="G287" s="51">
        <f t="shared" si="14"/>
        <v>263813.61385600001</v>
      </c>
      <c r="H287" s="52">
        <f>$K$3*D287</f>
        <v>6717058.7502261158</v>
      </c>
    </row>
    <row r="288" spans="1:8" ht="13.8" x14ac:dyDescent="0.25">
      <c r="A288" s="40">
        <v>0.73327137546468402</v>
      </c>
      <c r="B288" s="40">
        <v>3297.9492786000005</v>
      </c>
      <c r="C288" s="41">
        <f>C287+(((A288+A287)/2)*(B288-B287))</f>
        <v>3067.3549039548761</v>
      </c>
      <c r="D288" s="51">
        <f t="shared" si="12"/>
        <v>26870028.958644714</v>
      </c>
      <c r="E288" s="54">
        <f t="shared" si="13"/>
        <v>4079147.8167811781</v>
      </c>
      <c r="F288" s="53">
        <f>$K$4*B288</f>
        <v>26383594.228800002</v>
      </c>
      <c r="G288" s="51">
        <f t="shared" si="14"/>
        <v>263835.94228800002</v>
      </c>
      <c r="H288" s="52">
        <f>$K$3*D288</f>
        <v>6717507.2396611786</v>
      </c>
    </row>
    <row r="289" spans="1:8" ht="13.8" x14ac:dyDescent="0.25">
      <c r="A289" s="41">
        <v>0.73234200743494426</v>
      </c>
      <c r="B289" s="41">
        <v>3311.3662739000001</v>
      </c>
      <c r="C289" s="41">
        <f>C288+(((A289+A288)/2)*(B289-B288))</f>
        <v>3077.1869678898665</v>
      </c>
      <c r="D289" s="51">
        <f t="shared" si="12"/>
        <v>26956157.838715233</v>
      </c>
      <c r="E289" s="54">
        <f t="shared" si="13"/>
        <v>4089946.4405588079</v>
      </c>
      <c r="F289" s="53">
        <f>$K$4*B289</f>
        <v>26490930.191199999</v>
      </c>
      <c r="G289" s="51">
        <f t="shared" si="14"/>
        <v>264909.301912</v>
      </c>
      <c r="H289" s="52">
        <f>$K$3*D289</f>
        <v>6739039.4596788082</v>
      </c>
    </row>
    <row r="290" spans="1:8" ht="13.8" x14ac:dyDescent="0.25">
      <c r="A290" s="40">
        <v>0.73141263940520451</v>
      </c>
      <c r="B290" s="40">
        <v>3312.6023121000007</v>
      </c>
      <c r="C290" s="41">
        <f>C289+(((A290+A289)/2)*(B290-B289))</f>
        <v>3078.091596219328</v>
      </c>
      <c r="D290" s="51">
        <f t="shared" si="12"/>
        <v>26964082.382881314</v>
      </c>
      <c r="E290" s="54">
        <f t="shared" si="13"/>
        <v>4090938.7460403279</v>
      </c>
      <c r="F290" s="53">
        <f>$K$4*B290</f>
        <v>26500818.496800005</v>
      </c>
      <c r="G290" s="51">
        <f t="shared" si="14"/>
        <v>265008.18496800005</v>
      </c>
      <c r="H290" s="52">
        <f>$K$3*D290</f>
        <v>6741020.5957203284</v>
      </c>
    </row>
    <row r="291" spans="1:8" ht="13.8" x14ac:dyDescent="0.25">
      <c r="A291" s="41">
        <v>0.73048327137546465</v>
      </c>
      <c r="B291" s="41">
        <v>3318.4435893999994</v>
      </c>
      <c r="C291" s="41">
        <f>C290+(((A291+A290)/2)*(B291-B290))</f>
        <v>3082.3612659186301</v>
      </c>
      <c r="D291" s="51">
        <f t="shared" si="12"/>
        <v>27001484.689447202</v>
      </c>
      <c r="E291" s="54">
        <f t="shared" si="13"/>
        <v>4095616.3008418009</v>
      </c>
      <c r="F291" s="53">
        <f>$K$4*B291</f>
        <v>26547548.715199996</v>
      </c>
      <c r="G291" s="51">
        <f t="shared" si="14"/>
        <v>265475.48715199996</v>
      </c>
      <c r="H291" s="52">
        <f>$K$3*D291</f>
        <v>6750371.1723618004</v>
      </c>
    </row>
    <row r="292" spans="1:8" ht="13.8" x14ac:dyDescent="0.25">
      <c r="A292" s="40">
        <v>0.7295539033457249</v>
      </c>
      <c r="B292" s="40">
        <v>3319.141352900001</v>
      </c>
      <c r="C292" s="41">
        <f>C291+(((A292+A291)/2)*(B292-B291))</f>
        <v>3082.8706462432133</v>
      </c>
      <c r="D292" s="51">
        <f t="shared" si="12"/>
        <v>27005946.861090548</v>
      </c>
      <c r="E292" s="54">
        <f t="shared" si="13"/>
        <v>4096173.6329526361</v>
      </c>
      <c r="F292" s="53">
        <f>$K$4*B292</f>
        <v>26553130.82320001</v>
      </c>
      <c r="G292" s="51">
        <f t="shared" si="14"/>
        <v>265531.3082320001</v>
      </c>
      <c r="H292" s="52">
        <f>$K$3*D292</f>
        <v>6751486.7152726371</v>
      </c>
    </row>
    <row r="293" spans="1:8" ht="13.8" x14ac:dyDescent="0.25">
      <c r="A293" s="41">
        <v>0.72862453531598514</v>
      </c>
      <c r="B293" s="41">
        <v>3320.0783495999999</v>
      </c>
      <c r="C293" s="41">
        <f>C292+(((A293+A292)/2)*(B293-B292))</f>
        <v>3083.5538004357309</v>
      </c>
      <c r="D293" s="51">
        <f t="shared" si="12"/>
        <v>27011931.291817002</v>
      </c>
      <c r="E293" s="54">
        <f t="shared" si="13"/>
        <v>4096920.1432742509</v>
      </c>
      <c r="F293" s="53">
        <f>$K$4*B293</f>
        <v>26560626.796799999</v>
      </c>
      <c r="G293" s="51">
        <f t="shared" si="14"/>
        <v>265606.26796799997</v>
      </c>
      <c r="H293" s="52">
        <f>$K$3*D293</f>
        <v>6752982.8229542505</v>
      </c>
    </row>
    <row r="294" spans="1:8" ht="13.8" x14ac:dyDescent="0.25">
      <c r="A294" s="40">
        <v>0.72769516728624539</v>
      </c>
      <c r="B294" s="40">
        <v>3320.4571354999998</v>
      </c>
      <c r="C294" s="41">
        <f>C293+(((A294+A293)/2)*(B294-B293))</f>
        <v>3083.8296171203497</v>
      </c>
      <c r="D294" s="51">
        <f t="shared" si="12"/>
        <v>27014347.445974264</v>
      </c>
      <c r="E294" s="54">
        <f t="shared" si="13"/>
        <v>4097221.1530935662</v>
      </c>
      <c r="F294" s="53">
        <f>$K$4*B294</f>
        <v>26563657.083999999</v>
      </c>
      <c r="G294" s="51">
        <f t="shared" si="14"/>
        <v>265636.57084</v>
      </c>
      <c r="H294" s="52">
        <f>$K$3*D294</f>
        <v>6753586.8614935661</v>
      </c>
    </row>
    <row r="295" spans="1:8" ht="13.8" x14ac:dyDescent="0.25">
      <c r="A295" s="41">
        <v>0.72676579925650553</v>
      </c>
      <c r="B295" s="41">
        <v>3321.3741960999992</v>
      </c>
      <c r="C295" s="41">
        <f>C294+(((A295+A294)/2)*(B295-B294))</f>
        <v>3084.4965315436762</v>
      </c>
      <c r="D295" s="51">
        <f t="shared" si="12"/>
        <v>27020189.616322603</v>
      </c>
      <c r="E295" s="54">
        <f t="shared" si="13"/>
        <v>4097948.0472006514</v>
      </c>
      <c r="F295" s="53">
        <f>$K$4*B295</f>
        <v>26570993.568799995</v>
      </c>
      <c r="G295" s="51">
        <f t="shared" si="14"/>
        <v>265709.93568799994</v>
      </c>
      <c r="H295" s="52">
        <f>$K$3*D295</f>
        <v>6755047.4040806508</v>
      </c>
    </row>
    <row r="296" spans="1:8" ht="13.8" x14ac:dyDescent="0.25">
      <c r="A296" s="40">
        <v>0.72583643122676578</v>
      </c>
      <c r="B296" s="40">
        <v>3323.0887007000006</v>
      </c>
      <c r="C296" s="41">
        <f>C295+(((A296+A295)/2)*(B296-B295))</f>
        <v>3085.7417781467443</v>
      </c>
      <c r="D296" s="51">
        <f t="shared" si="12"/>
        <v>27031097.97656548</v>
      </c>
      <c r="E296" s="54">
        <f t="shared" si="13"/>
        <v>4099303.5335813696</v>
      </c>
      <c r="F296" s="53">
        <f>$K$4*B296</f>
        <v>26584709.605600003</v>
      </c>
      <c r="G296" s="51">
        <f t="shared" si="14"/>
        <v>265847.09605600004</v>
      </c>
      <c r="H296" s="52">
        <f>$K$3*D296</f>
        <v>6757774.4941413701</v>
      </c>
    </row>
    <row r="297" spans="1:8" ht="13.8" x14ac:dyDescent="0.25">
      <c r="A297" s="41">
        <v>0.72490706319702602</v>
      </c>
      <c r="B297" s="41">
        <v>3334.4124055000002</v>
      </c>
      <c r="C297" s="41">
        <f>C296+(((A297+A296)/2)*(B297-B296))</f>
        <v>3093.9556736824316</v>
      </c>
      <c r="D297" s="51">
        <f t="shared" si="12"/>
        <v>27103051.701458104</v>
      </c>
      <c r="E297" s="54">
        <f t="shared" si="13"/>
        <v>4108233.0009645256</v>
      </c>
      <c r="F297" s="53">
        <f>$K$4*B297</f>
        <v>26675299.244000003</v>
      </c>
      <c r="G297" s="51">
        <f t="shared" si="14"/>
        <v>266752.99244000006</v>
      </c>
      <c r="H297" s="52">
        <f>$K$3*D297</f>
        <v>6775762.925364526</v>
      </c>
    </row>
    <row r="298" spans="1:8" ht="13.8" x14ac:dyDescent="0.25">
      <c r="A298" s="40">
        <v>0.72397769516728627</v>
      </c>
      <c r="B298" s="40">
        <v>3334.4522776999993</v>
      </c>
      <c r="C298" s="41">
        <f>C297+(((A298+A297)/2)*(B298-B297))</f>
        <v>3093.9845587938621</v>
      </c>
      <c r="D298" s="51">
        <f t="shared" si="12"/>
        <v>27103304.735034235</v>
      </c>
      <c r="E298" s="54">
        <f t="shared" si="13"/>
        <v>4108264.3615985592</v>
      </c>
      <c r="F298" s="53">
        <f>$K$4*B298</f>
        <v>26675618.221599996</v>
      </c>
      <c r="G298" s="51">
        <f t="shared" si="14"/>
        <v>266756.18221599999</v>
      </c>
      <c r="H298" s="52">
        <f>$K$3*D298</f>
        <v>6775826.1837585587</v>
      </c>
    </row>
    <row r="299" spans="1:8" ht="13.8" x14ac:dyDescent="0.25">
      <c r="A299" s="41">
        <v>0.72304832713754652</v>
      </c>
      <c r="B299" s="41">
        <v>3339.9347052000003</v>
      </c>
      <c r="C299" s="41">
        <f>C298+(((A299+A298)/2)*(B299-B298))</f>
        <v>3097.9511664228125</v>
      </c>
      <c r="D299" s="51">
        <f t="shared" si="12"/>
        <v>27138052.217863839</v>
      </c>
      <c r="E299" s="54">
        <f t="shared" si="13"/>
        <v>4112565.2903059595</v>
      </c>
      <c r="F299" s="53">
        <f>$K$4*B299</f>
        <v>26719477.641600002</v>
      </c>
      <c r="G299" s="51">
        <f t="shared" si="14"/>
        <v>267194.77641600004</v>
      </c>
      <c r="H299" s="52">
        <f>$K$3*D299</f>
        <v>6784513.0544659598</v>
      </c>
    </row>
    <row r="300" spans="1:8" ht="13.8" x14ac:dyDescent="0.25">
      <c r="A300" s="40">
        <v>0.72211895910780666</v>
      </c>
      <c r="B300" s="40">
        <v>3345.8557269000007</v>
      </c>
      <c r="C300" s="41">
        <f>C299+(((A300+A299)/2)*(B300-B299))</f>
        <v>3102.2295998538075</v>
      </c>
      <c r="D300" s="51">
        <f t="shared" si="12"/>
        <v>27175531.294719357</v>
      </c>
      <c r="E300" s="54">
        <f t="shared" si="13"/>
        <v>4117198.2421598393</v>
      </c>
      <c r="F300" s="53">
        <f>$K$4*B300</f>
        <v>26766845.815200005</v>
      </c>
      <c r="G300" s="51">
        <f t="shared" si="14"/>
        <v>267668.45815200004</v>
      </c>
      <c r="H300" s="52">
        <f>$K$3*D300</f>
        <v>6793882.8236798393</v>
      </c>
    </row>
    <row r="301" spans="1:8" ht="13.8" x14ac:dyDescent="0.25">
      <c r="A301" s="41">
        <v>0.72118959107806691</v>
      </c>
      <c r="B301" s="41">
        <v>3355.3253744000003</v>
      </c>
      <c r="C301" s="41">
        <f>C300+(((A301+A300)/2)*(B301-B300))</f>
        <v>3109.0634114558052</v>
      </c>
      <c r="D301" s="51">
        <f t="shared" si="12"/>
        <v>27235395.484352853</v>
      </c>
      <c r="E301" s="54">
        <f t="shared" si="13"/>
        <v>4124588.5715682129</v>
      </c>
      <c r="F301" s="53">
        <f>$K$4*B301</f>
        <v>26842602.995200004</v>
      </c>
      <c r="G301" s="51">
        <f t="shared" si="14"/>
        <v>268426.02995200007</v>
      </c>
      <c r="H301" s="52">
        <f>$K$3*D301</f>
        <v>6808848.8710882133</v>
      </c>
    </row>
    <row r="302" spans="1:8" ht="13.8" x14ac:dyDescent="0.25">
      <c r="A302" s="40">
        <v>0.72026022304832715</v>
      </c>
      <c r="B302" s="40">
        <v>3356.4617321000005</v>
      </c>
      <c r="C302" s="41">
        <f>C301+(((A302+A301)/2)*(B302-B301))</f>
        <v>3109.8824127535286</v>
      </c>
      <c r="D302" s="51">
        <f t="shared" si="12"/>
        <v>27242569.935720913</v>
      </c>
      <c r="E302" s="54">
        <f t="shared" si="13"/>
        <v>4125473.098250228</v>
      </c>
      <c r="F302" s="53">
        <f>$K$4*B302</f>
        <v>26851693.856800005</v>
      </c>
      <c r="G302" s="51">
        <f t="shared" si="14"/>
        <v>268516.93856800004</v>
      </c>
      <c r="H302" s="52">
        <f>$K$3*D302</f>
        <v>6810642.4839302283</v>
      </c>
    </row>
    <row r="303" spans="1:8" ht="13.8" x14ac:dyDescent="0.25">
      <c r="A303" s="41">
        <v>0.7193308550185874</v>
      </c>
      <c r="B303" s="41">
        <v>3358.1961728000006</v>
      </c>
      <c r="C303" s="41">
        <f>C302+(((A303+A302)/2)*(B303-B302))</f>
        <v>3111.1308554321067</v>
      </c>
      <c r="D303" s="51">
        <f t="shared" si="12"/>
        <v>27253506.293585252</v>
      </c>
      <c r="E303" s="54">
        <f t="shared" si="13"/>
        <v>4126819.635156313</v>
      </c>
      <c r="F303" s="53">
        <f>$K$4*B303</f>
        <v>26865569.382400006</v>
      </c>
      <c r="G303" s="51">
        <f t="shared" si="14"/>
        <v>268655.69382400007</v>
      </c>
      <c r="H303" s="52">
        <f>$K$3*D303</f>
        <v>6813376.573396313</v>
      </c>
    </row>
    <row r="304" spans="1:8" ht="13.8" x14ac:dyDescent="0.25">
      <c r="A304" s="40">
        <v>0.71840148698884754</v>
      </c>
      <c r="B304" s="40">
        <v>3361.4856293000007</v>
      </c>
      <c r="C304" s="41">
        <f>C303+(((A304+A303)/2)*(B304-B303))</f>
        <v>3113.4955344309451</v>
      </c>
      <c r="D304" s="51">
        <f t="shared" si="12"/>
        <v>27274220.881615076</v>
      </c>
      <c r="E304" s="54">
        <f t="shared" si="13"/>
        <v>4129366.7169637685</v>
      </c>
      <c r="F304" s="53">
        <f>$K$4*B304</f>
        <v>26891885.034400005</v>
      </c>
      <c r="G304" s="51">
        <f t="shared" si="14"/>
        <v>268918.85034400003</v>
      </c>
      <c r="H304" s="52">
        <f>$K$3*D304</f>
        <v>6818555.2204037691</v>
      </c>
    </row>
    <row r="305" spans="1:8" ht="13.8" x14ac:dyDescent="0.25">
      <c r="A305" s="41">
        <v>0.71747211895910779</v>
      </c>
      <c r="B305" s="41">
        <v>3371.7527208000001</v>
      </c>
      <c r="C305" s="41">
        <f>C304+(((A305+A304)/2)*(B305-B304))</f>
        <v>3120.8666572782959</v>
      </c>
      <c r="D305" s="51">
        <f t="shared" si="12"/>
        <v>27338791.917757869</v>
      </c>
      <c r="E305" s="54">
        <f t="shared" si="13"/>
        <v>4137295.8027994675</v>
      </c>
      <c r="F305" s="53">
        <f>$K$4*B305</f>
        <v>26974021.766400002</v>
      </c>
      <c r="G305" s="51">
        <f t="shared" si="14"/>
        <v>269740.217664</v>
      </c>
      <c r="H305" s="52">
        <f>$K$3*D305</f>
        <v>6834697.9794394672</v>
      </c>
    </row>
    <row r="306" spans="1:8" ht="13.8" x14ac:dyDescent="0.25">
      <c r="A306" s="40">
        <v>0.71654275092936803</v>
      </c>
      <c r="B306" s="40">
        <v>3387.3427510000001</v>
      </c>
      <c r="C306" s="41">
        <f>C305+(((A306+A305)/2)*(B306-B305))</f>
        <v>3132.044824842701</v>
      </c>
      <c r="D306" s="51">
        <f t="shared" si="12"/>
        <v>27436712.665622059</v>
      </c>
      <c r="E306" s="54">
        <f t="shared" si="13"/>
        <v>4149303.9656055151</v>
      </c>
      <c r="F306" s="53">
        <f>$K$4*B306</f>
        <v>27098742.008000001</v>
      </c>
      <c r="G306" s="51">
        <f t="shared" si="14"/>
        <v>270987.42008000001</v>
      </c>
      <c r="H306" s="52">
        <f>$K$3*D306</f>
        <v>6859178.1664055148</v>
      </c>
    </row>
    <row r="307" spans="1:8" ht="13.8" x14ac:dyDescent="0.25">
      <c r="A307" s="41">
        <v>0.71561338289962828</v>
      </c>
      <c r="B307" s="41">
        <v>3389.1370000000006</v>
      </c>
      <c r="C307" s="41">
        <f>C306+(((A307+A306)/2)*(B307-B306))</f>
        <v>3133.3296471981848</v>
      </c>
      <c r="D307" s="51">
        <f t="shared" si="12"/>
        <v>27447967.709456097</v>
      </c>
      <c r="E307" s="54">
        <f t="shared" si="13"/>
        <v>4150682.3273640242</v>
      </c>
      <c r="F307" s="53">
        <f>$K$4*B307</f>
        <v>27113096.000000004</v>
      </c>
      <c r="G307" s="51">
        <f t="shared" si="14"/>
        <v>271130.96000000002</v>
      </c>
      <c r="H307" s="52">
        <f>$K$3*D307</f>
        <v>6861991.9273640243</v>
      </c>
    </row>
    <row r="308" spans="1:8" ht="13.8" x14ac:dyDescent="0.25">
      <c r="A308" s="40">
        <v>0.71468401486988853</v>
      </c>
      <c r="B308" s="40">
        <v>3399.2844749000001</v>
      </c>
      <c r="C308" s="41">
        <f>C307+(((A308+A307)/2)*(B308-B307))</f>
        <v>3140.5866006698852</v>
      </c>
      <c r="D308" s="51">
        <f t="shared" si="12"/>
        <v>27511538.621868193</v>
      </c>
      <c r="E308" s="54">
        <f t="shared" si="13"/>
        <v>4158457.0755470479</v>
      </c>
      <c r="F308" s="53">
        <f>$K$4*B308</f>
        <v>27194275.799200002</v>
      </c>
      <c r="G308" s="51">
        <f t="shared" si="14"/>
        <v>271942.75799200003</v>
      </c>
      <c r="H308" s="52">
        <f>$K$3*D308</f>
        <v>6877884.6554670483</v>
      </c>
    </row>
    <row r="309" spans="1:8" ht="13.8" x14ac:dyDescent="0.25">
      <c r="A309" s="41">
        <v>0.71375464684014867</v>
      </c>
      <c r="B309" s="41">
        <v>3414.1169333000003</v>
      </c>
      <c r="C309" s="41">
        <f>C308+(((A309+A308)/2)*(B309-B308))</f>
        <v>3151.1802291832682</v>
      </c>
      <c r="D309" s="51">
        <f t="shared" si="12"/>
        <v>27604338.807645429</v>
      </c>
      <c r="E309" s="54">
        <f t="shared" si="13"/>
        <v>4169791.1552713574</v>
      </c>
      <c r="F309" s="53">
        <f>$K$4*B309</f>
        <v>27312935.466400001</v>
      </c>
      <c r="G309" s="51">
        <f t="shared" si="14"/>
        <v>273129.35466400004</v>
      </c>
      <c r="H309" s="52">
        <f>$K$3*D309</f>
        <v>6901084.7019113572</v>
      </c>
    </row>
    <row r="310" spans="1:8" ht="13.8" x14ac:dyDescent="0.25">
      <c r="A310" s="40">
        <v>0.71282527881040891</v>
      </c>
      <c r="B310" s="40">
        <v>3422.6495840999996</v>
      </c>
      <c r="C310" s="41">
        <f>C309+(((A310+A309)/2)*(B310-B309))</f>
        <v>3157.2664833552008</v>
      </c>
      <c r="D310" s="51">
        <f t="shared" si="12"/>
        <v>27657654.394191559</v>
      </c>
      <c r="E310" s="54">
        <f t="shared" si="13"/>
        <v>4176293.9312678901</v>
      </c>
      <c r="F310" s="53">
        <f>$K$4*B310</f>
        <v>27381196.672799997</v>
      </c>
      <c r="G310" s="51">
        <f t="shared" si="14"/>
        <v>273811.96672799997</v>
      </c>
      <c r="H310" s="52">
        <f>$K$3*D310</f>
        <v>6914413.5985478899</v>
      </c>
    </row>
    <row r="311" spans="1:8" ht="13.8" x14ac:dyDescent="0.25">
      <c r="A311" s="41">
        <v>0.71189591078066916</v>
      </c>
      <c r="B311" s="41">
        <v>3428.271564300001</v>
      </c>
      <c r="C311" s="41">
        <f>C310+(((A311+A310)/2)*(B311-B310))</f>
        <v>3161.2713605144027</v>
      </c>
      <c r="D311" s="51">
        <f t="shared" si="12"/>
        <v>27692737.118106171</v>
      </c>
      <c r="E311" s="54">
        <f t="shared" si="13"/>
        <v>4180567.0280865422</v>
      </c>
      <c r="F311" s="53">
        <f>$K$4*B311</f>
        <v>27426172.514400009</v>
      </c>
      <c r="G311" s="51">
        <f t="shared" si="14"/>
        <v>274261.72514400008</v>
      </c>
      <c r="H311" s="52">
        <f>$K$3*D311</f>
        <v>6923184.2795265429</v>
      </c>
    </row>
    <row r="312" spans="1:8" ht="13.8" x14ac:dyDescent="0.25">
      <c r="A312" s="40">
        <v>0.71096654275092941</v>
      </c>
      <c r="B312" s="40">
        <v>3428.5307336000001</v>
      </c>
      <c r="C312" s="41">
        <f>C311+(((A312+A311)/2)*(B312-B311))</f>
        <v>3161.4557416474408</v>
      </c>
      <c r="D312" s="51">
        <f t="shared" si="12"/>
        <v>27694352.296831578</v>
      </c>
      <c r="E312" s="54">
        <f t="shared" si="13"/>
        <v>4180763.4873278947</v>
      </c>
      <c r="F312" s="53">
        <f>$K$4*B312</f>
        <v>27428245.868799999</v>
      </c>
      <c r="G312" s="51">
        <f t="shared" si="14"/>
        <v>274282.45868799998</v>
      </c>
      <c r="H312" s="52">
        <f>$K$3*D312</f>
        <v>6923588.0742078945</v>
      </c>
    </row>
    <row r="313" spans="1:8" ht="13.8" x14ac:dyDescent="0.25">
      <c r="A313" s="41">
        <v>0.71003717472118955</v>
      </c>
      <c r="B313" s="41">
        <v>3434.5115636</v>
      </c>
      <c r="C313" s="41">
        <f>C312+(((A313+A312)/2)*(B313-B312))</f>
        <v>3165.7051324792251</v>
      </c>
      <c r="D313" s="51">
        <f t="shared" si="12"/>
        <v>27731576.960518014</v>
      </c>
      <c r="E313" s="54">
        <f t="shared" si="13"/>
        <v>4185284.9892495032</v>
      </c>
      <c r="F313" s="53">
        <f>$K$4*B313</f>
        <v>27476092.5088</v>
      </c>
      <c r="G313" s="51">
        <f t="shared" si="14"/>
        <v>274760.92508800002</v>
      </c>
      <c r="H313" s="52">
        <f>$K$3*D313</f>
        <v>6932894.2401295034</v>
      </c>
    </row>
    <row r="314" spans="1:8" ht="13.8" x14ac:dyDescent="0.25">
      <c r="A314" s="40">
        <v>0.70910780669144979</v>
      </c>
      <c r="B314" s="40">
        <v>3447.0314344000008</v>
      </c>
      <c r="C314" s="41">
        <f>C313+(((A314+A313)/2)*(B314-B313))</f>
        <v>3174.588888386103</v>
      </c>
      <c r="D314" s="51">
        <f t="shared" si="12"/>
        <v>27809398.662262265</v>
      </c>
      <c r="E314" s="54">
        <f t="shared" si="13"/>
        <v>4194724.518045566</v>
      </c>
      <c r="F314" s="53">
        <f>$K$4*B314</f>
        <v>27576251.475200005</v>
      </c>
      <c r="G314" s="51">
        <f t="shared" si="14"/>
        <v>275762.51475200005</v>
      </c>
      <c r="H314" s="52">
        <f>$K$3*D314</f>
        <v>6952349.6655655662</v>
      </c>
    </row>
    <row r="315" spans="1:8" ht="13.8" x14ac:dyDescent="0.25">
      <c r="A315" s="41">
        <v>0.70817843866171004</v>
      </c>
      <c r="B315" s="41">
        <v>3454.1087499</v>
      </c>
      <c r="C315" s="41">
        <f>C314+(((A315+A314)/2)*(B315-B314))</f>
        <v>3179.60417934219</v>
      </c>
      <c r="D315" s="51">
        <f t="shared" si="12"/>
        <v>27853332.611037586</v>
      </c>
      <c r="E315" s="54">
        <f t="shared" si="13"/>
        <v>4200046.1528393961</v>
      </c>
      <c r="F315" s="53">
        <f>$K$4*B315</f>
        <v>27632869.999200001</v>
      </c>
      <c r="G315" s="51">
        <f t="shared" si="14"/>
        <v>276328.69999200001</v>
      </c>
      <c r="H315" s="52">
        <f>$K$3*D315</f>
        <v>6963333.1527593965</v>
      </c>
    </row>
    <row r="316" spans="1:8" ht="13.8" x14ac:dyDescent="0.25">
      <c r="A316" s="40">
        <v>0.70724907063197029</v>
      </c>
      <c r="B316" s="40">
        <v>3457.0991649000002</v>
      </c>
      <c r="C316" s="41">
        <f>C315+(((A316+A315)/2)*(B316-B315))</f>
        <v>3181.7205371697924</v>
      </c>
      <c r="D316" s="51">
        <f t="shared" si="12"/>
        <v>27871871.90560738</v>
      </c>
      <c r="E316" s="54">
        <f t="shared" si="13"/>
        <v>4202288.6444818452</v>
      </c>
      <c r="F316" s="53">
        <f>$K$4*B316</f>
        <v>27656793.319200002</v>
      </c>
      <c r="G316" s="51">
        <f t="shared" si="14"/>
        <v>276567.93319200003</v>
      </c>
      <c r="H316" s="52">
        <f>$K$3*D316</f>
        <v>6967967.976401845</v>
      </c>
    </row>
    <row r="317" spans="1:8" ht="13.8" x14ac:dyDescent="0.25">
      <c r="A317" s="41">
        <v>0.70631970260223054</v>
      </c>
      <c r="B317" s="41">
        <v>3465.6517518000001</v>
      </c>
      <c r="C317" s="41">
        <f>C316+(((A317+A316)/2)*(B317-B316))</f>
        <v>3187.7653720558983</v>
      </c>
      <c r="D317" s="51">
        <f t="shared" si="12"/>
        <v>27924824.659209665</v>
      </c>
      <c r="E317" s="54">
        <f t="shared" si="13"/>
        <v>4208684.763362417</v>
      </c>
      <c r="F317" s="53">
        <f>$K$4*B317</f>
        <v>27725214.014400002</v>
      </c>
      <c r="G317" s="51">
        <f t="shared" si="14"/>
        <v>277252.140144</v>
      </c>
      <c r="H317" s="52">
        <f>$K$3*D317</f>
        <v>6981206.1648024162</v>
      </c>
    </row>
    <row r="318" spans="1:8" ht="13.8" x14ac:dyDescent="0.25">
      <c r="A318" s="40">
        <v>0.70539033457249067</v>
      </c>
      <c r="B318" s="40">
        <v>3472.3702175000003</v>
      </c>
      <c r="C318" s="41">
        <f>C317+(((A318+A317)/2)*(B318-B317))</f>
        <v>3192.5076347874506</v>
      </c>
      <c r="D318" s="51">
        <f t="shared" si="12"/>
        <v>27966366.880738065</v>
      </c>
      <c r="E318" s="54">
        <f t="shared" si="13"/>
        <v>4213695.5461845156</v>
      </c>
      <c r="F318" s="53">
        <f>$K$4*B318</f>
        <v>27778961.740000002</v>
      </c>
      <c r="G318" s="51">
        <f t="shared" si="14"/>
        <v>277789.61740000005</v>
      </c>
      <c r="H318" s="52">
        <f>$K$3*D318</f>
        <v>6991591.7201845162</v>
      </c>
    </row>
    <row r="319" spans="1:8" ht="13.8" x14ac:dyDescent="0.25">
      <c r="A319" s="41">
        <v>0.70446096654275092</v>
      </c>
      <c r="B319" s="41">
        <v>3473.7059362</v>
      </c>
      <c r="C319" s="41">
        <f>C318+(((A319+A318)/2)*(B319-B318))</f>
        <v>3193.44921716101</v>
      </c>
      <c r="D319" s="51">
        <f t="shared" si="12"/>
        <v>27974615.142330445</v>
      </c>
      <c r="E319" s="54">
        <f t="shared" si="13"/>
        <v>4214689.0366226118</v>
      </c>
      <c r="F319" s="53">
        <f>$K$4*B319</f>
        <v>27789647.489599999</v>
      </c>
      <c r="G319" s="51">
        <f t="shared" si="14"/>
        <v>277896.474896</v>
      </c>
      <c r="H319" s="52">
        <f>$K$3*D319</f>
        <v>6993653.7855826113</v>
      </c>
    </row>
    <row r="320" spans="1:8" ht="13.8" x14ac:dyDescent="0.25">
      <c r="A320" s="40">
        <v>0.70353159851301117</v>
      </c>
      <c r="B320" s="40">
        <v>3474.9619105000002</v>
      </c>
      <c r="C320" s="41">
        <f>C319+(((A320+A319)/2)*(B320-B319))</f>
        <v>3194.3334183991606</v>
      </c>
      <c r="D320" s="51">
        <f t="shared" si="12"/>
        <v>27982360.745176647</v>
      </c>
      <c r="E320" s="54">
        <f t="shared" si="13"/>
        <v>4215620.6578941606</v>
      </c>
      <c r="F320" s="53">
        <f>$K$4*B320</f>
        <v>27799695.284000002</v>
      </c>
      <c r="G320" s="51">
        <f t="shared" si="14"/>
        <v>277996.95284000004</v>
      </c>
      <c r="H320" s="52">
        <f>$K$3*D320</f>
        <v>6995590.1862941617</v>
      </c>
    </row>
    <row r="321" spans="1:8" ht="13.8" x14ac:dyDescent="0.25">
      <c r="A321" s="41">
        <v>0.70260223048327142</v>
      </c>
      <c r="B321" s="41">
        <v>3480.8031878000011</v>
      </c>
      <c r="C321" s="41">
        <f>C320+(((A321+A320)/2)*(B321-B320))</f>
        <v>3198.4402272072002</v>
      </c>
      <c r="D321" s="51">
        <f t="shared" si="12"/>
        <v>28018336.390335076</v>
      </c>
      <c r="E321" s="54">
        <f t="shared" si="13"/>
        <v>4219941.5473437682</v>
      </c>
      <c r="F321" s="53">
        <f>$K$4*B321</f>
        <v>27846425.502400007</v>
      </c>
      <c r="G321" s="51">
        <f t="shared" si="14"/>
        <v>278464.25502400007</v>
      </c>
      <c r="H321" s="52">
        <f>$K$3*D321</f>
        <v>7004584.0975837689</v>
      </c>
    </row>
    <row r="322" spans="1:8" ht="13.8" x14ac:dyDescent="0.25">
      <c r="A322" s="40">
        <v>0.70167286245353155</v>
      </c>
      <c r="B322" s="40">
        <v>3482.0790982000003</v>
      </c>
      <c r="C322" s="41">
        <f>C321+(((A322+A321)/2)*(B322-B321))</f>
        <v>3199.3360918049693</v>
      </c>
      <c r="D322" s="51">
        <f t="shared" si="12"/>
        <v>28026184.16421153</v>
      </c>
      <c r="E322" s="54">
        <f t="shared" si="13"/>
        <v>4220882.762492883</v>
      </c>
      <c r="F322" s="53">
        <f>$K$4*B322</f>
        <v>27856632.785600003</v>
      </c>
      <c r="G322" s="51">
        <f t="shared" si="14"/>
        <v>278566.32785600005</v>
      </c>
      <c r="H322" s="52">
        <f>$K$3*D322</f>
        <v>7006546.0410528826</v>
      </c>
    </row>
    <row r="323" spans="1:8" ht="13.8" x14ac:dyDescent="0.25">
      <c r="A323" s="41">
        <v>0.7007434944237918</v>
      </c>
      <c r="B323" s="41">
        <v>3486.9833787999992</v>
      </c>
      <c r="C323" s="41">
        <f>C322+(((A323+A322)/2)*(B323-B322))</f>
        <v>3202.7750134710468</v>
      </c>
      <c r="D323" s="51">
        <f t="shared" ref="D323:D386" si="15">C323*24*365</f>
        <v>28056309.118006367</v>
      </c>
      <c r="E323" s="54">
        <f t="shared" ref="E323:E386" si="16">H323-G323-(F323*$K$5)</f>
        <v>4224490.5764615927</v>
      </c>
      <c r="F323" s="53">
        <f>$K$4*B323</f>
        <v>27895867.030399993</v>
      </c>
      <c r="G323" s="51">
        <f t="shared" ref="G323:G386" si="17">F323*0.01</f>
        <v>278958.67030399991</v>
      </c>
      <c r="H323" s="52">
        <f>$K$3*D323</f>
        <v>7014077.2795015918</v>
      </c>
    </row>
    <row r="324" spans="1:8" ht="13.8" x14ac:dyDescent="0.25">
      <c r="A324" s="40">
        <v>0.69981412639405205</v>
      </c>
      <c r="B324" s="40">
        <v>3494.2999274999997</v>
      </c>
      <c r="C324" s="41">
        <f>C323+(((A324+A323)/2)*(B324-B323))</f>
        <v>3207.8986374909823</v>
      </c>
      <c r="D324" s="51">
        <f t="shared" si="15"/>
        <v>28101192.064421006</v>
      </c>
      <c r="E324" s="54">
        <f t="shared" si="16"/>
        <v>4229858.0741052516</v>
      </c>
      <c r="F324" s="53">
        <f>$K$4*B324</f>
        <v>27954399.419999998</v>
      </c>
      <c r="G324" s="51">
        <f t="shared" si="17"/>
        <v>279543.99419999996</v>
      </c>
      <c r="H324" s="52">
        <f>$K$3*D324</f>
        <v>7025298.0161052514</v>
      </c>
    </row>
    <row r="325" spans="1:8" ht="13.8" x14ac:dyDescent="0.25">
      <c r="A325" s="41">
        <v>0.6988847583643123</v>
      </c>
      <c r="B325" s="41">
        <v>3498.685869500001</v>
      </c>
      <c r="C325" s="41">
        <f>C324+(((A325+A324)/2)*(B325-B324))</f>
        <v>3210.9659435829908</v>
      </c>
      <c r="D325" s="51">
        <f t="shared" si="15"/>
        <v>28128061.665787</v>
      </c>
      <c r="E325" s="54">
        <f t="shared" si="16"/>
        <v>4233066.7208467489</v>
      </c>
      <c r="F325" s="53">
        <f>$K$4*B325</f>
        <v>27989486.956000008</v>
      </c>
      <c r="G325" s="51">
        <f t="shared" si="17"/>
        <v>279894.86956000008</v>
      </c>
      <c r="H325" s="52">
        <f>$K$3*D325</f>
        <v>7032015.4164467501</v>
      </c>
    </row>
    <row r="326" spans="1:8" ht="13.8" x14ac:dyDescent="0.25">
      <c r="A326" s="40">
        <v>0.69795539033457255</v>
      </c>
      <c r="B326" s="40">
        <v>3500.7990961</v>
      </c>
      <c r="C326" s="41">
        <f>C325+(((A326+A325)/2)*(B326-B325))</f>
        <v>3212.4418634620793</v>
      </c>
      <c r="D326" s="51">
        <f t="shared" si="15"/>
        <v>28140990.723927815</v>
      </c>
      <c r="E326" s="54">
        <f t="shared" si="16"/>
        <v>4234608.4041019538</v>
      </c>
      <c r="F326" s="53">
        <f>$K$4*B326</f>
        <v>28006392.768800002</v>
      </c>
      <c r="G326" s="51">
        <f t="shared" si="17"/>
        <v>280063.92768800003</v>
      </c>
      <c r="H326" s="52">
        <f>$K$3*D326</f>
        <v>7035247.6809819536</v>
      </c>
    </row>
    <row r="327" spans="1:8" ht="13.8" x14ac:dyDescent="0.25">
      <c r="A327" s="41">
        <v>0.69702602230483268</v>
      </c>
      <c r="B327" s="41">
        <v>3501.6962205999994</v>
      </c>
      <c r="C327" s="41">
        <f>C326+(((A327+A326)/2)*(B327-B326))</f>
        <v>3213.0675994632406</v>
      </c>
      <c r="D327" s="51">
        <f t="shared" si="15"/>
        <v>28146472.17129799</v>
      </c>
      <c r="E327" s="54">
        <f t="shared" si="16"/>
        <v>4235261.0663444977</v>
      </c>
      <c r="F327" s="53">
        <f>$K$4*B327</f>
        <v>28013569.764799993</v>
      </c>
      <c r="G327" s="51">
        <f t="shared" si="17"/>
        <v>280135.69764799991</v>
      </c>
      <c r="H327" s="52">
        <f>$K$3*D327</f>
        <v>7036618.0428244974</v>
      </c>
    </row>
    <row r="328" spans="1:8" ht="13.8" x14ac:dyDescent="0.25">
      <c r="A328" s="40">
        <v>0.69609665427509293</v>
      </c>
      <c r="B328" s="40">
        <v>3507.0191593000004</v>
      </c>
      <c r="C328" s="41">
        <f>C327+(((A328+A327)/2)*(B328-B327))</f>
        <v>3216.7753527677487</v>
      </c>
      <c r="D328" s="51">
        <f t="shared" si="15"/>
        <v>28178952.090245478</v>
      </c>
      <c r="E328" s="54">
        <f t="shared" si="16"/>
        <v>4239122.6951213693</v>
      </c>
      <c r="F328" s="53">
        <f>$K$4*B328</f>
        <v>28056153.274400003</v>
      </c>
      <c r="G328" s="51">
        <f t="shared" si="17"/>
        <v>280561.53274400003</v>
      </c>
      <c r="H328" s="52">
        <f>$K$3*D328</f>
        <v>7044738.0225613695</v>
      </c>
    </row>
    <row r="329" spans="1:8" ht="13.8" x14ac:dyDescent="0.25">
      <c r="A329" s="41">
        <v>0.69516728624535318</v>
      </c>
      <c r="B329" s="41">
        <v>3509.0725776000004</v>
      </c>
      <c r="C329" s="41">
        <f>C328+(((A329+A328)/2)*(B329-B328))</f>
        <v>3218.2037761855463</v>
      </c>
      <c r="D329" s="51">
        <f t="shared" si="15"/>
        <v>28191465.079385385</v>
      </c>
      <c r="E329" s="54">
        <f t="shared" si="16"/>
        <v>4240608.2077663466</v>
      </c>
      <c r="F329" s="53">
        <f>$K$4*B329</f>
        <v>28072580.620800003</v>
      </c>
      <c r="G329" s="51">
        <f t="shared" si="17"/>
        <v>280725.80620800005</v>
      </c>
      <c r="H329" s="52">
        <f>$K$3*D329</f>
        <v>7047866.2698463462</v>
      </c>
    </row>
    <row r="330" spans="1:8" ht="13.8" x14ac:dyDescent="0.25">
      <c r="A330" s="40">
        <v>0.69423791821561343</v>
      </c>
      <c r="B330" s="40">
        <v>3524.7224160999995</v>
      </c>
      <c r="C330" s="41">
        <f>C329+(((A330+A329)/2)*(B330-B329))</f>
        <v>3229.0757597159823</v>
      </c>
      <c r="D330" s="51">
        <f t="shared" si="15"/>
        <v>28286703.655112002</v>
      </c>
      <c r="E330" s="54">
        <f t="shared" si="16"/>
        <v>4251897.9808980003</v>
      </c>
      <c r="F330" s="53">
        <f>$K$4*B330</f>
        <v>28197779.328799997</v>
      </c>
      <c r="G330" s="51">
        <f t="shared" si="17"/>
        <v>281977.79328799999</v>
      </c>
      <c r="H330" s="52">
        <f>$K$3*D330</f>
        <v>7071675.9137780005</v>
      </c>
    </row>
    <row r="331" spans="1:8" ht="13.8" x14ac:dyDescent="0.25">
      <c r="A331" s="41">
        <v>0.69330855018587356</v>
      </c>
      <c r="B331" s="41">
        <v>3530.2247797000009</v>
      </c>
      <c r="C331" s="41">
        <f>C330+(((A331+A330)/2)*(B331-B330))</f>
        <v>3232.8931523065039</v>
      </c>
      <c r="D331" s="51">
        <f t="shared" si="15"/>
        <v>28320144.014204975</v>
      </c>
      <c r="E331" s="54">
        <f t="shared" si="16"/>
        <v>4255856.1797912437</v>
      </c>
      <c r="F331" s="53">
        <f>$K$4*B331</f>
        <v>28241798.237600006</v>
      </c>
      <c r="G331" s="51">
        <f t="shared" si="17"/>
        <v>282417.98237600009</v>
      </c>
      <c r="H331" s="52">
        <f>$K$3*D331</f>
        <v>7080036.0035512438</v>
      </c>
    </row>
    <row r="332" spans="1:8" ht="13.8" x14ac:dyDescent="0.25">
      <c r="A332" s="40">
        <v>0.69237918215613381</v>
      </c>
      <c r="B332" s="40">
        <v>3532.078837</v>
      </c>
      <c r="C332" s="41">
        <f>C331+(((A332+A331)/2)*(B332-B331))</f>
        <v>3234.1777245343378</v>
      </c>
      <c r="D332" s="51">
        <f t="shared" si="15"/>
        <v>28331396.866920799</v>
      </c>
      <c r="E332" s="54">
        <f t="shared" si="16"/>
        <v>4257186.1471302006</v>
      </c>
      <c r="F332" s="53">
        <f>$K$4*B332</f>
        <v>28256630.695999999</v>
      </c>
      <c r="G332" s="51">
        <f t="shared" si="17"/>
        <v>282566.30696000002</v>
      </c>
      <c r="H332" s="52">
        <f>$K$3*D332</f>
        <v>7082849.2167301998</v>
      </c>
    </row>
    <row r="333" spans="1:8" ht="13.8" x14ac:dyDescent="0.25">
      <c r="A333" s="41">
        <v>0.69144981412639406</v>
      </c>
      <c r="B333" s="41">
        <v>3532.0987731</v>
      </c>
      <c r="C333" s="41">
        <f>C332+(((A333+A332)/2)*(B333-B332))</f>
        <v>3234.1915186109641</v>
      </c>
      <c r="D333" s="51">
        <f t="shared" si="15"/>
        <v>28331517.703032047</v>
      </c>
      <c r="E333" s="54">
        <f t="shared" si="16"/>
        <v>4257200.4072780125</v>
      </c>
      <c r="F333" s="53">
        <f>$K$4*B333</f>
        <v>28256790.184799999</v>
      </c>
      <c r="G333" s="51">
        <f t="shared" si="17"/>
        <v>282567.90184800001</v>
      </c>
      <c r="H333" s="52">
        <f>$K$3*D333</f>
        <v>7082879.4257580116</v>
      </c>
    </row>
    <row r="334" spans="1:8" ht="13.8" x14ac:dyDescent="0.25">
      <c r="A334" s="40">
        <v>0.69052044609665431</v>
      </c>
      <c r="B334" s="40">
        <v>3542.9041393000002</v>
      </c>
      <c r="C334" s="41">
        <f>C333+(((A334+A333)/2)*(B334-B333))</f>
        <v>3241.6578659805737</v>
      </c>
      <c r="D334" s="51">
        <f t="shared" si="15"/>
        <v>28396922.905989822</v>
      </c>
      <c r="E334" s="54">
        <f t="shared" si="16"/>
        <v>4264907.4150574543</v>
      </c>
      <c r="F334" s="53">
        <f>$K$4*B334</f>
        <v>28343233.114400003</v>
      </c>
      <c r="G334" s="51">
        <f t="shared" si="17"/>
        <v>283432.33114400005</v>
      </c>
      <c r="H334" s="52">
        <f>$K$3*D334</f>
        <v>7099230.7264974555</v>
      </c>
    </row>
    <row r="335" spans="1:8" ht="13.8" x14ac:dyDescent="0.25">
      <c r="A335" s="41">
        <v>0.68959107806691455</v>
      </c>
      <c r="B335" s="41">
        <v>3547.5891228</v>
      </c>
      <c r="C335" s="41">
        <f>C334+(((A335+A334)/2)*(B335-B334))</f>
        <v>3244.8907658400067</v>
      </c>
      <c r="D335" s="51">
        <f t="shared" si="15"/>
        <v>28425243.108758461</v>
      </c>
      <c r="E335" s="54">
        <f t="shared" si="16"/>
        <v>4268239.4789496148</v>
      </c>
      <c r="F335" s="53">
        <f>$K$4*B335</f>
        <v>28380712.9824</v>
      </c>
      <c r="G335" s="51">
        <f t="shared" si="17"/>
        <v>283807.129824</v>
      </c>
      <c r="H335" s="52">
        <f>$K$3*D335</f>
        <v>7106310.7771896152</v>
      </c>
    </row>
    <row r="336" spans="1:8" ht="13.8" x14ac:dyDescent="0.25">
      <c r="A336" s="40">
        <v>0.68866171003717469</v>
      </c>
      <c r="B336" s="40">
        <v>3552.4535312000007</v>
      </c>
      <c r="C336" s="41">
        <f>C335+(((A336+A335)/2)*(B336-B335))</f>
        <v>3248.2429580598955</v>
      </c>
      <c r="D336" s="51">
        <f t="shared" si="15"/>
        <v>28454608.312604688</v>
      </c>
      <c r="E336" s="54">
        <f t="shared" si="16"/>
        <v>4271689.2531911721</v>
      </c>
      <c r="F336" s="53">
        <f>$K$4*B336</f>
        <v>28419628.249600004</v>
      </c>
      <c r="G336" s="51">
        <f t="shared" si="17"/>
        <v>284196.28249600006</v>
      </c>
      <c r="H336" s="52">
        <f>$K$3*D336</f>
        <v>7113652.078151172</v>
      </c>
    </row>
    <row r="337" spans="1:8" ht="13.8" x14ac:dyDescent="0.25">
      <c r="A337" s="41">
        <v>0.68773234200743494</v>
      </c>
      <c r="B337" s="41">
        <v>3561.3450318000009</v>
      </c>
      <c r="C337" s="41">
        <f>C336+(((A337+A336)/2)*(B337-B336))</f>
        <v>3254.3620623296911</v>
      </c>
      <c r="D337" s="51">
        <f t="shared" si="15"/>
        <v>28508211.666008092</v>
      </c>
      <c r="E337" s="54">
        <f t="shared" si="16"/>
        <v>4277976.8910620222</v>
      </c>
      <c r="F337" s="53">
        <f>$K$4*B337</f>
        <v>28490760.254400007</v>
      </c>
      <c r="G337" s="51">
        <f t="shared" si="17"/>
        <v>284907.60254400008</v>
      </c>
      <c r="H337" s="52">
        <f>$K$3*D337</f>
        <v>7127052.9165020231</v>
      </c>
    </row>
    <row r="338" spans="1:8" ht="13.8" x14ac:dyDescent="0.25">
      <c r="A338" s="40">
        <v>0.68680297397769519</v>
      </c>
      <c r="B338" s="40">
        <v>3566.0100791999998</v>
      </c>
      <c r="C338" s="41">
        <f>C337+(((A338+A337)/2)*(B338-B337))</f>
        <v>3257.5681985307128</v>
      </c>
      <c r="D338" s="51">
        <f t="shared" si="15"/>
        <v>28536297.419129044</v>
      </c>
      <c r="E338" s="54">
        <f t="shared" si="16"/>
        <v>4281266.2914222609</v>
      </c>
      <c r="F338" s="53">
        <f>$K$4*B338</f>
        <v>28528080.6336</v>
      </c>
      <c r="G338" s="51">
        <f t="shared" si="17"/>
        <v>285280.80633600004</v>
      </c>
      <c r="H338" s="52">
        <f>$K$3*D338</f>
        <v>7134074.354782261</v>
      </c>
    </row>
    <row r="339" spans="1:8" ht="13.8" x14ac:dyDescent="0.25">
      <c r="A339" s="41">
        <v>0.68587360594795543</v>
      </c>
      <c r="B339" s="41">
        <v>3574.881643700001</v>
      </c>
      <c r="C339" s="41">
        <f>C338+(((A339+A338)/2)*(B339-B338))</f>
        <v>3263.6570929389386</v>
      </c>
      <c r="D339" s="51">
        <f t="shared" si="15"/>
        <v>28589636.134145103</v>
      </c>
      <c r="E339" s="54">
        <f t="shared" si="16"/>
        <v>4287503.7185762748</v>
      </c>
      <c r="F339" s="53">
        <f>$K$4*B339</f>
        <v>28599053.149600007</v>
      </c>
      <c r="G339" s="51">
        <f t="shared" si="17"/>
        <v>285990.53149600007</v>
      </c>
      <c r="H339" s="52">
        <f>$K$3*D339</f>
        <v>7147409.0335362758</v>
      </c>
    </row>
    <row r="340" spans="1:8" ht="13.8" x14ac:dyDescent="0.25">
      <c r="A340" s="40">
        <v>0.68494423791821557</v>
      </c>
      <c r="B340" s="40">
        <v>3577.0746147</v>
      </c>
      <c r="C340" s="41">
        <f>C339+(((A340+A339)/2)*(B340-B339))</f>
        <v>3265.1601748278786</v>
      </c>
      <c r="D340" s="51">
        <f t="shared" si="15"/>
        <v>28602803.131492216</v>
      </c>
      <c r="E340" s="54">
        <f t="shared" si="16"/>
        <v>4289041.0911130542</v>
      </c>
      <c r="F340" s="53">
        <f>$K$4*B340</f>
        <v>28616596.917599998</v>
      </c>
      <c r="G340" s="51">
        <f t="shared" si="17"/>
        <v>286165.96917599998</v>
      </c>
      <c r="H340" s="52">
        <f>$K$3*D340</f>
        <v>7150700.782873054</v>
      </c>
    </row>
    <row r="341" spans="1:8" ht="13.8" x14ac:dyDescent="0.25">
      <c r="A341" s="41">
        <v>0.68401486988847582</v>
      </c>
      <c r="B341" s="41">
        <v>3580.1049018999997</v>
      </c>
      <c r="C341" s="41">
        <f>C340+(((A341+A340)/2)*(B341-B340))</f>
        <v>3267.2343444587336</v>
      </c>
      <c r="D341" s="51">
        <f t="shared" si="15"/>
        <v>28620972.85745851</v>
      </c>
      <c r="E341" s="54">
        <f t="shared" si="16"/>
        <v>4291159.2928446271</v>
      </c>
      <c r="F341" s="53">
        <f>$K$4*B341</f>
        <v>28640839.2152</v>
      </c>
      <c r="G341" s="51">
        <f t="shared" si="17"/>
        <v>286408.39215199999</v>
      </c>
      <c r="H341" s="52">
        <f>$K$3*D341</f>
        <v>7155243.2143646274</v>
      </c>
    </row>
    <row r="342" spans="1:8" ht="13.8" x14ac:dyDescent="0.25">
      <c r="A342" s="40">
        <v>0.68308550185873607</v>
      </c>
      <c r="B342" s="40">
        <v>3604.4668161000013</v>
      </c>
      <c r="C342" s="41">
        <f>C341+(((A342+A341)/2)*(B342-B341))</f>
        <v>3283.8869354383814</v>
      </c>
      <c r="D342" s="51">
        <f t="shared" si="15"/>
        <v>28766849.554440219</v>
      </c>
      <c r="E342" s="54">
        <f t="shared" si="16"/>
        <v>4308138.9357300531</v>
      </c>
      <c r="F342" s="53">
        <f>$K$4*B342</f>
        <v>28835734.528800011</v>
      </c>
      <c r="G342" s="51">
        <f t="shared" si="17"/>
        <v>288357.34528800013</v>
      </c>
      <c r="H342" s="52">
        <f>$K$3*D342</f>
        <v>7191712.3886100547</v>
      </c>
    </row>
    <row r="343" spans="1:8" ht="13.8" x14ac:dyDescent="0.25">
      <c r="A343" s="41">
        <v>0.68215613382899631</v>
      </c>
      <c r="B343" s="41">
        <v>3606.5002983000004</v>
      </c>
      <c r="C343" s="41">
        <f>C342+(((A343+A342)/2)*(B343-B342))</f>
        <v>3285.2750327208159</v>
      </c>
      <c r="D343" s="51">
        <f t="shared" si="15"/>
        <v>28779009.286634348</v>
      </c>
      <c r="E343" s="54">
        <f t="shared" si="16"/>
        <v>4309552.083018587</v>
      </c>
      <c r="F343" s="53">
        <f>$K$4*B343</f>
        <v>28852002.386400003</v>
      </c>
      <c r="G343" s="51">
        <f t="shared" si="17"/>
        <v>288520.02386400005</v>
      </c>
      <c r="H343" s="52">
        <f>$K$3*D343</f>
        <v>7194752.3216585871</v>
      </c>
    </row>
    <row r="344" spans="1:8" ht="13.8" x14ac:dyDescent="0.25">
      <c r="A344" s="40">
        <v>0.68122676579925645</v>
      </c>
      <c r="B344" s="40">
        <v>3611.0457290999993</v>
      </c>
      <c r="C344" s="41">
        <f>C343+(((A344+A343)/2)*(B344-B343))</f>
        <v>3288.373614032897</v>
      </c>
      <c r="D344" s="51">
        <f t="shared" si="15"/>
        <v>28806152.858928178</v>
      </c>
      <c r="E344" s="54">
        <f t="shared" si="16"/>
        <v>4312701.6314520454</v>
      </c>
      <c r="F344" s="53">
        <f>$K$4*B344</f>
        <v>28888365.832799993</v>
      </c>
      <c r="G344" s="51">
        <f t="shared" si="17"/>
        <v>288883.65832799993</v>
      </c>
      <c r="H344" s="52">
        <f>$K$3*D344</f>
        <v>7201538.2147320444</v>
      </c>
    </row>
    <row r="345" spans="1:8" ht="13.8" x14ac:dyDescent="0.25">
      <c r="A345" s="41">
        <v>0.6802973977695167</v>
      </c>
      <c r="B345" s="41">
        <v>3641.3685372</v>
      </c>
      <c r="C345" s="41">
        <f>C344+(((A345+A344)/2)*(B345-B344))</f>
        <v>3309.016232000602</v>
      </c>
      <c r="D345" s="51">
        <f t="shared" si="15"/>
        <v>28986982.192325275</v>
      </c>
      <c r="E345" s="54">
        <f t="shared" si="16"/>
        <v>4333650.7183213197</v>
      </c>
      <c r="F345" s="53">
        <f>$K$4*B345</f>
        <v>29130948.297600001</v>
      </c>
      <c r="G345" s="51">
        <f t="shared" si="17"/>
        <v>291309.482976</v>
      </c>
      <c r="H345" s="52">
        <f>$K$3*D345</f>
        <v>7246745.5480813188</v>
      </c>
    </row>
    <row r="346" spans="1:8" ht="13.8" x14ac:dyDescent="0.25">
      <c r="A346" s="40">
        <v>0.67936802973977695</v>
      </c>
      <c r="B346" s="40">
        <v>3649.6818909000003</v>
      </c>
      <c r="C346" s="41">
        <f>C345+(((A346+A345)/2)*(B346-B345))</f>
        <v>3314.6679218068757</v>
      </c>
      <c r="D346" s="51">
        <f t="shared" si="15"/>
        <v>29036490.995028235</v>
      </c>
      <c r="E346" s="54">
        <f t="shared" si="16"/>
        <v>4339377.2360370588</v>
      </c>
      <c r="F346" s="53">
        <f>$K$4*B346</f>
        <v>29197455.127200004</v>
      </c>
      <c r="G346" s="51">
        <f t="shared" si="17"/>
        <v>291974.55127200007</v>
      </c>
      <c r="H346" s="52">
        <f>$K$3*D346</f>
        <v>7259122.7487570588</v>
      </c>
    </row>
    <row r="347" spans="1:8" ht="13.8" x14ac:dyDescent="0.25">
      <c r="A347" s="41">
        <v>0.67843866171003719</v>
      </c>
      <c r="B347" s="41">
        <v>3653.9880884999998</v>
      </c>
      <c r="C347" s="41">
        <f>C346+(((A347+A346)/2)*(B347-B346))</f>
        <v>3317.5914137648679</v>
      </c>
      <c r="D347" s="51">
        <f t="shared" si="15"/>
        <v>29062100.784580238</v>
      </c>
      <c r="E347" s="54">
        <f t="shared" si="16"/>
        <v>4342334.7253450602</v>
      </c>
      <c r="F347" s="53">
        <f>$K$4*B347</f>
        <v>29231904.707999997</v>
      </c>
      <c r="G347" s="51">
        <f t="shared" si="17"/>
        <v>292319.04707999999</v>
      </c>
      <c r="H347" s="52">
        <f>$K$3*D347</f>
        <v>7265525.1961450595</v>
      </c>
    </row>
    <row r="348" spans="1:8" ht="13.8" x14ac:dyDescent="0.25">
      <c r="A348" s="40">
        <v>0.67750929368029744</v>
      </c>
      <c r="B348" s="40">
        <v>3656.2209317000006</v>
      </c>
      <c r="C348" s="41">
        <f>C347+(((A348+A347)/2)*(B348-B347))</f>
        <v>3319.1052233507421</v>
      </c>
      <c r="D348" s="51">
        <f t="shared" si="15"/>
        <v>29075361.756552503</v>
      </c>
      <c r="E348" s="54">
        <f t="shared" si="16"/>
        <v>4343863.6937781256</v>
      </c>
      <c r="F348" s="53">
        <f>$K$4*B348</f>
        <v>29249767.453600004</v>
      </c>
      <c r="G348" s="51">
        <f t="shared" si="17"/>
        <v>292497.67453600006</v>
      </c>
      <c r="H348" s="52">
        <f>$K$3*D348</f>
        <v>7268840.4391381256</v>
      </c>
    </row>
    <row r="349" spans="1:8" ht="13.8" x14ac:dyDescent="0.25">
      <c r="A349" s="41">
        <v>0.67657992565055758</v>
      </c>
      <c r="B349" s="41">
        <v>3661.4441899000003</v>
      </c>
      <c r="C349" s="41">
        <f>C348+(((A349+A348)/2)*(B349-B348))</f>
        <v>3322.6416021599425</v>
      </c>
      <c r="D349" s="51">
        <f t="shared" si="15"/>
        <v>29106340.434921093</v>
      </c>
      <c r="E349" s="54">
        <f t="shared" si="16"/>
        <v>4347429.756810274</v>
      </c>
      <c r="F349" s="53">
        <f>$K$4*B349</f>
        <v>29291553.519200001</v>
      </c>
      <c r="G349" s="51">
        <f t="shared" si="17"/>
        <v>292915.53519200004</v>
      </c>
      <c r="H349" s="52">
        <f>$K$3*D349</f>
        <v>7276585.1087302733</v>
      </c>
    </row>
    <row r="350" spans="1:8" ht="13.8" x14ac:dyDescent="0.25">
      <c r="A350" s="40">
        <v>0.67565055762081783</v>
      </c>
      <c r="B350" s="40">
        <v>3666.3285344000001</v>
      </c>
      <c r="C350" s="41">
        <f>C349+(((A350+A349)/2)*(B350-B349))</f>
        <v>3325.9439819217919</v>
      </c>
      <c r="D350" s="51">
        <f t="shared" si="15"/>
        <v>29135269.281634897</v>
      </c>
      <c r="E350" s="54">
        <f t="shared" si="16"/>
        <v>4350754.4928887244</v>
      </c>
      <c r="F350" s="53">
        <f>$K$4*B350</f>
        <v>29330628.275200002</v>
      </c>
      <c r="G350" s="51">
        <f t="shared" si="17"/>
        <v>293306.28275200003</v>
      </c>
      <c r="H350" s="52">
        <f>$K$3*D350</f>
        <v>7283817.3204087242</v>
      </c>
    </row>
    <row r="351" spans="1:8" ht="13.8" x14ac:dyDescent="0.25">
      <c r="A351" s="41">
        <v>0.67472118959107807</v>
      </c>
      <c r="B351" s="41">
        <v>3673.8843163000006</v>
      </c>
      <c r="C351" s="41">
        <f>C350+(((A351+A350)/2)*(B351-B350))</f>
        <v>3331.0455391247197</v>
      </c>
      <c r="D351" s="51">
        <f t="shared" si="15"/>
        <v>29179958.922732543</v>
      </c>
      <c r="E351" s="54">
        <f t="shared" si="16"/>
        <v>4355882.2776431357</v>
      </c>
      <c r="F351" s="53">
        <f>$K$4*B351</f>
        <v>29391074.530400004</v>
      </c>
      <c r="G351" s="51">
        <f t="shared" si="17"/>
        <v>293910.74530400004</v>
      </c>
      <c r="H351" s="52">
        <f>$K$3*D351</f>
        <v>7294989.7306831358</v>
      </c>
    </row>
    <row r="352" spans="1:8" ht="13.8" x14ac:dyDescent="0.25">
      <c r="A352" s="40">
        <v>0.67379182156133832</v>
      </c>
      <c r="B352" s="40">
        <v>3685.4671904000006</v>
      </c>
      <c r="C352" s="41">
        <f>C351+(((A352+A351)/2)*(B352-B351))</f>
        <v>3338.8553673399147</v>
      </c>
      <c r="D352" s="51">
        <f t="shared" si="15"/>
        <v>29248373.017897651</v>
      </c>
      <c r="E352" s="54">
        <f t="shared" si="16"/>
        <v>4363719.5021544117</v>
      </c>
      <c r="F352" s="53">
        <f>$K$4*B352</f>
        <v>29483737.523200005</v>
      </c>
      <c r="G352" s="51">
        <f t="shared" si="17"/>
        <v>294837.37523200008</v>
      </c>
      <c r="H352" s="52">
        <f>$K$3*D352</f>
        <v>7312093.2544744126</v>
      </c>
    </row>
    <row r="353" spans="1:8" ht="13.8" x14ac:dyDescent="0.25">
      <c r="A353" s="41">
        <v>0.67286245353159846</v>
      </c>
      <c r="B353" s="41">
        <v>3688.0588834000005</v>
      </c>
      <c r="C353" s="41">
        <f>C352+(((A353+A352)/2)*(B353-B352))</f>
        <v>3340.6004245690037</v>
      </c>
      <c r="D353" s="51">
        <f t="shared" si="15"/>
        <v>29263659.719224472</v>
      </c>
      <c r="E353" s="54">
        <f t="shared" si="16"/>
        <v>4365467.8230861165</v>
      </c>
      <c r="F353" s="53">
        <f>$K$4*B353</f>
        <v>29504471.067200005</v>
      </c>
      <c r="G353" s="51">
        <f t="shared" si="17"/>
        <v>295044.71067200007</v>
      </c>
      <c r="H353" s="52">
        <f>$K$3*D353</f>
        <v>7315914.9298061179</v>
      </c>
    </row>
    <row r="354" spans="1:8" ht="13.8" x14ac:dyDescent="0.25">
      <c r="A354" s="40">
        <v>0.67193308550185871</v>
      </c>
      <c r="B354" s="40">
        <v>3690.0126211999996</v>
      </c>
      <c r="C354" s="41">
        <f>C353+(((A354+A353)/2)*(B354-B353))</f>
        <v>3341.9141135079435</v>
      </c>
      <c r="D354" s="51">
        <f t="shared" si="15"/>
        <v>29275167.634329583</v>
      </c>
      <c r="E354" s="54">
        <f t="shared" si="16"/>
        <v>4366781.8116223961</v>
      </c>
      <c r="F354" s="53">
        <f>$K$4*B354</f>
        <v>29520100.969599996</v>
      </c>
      <c r="G354" s="51">
        <f t="shared" si="17"/>
        <v>295201.00969599996</v>
      </c>
      <c r="H354" s="52">
        <f>$K$3*D354</f>
        <v>7318791.9085823959</v>
      </c>
    </row>
    <row r="355" spans="1:8" ht="13.8" x14ac:dyDescent="0.25">
      <c r="A355" s="41">
        <v>0.67100371747211895</v>
      </c>
      <c r="B355" s="41">
        <v>3691.6075092000001</v>
      </c>
      <c r="C355" s="41">
        <f>C354+(((A355+A354)/2)*(B355-B354))</f>
        <v>3342.9850304038546</v>
      </c>
      <c r="D355" s="51">
        <f t="shared" si="15"/>
        <v>29284548.866337765</v>
      </c>
      <c r="E355" s="54">
        <f t="shared" si="16"/>
        <v>4367851.209224442</v>
      </c>
      <c r="F355" s="53">
        <f>$K$4*B355</f>
        <v>29532860.073600002</v>
      </c>
      <c r="G355" s="51">
        <f t="shared" si="17"/>
        <v>295328.60073600005</v>
      </c>
      <c r="H355" s="52">
        <f>$K$3*D355</f>
        <v>7321137.2165844413</v>
      </c>
    </row>
    <row r="356" spans="1:8" ht="13.8" x14ac:dyDescent="0.25">
      <c r="A356" s="40">
        <v>0.6700743494423792</v>
      </c>
      <c r="B356" s="40">
        <v>3700.6584986000003</v>
      </c>
      <c r="C356" s="41">
        <f>C355+(((A356+A355)/2)*(B356-B355))</f>
        <v>3349.0540720879626</v>
      </c>
      <c r="D356" s="51">
        <f t="shared" si="15"/>
        <v>29337713.671490554</v>
      </c>
      <c r="E356" s="54">
        <f t="shared" si="16"/>
        <v>4373901.6189926388</v>
      </c>
      <c r="F356" s="53">
        <f>$K$4*B356</f>
        <v>29605267.9888</v>
      </c>
      <c r="G356" s="51">
        <f t="shared" si="17"/>
        <v>296052.67988800001</v>
      </c>
      <c r="H356" s="52">
        <f>$K$3*D356</f>
        <v>7334428.4178726384</v>
      </c>
    </row>
    <row r="357" spans="1:8" ht="13.8" x14ac:dyDescent="0.25">
      <c r="A357" s="41">
        <v>0.66914498141263945</v>
      </c>
      <c r="B357" s="41">
        <v>3705.9216290000008</v>
      </c>
      <c r="C357" s="41">
        <f>C356+(((A357+A356)/2)*(B357-B356))</f>
        <v>3352.5783150742081</v>
      </c>
      <c r="D357" s="51">
        <f t="shared" si="15"/>
        <v>29368586.040050063</v>
      </c>
      <c r="E357" s="54">
        <f t="shared" si="16"/>
        <v>4377409.2068125159</v>
      </c>
      <c r="F357" s="53">
        <f>$K$4*B357</f>
        <v>29647373.032000005</v>
      </c>
      <c r="G357" s="51">
        <f t="shared" si="17"/>
        <v>296473.73032000003</v>
      </c>
      <c r="H357" s="52">
        <f>$K$3*D357</f>
        <v>7342146.5100125158</v>
      </c>
    </row>
    <row r="358" spans="1:8" ht="13.8" x14ac:dyDescent="0.25">
      <c r="A358" s="40">
        <v>0.66821561338289959</v>
      </c>
      <c r="B358" s="40">
        <v>3710.1879543999994</v>
      </c>
      <c r="C358" s="41">
        <f>C357+(((A358+A357)/2)*(B358-B357))</f>
        <v>3355.4311228114748</v>
      </c>
      <c r="D358" s="51">
        <f t="shared" si="15"/>
        <v>29393576.635828517</v>
      </c>
      <c r="E358" s="54">
        <f t="shared" si="16"/>
        <v>4380243.7954371292</v>
      </c>
      <c r="F358" s="53">
        <f>$K$4*B358</f>
        <v>29681503.635199994</v>
      </c>
      <c r="G358" s="51">
        <f t="shared" si="17"/>
        <v>296815.03635199997</v>
      </c>
      <c r="H358" s="52">
        <f>$K$3*D358</f>
        <v>7348394.1589571293</v>
      </c>
    </row>
    <row r="359" spans="1:8" ht="13.8" x14ac:dyDescent="0.25">
      <c r="A359" s="41">
        <v>0.66728624535315983</v>
      </c>
      <c r="B359" s="41">
        <v>3711.1249511000005</v>
      </c>
      <c r="C359" s="41">
        <f>C358+(((A359+A358)/2)*(B359-B358))</f>
        <v>3356.0568032287151</v>
      </c>
      <c r="D359" s="51">
        <f t="shared" si="15"/>
        <v>29399057.596283544</v>
      </c>
      <c r="E359" s="54">
        <f t="shared" si="16"/>
        <v>4380864.4381908849</v>
      </c>
      <c r="F359" s="53">
        <f>$K$4*B359</f>
        <v>29688999.608800005</v>
      </c>
      <c r="G359" s="51">
        <f t="shared" si="17"/>
        <v>296889.99608800007</v>
      </c>
      <c r="H359" s="52">
        <f>$K$3*D359</f>
        <v>7349764.399070886</v>
      </c>
    </row>
    <row r="360" spans="1:8" ht="13.8" x14ac:dyDescent="0.25">
      <c r="A360" s="40">
        <v>0.66635687732342008</v>
      </c>
      <c r="B360" s="40">
        <v>3714.3745354000002</v>
      </c>
      <c r="C360" s="41">
        <f>C359+(((A360+A359)/2)*(B360-B359))</f>
        <v>3358.2236961053413</v>
      </c>
      <c r="D360" s="51">
        <f t="shared" si="15"/>
        <v>29418039.577882789</v>
      </c>
      <c r="E360" s="54">
        <f t="shared" si="16"/>
        <v>4383010.2661506971</v>
      </c>
      <c r="F360" s="53">
        <f>$K$4*B360</f>
        <v>29714996.283200003</v>
      </c>
      <c r="G360" s="51">
        <f t="shared" si="17"/>
        <v>297149.96283200005</v>
      </c>
      <c r="H360" s="52">
        <f>$K$3*D360</f>
        <v>7354509.8944706973</v>
      </c>
    </row>
    <row r="361" spans="1:8" ht="13.8" x14ac:dyDescent="0.25">
      <c r="A361" s="41">
        <v>0.66542750929368033</v>
      </c>
      <c r="B361" s="41">
        <v>3715.6504457999999</v>
      </c>
      <c r="C361" s="41">
        <f>C360+(((A361+A360)/2)*(B361-B360))</f>
        <v>3359.0733148800623</v>
      </c>
      <c r="D361" s="51">
        <f t="shared" si="15"/>
        <v>29425482.238349345</v>
      </c>
      <c r="E361" s="54">
        <f t="shared" si="16"/>
        <v>4383850.2029473372</v>
      </c>
      <c r="F361" s="53">
        <f>$K$4*B361</f>
        <v>29725203.566399999</v>
      </c>
      <c r="G361" s="51">
        <f t="shared" si="17"/>
        <v>297252.03566400002</v>
      </c>
      <c r="H361" s="52">
        <f>$K$3*D361</f>
        <v>7356370.5595873361</v>
      </c>
    </row>
    <row r="362" spans="1:8" ht="13.8" x14ac:dyDescent="0.25">
      <c r="A362" s="40">
        <v>0.66449814126394047</v>
      </c>
      <c r="B362" s="40">
        <v>3727.0937672</v>
      </c>
      <c r="C362" s="41">
        <f>C361+(((A362+A361)/2)*(B362-B361))</f>
        <v>3366.6826982087796</v>
      </c>
      <c r="D362" s="51">
        <f t="shared" si="15"/>
        <v>29492140.436308905</v>
      </c>
      <c r="E362" s="54">
        <f t="shared" si="16"/>
        <v>4391360.0953172259</v>
      </c>
      <c r="F362" s="53">
        <f>$K$4*B362</f>
        <v>29816750.137600001</v>
      </c>
      <c r="G362" s="51">
        <f t="shared" si="17"/>
        <v>298167.501376</v>
      </c>
      <c r="H362" s="52">
        <f>$K$3*D362</f>
        <v>7373035.1090772264</v>
      </c>
    </row>
    <row r="363" spans="1:8" ht="13.8" x14ac:dyDescent="0.25">
      <c r="A363" s="41">
        <v>0.66356877323420072</v>
      </c>
      <c r="B363" s="41">
        <v>3731.1607315999991</v>
      </c>
      <c r="C363" s="41">
        <f>C362+(((A363+A362)/2)*(B363-B362))</f>
        <v>3369.3832986398197</v>
      </c>
      <c r="D363" s="51">
        <f t="shared" si="15"/>
        <v>29515797.696084823</v>
      </c>
      <c r="E363" s="54">
        <f t="shared" si="16"/>
        <v>4394020.8387412056</v>
      </c>
      <c r="F363" s="53">
        <f>$K$4*B363</f>
        <v>29849285.852799993</v>
      </c>
      <c r="G363" s="51">
        <f t="shared" si="17"/>
        <v>298492.85852799995</v>
      </c>
      <c r="H363" s="52">
        <f>$K$3*D363</f>
        <v>7378949.4240212059</v>
      </c>
    </row>
    <row r="364" spans="1:8" ht="13.8" x14ac:dyDescent="0.25">
      <c r="A364" s="40">
        <v>0.66263940520446096</v>
      </c>
      <c r="B364" s="40">
        <v>3735.2476320999999</v>
      </c>
      <c r="C364" s="41">
        <f>C363+(((A364+A363)/2)*(B364-B363))</f>
        <v>3372.0933390736027</v>
      </c>
      <c r="D364" s="51">
        <f t="shared" si="15"/>
        <v>29539537.65028476</v>
      </c>
      <c r="E364" s="54">
        <f t="shared" si="16"/>
        <v>4396686.3068911899</v>
      </c>
      <c r="F364" s="53">
        <f>$K$4*B364</f>
        <v>29881981.0568</v>
      </c>
      <c r="G364" s="51">
        <f t="shared" si="17"/>
        <v>298819.81056800002</v>
      </c>
      <c r="H364" s="52">
        <f>$K$3*D364</f>
        <v>7384884.4125711899</v>
      </c>
    </row>
    <row r="365" spans="1:8" ht="13.8" x14ac:dyDescent="0.25">
      <c r="A365" s="41">
        <v>0.66171003717472121</v>
      </c>
      <c r="B365" s="41">
        <v>3741.9262256000006</v>
      </c>
      <c r="C365" s="41">
        <f>C364+(((A365+A364)/2)*(B365-B364))</f>
        <v>3376.5157348624043</v>
      </c>
      <c r="D365" s="51">
        <f t="shared" si="15"/>
        <v>29578277.837394658</v>
      </c>
      <c r="E365" s="54">
        <f t="shared" si="16"/>
        <v>4401028.4788686652</v>
      </c>
      <c r="F365" s="53">
        <f>$K$4*B365</f>
        <v>29935409.804800004</v>
      </c>
      <c r="G365" s="51">
        <f t="shared" si="17"/>
        <v>299354.09804800007</v>
      </c>
      <c r="H365" s="52">
        <f>$K$3*D365</f>
        <v>7394569.4593486646</v>
      </c>
    </row>
    <row r="366" spans="1:8" ht="13.8" x14ac:dyDescent="0.25">
      <c r="A366" s="40">
        <v>0.66078066914498146</v>
      </c>
      <c r="B366" s="40">
        <v>3743.1622637999999</v>
      </c>
      <c r="C366" s="41">
        <f>C365+(((A366+A365)/2)*(B366-B365))</f>
        <v>3377.3330593784817</v>
      </c>
      <c r="D366" s="51">
        <f t="shared" si="15"/>
        <v>29585437.600155503</v>
      </c>
      <c r="E366" s="54">
        <f t="shared" si="16"/>
        <v>4401829.5889988765</v>
      </c>
      <c r="F366" s="53">
        <f>$K$4*B366</f>
        <v>29945298.110399999</v>
      </c>
      <c r="G366" s="51">
        <f t="shared" si="17"/>
        <v>299452.98110400001</v>
      </c>
      <c r="H366" s="52">
        <f>$K$3*D366</f>
        <v>7396359.4000388756</v>
      </c>
    </row>
    <row r="367" spans="1:8" ht="13.8" x14ac:dyDescent="0.25">
      <c r="A367" s="41">
        <v>0.6598513011152416</v>
      </c>
      <c r="B367" s="41">
        <v>3745.2555543000008</v>
      </c>
      <c r="C367" s="41">
        <f>C366+(((A367+A366)/2)*(B367-B366))</f>
        <v>3378.7152925571531</v>
      </c>
      <c r="D367" s="51">
        <f t="shared" si="15"/>
        <v>29597545.962800659</v>
      </c>
      <c r="E367" s="54">
        <f t="shared" si="16"/>
        <v>4403182.0472601643</v>
      </c>
      <c r="F367" s="53">
        <f>$K$4*B367</f>
        <v>29962044.434400007</v>
      </c>
      <c r="G367" s="51">
        <f t="shared" si="17"/>
        <v>299620.44434400008</v>
      </c>
      <c r="H367" s="52">
        <f>$K$3*D367</f>
        <v>7399386.4907001648</v>
      </c>
    </row>
    <row r="368" spans="1:8" ht="13.8" x14ac:dyDescent="0.25">
      <c r="A368" s="40">
        <v>0.65892193308550184</v>
      </c>
      <c r="B368" s="40">
        <v>3752.4724225000004</v>
      </c>
      <c r="C368" s="41">
        <f>C367+(((A368+A367)/2)*(B368-B367))</f>
        <v>3383.4739988656102</v>
      </c>
      <c r="D368" s="51">
        <f t="shared" si="15"/>
        <v>29639232.230062742</v>
      </c>
      <c r="E368" s="54">
        <f t="shared" si="16"/>
        <v>4407830.1195156854</v>
      </c>
      <c r="F368" s="53">
        <f>$K$4*B368</f>
        <v>30019779.380000003</v>
      </c>
      <c r="G368" s="51">
        <f t="shared" si="17"/>
        <v>300197.79380000004</v>
      </c>
      <c r="H368" s="52">
        <f>$K$3*D368</f>
        <v>7409808.0575156854</v>
      </c>
    </row>
    <row r="369" spans="1:8" ht="13.8" x14ac:dyDescent="0.25">
      <c r="A369" s="41">
        <v>0.65799256505576209</v>
      </c>
      <c r="B369" s="41">
        <v>3756.9779810999994</v>
      </c>
      <c r="C369" s="41">
        <f>C368+(((A369+A368)/2)*(B369-B368))</f>
        <v>3386.440716586892</v>
      </c>
      <c r="D369" s="51">
        <f t="shared" si="15"/>
        <v>29665220.677301172</v>
      </c>
      <c r="E369" s="54">
        <f t="shared" si="16"/>
        <v>4410722.7844452932</v>
      </c>
      <c r="F369" s="53">
        <f>$K$4*B369</f>
        <v>30055823.848799996</v>
      </c>
      <c r="G369" s="51">
        <f t="shared" si="17"/>
        <v>300558.23848799994</v>
      </c>
      <c r="H369" s="52">
        <f>$K$3*D369</f>
        <v>7416305.169325293</v>
      </c>
    </row>
    <row r="370" spans="1:8" ht="13.8" x14ac:dyDescent="0.25">
      <c r="A370" s="40">
        <v>0.65706319702602234</v>
      </c>
      <c r="B370" s="40">
        <v>3765.1119099000002</v>
      </c>
      <c r="C370" s="41">
        <f>C369+(((A370+A369)/2)*(B370-B369))</f>
        <v>3391.7890015552939</v>
      </c>
      <c r="D370" s="51">
        <f t="shared" si="15"/>
        <v>29712071.653624371</v>
      </c>
      <c r="E370" s="54">
        <f t="shared" si="16"/>
        <v>4415928.3854860924</v>
      </c>
      <c r="F370" s="53">
        <f>$K$4*B370</f>
        <v>30120895.279200003</v>
      </c>
      <c r="G370" s="51">
        <f t="shared" si="17"/>
        <v>301208.95279200003</v>
      </c>
      <c r="H370" s="52">
        <f>$K$3*D370</f>
        <v>7428017.9134060927</v>
      </c>
    </row>
    <row r="371" spans="1:8" ht="13.8" x14ac:dyDescent="0.25">
      <c r="A371" s="41">
        <v>0.65613382899628248</v>
      </c>
      <c r="B371" s="41">
        <v>3766.2881398</v>
      </c>
      <c r="C371" s="41">
        <f>C370+(((A371+A370)/2)*(B371-B370))</f>
        <v>3392.5613123585931</v>
      </c>
      <c r="D371" s="51">
        <f t="shared" si="15"/>
        <v>29718837.096261274</v>
      </c>
      <c r="E371" s="54">
        <f t="shared" si="16"/>
        <v>4416678.7622253187</v>
      </c>
      <c r="F371" s="53">
        <f>$K$4*B371</f>
        <v>30130305.1184</v>
      </c>
      <c r="G371" s="51">
        <f t="shared" si="17"/>
        <v>301303.05118399998</v>
      </c>
      <c r="H371" s="52">
        <f>$K$3*D371</f>
        <v>7429709.2740653185</v>
      </c>
    </row>
    <row r="372" spans="1:8" ht="13.8" x14ac:dyDescent="0.25">
      <c r="A372" s="40">
        <v>0.65520446096654272</v>
      </c>
      <c r="B372" s="40">
        <v>3771.3917814000001</v>
      </c>
      <c r="C372" s="41">
        <f>C371+(((A372+A371)/2)*(B372-B371))</f>
        <v>3395.9076126827567</v>
      </c>
      <c r="D372" s="51">
        <f t="shared" si="15"/>
        <v>29748150.687100951</v>
      </c>
      <c r="E372" s="54">
        <f t="shared" si="16"/>
        <v>4419924.2466552369</v>
      </c>
      <c r="F372" s="53">
        <f>$K$4*B372</f>
        <v>30171134.251200002</v>
      </c>
      <c r="G372" s="51">
        <f t="shared" si="17"/>
        <v>301711.342512</v>
      </c>
      <c r="H372" s="52">
        <f>$K$3*D372</f>
        <v>7437037.6717752377</v>
      </c>
    </row>
    <row r="373" spans="1:8" ht="13.8" x14ac:dyDescent="0.25">
      <c r="A373" s="41">
        <v>0.65427509293680297</v>
      </c>
      <c r="B373" s="41">
        <v>3774.3024519999999</v>
      </c>
      <c r="C373" s="41">
        <f>C372+(((A373+A372)/2)*(B373-B372))</f>
        <v>3397.8133445021804</v>
      </c>
      <c r="D373" s="51">
        <f t="shared" si="15"/>
        <v>29764844.897839099</v>
      </c>
      <c r="E373" s="54">
        <f t="shared" si="16"/>
        <v>4421769.2628597748</v>
      </c>
      <c r="F373" s="53">
        <f>$K$4*B373</f>
        <v>30194419.616</v>
      </c>
      <c r="G373" s="51">
        <f t="shared" si="17"/>
        <v>301944.19615999999</v>
      </c>
      <c r="H373" s="52">
        <f>$K$3*D373</f>
        <v>7441211.2244597748</v>
      </c>
    </row>
    <row r="374" spans="1:8" ht="13.8" x14ac:dyDescent="0.25">
      <c r="A374" s="40">
        <v>0.65334572490706322</v>
      </c>
      <c r="B374" s="40">
        <v>3777.5321001999996</v>
      </c>
      <c r="C374" s="41">
        <f>C373+(((A374+A373)/2)*(B374-B373))</f>
        <v>3399.924922112496</v>
      </c>
      <c r="D374" s="51">
        <f t="shared" si="15"/>
        <v>29783342.317705467</v>
      </c>
      <c r="E374" s="54">
        <f t="shared" si="16"/>
        <v>4423809.8992663668</v>
      </c>
      <c r="F374" s="53">
        <f>$K$4*B374</f>
        <v>30220256.801599998</v>
      </c>
      <c r="G374" s="51">
        <f t="shared" si="17"/>
        <v>302202.56801599998</v>
      </c>
      <c r="H374" s="52">
        <f>$K$3*D374</f>
        <v>7445835.5794263668</v>
      </c>
    </row>
    <row r="375" spans="1:8" ht="13.8" x14ac:dyDescent="0.25">
      <c r="A375" s="41">
        <v>0.65241635687732347</v>
      </c>
      <c r="B375" s="41">
        <v>3779.9244321999995</v>
      </c>
      <c r="C375" s="41">
        <f>C374+(((A375+A374)/2)*(B375-B374))</f>
        <v>3401.4868303188155</v>
      </c>
      <c r="D375" s="51">
        <f t="shared" si="15"/>
        <v>29797024.633592822</v>
      </c>
      <c r="E375" s="54">
        <f t="shared" si="16"/>
        <v>4425316.6126382062</v>
      </c>
      <c r="F375" s="53">
        <f>$K$4*B375</f>
        <v>30239395.457599998</v>
      </c>
      <c r="G375" s="51">
        <f t="shared" si="17"/>
        <v>302393.95457599999</v>
      </c>
      <c r="H375" s="52">
        <f>$K$3*D375</f>
        <v>7449256.1583982054</v>
      </c>
    </row>
    <row r="376" spans="1:8" ht="13.8" x14ac:dyDescent="0.25">
      <c r="A376" s="40">
        <v>0.6514869888475836</v>
      </c>
      <c r="B376" s="40">
        <v>3782.6556779000002</v>
      </c>
      <c r="C376" s="41">
        <f>C375+(((A376+A375)/2)*(B376-B375))</f>
        <v>3403.2674705219292</v>
      </c>
      <c r="D376" s="51">
        <f t="shared" si="15"/>
        <v>29812623.041772101</v>
      </c>
      <c r="E376" s="54">
        <f t="shared" si="16"/>
        <v>4427031.2181230262</v>
      </c>
      <c r="F376" s="53">
        <f>$K$4*B376</f>
        <v>30261245.4232</v>
      </c>
      <c r="G376" s="51">
        <f t="shared" si="17"/>
        <v>302612.45423199999</v>
      </c>
      <c r="H376" s="52">
        <f>$K$3*D376</f>
        <v>7453155.7604430253</v>
      </c>
    </row>
    <row r="377" spans="1:8" ht="13.8" x14ac:dyDescent="0.25">
      <c r="A377" s="41">
        <v>0.65055762081784385</v>
      </c>
      <c r="B377" s="41">
        <v>3783.1740165000006</v>
      </c>
      <c r="C377" s="41">
        <f>C376+(((A377+A376)/2)*(B377-B376))</f>
        <v>3403.6049205119853</v>
      </c>
      <c r="D377" s="51">
        <f t="shared" si="15"/>
        <v>29815579.103684992</v>
      </c>
      <c r="E377" s="54">
        <f t="shared" si="16"/>
        <v>4427355.5627212478</v>
      </c>
      <c r="F377" s="53">
        <f>$K$4*B377</f>
        <v>30265392.132000003</v>
      </c>
      <c r="G377" s="51">
        <f t="shared" si="17"/>
        <v>302653.92132000002</v>
      </c>
      <c r="H377" s="52">
        <f>$K$3*D377</f>
        <v>7453894.7759212479</v>
      </c>
    </row>
    <row r="378" spans="1:8" ht="13.8" x14ac:dyDescent="0.25">
      <c r="A378" s="40">
        <v>0.6496282527881041</v>
      </c>
      <c r="B378" s="40">
        <v>3823.9632771000001</v>
      </c>
      <c r="C378" s="41">
        <f>C377+(((A378+A377)/2)*(B378-B377))</f>
        <v>3430.121730725461</v>
      </c>
      <c r="D378" s="51">
        <f t="shared" si="15"/>
        <v>30047866.361155037</v>
      </c>
      <c r="E378" s="54">
        <f t="shared" si="16"/>
        <v>4452795.9686087593</v>
      </c>
      <c r="F378" s="53">
        <f>$K$4*B378</f>
        <v>30591706.216800001</v>
      </c>
      <c r="G378" s="51">
        <f t="shared" si="17"/>
        <v>305917.06216800003</v>
      </c>
      <c r="H378" s="52">
        <f>$K$3*D378</f>
        <v>7511966.5902887592</v>
      </c>
    </row>
    <row r="379" spans="1:8" ht="13.8" x14ac:dyDescent="0.25">
      <c r="A379" s="41">
        <v>0.64869888475836435</v>
      </c>
      <c r="B379" s="41">
        <v>3834.6888988999999</v>
      </c>
      <c r="C379" s="41">
        <f>C378+(((A379+A378)/2)*(B379-B378))</f>
        <v>3437.0844136504606</v>
      </c>
      <c r="D379" s="51">
        <f t="shared" si="15"/>
        <v>30108859.463578038</v>
      </c>
      <c r="E379" s="54">
        <f t="shared" si="16"/>
        <v>4459463.7467745095</v>
      </c>
      <c r="F379" s="53">
        <f>$K$4*B379</f>
        <v>30677511.191199999</v>
      </c>
      <c r="G379" s="51">
        <f t="shared" si="17"/>
        <v>306775.11191199999</v>
      </c>
      <c r="H379" s="52">
        <f>$K$3*D379</f>
        <v>7527214.8658945095</v>
      </c>
    </row>
    <row r="380" spans="1:8" ht="13.8" x14ac:dyDescent="0.25">
      <c r="A380" s="40">
        <v>0.64776951672862448</v>
      </c>
      <c r="B380" s="40">
        <v>3848.1058942</v>
      </c>
      <c r="C380" s="41">
        <f>C379+(((A380+A379)/2)*(B380-B379))</f>
        <v>3445.7817688751352</v>
      </c>
      <c r="D380" s="51">
        <f t="shared" si="15"/>
        <v>30185048.295346186</v>
      </c>
      <c r="E380" s="54">
        <f t="shared" si="16"/>
        <v>4467777.3584765457</v>
      </c>
      <c r="F380" s="53">
        <f>$K$4*B380</f>
        <v>30784847.1536</v>
      </c>
      <c r="G380" s="51">
        <f t="shared" si="17"/>
        <v>307848.47153600003</v>
      </c>
      <c r="H380" s="52">
        <f>$K$3*D380</f>
        <v>7546262.0738365464</v>
      </c>
    </row>
    <row r="381" spans="1:8" ht="13.8" x14ac:dyDescent="0.25">
      <c r="A381" s="41">
        <v>0.64684014869888473</v>
      </c>
      <c r="B381" s="41">
        <v>3852.5117723000008</v>
      </c>
      <c r="C381" s="41">
        <f>C380+(((A381+A380)/2)*(B381-B380))</f>
        <v>3448.6337150616132</v>
      </c>
      <c r="D381" s="51">
        <f t="shared" si="15"/>
        <v>30210031.343939733</v>
      </c>
      <c r="E381" s="54">
        <f t="shared" si="16"/>
        <v>4470498.4181449329</v>
      </c>
      <c r="F381" s="53">
        <f>$K$4*B381</f>
        <v>30820094.178400006</v>
      </c>
      <c r="G381" s="51">
        <f t="shared" si="17"/>
        <v>308200.94178400008</v>
      </c>
      <c r="H381" s="52">
        <f>$K$3*D381</f>
        <v>7552507.8359849332</v>
      </c>
    </row>
    <row r="382" spans="1:8" ht="13.8" x14ac:dyDescent="0.25">
      <c r="A382" s="40">
        <v>0.64591078066914498</v>
      </c>
      <c r="B382" s="40">
        <v>3855.1632735999997</v>
      </c>
      <c r="C382" s="41">
        <f>C381+(((A382+A381)/2)*(B382-B381))</f>
        <v>3450.3475804465102</v>
      </c>
      <c r="D382" s="51">
        <f t="shared" si="15"/>
        <v>30225044.804711428</v>
      </c>
      <c r="E382" s="54">
        <f t="shared" si="16"/>
        <v>4472130.5822978579</v>
      </c>
      <c r="F382" s="53">
        <f>$K$4*B382</f>
        <v>30841306.188799996</v>
      </c>
      <c r="G382" s="51">
        <f t="shared" si="17"/>
        <v>308413.06188799994</v>
      </c>
      <c r="H382" s="52">
        <f>$K$3*D382</f>
        <v>7556261.2011778569</v>
      </c>
    </row>
    <row r="383" spans="1:8" ht="13.8" x14ac:dyDescent="0.25">
      <c r="A383" s="41">
        <v>0.64498141263940523</v>
      </c>
      <c r="B383" s="41">
        <v>3856.4591201000003</v>
      </c>
      <c r="C383" s="41">
        <f>C382+(((A383+A382)/2)*(B383-B382))</f>
        <v>3451.1839795117985</v>
      </c>
      <c r="D383" s="51">
        <f t="shared" si="15"/>
        <v>30232371.660523351</v>
      </c>
      <c r="E383" s="54">
        <f t="shared" si="16"/>
        <v>4472925.6190508381</v>
      </c>
      <c r="F383" s="53">
        <f>$K$4*B383</f>
        <v>30851672.960800003</v>
      </c>
      <c r="G383" s="51">
        <f t="shared" si="17"/>
        <v>308516.72960800002</v>
      </c>
      <c r="H383" s="52">
        <f>$K$3*D383</f>
        <v>7558092.9151308378</v>
      </c>
    </row>
    <row r="384" spans="1:8" ht="13.8" x14ac:dyDescent="0.25">
      <c r="A384" s="40">
        <v>0.64405204460966547</v>
      </c>
      <c r="B384" s="40">
        <v>3858.7318355000011</v>
      </c>
      <c r="C384" s="41">
        <f>C383+(((A384+A383)/2)*(B384-B383))</f>
        <v>3452.6487826065018</v>
      </c>
      <c r="D384" s="51">
        <f t="shared" si="15"/>
        <v>30245203.335632954</v>
      </c>
      <c r="E384" s="54">
        <f t="shared" si="16"/>
        <v>4474315.3655082379</v>
      </c>
      <c r="F384" s="53">
        <f>$K$4*B384</f>
        <v>30869854.684000008</v>
      </c>
      <c r="G384" s="51">
        <f t="shared" si="17"/>
        <v>308698.54684000008</v>
      </c>
      <c r="H384" s="52">
        <f>$K$3*D384</f>
        <v>7561300.8339082384</v>
      </c>
    </row>
    <row r="385" spans="1:8" ht="13.8" x14ac:dyDescent="0.25">
      <c r="A385" s="41">
        <v>0.64312267657992561</v>
      </c>
      <c r="B385" s="41">
        <v>3859.6289600000005</v>
      </c>
      <c r="C385" s="41">
        <f>C384+(((A385+A384)/2)*(B385-B384))</f>
        <v>3453.2261605955814</v>
      </c>
      <c r="D385" s="51">
        <f t="shared" si="15"/>
        <v>30250261.166817293</v>
      </c>
      <c r="E385" s="54">
        <f t="shared" si="16"/>
        <v>4474862.1237043226</v>
      </c>
      <c r="F385" s="53">
        <f>$K$4*B385</f>
        <v>30877031.680000003</v>
      </c>
      <c r="G385" s="51">
        <f t="shared" si="17"/>
        <v>308770.31680000003</v>
      </c>
      <c r="H385" s="52">
        <f>$K$3*D385</f>
        <v>7562565.2917043231</v>
      </c>
    </row>
    <row r="386" spans="1:8" ht="13.8" x14ac:dyDescent="0.25">
      <c r="A386" s="40">
        <v>0.64219330855018586</v>
      </c>
      <c r="B386" s="40">
        <v>3863.5364356</v>
      </c>
      <c r="C386" s="41">
        <f>C385+(((A386+A385)/2)*(B386-B385))</f>
        <v>3455.737331020674</v>
      </c>
      <c r="D386" s="51">
        <f t="shared" si="15"/>
        <v>30272259.019741103</v>
      </c>
      <c r="E386" s="54">
        <f t="shared" si="16"/>
        <v>4477235.6064552758</v>
      </c>
      <c r="F386" s="53">
        <f>$K$4*B386</f>
        <v>30908291.4848</v>
      </c>
      <c r="G386" s="51">
        <f t="shared" si="17"/>
        <v>309082.91484799999</v>
      </c>
      <c r="H386" s="52">
        <f>$K$3*D386</f>
        <v>7568064.7549352758</v>
      </c>
    </row>
    <row r="387" spans="1:8" ht="13.8" x14ac:dyDescent="0.25">
      <c r="A387" s="41">
        <v>0.64126394052044611</v>
      </c>
      <c r="B387" s="41">
        <v>3883.3927911999999</v>
      </c>
      <c r="C387" s="41">
        <f>C386+(((A387+A386)/2)*(B387-B386))</f>
        <v>3468.4797227881459</v>
      </c>
      <c r="D387" s="51">
        <f t="shared" ref="D387:D450" si="18">C387*24*365</f>
        <v>30383882.371624157</v>
      </c>
      <c r="E387" s="54">
        <f t="shared" ref="E387:E450" si="19">H387-G387-(F387*$K$5)</f>
        <v>4489256.3599460395</v>
      </c>
      <c r="F387" s="53">
        <f>$K$4*B387</f>
        <v>31067142.329599999</v>
      </c>
      <c r="G387" s="51">
        <f t="shared" ref="G387:G450" si="20">F387*0.01</f>
        <v>310671.42329599999</v>
      </c>
      <c r="H387" s="52">
        <f>$K$3*D387</f>
        <v>7595970.5929060392</v>
      </c>
    </row>
    <row r="388" spans="1:8" ht="13.8" x14ac:dyDescent="0.25">
      <c r="A388" s="40">
        <v>0.64033457249070636</v>
      </c>
      <c r="B388" s="40">
        <v>3887.0211614</v>
      </c>
      <c r="C388" s="41">
        <f>C387+(((A388+A387)/2)*(B388-B387))</f>
        <v>3470.8047797146328</v>
      </c>
      <c r="D388" s="51">
        <f t="shared" si="18"/>
        <v>30404249.870300185</v>
      </c>
      <c r="E388" s="54">
        <f t="shared" si="19"/>
        <v>4491445.5384550467</v>
      </c>
      <c r="F388" s="53">
        <f>$K$4*B388</f>
        <v>31096169.291200001</v>
      </c>
      <c r="G388" s="51">
        <f t="shared" si="20"/>
        <v>310961.692912</v>
      </c>
      <c r="H388" s="52">
        <f>$K$3*D388</f>
        <v>7601062.4675750462</v>
      </c>
    </row>
    <row r="389" spans="1:8" ht="13.8" x14ac:dyDescent="0.25">
      <c r="A389" s="41">
        <v>0.63940520446096649</v>
      </c>
      <c r="B389" s="41">
        <v>3892.5235249999996</v>
      </c>
      <c r="C389" s="41">
        <f>C388+(((A389+A388)/2)*(B389-B388))</f>
        <v>3474.325576497718</v>
      </c>
      <c r="D389" s="51">
        <f t="shared" si="18"/>
        <v>30435092.050120007</v>
      </c>
      <c r="E389" s="54">
        <f t="shared" si="19"/>
        <v>4494754.1925300024</v>
      </c>
      <c r="F389" s="53">
        <f>$K$4*B389</f>
        <v>31140188.199999996</v>
      </c>
      <c r="G389" s="51">
        <f t="shared" si="20"/>
        <v>311401.88199999998</v>
      </c>
      <c r="H389" s="52">
        <f>$K$3*D389</f>
        <v>7608773.0125300018</v>
      </c>
    </row>
    <row r="390" spans="1:8" ht="13.8" x14ac:dyDescent="0.25">
      <c r="A390" s="40">
        <v>0.63847583643122674</v>
      </c>
      <c r="B390" s="40">
        <v>3906.1000091000005</v>
      </c>
      <c r="C390" s="41">
        <f>C389+(((A390+A389)/2)*(B390-B389))</f>
        <v>3483.0001423144008</v>
      </c>
      <c r="D390" s="51">
        <f t="shared" si="18"/>
        <v>30511081.246674154</v>
      </c>
      <c r="E390" s="54">
        <f t="shared" si="19"/>
        <v>4502890.304388538</v>
      </c>
      <c r="F390" s="53">
        <f>$K$4*B390</f>
        <v>31248800.072800003</v>
      </c>
      <c r="G390" s="51">
        <f t="shared" si="20"/>
        <v>312488.00072800001</v>
      </c>
      <c r="H390" s="52">
        <f>$K$3*D390</f>
        <v>7627770.3116685385</v>
      </c>
    </row>
    <row r="391" spans="1:8" ht="13.8" x14ac:dyDescent="0.25">
      <c r="A391" s="41">
        <v>0.63754646840148699</v>
      </c>
      <c r="B391" s="41">
        <v>3908.073683000001</v>
      </c>
      <c r="C391" s="41">
        <f>C390+(((A391+A390)/2)*(B391-B390))</f>
        <v>3484.2593682738343</v>
      </c>
      <c r="D391" s="51">
        <f t="shared" si="18"/>
        <v>30522112.06607879</v>
      </c>
      <c r="E391" s="54">
        <f t="shared" si="19"/>
        <v>4504069.0701196957</v>
      </c>
      <c r="F391" s="53">
        <f>$K$4*B391</f>
        <v>31264589.464000009</v>
      </c>
      <c r="G391" s="51">
        <f t="shared" si="20"/>
        <v>312645.89464000007</v>
      </c>
      <c r="H391" s="52">
        <f>$K$3*D391</f>
        <v>7630528.0165196974</v>
      </c>
    </row>
    <row r="392" spans="1:8" ht="13.8" x14ac:dyDescent="0.25">
      <c r="A392" s="40">
        <v>0.63661710037174724</v>
      </c>
      <c r="B392" s="40">
        <v>3918.4005828000004</v>
      </c>
      <c r="C392" s="41">
        <f>C391+(((A392+A391)/2)*(B392-B391))</f>
        <v>3490.8384480255995</v>
      </c>
      <c r="D392" s="51">
        <f t="shared" si="18"/>
        <v>30579744.804704253</v>
      </c>
      <c r="E392" s="54">
        <f t="shared" si="19"/>
        <v>4510215.7349360622</v>
      </c>
      <c r="F392" s="53">
        <f>$K$4*B392</f>
        <v>31347204.662400004</v>
      </c>
      <c r="G392" s="51">
        <f t="shared" si="20"/>
        <v>313472.04662400007</v>
      </c>
      <c r="H392" s="52">
        <f>$K$3*D392</f>
        <v>7644936.2011760632</v>
      </c>
    </row>
    <row r="393" spans="1:8" ht="13.8" x14ac:dyDescent="0.25">
      <c r="A393" s="41">
        <v>0.63568773234200748</v>
      </c>
      <c r="B393" s="41">
        <v>3923.5839688000001</v>
      </c>
      <c r="C393" s="41">
        <f>C392+(((A393+A392)/2)*(B393-B392))</f>
        <v>3494.1358715544097</v>
      </c>
      <c r="D393" s="51">
        <f t="shared" si="18"/>
        <v>30608630.234816629</v>
      </c>
      <c r="E393" s="54">
        <f t="shared" si="19"/>
        <v>4513290.3836641572</v>
      </c>
      <c r="F393" s="53">
        <f>$K$4*B393</f>
        <v>31388671.750399999</v>
      </c>
      <c r="G393" s="51">
        <f t="shared" si="20"/>
        <v>313886.717504</v>
      </c>
      <c r="H393" s="52">
        <f>$K$3*D393</f>
        <v>7652157.5587041574</v>
      </c>
    </row>
    <row r="394" spans="1:8" ht="13.8" x14ac:dyDescent="0.25">
      <c r="A394" s="40">
        <v>0.63475836431226762</v>
      </c>
      <c r="B394" s="40">
        <v>3924.8798153000002</v>
      </c>
      <c r="C394" s="41">
        <f>C393+(((A394+A393)/2)*(B394-B393))</f>
        <v>3494.9590231183038</v>
      </c>
      <c r="D394" s="51">
        <f t="shared" si="18"/>
        <v>30615841.042516343</v>
      </c>
      <c r="E394" s="54">
        <f t="shared" si="19"/>
        <v>4514056.4083890859</v>
      </c>
      <c r="F394" s="53">
        <f>$K$4*B394</f>
        <v>31399038.522400003</v>
      </c>
      <c r="G394" s="51">
        <f t="shared" si="20"/>
        <v>313990.38522400003</v>
      </c>
      <c r="H394" s="52">
        <f>$K$3*D394</f>
        <v>7653960.2606290858</v>
      </c>
    </row>
    <row r="395" spans="1:8" ht="13.8" x14ac:dyDescent="0.25">
      <c r="A395" s="41">
        <v>0.63382899628252787</v>
      </c>
      <c r="B395" s="41">
        <v>3933.0336801999997</v>
      </c>
      <c r="C395" s="41">
        <f>C394+(((A395+A394)/2)*(B395-B394))</f>
        <v>3500.1309680943723</v>
      </c>
      <c r="D395" s="51">
        <f t="shared" si="18"/>
        <v>30661147.2805067</v>
      </c>
      <c r="E395" s="54">
        <f t="shared" si="19"/>
        <v>4518859.8759666756</v>
      </c>
      <c r="F395" s="53">
        <f>$K$4*B395</f>
        <v>31464269.441599999</v>
      </c>
      <c r="G395" s="51">
        <f t="shared" si="20"/>
        <v>314642.69441599998</v>
      </c>
      <c r="H395" s="52">
        <f>$K$3*D395</f>
        <v>7665286.8201266751</v>
      </c>
    </row>
    <row r="396" spans="1:8" ht="13.8" x14ac:dyDescent="0.25">
      <c r="A396" s="40">
        <v>0.63289962825278812</v>
      </c>
      <c r="B396" s="40">
        <v>3934.0504212999995</v>
      </c>
      <c r="C396" s="41">
        <f>C395+(((A396+A395)/2)*(B396-B395))</f>
        <v>3500.7749356219279</v>
      </c>
      <c r="D396" s="51">
        <f t="shared" si="18"/>
        <v>30666788.436048087</v>
      </c>
      <c r="E396" s="54">
        <f t="shared" si="19"/>
        <v>4519456.771972023</v>
      </c>
      <c r="F396" s="53">
        <f>$K$4*B396</f>
        <v>31472403.370399997</v>
      </c>
      <c r="G396" s="51">
        <f t="shared" si="20"/>
        <v>314724.033704</v>
      </c>
      <c r="H396" s="52">
        <f>$K$3*D396</f>
        <v>7666697.1090120217</v>
      </c>
    </row>
    <row r="397" spans="1:8" ht="13.8" x14ac:dyDescent="0.25">
      <c r="A397" s="41">
        <v>0.63197026022304836</v>
      </c>
      <c r="B397" s="41">
        <v>3939.2338073000005</v>
      </c>
      <c r="C397" s="41">
        <f>C396+(((A397+A396)/2)*(B397-B396))</f>
        <v>3504.0530900578019</v>
      </c>
      <c r="D397" s="51">
        <f t="shared" si="18"/>
        <v>30695505.068906344</v>
      </c>
      <c r="E397" s="54">
        <f t="shared" si="19"/>
        <v>4522489.2213865863</v>
      </c>
      <c r="F397" s="53">
        <f>$K$4*B397</f>
        <v>31513870.458400004</v>
      </c>
      <c r="G397" s="51">
        <f t="shared" si="20"/>
        <v>315138.70458400005</v>
      </c>
      <c r="H397" s="52">
        <f>$K$3*D397</f>
        <v>7673876.2672265861</v>
      </c>
    </row>
    <row r="398" spans="1:8" ht="13.8" x14ac:dyDescent="0.25">
      <c r="A398" s="40">
        <v>0.6310408921933085</v>
      </c>
      <c r="B398" s="40">
        <v>3942.4634555000002</v>
      </c>
      <c r="C398" s="41">
        <f>C397+(((A398+A397)/2)*(B398-B397))</f>
        <v>3506.0926309052925</v>
      </c>
      <c r="D398" s="51">
        <f t="shared" si="18"/>
        <v>30713371.446730364</v>
      </c>
      <c r="E398" s="54">
        <f t="shared" si="19"/>
        <v>4524372.0972825913</v>
      </c>
      <c r="F398" s="53">
        <f>$K$4*B398</f>
        <v>31539707.644000001</v>
      </c>
      <c r="G398" s="51">
        <f t="shared" si="20"/>
        <v>315397.07644000003</v>
      </c>
      <c r="H398" s="52">
        <f>$K$3*D398</f>
        <v>7678342.861682591</v>
      </c>
    </row>
    <row r="399" spans="1:8" ht="13.8" x14ac:dyDescent="0.25">
      <c r="A399" s="41">
        <v>0.63011152416356875</v>
      </c>
      <c r="B399" s="41">
        <v>3943.5798771000004</v>
      </c>
      <c r="C399" s="41">
        <f>C398+(((A399+A398)/2)*(B399-B398))</f>
        <v>3506.7966198045492</v>
      </c>
      <c r="D399" s="51">
        <f t="shared" si="18"/>
        <v>30719538.389487851</v>
      </c>
      <c r="E399" s="54">
        <f t="shared" si="19"/>
        <v>4525020.6956919627</v>
      </c>
      <c r="F399" s="53">
        <f>$K$4*B399</f>
        <v>31548639.016800005</v>
      </c>
      <c r="G399" s="51">
        <f t="shared" si="20"/>
        <v>315486.39016800007</v>
      </c>
      <c r="H399" s="52">
        <f>$K$3*D399</f>
        <v>7679884.5973719629</v>
      </c>
    </row>
    <row r="400" spans="1:8" ht="13.8" x14ac:dyDescent="0.25">
      <c r="A400" s="40">
        <v>0.629182156133829</v>
      </c>
      <c r="B400" s="40">
        <v>3962.2799389000002</v>
      </c>
      <c r="C400" s="41">
        <f>C399+(((A400+A399)/2)*(B400-B399))</f>
        <v>3518.5710546275045</v>
      </c>
      <c r="D400" s="51">
        <f t="shared" si="18"/>
        <v>30822682.438536942</v>
      </c>
      <c r="E400" s="54">
        <f t="shared" si="19"/>
        <v>4535846.6585142352</v>
      </c>
      <c r="F400" s="53">
        <f>$K$4*B400</f>
        <v>31698239.5112</v>
      </c>
      <c r="G400" s="51">
        <f t="shared" si="20"/>
        <v>316982.395112</v>
      </c>
      <c r="H400" s="52">
        <f>$K$3*D400</f>
        <v>7705670.6096342355</v>
      </c>
    </row>
    <row r="401" spans="1:8" ht="13.8" x14ac:dyDescent="0.25">
      <c r="A401" s="41">
        <v>0.62825278810408924</v>
      </c>
      <c r="B401" s="41">
        <v>3963.9545712999993</v>
      </c>
      <c r="C401" s="41">
        <f>C400+(((A401+A400)/2)*(B401-B400))</f>
        <v>3519.6239252767605</v>
      </c>
      <c r="D401" s="51">
        <f t="shared" si="18"/>
        <v>30831905.585424419</v>
      </c>
      <c r="E401" s="54">
        <f t="shared" si="19"/>
        <v>4536812.7393161058</v>
      </c>
      <c r="F401" s="53">
        <f>$K$4*B401</f>
        <v>31711636.570399996</v>
      </c>
      <c r="G401" s="51">
        <f t="shared" si="20"/>
        <v>317116.36570399994</v>
      </c>
      <c r="H401" s="52">
        <f>$K$3*D401</f>
        <v>7707976.3963561049</v>
      </c>
    </row>
    <row r="402" spans="1:8" ht="13.8" x14ac:dyDescent="0.25">
      <c r="A402" s="40">
        <v>0.62732342007434949</v>
      </c>
      <c r="B402" s="40">
        <v>3964.4729098999996</v>
      </c>
      <c r="C402" s="41">
        <f>C401+(((A402+A401)/2)*(B402-B401))</f>
        <v>3519.949332083731</v>
      </c>
      <c r="D402" s="51">
        <f t="shared" si="18"/>
        <v>30834756.14905348</v>
      </c>
      <c r="E402" s="54">
        <f t="shared" si="19"/>
        <v>4537110.7093433701</v>
      </c>
      <c r="F402" s="53">
        <f>$K$4*B402</f>
        <v>31715783.279199999</v>
      </c>
      <c r="G402" s="51">
        <f t="shared" si="20"/>
        <v>317157.83279199997</v>
      </c>
      <c r="H402" s="52">
        <f>$K$3*D402</f>
        <v>7708689.0372633701</v>
      </c>
    </row>
    <row r="403" spans="1:8" ht="13.8" x14ac:dyDescent="0.25">
      <c r="A403" s="41">
        <v>0.62639405204460963</v>
      </c>
      <c r="B403" s="41">
        <v>3965.2504177999999</v>
      </c>
      <c r="C403" s="41">
        <f>C402+(((A403+A402)/2)*(B403-B402))</f>
        <v>3520.4367197032016</v>
      </c>
      <c r="D403" s="51">
        <f t="shared" si="18"/>
        <v>30839025.664600048</v>
      </c>
      <c r="E403" s="54">
        <f t="shared" si="19"/>
        <v>4537556.0819100123</v>
      </c>
      <c r="F403" s="53">
        <f>$K$4*B403</f>
        <v>31722003.342399999</v>
      </c>
      <c r="G403" s="51">
        <f t="shared" si="20"/>
        <v>317220.03342400002</v>
      </c>
      <c r="H403" s="52">
        <f>$K$3*D403</f>
        <v>7709756.4161500121</v>
      </c>
    </row>
    <row r="404" spans="1:8" ht="13.8" x14ac:dyDescent="0.25">
      <c r="A404" s="40">
        <v>0.62546468401486988</v>
      </c>
      <c r="B404" s="40">
        <v>3968.0414718000011</v>
      </c>
      <c r="C404" s="41">
        <f>C403+(((A404+A403)/2)*(B404-B403))</f>
        <v>3522.1837223695593</v>
      </c>
      <c r="D404" s="51">
        <f t="shared" si="18"/>
        <v>30854329.407957342</v>
      </c>
      <c r="E404" s="54">
        <f t="shared" si="19"/>
        <v>4539149.1745493356</v>
      </c>
      <c r="F404" s="53">
        <f>$K$4*B404</f>
        <v>31744331.774400007</v>
      </c>
      <c r="G404" s="51">
        <f t="shared" si="20"/>
        <v>317443.31774400006</v>
      </c>
      <c r="H404" s="52">
        <f>$K$3*D404</f>
        <v>7713582.3519893354</v>
      </c>
    </row>
    <row r="405" spans="1:8" ht="13.8" x14ac:dyDescent="0.25">
      <c r="A405" s="41">
        <v>0.62453531598513012</v>
      </c>
      <c r="B405" s="41">
        <v>3972.2679250000006</v>
      </c>
      <c r="C405" s="41">
        <f>C404+(((A405+A404)/2)*(B405-B404))</f>
        <v>3524.8252556195589</v>
      </c>
      <c r="D405" s="51">
        <f t="shared" si="18"/>
        <v>30877469.239227336</v>
      </c>
      <c r="E405" s="54">
        <f t="shared" si="19"/>
        <v>4541552.9698068332</v>
      </c>
      <c r="F405" s="53">
        <f>$K$4*B405</f>
        <v>31778143.400000006</v>
      </c>
      <c r="G405" s="51">
        <f t="shared" si="20"/>
        <v>317781.43400000007</v>
      </c>
      <c r="H405" s="52">
        <f>$K$3*D405</f>
        <v>7719367.309806834</v>
      </c>
    </row>
    <row r="406" spans="1:8" ht="13.8" x14ac:dyDescent="0.25">
      <c r="A406" s="40">
        <v>0.62360594795539037</v>
      </c>
      <c r="B406" s="40">
        <v>3976.3348894000001</v>
      </c>
      <c r="C406" s="41">
        <f>C405+(((A406+A405)/2)*(B406-B405))</f>
        <v>3527.3633286628669</v>
      </c>
      <c r="D406" s="51">
        <f t="shared" si="18"/>
        <v>30899702.759086717</v>
      </c>
      <c r="E406" s="54">
        <f t="shared" si="19"/>
        <v>4543857.7782516787</v>
      </c>
      <c r="F406" s="53">
        <f>$K$4*B406</f>
        <v>31810679.115200002</v>
      </c>
      <c r="G406" s="51">
        <f t="shared" si="20"/>
        <v>318106.79115200002</v>
      </c>
      <c r="H406" s="52">
        <f>$K$3*D406</f>
        <v>7724925.6897716792</v>
      </c>
    </row>
    <row r="407" spans="1:8" ht="13.8" x14ac:dyDescent="0.25">
      <c r="A407" s="41">
        <v>0.62267657992565051</v>
      </c>
      <c r="B407" s="41">
        <v>3976.434569900001</v>
      </c>
      <c r="C407" s="41">
        <f>C406+(((A407+A406)/2)*(B407-B406))</f>
        <v>3527.4254436956276</v>
      </c>
      <c r="D407" s="51">
        <f t="shared" si="18"/>
        <v>30900246.886773698</v>
      </c>
      <c r="E407" s="54">
        <f t="shared" si="19"/>
        <v>4543914.0657734238</v>
      </c>
      <c r="F407" s="53">
        <f>$K$4*B407</f>
        <v>31811476.559200007</v>
      </c>
      <c r="G407" s="51">
        <f t="shared" si="20"/>
        <v>318114.7655920001</v>
      </c>
      <c r="H407" s="52">
        <f>$K$3*D407</f>
        <v>7725061.7216934245</v>
      </c>
    </row>
    <row r="408" spans="1:8" ht="13.8" x14ac:dyDescent="0.25">
      <c r="A408" s="40">
        <v>0.62174721189591076</v>
      </c>
      <c r="B408" s="40">
        <v>3976.6339309000005</v>
      </c>
      <c r="C408" s="41">
        <f>C407+(((A408+A407)/2)*(B408-B407))</f>
        <v>3527.5494884814079</v>
      </c>
      <c r="D408" s="51">
        <f t="shared" si="18"/>
        <v>30901333.519097134</v>
      </c>
      <c r="E408" s="54">
        <f t="shared" si="19"/>
        <v>4544026.2350542843</v>
      </c>
      <c r="F408" s="53">
        <f>$K$4*B408</f>
        <v>31813071.447200004</v>
      </c>
      <c r="G408" s="51">
        <f t="shared" si="20"/>
        <v>318130.71447200002</v>
      </c>
      <c r="H408" s="52">
        <f>$K$3*D408</f>
        <v>7725333.3797742836</v>
      </c>
    </row>
    <row r="409" spans="1:8" ht="13.8" x14ac:dyDescent="0.25">
      <c r="A409" s="41">
        <v>0.620817843866171</v>
      </c>
      <c r="B409" s="41">
        <v>3980.1227484000001</v>
      </c>
      <c r="C409" s="41">
        <f>C408+(((A409+A408)/2)*(B409-B408))</f>
        <v>3529.7170298371234</v>
      </c>
      <c r="D409" s="51">
        <f t="shared" si="18"/>
        <v>30920321.181373201</v>
      </c>
      <c r="E409" s="54">
        <f t="shared" si="19"/>
        <v>4545982.0966232996</v>
      </c>
      <c r="F409" s="53">
        <f>$K$4*B409</f>
        <v>31840981.987199999</v>
      </c>
      <c r="G409" s="51">
        <f t="shared" si="20"/>
        <v>318409.81987200002</v>
      </c>
      <c r="H409" s="52">
        <f>$K$3*D409</f>
        <v>7730080.2953433003</v>
      </c>
    </row>
    <row r="410" spans="1:8" ht="13.8" x14ac:dyDescent="0.25">
      <c r="A410" s="40">
        <v>0.61988847583643125</v>
      </c>
      <c r="B410" s="40">
        <v>4010.1066428000004</v>
      </c>
      <c r="C410" s="41">
        <f>C409+(((A410+A409)/2)*(B410-B409))</f>
        <v>3548.3176334728114</v>
      </c>
      <c r="D410" s="51">
        <f t="shared" si="18"/>
        <v>31083262.469221827</v>
      </c>
      <c r="E410" s="54">
        <f t="shared" si="19"/>
        <v>4562730.3030654564</v>
      </c>
      <c r="F410" s="53">
        <f>$K$4*B410</f>
        <v>32080853.142400004</v>
      </c>
      <c r="G410" s="51">
        <f t="shared" si="20"/>
        <v>320808.53142400004</v>
      </c>
      <c r="H410" s="52">
        <f>$K$3*D410</f>
        <v>7770815.6173054567</v>
      </c>
    </row>
    <row r="411" spans="1:8" ht="13.8" x14ac:dyDescent="0.25">
      <c r="A411" s="41">
        <v>0.6189591078066915</v>
      </c>
      <c r="B411" s="41">
        <v>4011.3626170999996</v>
      </c>
      <c r="C411" s="41">
        <f>C410+(((A411+A410)/2)*(B411-B410))</f>
        <v>3549.0956138361475</v>
      </c>
      <c r="D411" s="51">
        <f t="shared" si="18"/>
        <v>31090077.577204652</v>
      </c>
      <c r="E411" s="54">
        <f t="shared" si="19"/>
        <v>4563429.300621164</v>
      </c>
      <c r="F411" s="53">
        <f>$K$4*B411</f>
        <v>32090900.936799996</v>
      </c>
      <c r="G411" s="51">
        <f t="shared" si="20"/>
        <v>320909.00936799997</v>
      </c>
      <c r="H411" s="52">
        <f>$K$3*D411</f>
        <v>7772519.394301163</v>
      </c>
    </row>
    <row r="412" spans="1:8" ht="13.8" x14ac:dyDescent="0.25">
      <c r="A412" s="40">
        <v>0.61802973977695164</v>
      </c>
      <c r="B412" s="40">
        <v>4016.6257475000011</v>
      </c>
      <c r="C412" s="41">
        <f>C411+(((A412+A411)/2)*(B412-B411))</f>
        <v>3552.3508306402377</v>
      </c>
      <c r="D412" s="51">
        <f t="shared" si="18"/>
        <v>31118593.276408482</v>
      </c>
      <c r="E412" s="54">
        <f t="shared" si="19"/>
        <v>4566347.7211021204</v>
      </c>
      <c r="F412" s="53">
        <f>$K$4*B412</f>
        <v>32133005.980000008</v>
      </c>
      <c r="G412" s="51">
        <f t="shared" si="20"/>
        <v>321330.0598000001</v>
      </c>
      <c r="H412" s="52">
        <f>$K$3*D412</f>
        <v>7779648.3191021206</v>
      </c>
    </row>
    <row r="413" spans="1:8" ht="13.8" x14ac:dyDescent="0.25">
      <c r="A413" s="41">
        <v>0.61710037174721188</v>
      </c>
      <c r="B413" s="41">
        <v>4029.026001700001</v>
      </c>
      <c r="C413" s="41">
        <f>C412+(((A413+A412)/2)*(B413-B412))</f>
        <v>3560.0087943167246</v>
      </c>
      <c r="D413" s="51">
        <f t="shared" si="18"/>
        <v>31185677.038214508</v>
      </c>
      <c r="E413" s="54">
        <f t="shared" si="19"/>
        <v>4573198.4581936263</v>
      </c>
      <c r="F413" s="53">
        <f>$K$4*B413</f>
        <v>32232208.013600007</v>
      </c>
      <c r="G413" s="51">
        <f t="shared" si="20"/>
        <v>322322.08013600006</v>
      </c>
      <c r="H413" s="52">
        <f>$K$3*D413</f>
        <v>7796419.2595536271</v>
      </c>
    </row>
    <row r="414" spans="1:8" ht="13.8" x14ac:dyDescent="0.25">
      <c r="A414" s="40">
        <v>0.61617100371747213</v>
      </c>
      <c r="B414" s="40">
        <v>4030.5610814000006</v>
      </c>
      <c r="C414" s="41">
        <f>C413+(((A414+A413)/2)*(B414-B413))</f>
        <v>3560.955379243258</v>
      </c>
      <c r="D414" s="51">
        <f t="shared" si="18"/>
        <v>31193969.12217094</v>
      </c>
      <c r="E414" s="54">
        <f t="shared" si="19"/>
        <v>4574043.4154227348</v>
      </c>
      <c r="F414" s="53">
        <f>$K$4*B414</f>
        <v>32244488.651200004</v>
      </c>
      <c r="G414" s="51">
        <f t="shared" si="20"/>
        <v>322444.88651200006</v>
      </c>
      <c r="H414" s="52">
        <f>$K$3*D414</f>
        <v>7798492.280542735</v>
      </c>
    </row>
    <row r="415" spans="1:8" ht="13.8" x14ac:dyDescent="0.25">
      <c r="A415" s="41">
        <v>0.61524163568773238</v>
      </c>
      <c r="B415" s="41">
        <v>4033.3720714999999</v>
      </c>
      <c r="C415" s="41">
        <f>C414+(((A415+A414)/2)*(B415-B414))</f>
        <v>3562.6861236124491</v>
      </c>
      <c r="D415" s="51">
        <f t="shared" si="18"/>
        <v>31209130.442845054</v>
      </c>
      <c r="E415" s="54">
        <f t="shared" si="19"/>
        <v>4575584.9535112632</v>
      </c>
      <c r="F415" s="53">
        <f>$K$4*B415</f>
        <v>32266976.572000001</v>
      </c>
      <c r="G415" s="51">
        <f t="shared" si="20"/>
        <v>322669.76572000002</v>
      </c>
      <c r="H415" s="52">
        <f>$K$3*D415</f>
        <v>7802282.6107112635</v>
      </c>
    </row>
    <row r="416" spans="1:8" ht="13.8" x14ac:dyDescent="0.25">
      <c r="A416" s="40">
        <v>0.61431226765799252</v>
      </c>
      <c r="B416" s="40">
        <v>4034.5084292000001</v>
      </c>
      <c r="C416" s="41">
        <f>C415+(((A416+A415)/2)*(B416-B415))</f>
        <v>3563.3847301352653</v>
      </c>
      <c r="D416" s="51">
        <f t="shared" si="18"/>
        <v>31215250.235984925</v>
      </c>
      <c r="E416" s="54">
        <f t="shared" si="19"/>
        <v>4576205.8156362306</v>
      </c>
      <c r="F416" s="53">
        <f>$K$4*B416</f>
        <v>32276067.433600001</v>
      </c>
      <c r="G416" s="51">
        <f t="shared" si="20"/>
        <v>322760.674336</v>
      </c>
      <c r="H416" s="52">
        <f>$K$3*D416</f>
        <v>7803812.5589962313</v>
      </c>
    </row>
    <row r="417" spans="1:8" ht="13.8" x14ac:dyDescent="0.25">
      <c r="A417" s="41">
        <v>0.61338289962825276</v>
      </c>
      <c r="B417" s="41">
        <v>4045.1543066000004</v>
      </c>
      <c r="C417" s="41">
        <f>C416+(((A417+A416)/2)*(B417-B416))</f>
        <v>3569.9196762530164</v>
      </c>
      <c r="D417" s="51">
        <f t="shared" si="18"/>
        <v>31272496.363976426</v>
      </c>
      <c r="E417" s="54">
        <f t="shared" si="19"/>
        <v>4582000.645714106</v>
      </c>
      <c r="F417" s="53">
        <f>$K$4*B417</f>
        <v>32361234.452800002</v>
      </c>
      <c r="G417" s="51">
        <f t="shared" si="20"/>
        <v>323612.34452800005</v>
      </c>
      <c r="H417" s="52">
        <f>$K$3*D417</f>
        <v>7818124.0909941066</v>
      </c>
    </row>
    <row r="418" spans="1:8" ht="13.8" x14ac:dyDescent="0.25">
      <c r="A418" s="40">
        <v>0.61245353159851301</v>
      </c>
      <c r="B418" s="40">
        <v>4061.0433782999999</v>
      </c>
      <c r="C418" s="41">
        <f>C417+(((A418+A417)/2)*(B418-B417))</f>
        <v>3579.658377727133</v>
      </c>
      <c r="D418" s="51">
        <f t="shared" si="18"/>
        <v>31357807.388889685</v>
      </c>
      <c r="E418" s="54">
        <f t="shared" si="19"/>
        <v>4590617.1445824215</v>
      </c>
      <c r="F418" s="53">
        <f>$K$4*B418</f>
        <v>32488347.0264</v>
      </c>
      <c r="G418" s="51">
        <f t="shared" si="20"/>
        <v>324883.470264</v>
      </c>
      <c r="H418" s="52">
        <f>$K$3*D418</f>
        <v>7839451.8472224213</v>
      </c>
    </row>
    <row r="419" spans="1:8" ht="13.8" x14ac:dyDescent="0.25">
      <c r="A419" s="41">
        <v>0.61152416356877326</v>
      </c>
      <c r="B419" s="41">
        <v>4061.0633143999994</v>
      </c>
      <c r="C419" s="41">
        <f>C418+(((A419+A418)/2)*(B419-B418))</f>
        <v>3579.6705783979969</v>
      </c>
      <c r="D419" s="51">
        <f t="shared" si="18"/>
        <v>31357914.266766455</v>
      </c>
      <c r="E419" s="54">
        <f t="shared" si="19"/>
        <v>4590627.9151716139</v>
      </c>
      <c r="F419" s="53">
        <f>$K$4*B419</f>
        <v>32488506.515199997</v>
      </c>
      <c r="G419" s="51">
        <f t="shared" si="20"/>
        <v>324885.065152</v>
      </c>
      <c r="H419" s="52">
        <f>$K$3*D419</f>
        <v>7839478.5666916138</v>
      </c>
    </row>
    <row r="420" spans="1:8" ht="13.8" x14ac:dyDescent="0.25">
      <c r="A420" s="40">
        <v>0.61059479553903351</v>
      </c>
      <c r="B420" s="40">
        <v>4073.0050383000003</v>
      </c>
      <c r="C420" s="41">
        <f>C419+(((A420+A419)/2)*(B420-B419))</f>
        <v>3586.9676819893079</v>
      </c>
      <c r="D420" s="51">
        <f t="shared" si="18"/>
        <v>31421836.894226335</v>
      </c>
      <c r="E420" s="54">
        <f t="shared" si="19"/>
        <v>4597055.1929165833</v>
      </c>
      <c r="F420" s="53">
        <f>$K$4*B420</f>
        <v>32584040.306400001</v>
      </c>
      <c r="G420" s="51">
        <f t="shared" si="20"/>
        <v>325840.40306400001</v>
      </c>
      <c r="H420" s="52">
        <f>$K$3*D420</f>
        <v>7855459.2235565837</v>
      </c>
    </row>
    <row r="421" spans="1:8" ht="13.8" x14ac:dyDescent="0.25">
      <c r="A421" s="41">
        <v>0.60966542750929364</v>
      </c>
      <c r="B421" s="41">
        <v>4078.2282964999995</v>
      </c>
      <c r="C421" s="41">
        <f>C420+(((A421+A420)/2)*(B421-B420))</f>
        <v>3590.1545490973931</v>
      </c>
      <c r="D421" s="51">
        <f t="shared" si="18"/>
        <v>31449753.850093164</v>
      </c>
      <c r="E421" s="54">
        <f t="shared" si="19"/>
        <v>4599855.8253232911</v>
      </c>
      <c r="F421" s="53">
        <f>$K$4*B421</f>
        <v>32625826.371999998</v>
      </c>
      <c r="G421" s="51">
        <f t="shared" si="20"/>
        <v>326258.26371999999</v>
      </c>
      <c r="H421" s="52">
        <f>$K$3*D421</f>
        <v>7862438.4625232909</v>
      </c>
    </row>
    <row r="422" spans="1:8" ht="13.8" x14ac:dyDescent="0.25">
      <c r="A422" s="40">
        <v>0.60873605947955389</v>
      </c>
      <c r="B422" s="40">
        <v>4079.8231845000009</v>
      </c>
      <c r="C422" s="41">
        <f>C421+(((A422+A421)/2)*(B422-B421))</f>
        <v>3591.1261560527842</v>
      </c>
      <c r="D422" s="51">
        <f t="shared" si="18"/>
        <v>31458265.127022389</v>
      </c>
      <c r="E422" s="54">
        <f t="shared" si="19"/>
        <v>4600707.7341555962</v>
      </c>
      <c r="F422" s="53">
        <f>$K$4*B422</f>
        <v>32638585.476000007</v>
      </c>
      <c r="G422" s="51">
        <f t="shared" si="20"/>
        <v>326385.85476000007</v>
      </c>
      <c r="H422" s="52">
        <f>$K$3*D422</f>
        <v>7864566.2817555973</v>
      </c>
    </row>
    <row r="423" spans="1:8" ht="13.8" x14ac:dyDescent="0.25">
      <c r="A423" s="41">
        <v>0.60780669144981414</v>
      </c>
      <c r="B423" s="41">
        <v>4080.0823538</v>
      </c>
      <c r="C423" s="41">
        <f>C422+(((A423+A422)/2)*(B423-B422))</f>
        <v>3591.2838013193727</v>
      </c>
      <c r="D423" s="51">
        <f t="shared" si="18"/>
        <v>31459646.099557705</v>
      </c>
      <c r="E423" s="54">
        <f t="shared" si="19"/>
        <v>4600845.6418494266</v>
      </c>
      <c r="F423" s="53">
        <f>$K$4*B423</f>
        <v>32640658.830400001</v>
      </c>
      <c r="G423" s="51">
        <f t="shared" si="20"/>
        <v>326406.58830400003</v>
      </c>
      <c r="H423" s="52">
        <f>$K$3*D423</f>
        <v>7864911.5248894263</v>
      </c>
    </row>
    <row r="424" spans="1:8" ht="13.8" x14ac:dyDescent="0.25">
      <c r="A424" s="40">
        <v>0.60687732342007439</v>
      </c>
      <c r="B424" s="40">
        <v>4083.2721297999997</v>
      </c>
      <c r="C424" s="41">
        <f>C423+(((A424+A423)/2)*(B424-B423))</f>
        <v>3593.2210862784805</v>
      </c>
      <c r="D424" s="51">
        <f t="shared" si="18"/>
        <v>31476616.715799488</v>
      </c>
      <c r="E424" s="54">
        <f t="shared" si="19"/>
        <v>4602536.4751098724</v>
      </c>
      <c r="F424" s="53">
        <f>$K$4*B424</f>
        <v>32666177.038399998</v>
      </c>
      <c r="G424" s="51">
        <f t="shared" si="20"/>
        <v>326661.77038399997</v>
      </c>
      <c r="H424" s="52">
        <f>$K$3*D424</f>
        <v>7869154.178949872</v>
      </c>
    </row>
    <row r="425" spans="1:8" ht="13.8" x14ac:dyDescent="0.25">
      <c r="A425" s="41">
        <v>0.60594795539033453</v>
      </c>
      <c r="B425" s="41">
        <v>4086.0631838000004</v>
      </c>
      <c r="C425" s="41">
        <f>C424+(((A425+A424)/2)*(B425-B424))</f>
        <v>3594.9136167013435</v>
      </c>
      <c r="D425" s="51">
        <f t="shared" si="18"/>
        <v>31491443.282303769</v>
      </c>
      <c r="E425" s="54">
        <f t="shared" si="19"/>
        <v>4604010.2735359427</v>
      </c>
      <c r="F425" s="53">
        <f>$K$4*B425</f>
        <v>32688505.470400002</v>
      </c>
      <c r="G425" s="51">
        <f t="shared" si="20"/>
        <v>326885.05470400001</v>
      </c>
      <c r="H425" s="52">
        <f>$K$3*D425</f>
        <v>7872860.8205759423</v>
      </c>
    </row>
    <row r="426" spans="1:8" ht="13.8" x14ac:dyDescent="0.25">
      <c r="A426" s="40">
        <v>0.60501858736059477</v>
      </c>
      <c r="B426" s="40">
        <v>4087.3390941999992</v>
      </c>
      <c r="C426" s="41">
        <f>C425+(((A426+A425)/2)*(B426-B425))</f>
        <v>3595.6861591043166</v>
      </c>
      <c r="D426" s="51">
        <f t="shared" si="18"/>
        <v>31498210.753753815</v>
      </c>
      <c r="E426" s="54">
        <f t="shared" si="19"/>
        <v>4604681.4130784553</v>
      </c>
      <c r="F426" s="53">
        <f>$K$4*B426</f>
        <v>32698712.753599994</v>
      </c>
      <c r="G426" s="51">
        <f t="shared" si="20"/>
        <v>326987.12753599993</v>
      </c>
      <c r="H426" s="52">
        <f>$K$3*D426</f>
        <v>7874552.6884384537</v>
      </c>
    </row>
    <row r="427" spans="1:8" ht="13.8" x14ac:dyDescent="0.25">
      <c r="A427" s="41">
        <v>0.60408921933085502</v>
      </c>
      <c r="B427" s="41">
        <v>4099.3007541999996</v>
      </c>
      <c r="C427" s="41">
        <f>C426+(((A427+A426)/2)*(B427-B426))</f>
        <v>3602.9176273478115</v>
      </c>
      <c r="D427" s="51">
        <f t="shared" si="18"/>
        <v>31561558.415566828</v>
      </c>
      <c r="E427" s="54">
        <f t="shared" si="19"/>
        <v>4610949.000531707</v>
      </c>
      <c r="F427" s="53">
        <f>$K$4*B427</f>
        <v>32794406.033599995</v>
      </c>
      <c r="G427" s="51">
        <f t="shared" si="20"/>
        <v>327944.06033599994</v>
      </c>
      <c r="H427" s="52">
        <f>$K$3*D427</f>
        <v>7890389.603891707</v>
      </c>
    </row>
    <row r="428" spans="1:8" ht="13.8" x14ac:dyDescent="0.25">
      <c r="A428" s="40">
        <v>0.60315985130111527</v>
      </c>
      <c r="B428" s="40">
        <v>4101.0750671000005</v>
      </c>
      <c r="C428" s="41">
        <f>C427+(((A428+A427)/2)*(B428-B427))</f>
        <v>3603.9886461475799</v>
      </c>
      <c r="D428" s="51">
        <f t="shared" si="18"/>
        <v>31570940.540252801</v>
      </c>
      <c r="E428" s="54">
        <f t="shared" si="19"/>
        <v>4611875.0813832004</v>
      </c>
      <c r="F428" s="53">
        <f>$K$4*B428</f>
        <v>32808600.536800005</v>
      </c>
      <c r="G428" s="51">
        <f t="shared" si="20"/>
        <v>328086.00536800007</v>
      </c>
      <c r="H428" s="52">
        <f>$K$3*D428</f>
        <v>7892735.1350632003</v>
      </c>
    </row>
    <row r="429" spans="1:8" ht="13.8" x14ac:dyDescent="0.25">
      <c r="A429" s="41">
        <v>0.60223048327137552</v>
      </c>
      <c r="B429" s="41">
        <v>4102.6898911999997</v>
      </c>
      <c r="C429" s="41">
        <f>C428+(((A429+A428)/2)*(B429-B428))</f>
        <v>3604.9618928286668</v>
      </c>
      <c r="D429" s="51">
        <f t="shared" si="18"/>
        <v>31579466.181179121</v>
      </c>
      <c r="E429" s="54">
        <f t="shared" si="19"/>
        <v>4612714.6323347809</v>
      </c>
      <c r="F429" s="53">
        <f>$K$4*B429</f>
        <v>32821519.129599996</v>
      </c>
      <c r="G429" s="51">
        <f t="shared" si="20"/>
        <v>328215.19129599998</v>
      </c>
      <c r="H429" s="52">
        <f>$K$3*D429</f>
        <v>7894866.5452947803</v>
      </c>
    </row>
    <row r="430" spans="1:8" ht="13.8" x14ac:dyDescent="0.25">
      <c r="A430" s="40">
        <v>0.60130111524163565</v>
      </c>
      <c r="B430" s="40">
        <v>4107.7536605999994</v>
      </c>
      <c r="C430" s="41">
        <f>C429+(((A430+A429)/2)*(B430-B429))</f>
        <v>3608.0090960689081</v>
      </c>
      <c r="D430" s="51">
        <f t="shared" si="18"/>
        <v>31606159.681563634</v>
      </c>
      <c r="E430" s="54">
        <f t="shared" si="19"/>
        <v>4615336.9919109084</v>
      </c>
      <c r="F430" s="53">
        <f>$K$4*B430</f>
        <v>32862029.284799997</v>
      </c>
      <c r="G430" s="51">
        <f t="shared" si="20"/>
        <v>328620.29284799995</v>
      </c>
      <c r="H430" s="52">
        <f>$K$3*D430</f>
        <v>7901539.9203909086</v>
      </c>
    </row>
    <row r="431" spans="1:8" ht="13.8" x14ac:dyDescent="0.25">
      <c r="A431" s="41">
        <v>0.6003717472118959</v>
      </c>
      <c r="B431" s="41">
        <v>4114.1332126000016</v>
      </c>
      <c r="C431" s="41">
        <f>C430+(((A431+A430)/2)*(B431-B430))</f>
        <v>3611.8421633254152</v>
      </c>
      <c r="D431" s="51">
        <f t="shared" si="18"/>
        <v>31639737.350730639</v>
      </c>
      <c r="E431" s="54">
        <f t="shared" si="19"/>
        <v>4618627.7676026588</v>
      </c>
      <c r="F431" s="53">
        <f>$K$4*B431</f>
        <v>32913065.700800013</v>
      </c>
      <c r="G431" s="51">
        <f t="shared" si="20"/>
        <v>329130.65700800013</v>
      </c>
      <c r="H431" s="52">
        <f>$K$3*D431</f>
        <v>7909934.3376826597</v>
      </c>
    </row>
    <row r="432" spans="1:8" ht="13.8" x14ac:dyDescent="0.25">
      <c r="A432" s="40">
        <v>0.59944237918215615</v>
      </c>
      <c r="B432" s="40">
        <v>4117.0837554</v>
      </c>
      <c r="C432" s="41">
        <f>C431+(((A432+A431)/2)*(B432-B431))</f>
        <v>3613.6122147913993</v>
      </c>
      <c r="D432" s="51">
        <f t="shared" si="18"/>
        <v>31655243.001572657</v>
      </c>
      <c r="E432" s="54">
        <f t="shared" si="19"/>
        <v>4620143.746073164</v>
      </c>
      <c r="F432" s="53">
        <f>$K$4*B432</f>
        <v>32936670.043200001</v>
      </c>
      <c r="G432" s="51">
        <f t="shared" si="20"/>
        <v>329366.70043200004</v>
      </c>
      <c r="H432" s="52">
        <f>$K$3*D432</f>
        <v>7913810.7503931643</v>
      </c>
    </row>
    <row r="433" spans="1:8" ht="13.8" x14ac:dyDescent="0.25">
      <c r="A433" s="41">
        <v>0.5985130111524164</v>
      </c>
      <c r="B433" s="41">
        <v>4122.8652243999995</v>
      </c>
      <c r="C433" s="41">
        <f>C432+(((A433+A432)/2)*(B433-B432))</f>
        <v>3617.0751857677001</v>
      </c>
      <c r="D433" s="51">
        <f t="shared" si="18"/>
        <v>31685578.627325051</v>
      </c>
      <c r="E433" s="54">
        <f t="shared" si="19"/>
        <v>4623102.4773112629</v>
      </c>
      <c r="F433" s="53">
        <f>$K$4*B433</f>
        <v>32982921.795199998</v>
      </c>
      <c r="G433" s="51">
        <f t="shared" si="20"/>
        <v>329829.21795199998</v>
      </c>
      <c r="H433" s="52">
        <f>$K$3*D433</f>
        <v>7921394.6568312626</v>
      </c>
    </row>
    <row r="434" spans="1:8" ht="13.8" x14ac:dyDescent="0.25">
      <c r="A434" s="40">
        <v>0.59758364312267653</v>
      </c>
      <c r="B434" s="40">
        <v>4143.2199824999998</v>
      </c>
      <c r="C434" s="41">
        <f>C433+(((A434+A433)/2)*(B434-B433))</f>
        <v>3629.2483147986945</v>
      </c>
      <c r="D434" s="51">
        <f t="shared" si="18"/>
        <v>31792215.237636562</v>
      </c>
      <c r="E434" s="54">
        <f t="shared" si="19"/>
        <v>4633477.8234091401</v>
      </c>
      <c r="F434" s="53">
        <f>$K$4*B434</f>
        <v>33145759.859999999</v>
      </c>
      <c r="G434" s="51">
        <f t="shared" si="20"/>
        <v>331457.59860000003</v>
      </c>
      <c r="H434" s="52">
        <f>$K$3*D434</f>
        <v>7948053.8094091406</v>
      </c>
    </row>
    <row r="435" spans="1:8" ht="13.8" x14ac:dyDescent="0.25">
      <c r="A435" s="41">
        <v>0.59665427509293678</v>
      </c>
      <c r="B435" s="41">
        <v>4164.2525680000008</v>
      </c>
      <c r="C435" s="41">
        <f>C434+(((A435+A434)/2)*(B435-B434))</f>
        <v>3641.8072703598009</v>
      </c>
      <c r="D435" s="51">
        <f t="shared" si="18"/>
        <v>31902231.688351855</v>
      </c>
      <c r="E435" s="54">
        <f t="shared" si="19"/>
        <v>4644155.8676879629</v>
      </c>
      <c r="F435" s="53">
        <f>$K$4*B435</f>
        <v>33314020.544000007</v>
      </c>
      <c r="G435" s="51">
        <f t="shared" si="20"/>
        <v>333140.20544000011</v>
      </c>
      <c r="H435" s="52">
        <f>$K$3*D435</f>
        <v>7975557.9220879637</v>
      </c>
    </row>
    <row r="436" spans="1:8" ht="13.8" x14ac:dyDescent="0.25">
      <c r="A436" s="40">
        <v>0.59572490706319703</v>
      </c>
      <c r="B436" s="40">
        <v>4169.5555706000005</v>
      </c>
      <c r="C436" s="41">
        <f>C435+(((A436+A435)/2)*(B436-B435))</f>
        <v>3644.9688653113808</v>
      </c>
      <c r="D436" s="51">
        <f t="shared" si="18"/>
        <v>31929927.260127697</v>
      </c>
      <c r="E436" s="54">
        <f t="shared" si="19"/>
        <v>4646837.3585519241</v>
      </c>
      <c r="F436" s="53">
        <f>$K$4*B436</f>
        <v>33356444.564800005</v>
      </c>
      <c r="G436" s="51">
        <f t="shared" si="20"/>
        <v>333564.44564800005</v>
      </c>
      <c r="H436" s="52">
        <f>$K$3*D436</f>
        <v>7982481.8150319243</v>
      </c>
    </row>
    <row r="437" spans="1:8" ht="13.8" x14ac:dyDescent="0.25">
      <c r="A437" s="41">
        <v>0.59479553903345728</v>
      </c>
      <c r="B437" s="41">
        <v>4182.5937800000002</v>
      </c>
      <c r="C437" s="41">
        <f>C436+(((A437+A436)/2)*(B437-B436))</f>
        <v>3652.7299927469753</v>
      </c>
      <c r="D437" s="51">
        <f t="shared" si="18"/>
        <v>31997914.736463502</v>
      </c>
      <c r="E437" s="54">
        <f t="shared" si="19"/>
        <v>4653403.6601158753</v>
      </c>
      <c r="F437" s="53">
        <f>$K$4*B437</f>
        <v>33460750.240000002</v>
      </c>
      <c r="G437" s="51">
        <f t="shared" si="20"/>
        <v>334607.50240000006</v>
      </c>
      <c r="H437" s="52">
        <f>$K$3*D437</f>
        <v>7999478.6841158755</v>
      </c>
    </row>
    <row r="438" spans="1:8" ht="13.8" x14ac:dyDescent="0.25">
      <c r="A438" s="40">
        <v>0.59386617100371752</v>
      </c>
      <c r="B438" s="40">
        <v>4188.6543544000006</v>
      </c>
      <c r="C438" s="41">
        <f>C437+(((A438+A437)/2)*(B438-B437))</f>
        <v>3656.3319791120311</v>
      </c>
      <c r="D438" s="51">
        <f t="shared" si="18"/>
        <v>32029468.137021396</v>
      </c>
      <c r="E438" s="54">
        <f t="shared" si="19"/>
        <v>4656443.5507353488</v>
      </c>
      <c r="F438" s="53">
        <f>$K$4*B438</f>
        <v>33509234.835200004</v>
      </c>
      <c r="G438" s="51">
        <f t="shared" si="20"/>
        <v>335092.34835200006</v>
      </c>
      <c r="H438" s="52">
        <f>$K$3*D438</f>
        <v>8007367.0342553491</v>
      </c>
    </row>
    <row r="439" spans="1:8" ht="13.8" x14ac:dyDescent="0.25">
      <c r="A439" s="41">
        <v>0.59293680297397766</v>
      </c>
      <c r="B439" s="41">
        <v>4188.9733320000005</v>
      </c>
      <c r="C439" s="41">
        <f>C438+(((A439+A438)/2)*(B439-B438))</f>
        <v>3656.5212608941874</v>
      </c>
      <c r="D439" s="51">
        <f t="shared" si="18"/>
        <v>32031126.245433081</v>
      </c>
      <c r="E439" s="54">
        <f t="shared" si="19"/>
        <v>4656602.8957582703</v>
      </c>
      <c r="F439" s="53">
        <f>$K$4*B439</f>
        <v>33511786.656000003</v>
      </c>
      <c r="G439" s="51">
        <f t="shared" si="20"/>
        <v>335117.86656000005</v>
      </c>
      <c r="H439" s="52">
        <f>$K$3*D439</f>
        <v>8007781.5613582702</v>
      </c>
    </row>
    <row r="440" spans="1:8" ht="13.8" x14ac:dyDescent="0.25">
      <c r="A440" s="40">
        <v>0.59200743494423791</v>
      </c>
      <c r="B440" s="40">
        <v>4193.1399769000009</v>
      </c>
      <c r="C440" s="41">
        <f>C439+(((A440+A439)/2)*(B440-B439))</f>
        <v>3658.9898818270408</v>
      </c>
      <c r="D440" s="51">
        <f t="shared" si="18"/>
        <v>32052751.364804875</v>
      </c>
      <c r="E440" s="54">
        <f t="shared" si="19"/>
        <v>4658675.8596812179</v>
      </c>
      <c r="F440" s="53">
        <f>$K$4*B440</f>
        <v>33545119.815200008</v>
      </c>
      <c r="G440" s="51">
        <f t="shared" si="20"/>
        <v>335451.19815200008</v>
      </c>
      <c r="H440" s="52">
        <f>$K$3*D440</f>
        <v>8013187.8412012188</v>
      </c>
    </row>
    <row r="441" spans="1:8" ht="13.8" x14ac:dyDescent="0.25">
      <c r="A441" s="41">
        <v>0.59107806691449816</v>
      </c>
      <c r="B441" s="41">
        <v>4197.3066217999994</v>
      </c>
      <c r="C441" s="41">
        <f>C440+(((A441+A440)/2)*(B441-B440))</f>
        <v>3661.4546304133319</v>
      </c>
      <c r="D441" s="51">
        <f t="shared" si="18"/>
        <v>32074342.562420785</v>
      </c>
      <c r="E441" s="54">
        <f t="shared" si="19"/>
        <v>4660740.3431651965</v>
      </c>
      <c r="F441" s="53">
        <f>$K$4*B441</f>
        <v>33578452.974399999</v>
      </c>
      <c r="G441" s="51">
        <f t="shared" si="20"/>
        <v>335784.529744</v>
      </c>
      <c r="H441" s="52">
        <f>$K$3*D441</f>
        <v>8018585.6406051964</v>
      </c>
    </row>
    <row r="442" spans="1:8" ht="13.8" x14ac:dyDescent="0.25">
      <c r="A442" s="40">
        <v>0.5901486988847584</v>
      </c>
      <c r="B442" s="40">
        <v>4201.3137778999999</v>
      </c>
      <c r="C442" s="41">
        <f>C441+(((A442+A441)/2)*(B442-B441))</f>
        <v>3663.8213104333599</v>
      </c>
      <c r="D442" s="51">
        <f t="shared" si="18"/>
        <v>32095074.679396234</v>
      </c>
      <c r="E442" s="54">
        <f t="shared" si="19"/>
        <v>4662717.6475290582</v>
      </c>
      <c r="F442" s="53">
        <f>$K$4*B442</f>
        <v>33610510.223200001</v>
      </c>
      <c r="G442" s="51">
        <f t="shared" si="20"/>
        <v>336105.10223200003</v>
      </c>
      <c r="H442" s="52">
        <f>$K$3*D442</f>
        <v>8023768.6698490586</v>
      </c>
    </row>
    <row r="443" spans="1:8" ht="13.8" x14ac:dyDescent="0.25">
      <c r="A443" s="41">
        <v>0.58921933085501854</v>
      </c>
      <c r="B443" s="41">
        <v>4226.6924331999999</v>
      </c>
      <c r="C443" s="41">
        <f>C442+(((A443+A442)/2)*(B443-B442))</f>
        <v>3678.7866977826629</v>
      </c>
      <c r="D443" s="51">
        <f t="shared" si="18"/>
        <v>32226171.472576126</v>
      </c>
      <c r="E443" s="54">
        <f t="shared" si="19"/>
        <v>4675188.9215840325</v>
      </c>
      <c r="F443" s="53">
        <f>$K$4*B443</f>
        <v>33813539.465599999</v>
      </c>
      <c r="G443" s="51">
        <f t="shared" si="20"/>
        <v>338135.39465600002</v>
      </c>
      <c r="H443" s="52">
        <f>$K$3*D443</f>
        <v>8056542.8681440316</v>
      </c>
    </row>
    <row r="444" spans="1:8" ht="13.8" x14ac:dyDescent="0.25">
      <c r="A444" s="40">
        <v>0.58828996282527879</v>
      </c>
      <c r="B444" s="40">
        <v>4237.6772242999996</v>
      </c>
      <c r="C444" s="41">
        <f>C443+(((A444+A443)/2)*(B444-B443))</f>
        <v>3685.254044587356</v>
      </c>
      <c r="D444" s="51">
        <f t="shared" si="18"/>
        <v>32282825.430585239</v>
      </c>
      <c r="E444" s="54">
        <f t="shared" si="19"/>
        <v>4680564.57820631</v>
      </c>
      <c r="F444" s="53">
        <f>$K$4*B444</f>
        <v>33901417.794399999</v>
      </c>
      <c r="G444" s="51">
        <f t="shared" si="20"/>
        <v>339014.177944</v>
      </c>
      <c r="H444" s="52">
        <f>$K$3*D444</f>
        <v>8070706.3576463098</v>
      </c>
    </row>
    <row r="445" spans="1:8" ht="13.8" x14ac:dyDescent="0.25">
      <c r="A445" s="41">
        <v>0.58736059479553904</v>
      </c>
      <c r="B445" s="41">
        <v>4238.5544127000003</v>
      </c>
      <c r="C445" s="41">
        <f>C444+(((A445+A444)/2)*(B445-B444))</f>
        <v>3685.7696781031559</v>
      </c>
      <c r="D445" s="51">
        <f t="shared" si="18"/>
        <v>32287342.380183648</v>
      </c>
      <c r="E445" s="54">
        <f t="shared" si="19"/>
        <v>4680992.0648859125</v>
      </c>
      <c r="F445" s="53">
        <f>$K$4*B445</f>
        <v>33908435.301600002</v>
      </c>
      <c r="G445" s="51">
        <f t="shared" si="20"/>
        <v>339084.35301600001</v>
      </c>
      <c r="H445" s="52">
        <f>$K$3*D445</f>
        <v>8071835.5950459121</v>
      </c>
    </row>
    <row r="446" spans="1:8" ht="13.8" x14ac:dyDescent="0.25">
      <c r="A446" s="40">
        <v>0.58643122676579928</v>
      </c>
      <c r="B446" s="40">
        <v>4251.2337723000001</v>
      </c>
      <c r="C446" s="41">
        <f>C445+(((A446+A445)/2)*(B446-B445))</f>
        <v>3693.2111424037134</v>
      </c>
      <c r="D446" s="51">
        <f t="shared" si="18"/>
        <v>32352529.607456528</v>
      </c>
      <c r="E446" s="54">
        <f t="shared" si="19"/>
        <v>4687145.384024132</v>
      </c>
      <c r="F446" s="53">
        <f>$K$4*B446</f>
        <v>34009870.178400002</v>
      </c>
      <c r="G446" s="51">
        <f t="shared" si="20"/>
        <v>340098.70178400003</v>
      </c>
      <c r="H446" s="52">
        <f>$K$3*D446</f>
        <v>8088132.4018641319</v>
      </c>
    </row>
    <row r="447" spans="1:8" ht="13.8" x14ac:dyDescent="0.25">
      <c r="A447" s="41">
        <v>0.58550185873605953</v>
      </c>
      <c r="B447" s="41">
        <v>4255.2608645</v>
      </c>
      <c r="C447" s="41">
        <f>C446+(((A447+A446)/2)*(B447-B446))</f>
        <v>3695.5708836974868</v>
      </c>
      <c r="D447" s="51">
        <f t="shared" si="18"/>
        <v>32373200.941189986</v>
      </c>
      <c r="E447" s="54">
        <f t="shared" si="19"/>
        <v>4689091.5436974969</v>
      </c>
      <c r="F447" s="53">
        <f>$K$4*B447</f>
        <v>34042086.916000001</v>
      </c>
      <c r="G447" s="51">
        <f t="shared" si="20"/>
        <v>340420.86916</v>
      </c>
      <c r="H447" s="52">
        <f>$K$3*D447</f>
        <v>8093300.2352974964</v>
      </c>
    </row>
    <row r="448" spans="1:8" ht="13.8" x14ac:dyDescent="0.25">
      <c r="A448" s="40">
        <v>0.58457249070631967</v>
      </c>
      <c r="B448" s="40">
        <v>4258.2512795000002</v>
      </c>
      <c r="C448" s="41">
        <f>C447+(((A448+A447)/2)*(B448-B447))</f>
        <v>3697.3203876403309</v>
      </c>
      <c r="D448" s="51">
        <f t="shared" si="18"/>
        <v>32388526.595729299</v>
      </c>
      <c r="E448" s="54">
        <f t="shared" si="19"/>
        <v>4690530.6253323248</v>
      </c>
      <c r="F448" s="53">
        <f>$K$4*B448</f>
        <v>34066010.236000001</v>
      </c>
      <c r="G448" s="51">
        <f t="shared" si="20"/>
        <v>340660.10236000002</v>
      </c>
      <c r="H448" s="52">
        <f>$K$3*D448</f>
        <v>8097131.6489323247</v>
      </c>
    </row>
    <row r="449" spans="1:8" ht="13.8" x14ac:dyDescent="0.25">
      <c r="A449" s="41">
        <v>0.58364312267657992</v>
      </c>
      <c r="B449" s="41">
        <v>4263.9530041000007</v>
      </c>
      <c r="C449" s="41">
        <f>C448+(((A449+A448)/2)*(B449-B448))</f>
        <v>3700.6508094907958</v>
      </c>
      <c r="D449" s="51">
        <f t="shared" si="18"/>
        <v>32417701.091139372</v>
      </c>
      <c r="E449" s="54">
        <f t="shared" si="19"/>
        <v>4693262.8695048429</v>
      </c>
      <c r="F449" s="53">
        <f>$K$4*B449</f>
        <v>34111624.032800004</v>
      </c>
      <c r="G449" s="51">
        <f t="shared" si="20"/>
        <v>341116.24032800004</v>
      </c>
      <c r="H449" s="52">
        <f>$K$3*D449</f>
        <v>8104425.2727848431</v>
      </c>
    </row>
    <row r="450" spans="1:8" ht="13.8" x14ac:dyDescent="0.25">
      <c r="A450" s="40">
        <v>0.58271375464684017</v>
      </c>
      <c r="B450" s="40">
        <v>4273.5622043000003</v>
      </c>
      <c r="C450" s="41">
        <f>C449+(((A450+A449)/2)*(B450-B449))</f>
        <v>3706.2546878602193</v>
      </c>
      <c r="D450" s="51">
        <f t="shared" si="18"/>
        <v>32466791.065655522</v>
      </c>
      <c r="E450" s="54">
        <f t="shared" si="19"/>
        <v>4697848.0029738806</v>
      </c>
      <c r="F450" s="53">
        <f>$K$4*B450</f>
        <v>34188497.634400003</v>
      </c>
      <c r="G450" s="51">
        <f t="shared" si="20"/>
        <v>341884.97634400002</v>
      </c>
      <c r="H450" s="52">
        <f>$K$3*D450</f>
        <v>8116697.7664138805</v>
      </c>
    </row>
    <row r="451" spans="1:8" ht="13.8" x14ac:dyDescent="0.25">
      <c r="A451" s="41">
        <v>0.58178438661710041</v>
      </c>
      <c r="B451" s="41">
        <v>4275.1770284000004</v>
      </c>
      <c r="C451" s="41">
        <f>C450+(((A451+A450)/2)*(B451-B450))</f>
        <v>3707.1949176916783</v>
      </c>
      <c r="D451" s="51">
        <f t="shared" ref="D451:D514" si="21">C451*24*365</f>
        <v>32475027.4789791</v>
      </c>
      <c r="E451" s="54">
        <f t="shared" ref="E451:E514" si="22">H451-G451-(F451*$K$5)</f>
        <v>4698615.2470247746</v>
      </c>
      <c r="F451" s="53">
        <f>$K$4*B451</f>
        <v>34201416.227200001</v>
      </c>
      <c r="G451" s="51">
        <f t="shared" ref="G451:G514" si="23">F451*0.01</f>
        <v>342014.16227200005</v>
      </c>
      <c r="H451" s="52">
        <f>$K$3*D451</f>
        <v>8118756.8697447749</v>
      </c>
    </row>
    <row r="452" spans="1:8" ht="13.8" x14ac:dyDescent="0.25">
      <c r="A452" s="40">
        <v>0.58085501858736055</v>
      </c>
      <c r="B452" s="40">
        <v>4276.8516608</v>
      </c>
      <c r="C452" s="41">
        <f>C451+(((A452+A451)/2)*(B452-B451))</f>
        <v>3708.1684145004142</v>
      </c>
      <c r="D452" s="51">
        <f t="shared" si="21"/>
        <v>32483555.311023626</v>
      </c>
      <c r="E452" s="54">
        <f t="shared" si="22"/>
        <v>4699407.4991159067</v>
      </c>
      <c r="F452" s="53">
        <f>$K$4*B452</f>
        <v>34214813.286399998</v>
      </c>
      <c r="G452" s="51">
        <f t="shared" si="23"/>
        <v>342148.13286399998</v>
      </c>
      <c r="H452" s="52">
        <f>$K$3*D452</f>
        <v>8120888.8277559066</v>
      </c>
    </row>
    <row r="453" spans="1:8" ht="13.8" x14ac:dyDescent="0.25">
      <c r="A453" s="41">
        <v>0.5799256505576208</v>
      </c>
      <c r="B453" s="41">
        <v>4283.7495514000002</v>
      </c>
      <c r="C453" s="41">
        <f>C452+(((A453+A452)/2)*(B453-B452))</f>
        <v>3712.1718835335928</v>
      </c>
      <c r="D453" s="51">
        <f t="shared" si="21"/>
        <v>32518625.699754275</v>
      </c>
      <c r="E453" s="54">
        <f t="shared" si="22"/>
        <v>4702656.783818569</v>
      </c>
      <c r="F453" s="53">
        <f>$K$4*B453</f>
        <v>34269996.411200002</v>
      </c>
      <c r="G453" s="51">
        <f t="shared" si="23"/>
        <v>342699.96411200002</v>
      </c>
      <c r="H453" s="52">
        <f>$K$3*D453</f>
        <v>8129656.4249385688</v>
      </c>
    </row>
    <row r="454" spans="1:8" ht="13.8" x14ac:dyDescent="0.25">
      <c r="A454" s="40">
        <v>0.57899628252788105</v>
      </c>
      <c r="B454" s="40">
        <v>4291.3452054999998</v>
      </c>
      <c r="C454" s="41">
        <f>C453+(((A454+A453)/2)*(B454-B453))</f>
        <v>3716.5732685999028</v>
      </c>
      <c r="D454" s="51">
        <f t="shared" si="21"/>
        <v>32557181.832935147</v>
      </c>
      <c r="E454" s="54">
        <f t="shared" si="22"/>
        <v>4706219.2938337866</v>
      </c>
      <c r="F454" s="53">
        <f>$K$4*B454</f>
        <v>34330761.644000001</v>
      </c>
      <c r="G454" s="51">
        <f t="shared" si="23"/>
        <v>343307.61644000001</v>
      </c>
      <c r="H454" s="52">
        <f>$K$3*D454</f>
        <v>8139295.4582337867</v>
      </c>
    </row>
    <row r="455" spans="1:8" ht="13.8" x14ac:dyDescent="0.25">
      <c r="A455" s="41">
        <v>0.57806691449814129</v>
      </c>
      <c r="B455" s="41">
        <v>4292.1825217000005</v>
      </c>
      <c r="C455" s="41">
        <f>C454+(((A455+A454)/2)*(B455-B454))</f>
        <v>3717.0576824795498</v>
      </c>
      <c r="D455" s="51">
        <f t="shared" si="21"/>
        <v>32561425.298520856</v>
      </c>
      <c r="E455" s="54">
        <f t="shared" si="22"/>
        <v>4706610.307270214</v>
      </c>
      <c r="F455" s="53">
        <f>$K$4*B455</f>
        <v>34337460.173600003</v>
      </c>
      <c r="G455" s="51">
        <f t="shared" si="23"/>
        <v>343374.60173600004</v>
      </c>
      <c r="H455" s="52">
        <f>$K$3*D455</f>
        <v>8140356.3246302139</v>
      </c>
    </row>
    <row r="456" spans="1:8" ht="13.8" x14ac:dyDescent="0.25">
      <c r="A456" s="40">
        <v>0.57713754646840154</v>
      </c>
      <c r="B456" s="40">
        <v>4302.0110190000005</v>
      </c>
      <c r="C456" s="41">
        <f>C455+(((A456+A455)/2)*(B456-B455))</f>
        <v>3722.7346444423288</v>
      </c>
      <c r="D456" s="51">
        <f t="shared" si="21"/>
        <v>32611155.485314798</v>
      </c>
      <c r="E456" s="54">
        <f t="shared" si="22"/>
        <v>4711180.0561286993</v>
      </c>
      <c r="F456" s="53">
        <f>$K$4*B456</f>
        <v>34416088.152000003</v>
      </c>
      <c r="G456" s="51">
        <f t="shared" si="23"/>
        <v>344160.88152000005</v>
      </c>
      <c r="H456" s="52">
        <f>$K$3*D456</f>
        <v>8152788.8713286994</v>
      </c>
    </row>
    <row r="457" spans="1:8" ht="13.8" x14ac:dyDescent="0.25">
      <c r="A457" s="41">
        <v>0.57620817843866168</v>
      </c>
      <c r="B457" s="41">
        <v>4309.2278872000006</v>
      </c>
      <c r="C457" s="41">
        <f>C456+(((A457+A456)/2)*(B457-B456))</f>
        <v>3726.8964164851727</v>
      </c>
      <c r="D457" s="51">
        <f t="shared" si="21"/>
        <v>32647612.608410113</v>
      </c>
      <c r="E457" s="54">
        <f t="shared" si="22"/>
        <v>4714520.8423425276</v>
      </c>
      <c r="F457" s="53">
        <f>$K$4*B457</f>
        <v>34473823.097600006</v>
      </c>
      <c r="G457" s="51">
        <f t="shared" si="23"/>
        <v>344738.23097600008</v>
      </c>
      <c r="H457" s="52">
        <f>$K$3*D457</f>
        <v>8161903.1521025281</v>
      </c>
    </row>
    <row r="458" spans="1:8" ht="13.8" x14ac:dyDescent="0.25">
      <c r="A458" s="40">
        <v>0.57527881040892193</v>
      </c>
      <c r="B458" s="40">
        <v>4309.8259702000005</v>
      </c>
      <c r="C458" s="41">
        <f>C457+(((A458+A457)/2)*(B458-B457))</f>
        <v>3727.2407588815481</v>
      </c>
      <c r="D458" s="51">
        <f t="shared" si="21"/>
        <v>32650629.047802363</v>
      </c>
      <c r="E458" s="54">
        <f t="shared" si="22"/>
        <v>4714796.4857905908</v>
      </c>
      <c r="F458" s="53">
        <f>$K$4*B458</f>
        <v>34478607.761600003</v>
      </c>
      <c r="G458" s="51">
        <f t="shared" si="23"/>
        <v>344786.07761600002</v>
      </c>
      <c r="H458" s="52">
        <f>$K$3*D458</f>
        <v>8162657.2619505906</v>
      </c>
    </row>
    <row r="459" spans="1:8" ht="13.8" x14ac:dyDescent="0.25">
      <c r="A459" s="41">
        <v>0.57434944237918217</v>
      </c>
      <c r="B459" s="41">
        <v>4311.540474800001</v>
      </c>
      <c r="C459" s="41">
        <f>C458+(((A459+A458)/2)*(B459-B458))</f>
        <v>3728.2262803453959</v>
      </c>
      <c r="D459" s="51">
        <f t="shared" si="21"/>
        <v>32659262.215825669</v>
      </c>
      <c r="E459" s="54">
        <f t="shared" si="22"/>
        <v>4715583.1741164168</v>
      </c>
      <c r="F459" s="53">
        <f>$K$4*B459</f>
        <v>34492323.798400007</v>
      </c>
      <c r="G459" s="51">
        <f t="shared" si="23"/>
        <v>344923.23798400006</v>
      </c>
      <c r="H459" s="52">
        <f>$K$3*D459</f>
        <v>8164815.5539564174</v>
      </c>
    </row>
    <row r="460" spans="1:8" ht="13.8" x14ac:dyDescent="0.25">
      <c r="A460" s="40">
        <v>0.57342007434944242</v>
      </c>
      <c r="B460" s="40">
        <v>4314.4511453999994</v>
      </c>
      <c r="C460" s="41">
        <f>C459+(((A460+A459)/2)*(B460-B459))</f>
        <v>3729.8966698393542</v>
      </c>
      <c r="D460" s="51">
        <f t="shared" si="21"/>
        <v>32673894.827792741</v>
      </c>
      <c r="E460" s="54">
        <f t="shared" si="22"/>
        <v>4716912.7906281855</v>
      </c>
      <c r="F460" s="53">
        <f>$K$4*B460</f>
        <v>34515609.163199998</v>
      </c>
      <c r="G460" s="51">
        <f t="shared" si="23"/>
        <v>345156.091632</v>
      </c>
      <c r="H460" s="52">
        <f>$K$3*D460</f>
        <v>8168473.7069481853</v>
      </c>
    </row>
    <row r="461" spans="1:8" ht="13.8" x14ac:dyDescent="0.25">
      <c r="A461" s="41">
        <v>0.57249070631970256</v>
      </c>
      <c r="B461" s="41">
        <v>4319.3155538000001</v>
      </c>
      <c r="C461" s="41">
        <f>C460+(((A461+A460)/2)*(B461-B460))</f>
        <v>3732.6837588529233</v>
      </c>
      <c r="D461" s="51">
        <f t="shared" si="21"/>
        <v>32698309.727551609</v>
      </c>
      <c r="E461" s="54">
        <f t="shared" si="22"/>
        <v>4719124.988847902</v>
      </c>
      <c r="F461" s="53">
        <f>$K$4*B461</f>
        <v>34554524.430399999</v>
      </c>
      <c r="G461" s="51">
        <f t="shared" si="23"/>
        <v>345545.24430399999</v>
      </c>
      <c r="H461" s="52">
        <f>$K$3*D461</f>
        <v>8174577.4318879023</v>
      </c>
    </row>
    <row r="462" spans="1:8" ht="13.8" x14ac:dyDescent="0.25">
      <c r="A462" s="40">
        <v>0.57156133828996281</v>
      </c>
      <c r="B462" s="40">
        <v>4338.4342737000006</v>
      </c>
      <c r="C462" s="41">
        <f>C461+(((A462+A461)/2)*(B462-B461))</f>
        <v>3743.620164148881</v>
      </c>
      <c r="D462" s="51">
        <f t="shared" si="21"/>
        <v>32794112.637944199</v>
      </c>
      <c r="E462" s="54">
        <f t="shared" si="22"/>
        <v>4727780.7405260494</v>
      </c>
      <c r="F462" s="53">
        <f>$K$4*B462</f>
        <v>34707474.189600006</v>
      </c>
      <c r="G462" s="51">
        <f t="shared" si="23"/>
        <v>347074.74189600005</v>
      </c>
      <c r="H462" s="52">
        <f>$K$3*D462</f>
        <v>8198528.1594860498</v>
      </c>
    </row>
    <row r="463" spans="1:8" ht="13.8" x14ac:dyDescent="0.25">
      <c r="A463" s="41">
        <v>0.57063197026022305</v>
      </c>
      <c r="B463" s="41">
        <v>4343.3186181999999</v>
      </c>
      <c r="C463" s="41">
        <f>C462+(((A463+A462)/2)*(B463-B462))</f>
        <v>3746.4095969511577</v>
      </c>
      <c r="D463" s="51">
        <f t="shared" si="21"/>
        <v>32818548.069292139</v>
      </c>
      <c r="E463" s="54">
        <f t="shared" si="22"/>
        <v>4729982.1227630349</v>
      </c>
      <c r="F463" s="53">
        <f>$K$4*B463</f>
        <v>34746548.945600003</v>
      </c>
      <c r="G463" s="51">
        <f t="shared" si="23"/>
        <v>347465.48945600004</v>
      </c>
      <c r="H463" s="52">
        <f>$K$3*D463</f>
        <v>8204637.0173230348</v>
      </c>
    </row>
    <row r="464" spans="1:8" ht="13.8" x14ac:dyDescent="0.25">
      <c r="A464" s="40">
        <v>0.5697026022304833</v>
      </c>
      <c r="B464" s="40">
        <v>4346.7276913000005</v>
      </c>
      <c r="C464" s="41">
        <f>C463+(((A464+A463)/2)*(B464-B463))</f>
        <v>3748.3533389091972</v>
      </c>
      <c r="D464" s="51">
        <f t="shared" si="21"/>
        <v>32835575.248844568</v>
      </c>
      <c r="E464" s="54">
        <f t="shared" si="22"/>
        <v>4731511.6591711417</v>
      </c>
      <c r="F464" s="53">
        <f>$K$4*B464</f>
        <v>34773821.530400001</v>
      </c>
      <c r="G464" s="51">
        <f t="shared" si="23"/>
        <v>347738.21530400001</v>
      </c>
      <c r="H464" s="52">
        <f>$K$3*D464</f>
        <v>8208893.8122111419</v>
      </c>
    </row>
    <row r="465" spans="1:8" ht="13.8" x14ac:dyDescent="0.25">
      <c r="A465" s="41">
        <v>0.56877323420074355</v>
      </c>
      <c r="B465" s="41">
        <v>4356.3169554000015</v>
      </c>
      <c r="C465" s="41">
        <f>C464+(((A465+A464)/2)*(B465-B464))</f>
        <v>3753.8119116427015</v>
      </c>
      <c r="D465" s="51">
        <f t="shared" si="21"/>
        <v>32883392.345990069</v>
      </c>
      <c r="E465" s="54">
        <f t="shared" si="22"/>
        <v>4735794.5221775165</v>
      </c>
      <c r="F465" s="53">
        <f>$K$4*B465</f>
        <v>34850535.64320001</v>
      </c>
      <c r="G465" s="51">
        <f t="shared" si="23"/>
        <v>348505.35643200012</v>
      </c>
      <c r="H465" s="52">
        <f>$K$3*D465</f>
        <v>8220848.0864975173</v>
      </c>
    </row>
    <row r="466" spans="1:8" ht="13.8" x14ac:dyDescent="0.25">
      <c r="A466" s="40">
        <v>0.56784386617100369</v>
      </c>
      <c r="B466" s="40">
        <v>4367.859957300002</v>
      </c>
      <c r="C466" s="41">
        <f>C465+(((A466+A465)/2)*(B466-B465))</f>
        <v>3760.3718983172835</v>
      </c>
      <c r="D466" s="51">
        <f t="shared" si="21"/>
        <v>32940857.829259403</v>
      </c>
      <c r="E466" s="54">
        <f t="shared" si="22"/>
        <v>4740926.4914748501</v>
      </c>
      <c r="F466" s="53">
        <f>$K$4*B466</f>
        <v>34942879.658400014</v>
      </c>
      <c r="G466" s="51">
        <f t="shared" si="23"/>
        <v>349428.79658400017</v>
      </c>
      <c r="H466" s="52">
        <f>$K$3*D466</f>
        <v>8235214.4573148508</v>
      </c>
    </row>
    <row r="467" spans="1:8" ht="13.8" x14ac:dyDescent="0.25">
      <c r="A467" s="41">
        <v>0.56691449814126393</v>
      </c>
      <c r="B467" s="41">
        <v>4367.9995099999996</v>
      </c>
      <c r="C467" s="41">
        <f>C466+(((A467+A466)/2)*(B467-B466))</f>
        <v>3760.451077614076</v>
      </c>
      <c r="D467" s="51">
        <f t="shared" si="21"/>
        <v>32941551.439899307</v>
      </c>
      <c r="E467" s="54">
        <f t="shared" si="22"/>
        <v>4740988.2519748267</v>
      </c>
      <c r="F467" s="53">
        <f>$K$4*B467</f>
        <v>34943996.079999998</v>
      </c>
      <c r="G467" s="51">
        <f t="shared" si="23"/>
        <v>349439.9608</v>
      </c>
      <c r="H467" s="52">
        <f>$K$3*D467</f>
        <v>8235387.8599748267</v>
      </c>
    </row>
    <row r="468" spans="1:8" ht="13.8" x14ac:dyDescent="0.25">
      <c r="A468" s="40">
        <v>0.56598513011152418</v>
      </c>
      <c r="B468" s="40">
        <v>4370.6310752000009</v>
      </c>
      <c r="C468" s="41">
        <f>C467+(((A468+A467)/2)*(B468-B467))</f>
        <v>3761.9417272324781</v>
      </c>
      <c r="D468" s="51">
        <f t="shared" si="21"/>
        <v>32954609.530556507</v>
      </c>
      <c r="E468" s="54">
        <f t="shared" si="22"/>
        <v>4742147.5224791262</v>
      </c>
      <c r="F468" s="53">
        <f>$K$4*B468</f>
        <v>34965048.601600006</v>
      </c>
      <c r="G468" s="51">
        <f t="shared" si="23"/>
        <v>349650.4860160001</v>
      </c>
      <c r="H468" s="52">
        <f>$K$3*D468</f>
        <v>8238652.3826391269</v>
      </c>
    </row>
    <row r="469" spans="1:8" ht="13.8" x14ac:dyDescent="0.25">
      <c r="A469" s="41">
        <v>0.56505576208178443</v>
      </c>
      <c r="B469" s="41">
        <v>4373.940467800001</v>
      </c>
      <c r="C469" s="41">
        <f>C468+(((A469+A468)/2)*(B469-B468))</f>
        <v>3763.8132564119392</v>
      </c>
      <c r="D469" s="51">
        <f t="shared" si="21"/>
        <v>32971004.12616859</v>
      </c>
      <c r="E469" s="54">
        <f t="shared" si="22"/>
        <v>4743598.6573021468</v>
      </c>
      <c r="F469" s="53">
        <f>$K$4*B469</f>
        <v>34991523.742400005</v>
      </c>
      <c r="G469" s="51">
        <f t="shared" si="23"/>
        <v>349915.23742400005</v>
      </c>
      <c r="H469" s="52">
        <f>$K$3*D469</f>
        <v>8242751.0315421475</v>
      </c>
    </row>
    <row r="470" spans="1:8" ht="13.8" x14ac:dyDescent="0.25">
      <c r="A470" s="40">
        <v>0.56412639405204457</v>
      </c>
      <c r="B470" s="40">
        <v>4376.4524163999995</v>
      </c>
      <c r="C470" s="41">
        <f>C469+(((A470+A469)/2)*(B470-B469))</f>
        <v>3765.2314801800608</v>
      </c>
      <c r="D470" s="51">
        <f t="shared" si="21"/>
        <v>32983427.766377334</v>
      </c>
      <c r="E470" s="54">
        <f t="shared" si="22"/>
        <v>4744695.0084743341</v>
      </c>
      <c r="F470" s="53">
        <f>$K$4*B470</f>
        <v>35011619.331199996</v>
      </c>
      <c r="G470" s="51">
        <f t="shared" si="23"/>
        <v>350116.19331199996</v>
      </c>
      <c r="H470" s="52">
        <f>$K$3*D470</f>
        <v>8245856.9415943334</v>
      </c>
    </row>
    <row r="471" spans="1:8" ht="13.8" x14ac:dyDescent="0.25">
      <c r="A471" s="41">
        <v>0.56319702602230481</v>
      </c>
      <c r="B471" s="41">
        <v>4397.3055769999992</v>
      </c>
      <c r="C471" s="41">
        <f>C470+(((A471+A470)/2)*(B471-B470))</f>
        <v>3776.9856083435366</v>
      </c>
      <c r="D471" s="51">
        <f t="shared" si="21"/>
        <v>33086393.929089379</v>
      </c>
      <c r="E471" s="54">
        <f t="shared" si="22"/>
        <v>4753754.0206723455</v>
      </c>
      <c r="F471" s="53">
        <f>$K$4*B471</f>
        <v>35178444.615999997</v>
      </c>
      <c r="G471" s="51">
        <f t="shared" si="23"/>
        <v>351784.44615999999</v>
      </c>
      <c r="H471" s="52">
        <f>$K$3*D471</f>
        <v>8271598.4822723446</v>
      </c>
    </row>
    <row r="472" spans="1:8" ht="13.8" x14ac:dyDescent="0.25">
      <c r="A472" s="40">
        <v>0.56226765799256506</v>
      </c>
      <c r="B472" s="40">
        <v>4397.4650658</v>
      </c>
      <c r="C472" s="41">
        <f>C471+(((A472+A471)/2)*(B472-B471))</f>
        <v>3777.075357849485</v>
      </c>
      <c r="D472" s="51">
        <f t="shared" si="21"/>
        <v>33087180.13476149</v>
      </c>
      <c r="E472" s="54">
        <f t="shared" si="22"/>
        <v>4753822.9810503721</v>
      </c>
      <c r="F472" s="53">
        <f>$K$4*B472</f>
        <v>35179720.5264</v>
      </c>
      <c r="G472" s="51">
        <f t="shared" si="23"/>
        <v>351797.20526399999</v>
      </c>
      <c r="H472" s="52">
        <f>$K$3*D472</f>
        <v>8271795.0336903725</v>
      </c>
    </row>
    <row r="473" spans="1:8" ht="13.8" x14ac:dyDescent="0.25">
      <c r="A473" s="41">
        <v>0.56133828996282531</v>
      </c>
      <c r="B473" s="41">
        <v>4408.9881316000001</v>
      </c>
      <c r="C473" s="41">
        <f>C472+(((A473+A472)/2)*(B473-B472))</f>
        <v>3783.5490504852655</v>
      </c>
      <c r="D473" s="51">
        <f t="shared" si="21"/>
        <v>33143889.682250924</v>
      </c>
      <c r="E473" s="54">
        <f t="shared" si="22"/>
        <v>4758781.9152827309</v>
      </c>
      <c r="F473" s="53">
        <f>$K$4*B473</f>
        <v>35271905.0528</v>
      </c>
      <c r="G473" s="51">
        <f t="shared" si="23"/>
        <v>352719.05052799999</v>
      </c>
      <c r="H473" s="52">
        <f>$K$3*D473</f>
        <v>8285972.4205627311</v>
      </c>
    </row>
    <row r="474" spans="1:8" ht="13.8" x14ac:dyDescent="0.25">
      <c r="A474" s="40">
        <v>0.56040892193308545</v>
      </c>
      <c r="B474" s="40">
        <v>4415.0885782000014</v>
      </c>
      <c r="C474" s="41">
        <f>C473+(((A474+A473)/2)*(B474-B473))</f>
        <v>3786.9706299677014</v>
      </c>
      <c r="D474" s="51">
        <f t="shared" si="21"/>
        <v>33173862.718517061</v>
      </c>
      <c r="E474" s="54">
        <f t="shared" si="22"/>
        <v>4761394.8170692641</v>
      </c>
      <c r="F474" s="53">
        <f>$K$4*B474</f>
        <v>35320708.62560001</v>
      </c>
      <c r="G474" s="51">
        <f t="shared" si="23"/>
        <v>353207.0862560001</v>
      </c>
      <c r="H474" s="52">
        <f>$K$3*D474</f>
        <v>8293465.6796292653</v>
      </c>
    </row>
    <row r="475" spans="1:8" ht="13.8" x14ac:dyDescent="0.25">
      <c r="A475" s="41">
        <v>0.55947955390334569</v>
      </c>
      <c r="B475" s="41">
        <v>4415.4075558000004</v>
      </c>
      <c r="C475" s="41">
        <f>C474+(((A475+A474)/2)*(B475-B474))</f>
        <v>3787.1492396368458</v>
      </c>
      <c r="D475" s="51">
        <f t="shared" si="21"/>
        <v>33175427.339218773</v>
      </c>
      <c r="E475" s="54">
        <f t="shared" si="22"/>
        <v>4761530.7901646933</v>
      </c>
      <c r="F475" s="53">
        <f>$K$4*B475</f>
        <v>35323260.446400002</v>
      </c>
      <c r="G475" s="51">
        <f t="shared" si="23"/>
        <v>353232.60446400003</v>
      </c>
      <c r="H475" s="52">
        <f>$K$3*D475</f>
        <v>8293856.8348046932</v>
      </c>
    </row>
    <row r="476" spans="1:8" ht="13.8" x14ac:dyDescent="0.25">
      <c r="A476" s="40">
        <v>0.55855018587360594</v>
      </c>
      <c r="B476" s="40">
        <v>4415.6069168000004</v>
      </c>
      <c r="C476" s="41">
        <f>C475+(((A476+A475)/2)*(B476-B475))</f>
        <v>3787.2606854003216</v>
      </c>
      <c r="D476" s="51">
        <f t="shared" si="21"/>
        <v>33176403.604106821</v>
      </c>
      <c r="E476" s="54">
        <f t="shared" si="22"/>
        <v>4761615.3675867049</v>
      </c>
      <c r="F476" s="53">
        <f>$K$4*B476</f>
        <v>35324855.334400006</v>
      </c>
      <c r="G476" s="51">
        <f t="shared" si="23"/>
        <v>353248.55334400007</v>
      </c>
      <c r="H476" s="52">
        <f>$K$3*D476</f>
        <v>8294100.9010267053</v>
      </c>
    </row>
    <row r="477" spans="1:8" ht="13.8" x14ac:dyDescent="0.25">
      <c r="A477" s="41">
        <v>0.55762081784386619</v>
      </c>
      <c r="B477" s="41">
        <v>4419.6539450999999</v>
      </c>
      <c r="C477" s="41">
        <f>C476+(((A477+A476)/2)*(B477-B476))</f>
        <v>3789.5192732201631</v>
      </c>
      <c r="D477" s="51">
        <f t="shared" si="21"/>
        <v>33196188.833408628</v>
      </c>
      <c r="E477" s="54">
        <f t="shared" si="22"/>
        <v>4763324.0522721559</v>
      </c>
      <c r="F477" s="53">
        <f>$K$4*B477</f>
        <v>35357231.560800001</v>
      </c>
      <c r="G477" s="51">
        <f t="shared" si="23"/>
        <v>353572.31560800003</v>
      </c>
      <c r="H477" s="52">
        <f>$K$3*D477</f>
        <v>8299047.2083521569</v>
      </c>
    </row>
    <row r="478" spans="1:8" ht="13.8" x14ac:dyDescent="0.25">
      <c r="A478" s="40">
        <v>0.55669144981412644</v>
      </c>
      <c r="B478" s="40">
        <v>4422.2855103000002</v>
      </c>
      <c r="C478" s="41">
        <f>C477+(((A478+A477)/2)*(B478-B477))</f>
        <v>3790.9854659129142</v>
      </c>
      <c r="D478" s="51">
        <f t="shared" si="21"/>
        <v>33209032.681397129</v>
      </c>
      <c r="E478" s="54">
        <f t="shared" si="22"/>
        <v>4764429.7621092824</v>
      </c>
      <c r="F478" s="53">
        <f>$K$4*B478</f>
        <v>35378284.082400002</v>
      </c>
      <c r="G478" s="51">
        <f t="shared" si="23"/>
        <v>353782.84082400001</v>
      </c>
      <c r="H478" s="52">
        <f>$K$3*D478</f>
        <v>8302258.1703492822</v>
      </c>
    </row>
    <row r="479" spans="1:8" ht="13.8" x14ac:dyDescent="0.25">
      <c r="A479" s="41">
        <v>0.55576208178438657</v>
      </c>
      <c r="B479" s="41">
        <v>4440.6665945000004</v>
      </c>
      <c r="C479" s="41">
        <f>C478+(((A479+A478)/2)*(B479-B478))</f>
        <v>3801.2095169293643</v>
      </c>
      <c r="D479" s="51">
        <f t="shared" si="21"/>
        <v>33298595.368301231</v>
      </c>
      <c r="E479" s="54">
        <f t="shared" si="22"/>
        <v>4772115.5664753076</v>
      </c>
      <c r="F479" s="53">
        <f>$K$4*B479</f>
        <v>35525332.756000005</v>
      </c>
      <c r="G479" s="51">
        <f t="shared" si="23"/>
        <v>355253.32756000006</v>
      </c>
      <c r="H479" s="52">
        <f>$K$3*D479</f>
        <v>8324648.8420753079</v>
      </c>
    </row>
    <row r="480" spans="1:8" ht="13.8" x14ac:dyDescent="0.25">
      <c r="A480" s="40">
        <v>0.55483271375464682</v>
      </c>
      <c r="B480" s="40">
        <v>4443.5373929000016</v>
      </c>
      <c r="C480" s="41">
        <f>C479+(((A480+A479)/2)*(B480-B479))</f>
        <v>3802.8036638104059</v>
      </c>
      <c r="D480" s="51">
        <f t="shared" si="21"/>
        <v>33312560.094979156</v>
      </c>
      <c r="E480" s="54">
        <f t="shared" si="22"/>
        <v>4773310.1094247885</v>
      </c>
      <c r="F480" s="53">
        <f>$K$4*B480</f>
        <v>35548299.14320001</v>
      </c>
      <c r="G480" s="51">
        <f t="shared" si="23"/>
        <v>355482.99143200013</v>
      </c>
      <c r="H480" s="52">
        <f>$K$3*D480</f>
        <v>8328140.023744789</v>
      </c>
    </row>
    <row r="481" spans="1:8" ht="13.8" x14ac:dyDescent="0.25">
      <c r="A481" s="41">
        <v>0.55390334572490707</v>
      </c>
      <c r="B481" s="41">
        <v>4448.7407150000008</v>
      </c>
      <c r="C481" s="41">
        <f>C480+(((A481+A480)/2)*(B481-B480))</f>
        <v>3805.6882192310841</v>
      </c>
      <c r="D481" s="51">
        <f t="shared" si="21"/>
        <v>33337828.800464295</v>
      </c>
      <c r="E481" s="54">
        <f t="shared" si="22"/>
        <v>4775464.6281160731</v>
      </c>
      <c r="F481" s="53">
        <f>$K$4*B481</f>
        <v>35589925.720000006</v>
      </c>
      <c r="G481" s="51">
        <f t="shared" si="23"/>
        <v>355899.25720000005</v>
      </c>
      <c r="H481" s="52">
        <f>$K$3*D481</f>
        <v>8334457.2001160737</v>
      </c>
    </row>
    <row r="482" spans="1:8" ht="13.8" x14ac:dyDescent="0.25">
      <c r="A482" s="40">
        <v>0.55297397769516732</v>
      </c>
      <c r="B482" s="40">
        <v>4454.8212255000008</v>
      </c>
      <c r="C482" s="41">
        <f>C481+(((A482+A481)/2)*(B482-B481))</f>
        <v>3809.0534088247177</v>
      </c>
      <c r="D482" s="51">
        <f t="shared" si="21"/>
        <v>33367307.861304525</v>
      </c>
      <c r="E482" s="54">
        <f t="shared" si="22"/>
        <v>4777969.9849261306</v>
      </c>
      <c r="F482" s="53">
        <f>$K$4*B482</f>
        <v>35638569.804000005</v>
      </c>
      <c r="G482" s="51">
        <f t="shared" si="23"/>
        <v>356385.69804000005</v>
      </c>
      <c r="H482" s="52">
        <f>$K$3*D482</f>
        <v>8341826.9653261313</v>
      </c>
    </row>
    <row r="483" spans="1:8" ht="13.8" x14ac:dyDescent="0.25">
      <c r="A483" s="41">
        <v>0.55204460966542745</v>
      </c>
      <c r="B483" s="41">
        <v>4460.5030140000008</v>
      </c>
      <c r="C483" s="41">
        <f>C482+(((A483+A482)/2)*(B483-B482))</f>
        <v>3812.1926497756936</v>
      </c>
      <c r="D483" s="51">
        <f t="shared" si="21"/>
        <v>33394807.612035073</v>
      </c>
      <c r="E483" s="54">
        <f t="shared" si="22"/>
        <v>4780299.4918087684</v>
      </c>
      <c r="F483" s="53">
        <f>$K$4*B483</f>
        <v>35684024.112000003</v>
      </c>
      <c r="G483" s="51">
        <f t="shared" si="23"/>
        <v>356840.24112000002</v>
      </c>
      <c r="H483" s="52">
        <f>$K$3*D483</f>
        <v>8348701.9030087683</v>
      </c>
    </row>
    <row r="484" spans="1:8" ht="13.8" x14ac:dyDescent="0.25">
      <c r="A484" s="40">
        <v>0.5511152416356877</v>
      </c>
      <c r="B484" s="40">
        <v>4461.4001385000001</v>
      </c>
      <c r="C484" s="41">
        <f>C483+(((A484+A483)/2)*(B484-B483))</f>
        <v>3812.6874856407026</v>
      </c>
      <c r="D484" s="51">
        <f t="shared" si="21"/>
        <v>33399142.374212552</v>
      </c>
      <c r="E484" s="54">
        <f t="shared" si="22"/>
        <v>4780665.4827531381</v>
      </c>
      <c r="F484" s="53">
        <f>$K$4*B484</f>
        <v>35691201.108000003</v>
      </c>
      <c r="G484" s="51">
        <f t="shared" si="23"/>
        <v>356912.01108000003</v>
      </c>
      <c r="H484" s="52">
        <f>$K$3*D484</f>
        <v>8349785.593553138</v>
      </c>
    </row>
    <row r="485" spans="1:8" ht="13.8" x14ac:dyDescent="0.25">
      <c r="A485" s="41">
        <v>0.55018587360594795</v>
      </c>
      <c r="B485" s="41">
        <v>4469.6536839</v>
      </c>
      <c r="C485" s="41">
        <f>C484+(((A485+A484)/2)*(B485-B484))</f>
        <v>3817.2323050175614</v>
      </c>
      <c r="D485" s="51">
        <f t="shared" si="21"/>
        <v>33438954.991953839</v>
      </c>
      <c r="E485" s="54">
        <f t="shared" si="22"/>
        <v>4784015.8008684609</v>
      </c>
      <c r="F485" s="53">
        <f>$K$4*B485</f>
        <v>35757229.471199997</v>
      </c>
      <c r="G485" s="51">
        <f t="shared" si="23"/>
        <v>357572.294712</v>
      </c>
      <c r="H485" s="52">
        <f>$K$3*D485</f>
        <v>8359738.7479884597</v>
      </c>
    </row>
    <row r="486" spans="1:8" ht="13.8" x14ac:dyDescent="0.25">
      <c r="A486" s="40">
        <v>0.5492565055762082</v>
      </c>
      <c r="B486" s="40">
        <v>4479.5021173000014</v>
      </c>
      <c r="C486" s="41">
        <f>C485+(((A486+A485)/2)*(B486-B485))</f>
        <v>3822.6461975418188</v>
      </c>
      <c r="D486" s="51">
        <f t="shared" si="21"/>
        <v>33486380.690466333</v>
      </c>
      <c r="E486" s="54">
        <f t="shared" si="22"/>
        <v>4787993.4787765834</v>
      </c>
      <c r="F486" s="53">
        <f>$K$4*B486</f>
        <v>35836016.938400008</v>
      </c>
      <c r="G486" s="51">
        <f t="shared" si="23"/>
        <v>358360.16938400007</v>
      </c>
      <c r="H486" s="52">
        <f>$K$3*D486</f>
        <v>8371595.1726165833</v>
      </c>
    </row>
    <row r="487" spans="1:8" ht="13.8" x14ac:dyDescent="0.25">
      <c r="A487" s="41">
        <v>0.54832713754646845</v>
      </c>
      <c r="B487" s="41">
        <v>4485.6623722000004</v>
      </c>
      <c r="C487" s="41">
        <f>C486+(((A487+A486)/2)*(B487-B486))</f>
        <v>3826.0268950496716</v>
      </c>
      <c r="D487" s="51">
        <f t="shared" si="21"/>
        <v>33515995.600635123</v>
      </c>
      <c r="E487" s="54">
        <f t="shared" si="22"/>
        <v>4790469.0023987796</v>
      </c>
      <c r="F487" s="53">
        <f>$K$4*B487</f>
        <v>35885298.977600001</v>
      </c>
      <c r="G487" s="51">
        <f t="shared" si="23"/>
        <v>358852.98977600003</v>
      </c>
      <c r="H487" s="52">
        <f>$K$3*D487</f>
        <v>8378998.9001587806</v>
      </c>
    </row>
    <row r="488" spans="1:8" ht="13.8" x14ac:dyDescent="0.25">
      <c r="A488" s="40">
        <v>0.54739776951672858</v>
      </c>
      <c r="B488" s="40">
        <v>4491.8026909999999</v>
      </c>
      <c r="C488" s="41">
        <f>C487+(((A488+A487)/2)*(B488-B487))</f>
        <v>3829.3909451729055</v>
      </c>
      <c r="D488" s="51">
        <f t="shared" si="21"/>
        <v>33545464.679714654</v>
      </c>
      <c r="E488" s="54">
        <f t="shared" si="22"/>
        <v>4792924.0171286631</v>
      </c>
      <c r="F488" s="53">
        <f>$K$4*B488</f>
        <v>35934421.527999997</v>
      </c>
      <c r="G488" s="51">
        <f t="shared" si="23"/>
        <v>359344.21528</v>
      </c>
      <c r="H488" s="52">
        <f>$K$3*D488</f>
        <v>8386366.1699286634</v>
      </c>
    </row>
    <row r="489" spans="1:8" ht="13.8" x14ac:dyDescent="0.25">
      <c r="A489" s="41">
        <v>0.54646840148698883</v>
      </c>
      <c r="B489" s="41">
        <v>4495.5905500000008</v>
      </c>
      <c r="C489" s="41">
        <f>C488+(((A489+A488)/2)*(B489-B488))</f>
        <v>3831.4626505832221</v>
      </c>
      <c r="D489" s="51">
        <f t="shared" si="21"/>
        <v>33563612.819109023</v>
      </c>
      <c r="E489" s="54">
        <f t="shared" si="22"/>
        <v>4794430.7647772552</v>
      </c>
      <c r="F489" s="53">
        <f>$K$4*B489</f>
        <v>35964724.400000006</v>
      </c>
      <c r="G489" s="51">
        <f t="shared" si="23"/>
        <v>359647.24400000006</v>
      </c>
      <c r="H489" s="52">
        <f>$K$3*D489</f>
        <v>8390903.2047772557</v>
      </c>
    </row>
    <row r="490" spans="1:8" ht="13.8" x14ac:dyDescent="0.25">
      <c r="A490" s="40">
        <v>0.54553903345724908</v>
      </c>
      <c r="B490" s="40">
        <v>4508.3097817999997</v>
      </c>
      <c r="C490" s="41">
        <f>C489+(((A490+A489)/2)*(B490-B489))</f>
        <v>3838.4073984294109</v>
      </c>
      <c r="D490" s="51">
        <f t="shared" si="21"/>
        <v>33624448.81024164</v>
      </c>
      <c r="E490" s="54">
        <f t="shared" si="22"/>
        <v>4799464.3771204101</v>
      </c>
      <c r="F490" s="53">
        <f>$K$4*B490</f>
        <v>36066478.2544</v>
      </c>
      <c r="G490" s="51">
        <f t="shared" si="23"/>
        <v>360664.78254400002</v>
      </c>
      <c r="H490" s="52">
        <f>$K$3*D490</f>
        <v>8406112.2025604099</v>
      </c>
    </row>
    <row r="491" spans="1:8" ht="13.8" x14ac:dyDescent="0.25">
      <c r="A491" s="41">
        <v>0.54460966542750933</v>
      </c>
      <c r="B491" s="41">
        <v>4511.8584076000006</v>
      </c>
      <c r="C491" s="41">
        <f>C490+(((A491+A490)/2)*(B491-B490))</f>
        <v>3840.3416633287611</v>
      </c>
      <c r="D491" s="51">
        <f t="shared" si="21"/>
        <v>33641392.970759943</v>
      </c>
      <c r="E491" s="54">
        <f t="shared" si="22"/>
        <v>4800861.5166099854</v>
      </c>
      <c r="F491" s="53">
        <f>$K$4*B491</f>
        <v>36094867.260800004</v>
      </c>
      <c r="G491" s="51">
        <f t="shared" si="23"/>
        <v>360948.67260800005</v>
      </c>
      <c r="H491" s="52">
        <f>$K$3*D491</f>
        <v>8410348.2426899858</v>
      </c>
    </row>
    <row r="492" spans="1:8" ht="13.8" x14ac:dyDescent="0.25">
      <c r="A492" s="40">
        <v>0.54368029739776946</v>
      </c>
      <c r="B492" s="40">
        <v>4517.1414740999999</v>
      </c>
      <c r="C492" s="41">
        <f>C491+(((A492+A491)/2)*(B492-B491))</f>
        <v>3843.216417451205</v>
      </c>
      <c r="D492" s="51">
        <f t="shared" si="21"/>
        <v>33666575.816872552</v>
      </c>
      <c r="E492" s="54">
        <f t="shared" si="22"/>
        <v>4802930.7749381382</v>
      </c>
      <c r="F492" s="53">
        <f>$K$4*B492</f>
        <v>36137131.792800002</v>
      </c>
      <c r="G492" s="51">
        <f t="shared" si="23"/>
        <v>361371.317928</v>
      </c>
      <c r="H492" s="52">
        <f>$K$3*D492</f>
        <v>8416643.954218138</v>
      </c>
    </row>
    <row r="493" spans="1:8" ht="13.8" x14ac:dyDescent="0.25">
      <c r="A493" s="41">
        <v>0.54275092936802971</v>
      </c>
      <c r="B493" s="41">
        <v>4537.0975101999993</v>
      </c>
      <c r="C493" s="41">
        <f>C492+(((A493+A492)/2)*(B493-B492))</f>
        <v>3854.0568478419573</v>
      </c>
      <c r="D493" s="51">
        <f t="shared" si="21"/>
        <v>33761537.987095542</v>
      </c>
      <c r="E493" s="54">
        <f t="shared" si="22"/>
        <v>4810706.4886138868</v>
      </c>
      <c r="F493" s="53">
        <f>$K$4*B493</f>
        <v>36296780.081599995</v>
      </c>
      <c r="G493" s="51">
        <f t="shared" si="23"/>
        <v>362967.80081599997</v>
      </c>
      <c r="H493" s="52">
        <f>$K$3*D493</f>
        <v>8440384.4967738856</v>
      </c>
    </row>
    <row r="494" spans="1:8" ht="13.8" x14ac:dyDescent="0.25">
      <c r="A494" s="40">
        <v>0.54182156133828996</v>
      </c>
      <c r="B494" s="40">
        <v>4537.775337600001</v>
      </c>
      <c r="C494" s="41">
        <f>C493+(((A494+A493)/2)*(B494-B493))</f>
        <v>3854.4244243177018</v>
      </c>
      <c r="D494" s="51">
        <f t="shared" si="21"/>
        <v>33764757.957023069</v>
      </c>
      <c r="E494" s="54">
        <f t="shared" si="22"/>
        <v>4810969.2191757672</v>
      </c>
      <c r="F494" s="53">
        <f>$K$4*B494</f>
        <v>36302202.700800009</v>
      </c>
      <c r="G494" s="51">
        <f t="shared" si="23"/>
        <v>363022.02700800012</v>
      </c>
      <c r="H494" s="52">
        <f>$K$3*D494</f>
        <v>8441189.4892557673</v>
      </c>
    </row>
    <row r="495" spans="1:8" ht="13.8" x14ac:dyDescent="0.25">
      <c r="A495" s="41">
        <v>0.54089219330855021</v>
      </c>
      <c r="B495" s="41">
        <v>4547.9228125</v>
      </c>
      <c r="C495" s="41">
        <f>C494+(((A495+A494)/2)*(B495-B494))</f>
        <v>3859.9178296422829</v>
      </c>
      <c r="D495" s="51">
        <f t="shared" si="21"/>
        <v>33812880.187666394</v>
      </c>
      <c r="E495" s="54">
        <f t="shared" si="22"/>
        <v>4814881.7969165985</v>
      </c>
      <c r="F495" s="53">
        <f>$K$4*B495</f>
        <v>36383382.5</v>
      </c>
      <c r="G495" s="51">
        <f t="shared" si="23"/>
        <v>363833.82500000001</v>
      </c>
      <c r="H495" s="52">
        <f>$K$3*D495</f>
        <v>8453220.0469165985</v>
      </c>
    </row>
    <row r="496" spans="1:8" ht="13.8" x14ac:dyDescent="0.25">
      <c r="A496" s="40">
        <v>0.53996282527881045</v>
      </c>
      <c r="B496" s="40">
        <v>4558.4092011000002</v>
      </c>
      <c r="C496" s="41">
        <f>C495+(((A496+A495)/2)*(B496-B495))</f>
        <v>3865.5849625148667</v>
      </c>
      <c r="D496" s="51">
        <f t="shared" si="21"/>
        <v>33862524.271630235</v>
      </c>
      <c r="E496" s="54">
        <f t="shared" si="22"/>
        <v>4818903.7070275582</v>
      </c>
      <c r="F496" s="53">
        <f>$K$4*B496</f>
        <v>36467273.608800001</v>
      </c>
      <c r="G496" s="51">
        <f t="shared" si="23"/>
        <v>364672.73608800001</v>
      </c>
      <c r="H496" s="52">
        <f>$K$3*D496</f>
        <v>8465631.0679075588</v>
      </c>
    </row>
    <row r="497" spans="1:8" ht="13.8" x14ac:dyDescent="0.25">
      <c r="A497" s="41">
        <v>0.53903345724907059</v>
      </c>
      <c r="B497" s="41">
        <v>4560.2034500999998</v>
      </c>
      <c r="C497" s="41">
        <f>C496+(((A497+A496)/2)*(B497-B496))</f>
        <v>3866.5529565153311</v>
      </c>
      <c r="D497" s="51">
        <f t="shared" si="21"/>
        <v>33871003.899074301</v>
      </c>
      <c r="E497" s="54">
        <f t="shared" si="22"/>
        <v>4819588.2146885758</v>
      </c>
      <c r="F497" s="53">
        <f>$K$4*B497</f>
        <v>36481627.6008</v>
      </c>
      <c r="G497" s="51">
        <f t="shared" si="23"/>
        <v>364816.27600800002</v>
      </c>
      <c r="H497" s="52">
        <f>$K$3*D497</f>
        <v>8467750.9747685753</v>
      </c>
    </row>
    <row r="498" spans="1:8" ht="13.8" x14ac:dyDescent="0.25">
      <c r="A498" s="40">
        <v>0.53810408921933084</v>
      </c>
      <c r="B498" s="40">
        <v>4612.8746263000003</v>
      </c>
      <c r="C498" s="41">
        <f>C497+(((A498+A497)/2)*(B498-B497))</f>
        <v>3894.9200072661679</v>
      </c>
      <c r="D498" s="51">
        <f t="shared" si="21"/>
        <v>34119499.263651632</v>
      </c>
      <c r="E498" s="54">
        <f t="shared" si="22"/>
        <v>4839575.1148729082</v>
      </c>
      <c r="F498" s="53">
        <f>$K$4*B498</f>
        <v>36902997.010400005</v>
      </c>
      <c r="G498" s="51">
        <f t="shared" si="23"/>
        <v>369029.97010400007</v>
      </c>
      <c r="H498" s="52">
        <f>$K$3*D498</f>
        <v>8529874.8159129079</v>
      </c>
    </row>
    <row r="499" spans="1:8" ht="13.8" x14ac:dyDescent="0.25">
      <c r="A499" s="41">
        <v>0.53717472118959109</v>
      </c>
      <c r="B499" s="41">
        <v>4621.9854240000004</v>
      </c>
      <c r="C499" s="41">
        <f>C498+(((A499+A498)/2)*(B499-B498))</f>
        <v>3899.8183311225343</v>
      </c>
      <c r="D499" s="51">
        <f t="shared" si="21"/>
        <v>34162408.580633402</v>
      </c>
      <c r="E499" s="54">
        <f t="shared" si="22"/>
        <v>4843013.8059583502</v>
      </c>
      <c r="F499" s="53">
        <f>$K$4*B499</f>
        <v>36975883.392000005</v>
      </c>
      <c r="G499" s="51">
        <f t="shared" si="23"/>
        <v>369758.83392000006</v>
      </c>
      <c r="H499" s="52">
        <f>$K$3*D499</f>
        <v>8540602.1451583505</v>
      </c>
    </row>
    <row r="500" spans="1:8" ht="13.8" x14ac:dyDescent="0.25">
      <c r="A500" s="40">
        <v>0.53624535315985133</v>
      </c>
      <c r="B500" s="40">
        <v>4636.1998633000003</v>
      </c>
      <c r="C500" s="41">
        <f>C499+(((A500+A499)/2)*(B500-B499))</f>
        <v>3907.4473633676553</v>
      </c>
      <c r="D500" s="51">
        <f t="shared" si="21"/>
        <v>34229238.903100662</v>
      </c>
      <c r="E500" s="54">
        <f t="shared" si="22"/>
        <v>4848349.8351351656</v>
      </c>
      <c r="F500" s="53">
        <f>$K$4*B500</f>
        <v>37089598.906400003</v>
      </c>
      <c r="G500" s="51">
        <f t="shared" si="23"/>
        <v>370895.98906400002</v>
      </c>
      <c r="H500" s="52">
        <f>$K$3*D500</f>
        <v>8557309.7257751655</v>
      </c>
    </row>
    <row r="501" spans="1:8" ht="13.8" x14ac:dyDescent="0.25">
      <c r="A501" s="41">
        <v>0.53531598513011147</v>
      </c>
      <c r="B501" s="41">
        <v>4643.0379456000001</v>
      </c>
      <c r="C501" s="41">
        <f>C500+(((A501+A500)/2)*(B501-B500))</f>
        <v>3911.1110756780176</v>
      </c>
      <c r="D501" s="51">
        <f t="shared" si="21"/>
        <v>34261333.022939436</v>
      </c>
      <c r="E501" s="54">
        <f t="shared" si="22"/>
        <v>4850902.8992548585</v>
      </c>
      <c r="F501" s="53">
        <f>$K$4*B501</f>
        <v>37144303.564800002</v>
      </c>
      <c r="G501" s="51">
        <f t="shared" si="23"/>
        <v>371443.03564800002</v>
      </c>
      <c r="H501" s="52">
        <f>$K$3*D501</f>
        <v>8565333.255734859</v>
      </c>
    </row>
    <row r="502" spans="1:8" ht="13.8" x14ac:dyDescent="0.25">
      <c r="A502" s="40">
        <v>0.53438661710037172</v>
      </c>
      <c r="B502" s="40">
        <v>4655.5578163999999</v>
      </c>
      <c r="C502" s="41">
        <f>C501+(((A502+A501)/2)*(B502-B501))</f>
        <v>3917.8073448651921</v>
      </c>
      <c r="D502" s="51">
        <f t="shared" si="21"/>
        <v>34319992.341019087</v>
      </c>
      <c r="E502" s="54">
        <f t="shared" si="22"/>
        <v>4855551.8321347721</v>
      </c>
      <c r="F502" s="53">
        <f>$K$4*B502</f>
        <v>37244462.531199999</v>
      </c>
      <c r="G502" s="51">
        <f t="shared" si="23"/>
        <v>372444.62531199999</v>
      </c>
      <c r="H502" s="52">
        <f>$K$3*D502</f>
        <v>8579998.0852547716</v>
      </c>
    </row>
    <row r="503" spans="1:8" ht="13.8" x14ac:dyDescent="0.25">
      <c r="A503" s="41">
        <v>0.53345724907063197</v>
      </c>
      <c r="B503" s="41">
        <v>4659.6845890999994</v>
      </c>
      <c r="C503" s="41">
        <f>C502+(((A503+A502)/2)*(B503-B502))</f>
        <v>3920.0107193225804</v>
      </c>
      <c r="D503" s="51">
        <f t="shared" si="21"/>
        <v>34339293.9012658</v>
      </c>
      <c r="E503" s="54">
        <f t="shared" si="22"/>
        <v>4857075.8040364506</v>
      </c>
      <c r="F503" s="53">
        <f>$K$4*B503</f>
        <v>37277476.712799996</v>
      </c>
      <c r="G503" s="51">
        <f t="shared" si="23"/>
        <v>372774.76712799998</v>
      </c>
      <c r="H503" s="52">
        <f>$K$3*D503</f>
        <v>8584823.47531645</v>
      </c>
    </row>
    <row r="504" spans="1:8" ht="13.8" x14ac:dyDescent="0.25">
      <c r="A504" s="40">
        <v>0.53252788104089221</v>
      </c>
      <c r="B504" s="40">
        <v>4668.217239900001</v>
      </c>
      <c r="C504" s="41">
        <f>C503+(((A504+A503)/2)*(B504-B503))</f>
        <v>3924.5585587591981</v>
      </c>
      <c r="D504" s="51">
        <f t="shared" si="21"/>
        <v>34379132.974730574</v>
      </c>
      <c r="E504" s="54">
        <f t="shared" si="22"/>
        <v>4860209.4517626427</v>
      </c>
      <c r="F504" s="53">
        <f>$K$4*B504</f>
        <v>37345737.919200011</v>
      </c>
      <c r="G504" s="51">
        <f t="shared" si="23"/>
        <v>373457.37919200014</v>
      </c>
      <c r="H504" s="52">
        <f>$K$3*D504</f>
        <v>8594783.2436826434</v>
      </c>
    </row>
    <row r="505" spans="1:8" ht="13.8" x14ac:dyDescent="0.25">
      <c r="A505" s="41">
        <v>0.53159851301115246</v>
      </c>
      <c r="B505" s="41">
        <v>4678.7235645999999</v>
      </c>
      <c r="C505" s="41">
        <f>C504+(((A505+A504)/2)*(B505-B504))</f>
        <v>3930.1485874680729</v>
      </c>
      <c r="D505" s="51">
        <f t="shared" si="21"/>
        <v>34428101.626220316</v>
      </c>
      <c r="E505" s="54">
        <f t="shared" si="22"/>
        <v>4864046.5548750786</v>
      </c>
      <c r="F505" s="53">
        <f>$K$4*B505</f>
        <v>37429788.516800001</v>
      </c>
      <c r="G505" s="51">
        <f t="shared" si="23"/>
        <v>374297.88516800001</v>
      </c>
      <c r="H505" s="52">
        <f>$K$3*D505</f>
        <v>8607025.4065550789</v>
      </c>
    </row>
    <row r="506" spans="1:8" ht="13.8" x14ac:dyDescent="0.25">
      <c r="A506" s="40">
        <v>0.5306691449814126</v>
      </c>
      <c r="B506" s="40">
        <v>4684.5648418999999</v>
      </c>
      <c r="C506" s="41">
        <f>C505+(((A506+A505)/2)*(B506-B505))</f>
        <v>3933.2510874466511</v>
      </c>
      <c r="D506" s="51">
        <f t="shared" si="21"/>
        <v>34455279.526032664</v>
      </c>
      <c r="E506" s="54">
        <f t="shared" si="22"/>
        <v>4866168.0079881661</v>
      </c>
      <c r="F506" s="53">
        <f>$K$4*B506</f>
        <v>37476518.735200003</v>
      </c>
      <c r="G506" s="51">
        <f t="shared" si="23"/>
        <v>374765.18735200004</v>
      </c>
      <c r="H506" s="52">
        <f>$K$3*D506</f>
        <v>8613819.881508166</v>
      </c>
    </row>
    <row r="507" spans="1:8" ht="13.8" x14ac:dyDescent="0.25">
      <c r="A507" s="41">
        <v>0.52973977695167285</v>
      </c>
      <c r="B507" s="41">
        <v>4698.8191533999998</v>
      </c>
      <c r="C507" s="41">
        <f>C506+(((A507+A506)/2)*(B507-B506))</f>
        <v>3940.8087869919577</v>
      </c>
      <c r="D507" s="51">
        <f t="shared" si="21"/>
        <v>34521484.974049546</v>
      </c>
      <c r="E507" s="54">
        <f t="shared" si="22"/>
        <v>4871315.9207923859</v>
      </c>
      <c r="F507" s="53">
        <f>$K$4*B507</f>
        <v>37590553.227200001</v>
      </c>
      <c r="G507" s="51">
        <f t="shared" si="23"/>
        <v>375905.53227200004</v>
      </c>
      <c r="H507" s="52">
        <f>$K$3*D507</f>
        <v>8630371.2435123865</v>
      </c>
    </row>
    <row r="508" spans="1:8" ht="13.8" x14ac:dyDescent="0.25">
      <c r="A508" s="40">
        <v>0.52881040892193309</v>
      </c>
      <c r="B508" s="40">
        <v>4706.8135295000002</v>
      </c>
      <c r="C508" s="41">
        <f>C507+(((A508+A507)/2)*(B508-B507))</f>
        <v>3945.0400111452573</v>
      </c>
      <c r="D508" s="51">
        <f t="shared" si="21"/>
        <v>34558550.497632451</v>
      </c>
      <c r="E508" s="54">
        <f t="shared" si="22"/>
        <v>4874186.8008081131</v>
      </c>
      <c r="F508" s="53">
        <f>$K$4*B508</f>
        <v>37654508.236000001</v>
      </c>
      <c r="G508" s="51">
        <f t="shared" si="23"/>
        <v>376545.08236</v>
      </c>
      <c r="H508" s="52">
        <f>$K$3*D508</f>
        <v>8639637.6244081128</v>
      </c>
    </row>
    <row r="509" spans="1:8" ht="13.8" x14ac:dyDescent="0.25">
      <c r="A509" s="41">
        <v>0.52788104089219334</v>
      </c>
      <c r="B509" s="41">
        <v>4712.7943595000006</v>
      </c>
      <c r="C509" s="41">
        <f>C508+(((A509+A508)/2)*(B509-B508))</f>
        <v>3948.1999571071533</v>
      </c>
      <c r="D509" s="51">
        <f t="shared" si="21"/>
        <v>34586231.62425866</v>
      </c>
      <c r="E509" s="54">
        <f t="shared" si="22"/>
        <v>4876322.4184646653</v>
      </c>
      <c r="F509" s="53">
        <f>$K$4*B509</f>
        <v>37702354.876000002</v>
      </c>
      <c r="G509" s="51">
        <f t="shared" si="23"/>
        <v>377023.54876000003</v>
      </c>
      <c r="H509" s="52">
        <f>$K$3*D509</f>
        <v>8646557.9060646649</v>
      </c>
    </row>
    <row r="510" spans="1:8" ht="13.8" x14ac:dyDescent="0.25">
      <c r="A510" s="40">
        <v>0.52695167286245348</v>
      </c>
      <c r="B510" s="40">
        <v>4715.1069470999992</v>
      </c>
      <c r="C510" s="41">
        <f>C509+(((A510+A509)/2)*(B510-B509))</f>
        <v>3949.4196536341042</v>
      </c>
      <c r="D510" s="51">
        <f t="shared" si="21"/>
        <v>34596916.165834755</v>
      </c>
      <c r="E510" s="54">
        <f t="shared" si="22"/>
        <v>4877143.4837786891</v>
      </c>
      <c r="F510" s="53">
        <f>$K$4*B510</f>
        <v>37720855.576799996</v>
      </c>
      <c r="G510" s="51">
        <f t="shared" si="23"/>
        <v>377208.55576799996</v>
      </c>
      <c r="H510" s="52">
        <f>$K$3*D510</f>
        <v>8649229.0414586887</v>
      </c>
    </row>
    <row r="511" spans="1:8" ht="13.8" x14ac:dyDescent="0.25">
      <c r="A511" s="41">
        <v>0.52602230483271373</v>
      </c>
      <c r="B511" s="41">
        <v>4717.8182567000003</v>
      </c>
      <c r="C511" s="41">
        <f>C510+(((A511+A510)/2)*(B511-B510))</f>
        <v>3950.8471228612425</v>
      </c>
      <c r="D511" s="51">
        <f t="shared" si="21"/>
        <v>34609420.796264485</v>
      </c>
      <c r="E511" s="54">
        <f t="shared" si="22"/>
        <v>4878100.5937061198</v>
      </c>
      <c r="F511" s="53">
        <f>$K$4*B511</f>
        <v>37742546.053600006</v>
      </c>
      <c r="G511" s="51">
        <f t="shared" si="23"/>
        <v>377425.46053600009</v>
      </c>
      <c r="H511" s="52">
        <f>$K$3*D511</f>
        <v>8652355.1990661211</v>
      </c>
    </row>
    <row r="512" spans="1:8" ht="13.8" x14ac:dyDescent="0.25">
      <c r="A512" s="40">
        <v>0.52509293680297398</v>
      </c>
      <c r="B512" s="40">
        <v>4723.9984476999998</v>
      </c>
      <c r="C512" s="41">
        <f>C511+(((A512+A511)/2)*(B512-B511))</f>
        <v>3954.0951693394022</v>
      </c>
      <c r="D512" s="51">
        <f t="shared" si="21"/>
        <v>34637873.683413163</v>
      </c>
      <c r="E512" s="54">
        <f t="shared" si="22"/>
        <v>4880269.6626932919</v>
      </c>
      <c r="F512" s="53">
        <f>$K$4*B512</f>
        <v>37791987.581599995</v>
      </c>
      <c r="G512" s="51">
        <f t="shared" si="23"/>
        <v>377919.87581599999</v>
      </c>
      <c r="H512" s="52">
        <f>$K$3*D512</f>
        <v>8659468.4208532907</v>
      </c>
    </row>
    <row r="513" spans="1:8" ht="13.8" x14ac:dyDescent="0.25">
      <c r="A513" s="41">
        <v>0.52416356877323422</v>
      </c>
      <c r="B513" s="41">
        <v>4726.6698851000001</v>
      </c>
      <c r="C513" s="41">
        <f>C512+(((A513+A512)/2)*(B513-B512))</f>
        <v>3955.4966808749973</v>
      </c>
      <c r="D513" s="51">
        <f t="shared" si="21"/>
        <v>34650150.924464978</v>
      </c>
      <c r="E513" s="54">
        <f t="shared" si="22"/>
        <v>4881201.8230362441</v>
      </c>
      <c r="F513" s="53">
        <f>$K$4*B513</f>
        <v>37813359.080800004</v>
      </c>
      <c r="G513" s="51">
        <f t="shared" si="23"/>
        <v>378133.59080800007</v>
      </c>
      <c r="H513" s="52">
        <f>$K$3*D513</f>
        <v>8662537.7311162446</v>
      </c>
    </row>
    <row r="514" spans="1:8" ht="13.8" x14ac:dyDescent="0.25">
      <c r="A514" s="40">
        <v>0.52323420074349447</v>
      </c>
      <c r="B514" s="40">
        <v>4727.9657315999993</v>
      </c>
      <c r="C514" s="41">
        <f>C513+(((A514+A513)/2)*(B514-B513))</f>
        <v>3956.1753142418647</v>
      </c>
      <c r="D514" s="51">
        <f t="shared" si="21"/>
        <v>34656095.752758741</v>
      </c>
      <c r="E514" s="54">
        <f t="shared" si="22"/>
        <v>4881651.352909686</v>
      </c>
      <c r="F514" s="53">
        <f>$K$4*B514</f>
        <v>37823725.852799997</v>
      </c>
      <c r="G514" s="51">
        <f t="shared" si="23"/>
        <v>378237.25852799998</v>
      </c>
      <c r="H514" s="52">
        <f>$K$3*D514</f>
        <v>8664023.9381896853</v>
      </c>
    </row>
    <row r="515" spans="1:8" ht="13.8" x14ac:dyDescent="0.25">
      <c r="A515" s="41">
        <v>0.52230483271375461</v>
      </c>
      <c r="B515" s="41">
        <v>4732.0725681999993</v>
      </c>
      <c r="C515" s="41">
        <f>C514+(((A515+A514)/2)*(B515-B514))</f>
        <v>3958.3222432265302</v>
      </c>
      <c r="D515" s="51">
        <f t="shared" ref="D515:D578" si="24">C515*24*365</f>
        <v>34674902.850664407</v>
      </c>
      <c r="E515" s="54">
        <f t="shared" ref="E515:E578" si="25">H515-G515-(F515*$K$5)</f>
        <v>4883067.6581061017</v>
      </c>
      <c r="F515" s="53">
        <f>$K$4*B515</f>
        <v>37856580.545599997</v>
      </c>
      <c r="G515" s="51">
        <f t="shared" ref="G515:G578" si="26">F515*0.01</f>
        <v>378565.80545599997</v>
      </c>
      <c r="H515" s="52">
        <f>$K$3*D515</f>
        <v>8668725.7126661018</v>
      </c>
    </row>
    <row r="516" spans="1:8" ht="13.8" x14ac:dyDescent="0.25">
      <c r="A516" s="40">
        <v>0.52137546468401486</v>
      </c>
      <c r="B516" s="40">
        <v>4738.3125675000001</v>
      </c>
      <c r="C516" s="41">
        <f>C515+(((A516+A515)/2)*(B516-B515))</f>
        <v>3961.5785253891236</v>
      </c>
      <c r="D516" s="51">
        <f t="shared" si="24"/>
        <v>34703427.882408723</v>
      </c>
      <c r="E516" s="54">
        <f t="shared" si="25"/>
        <v>4885206.9166021813</v>
      </c>
      <c r="F516" s="53">
        <f>$K$4*B516</f>
        <v>37906500.539999999</v>
      </c>
      <c r="G516" s="51">
        <f t="shared" si="26"/>
        <v>379065.00540000002</v>
      </c>
      <c r="H516" s="52">
        <f>$K$3*D516</f>
        <v>8675856.9706021808</v>
      </c>
    </row>
    <row r="517" spans="1:8" ht="13.8" x14ac:dyDescent="0.25">
      <c r="A517" s="41">
        <v>0.5204460966542751</v>
      </c>
      <c r="B517" s="41">
        <v>4751.6498183999993</v>
      </c>
      <c r="C517" s="41">
        <f>C516+(((A517+A516)/2)*(B517-B516))</f>
        <v>3968.5260431674224</v>
      </c>
      <c r="D517" s="51">
        <f t="shared" si="24"/>
        <v>34764288.138146624</v>
      </c>
      <c r="E517" s="54">
        <f t="shared" si="25"/>
        <v>4889752.1798166558</v>
      </c>
      <c r="F517" s="53">
        <f>$K$4*B517</f>
        <v>38013198.547199994</v>
      </c>
      <c r="G517" s="51">
        <f t="shared" si="26"/>
        <v>380131.98547199997</v>
      </c>
      <c r="H517" s="52">
        <f>$K$3*D517</f>
        <v>8691072.034536656</v>
      </c>
    </row>
    <row r="518" spans="1:8" ht="13.8" x14ac:dyDescent="0.25">
      <c r="A518" s="40">
        <v>0.51951672862453535</v>
      </c>
      <c r="B518" s="40">
        <v>4766.7613822000012</v>
      </c>
      <c r="C518" s="41">
        <f>C517+(((A518+A517)/2)*(B518-B517))</f>
        <v>3976.3837754593378</v>
      </c>
      <c r="D518" s="51">
        <f t="shared" si="24"/>
        <v>34833121.873023801</v>
      </c>
      <c r="E518" s="54">
        <f t="shared" si="25"/>
        <v>4894871.3624959495</v>
      </c>
      <c r="F518" s="53">
        <f>$K$4*B518</f>
        <v>38134091.057600006</v>
      </c>
      <c r="G518" s="51">
        <f t="shared" si="26"/>
        <v>381340.91057600005</v>
      </c>
      <c r="H518" s="52">
        <f>$K$3*D518</f>
        <v>8708280.4682559501</v>
      </c>
    </row>
    <row r="519" spans="1:8" ht="13.8" x14ac:dyDescent="0.25">
      <c r="A519" s="41">
        <v>0.51858736059479549</v>
      </c>
      <c r="B519" s="41">
        <v>4771.4663018000001</v>
      </c>
      <c r="C519" s="41">
        <f>C518+(((A519+A518)/2)*(B519-B518))</f>
        <v>3978.8258735974414</v>
      </c>
      <c r="D519" s="51">
        <f t="shared" si="24"/>
        <v>34854514.652713589</v>
      </c>
      <c r="E519" s="54">
        <f t="shared" si="25"/>
        <v>4896455.6217383975</v>
      </c>
      <c r="F519" s="53">
        <f>$K$4*B519</f>
        <v>38171730.414400004</v>
      </c>
      <c r="G519" s="51">
        <f t="shared" si="26"/>
        <v>381717.30414400005</v>
      </c>
      <c r="H519" s="52">
        <f>$K$3*D519</f>
        <v>8713628.6631783973</v>
      </c>
    </row>
    <row r="520" spans="1:8" ht="13.8" x14ac:dyDescent="0.25">
      <c r="A520" s="40">
        <v>0.51765799256505574</v>
      </c>
      <c r="B520" s="40">
        <v>4776.6895600000007</v>
      </c>
      <c r="C520" s="41">
        <f>C519+(((A520+A519)/2)*(B520-B519))</f>
        <v>3981.532162116494</v>
      </c>
      <c r="D520" s="51">
        <f t="shared" si="24"/>
        <v>34878221.740140483</v>
      </c>
      <c r="E520" s="54">
        <f t="shared" si="25"/>
        <v>4898203.7870351207</v>
      </c>
      <c r="F520" s="53">
        <f>$K$4*B520</f>
        <v>38213516.480000004</v>
      </c>
      <c r="G520" s="51">
        <f t="shared" si="26"/>
        <v>382135.16480000003</v>
      </c>
      <c r="H520" s="52">
        <f>$K$3*D520</f>
        <v>8719555.4350351207</v>
      </c>
    </row>
    <row r="521" spans="1:8" ht="13.8" x14ac:dyDescent="0.25">
      <c r="A521" s="41">
        <v>0.51672862453531598</v>
      </c>
      <c r="B521" s="41">
        <v>4804.0817613999998</v>
      </c>
      <c r="C521" s="41">
        <f>C520+(((A521+A520)/2)*(B521-B520))</f>
        <v>3995.6992253870326</v>
      </c>
      <c r="D521" s="51">
        <f t="shared" si="24"/>
        <v>35002325.214390405</v>
      </c>
      <c r="E521" s="54">
        <f t="shared" si="25"/>
        <v>4907315.8944776002</v>
      </c>
      <c r="F521" s="53">
        <f>$K$4*B521</f>
        <v>38432654.091200002</v>
      </c>
      <c r="G521" s="51">
        <f t="shared" si="26"/>
        <v>384326.540912</v>
      </c>
      <c r="H521" s="52">
        <f>$K$3*D521</f>
        <v>8750581.3035976011</v>
      </c>
    </row>
    <row r="522" spans="1:8" ht="13.8" x14ac:dyDescent="0.25">
      <c r="A522" s="40">
        <v>0.51579925650557623</v>
      </c>
      <c r="B522" s="40">
        <v>4828.8822698000013</v>
      </c>
      <c r="C522" s="41">
        <f>C521+(((A522+A521)/2)*(B522-B521))</f>
        <v>4008.5028335805277</v>
      </c>
      <c r="D522" s="51">
        <f t="shared" si="24"/>
        <v>35114484.822165422</v>
      </c>
      <c r="E522" s="54">
        <f t="shared" si="25"/>
        <v>4915515.3897013543</v>
      </c>
      <c r="F522" s="53">
        <f>$K$4*B522</f>
        <v>38631058.158400007</v>
      </c>
      <c r="G522" s="51">
        <f t="shared" si="26"/>
        <v>386310.58158400009</v>
      </c>
      <c r="H522" s="52">
        <f>$K$3*D522</f>
        <v>8778621.2055413555</v>
      </c>
    </row>
    <row r="523" spans="1:8" ht="13.8" x14ac:dyDescent="0.25">
      <c r="A523" s="41">
        <v>0.51486988847583648</v>
      </c>
      <c r="B523" s="41">
        <v>4841.2825240000002</v>
      </c>
      <c r="C523" s="41">
        <f>C522+(((A523+A522)/2)*(B523-B522))</f>
        <v>4014.8931132774601</v>
      </c>
      <c r="D523" s="51">
        <f t="shared" si="24"/>
        <v>35170463.672310553</v>
      </c>
      <c r="E523" s="54">
        <f t="shared" si="25"/>
        <v>4919589.8988776393</v>
      </c>
      <c r="F523" s="53">
        <f>$K$4*B523</f>
        <v>38730260.192000002</v>
      </c>
      <c r="G523" s="51">
        <f t="shared" si="26"/>
        <v>387302.60192000004</v>
      </c>
      <c r="H523" s="52">
        <f>$K$3*D523</f>
        <v>8792615.9180776384</v>
      </c>
    </row>
    <row r="524" spans="1:8" ht="13.8" x14ac:dyDescent="0.25">
      <c r="A524" s="40">
        <v>0.51394052044609662</v>
      </c>
      <c r="B524" s="40">
        <v>4844.8112136999998</v>
      </c>
      <c r="C524" s="41">
        <f>C523+(((A524+A523)/2)*(B524-B523))</f>
        <v>4016.7082896240677</v>
      </c>
      <c r="D524" s="51">
        <f t="shared" si="24"/>
        <v>35186364.617106833</v>
      </c>
      <c r="E524" s="54">
        <f t="shared" si="25"/>
        <v>4920742.1833167076</v>
      </c>
      <c r="F524" s="53">
        <f>$K$4*B524</f>
        <v>38758489.709600002</v>
      </c>
      <c r="G524" s="51">
        <f t="shared" si="26"/>
        <v>387584.89709600003</v>
      </c>
      <c r="H524" s="52">
        <f>$K$3*D524</f>
        <v>8796591.1542767081</v>
      </c>
    </row>
    <row r="525" spans="1:8" ht="13.8" x14ac:dyDescent="0.25">
      <c r="A525" s="41">
        <v>0.51301115241635686</v>
      </c>
      <c r="B525" s="41">
        <v>4845.0105747000016</v>
      </c>
      <c r="C525" s="41">
        <f>C524+(((A525+A524)/2)*(B525-B524))</f>
        <v>4016.8106566802953</v>
      </c>
      <c r="D525" s="51">
        <f t="shared" si="24"/>
        <v>35187261.352519386</v>
      </c>
      <c r="E525" s="54">
        <f t="shared" si="25"/>
        <v>4920806.8783698445</v>
      </c>
      <c r="F525" s="53">
        <f>$K$4*B525</f>
        <v>38760084.597600013</v>
      </c>
      <c r="G525" s="51">
        <f t="shared" si="26"/>
        <v>387600.84597600013</v>
      </c>
      <c r="H525" s="52">
        <f>$K$3*D525</f>
        <v>8796815.3381298464</v>
      </c>
    </row>
    <row r="526" spans="1:8" ht="13.8" x14ac:dyDescent="0.25">
      <c r="A526" s="40">
        <v>0.51208178438661711</v>
      </c>
      <c r="B526" s="40">
        <v>4846.2067407000004</v>
      </c>
      <c r="C526" s="41">
        <f>C525+(((A526+A525)/2)*(B526-B525))</f>
        <v>4017.4237473392168</v>
      </c>
      <c r="D526" s="51">
        <f t="shared" si="24"/>
        <v>35192632.026691541</v>
      </c>
      <c r="E526" s="54">
        <f t="shared" si="25"/>
        <v>4921192.6141128847</v>
      </c>
      <c r="F526" s="53">
        <f>$K$4*B526</f>
        <v>38769653.9256</v>
      </c>
      <c r="G526" s="51">
        <f t="shared" si="26"/>
        <v>387696.53925600002</v>
      </c>
      <c r="H526" s="52">
        <f>$K$3*D526</f>
        <v>8798158.0066728853</v>
      </c>
    </row>
    <row r="527" spans="1:8" ht="13.8" x14ac:dyDescent="0.25">
      <c r="A527" s="41">
        <v>0.51115241635687736</v>
      </c>
      <c r="B527" s="41">
        <v>4865.8836713999999</v>
      </c>
      <c r="C527" s="41">
        <f>C526+(((A527+A526)/2)*(B527-B526))</f>
        <v>4027.4908015681663</v>
      </c>
      <c r="D527" s="51">
        <f t="shared" si="24"/>
        <v>35280819.421737134</v>
      </c>
      <c r="E527" s="54">
        <f t="shared" si="25"/>
        <v>4927497.9183142837</v>
      </c>
      <c r="F527" s="53">
        <f>$K$4*B527</f>
        <v>38927069.371200003</v>
      </c>
      <c r="G527" s="51">
        <f t="shared" si="26"/>
        <v>389270.69371200004</v>
      </c>
      <c r="H527" s="52">
        <f>$K$3*D527</f>
        <v>8820204.8554342836</v>
      </c>
    </row>
    <row r="528" spans="1:8" ht="13.8" x14ac:dyDescent="0.25">
      <c r="A528" s="40">
        <v>0.5102230483271375</v>
      </c>
      <c r="B528" s="40">
        <v>4866.4219461000002</v>
      </c>
      <c r="C528" s="41">
        <f>C527+(((A528+A527)/2)*(B528-B527))</f>
        <v>4027.7656918540865</v>
      </c>
      <c r="D528" s="51">
        <f t="shared" si="24"/>
        <v>35283227.460641794</v>
      </c>
      <c r="E528" s="54">
        <f t="shared" si="25"/>
        <v>4927669.3082804475</v>
      </c>
      <c r="F528" s="53">
        <f>$K$4*B528</f>
        <v>38931375.568800002</v>
      </c>
      <c r="G528" s="51">
        <f t="shared" si="26"/>
        <v>389313.755688</v>
      </c>
      <c r="H528" s="52">
        <f>$K$3*D528</f>
        <v>8820806.8651604485</v>
      </c>
    </row>
    <row r="529" spans="1:8" ht="13.8" x14ac:dyDescent="0.25">
      <c r="A529" s="41">
        <v>0.50929368029739774</v>
      </c>
      <c r="B529" s="41">
        <v>4874.4163222000006</v>
      </c>
      <c r="C529" s="41">
        <f>C528+(((A529+A528)/2)*(B529-B528))</f>
        <v>4031.8408919385197</v>
      </c>
      <c r="D529" s="51">
        <f t="shared" si="24"/>
        <v>35318926.213381432</v>
      </c>
      <c r="E529" s="54">
        <f t="shared" si="25"/>
        <v>4930198.4955853578</v>
      </c>
      <c r="F529" s="53">
        <f>$K$4*B529</f>
        <v>38995330.577600002</v>
      </c>
      <c r="G529" s="51">
        <f t="shared" si="26"/>
        <v>389953.30577600002</v>
      </c>
      <c r="H529" s="52">
        <f>$K$3*D529</f>
        <v>8829731.553345358</v>
      </c>
    </row>
    <row r="530" spans="1:8" ht="13.8" x14ac:dyDescent="0.25">
      <c r="A530" s="40">
        <v>0.50836431226765799</v>
      </c>
      <c r="B530" s="40">
        <v>4875.4529994000004</v>
      </c>
      <c r="C530" s="41">
        <f>C529+(((A530+A529)/2)*(B530-B529))</f>
        <v>4032.3683833576647</v>
      </c>
      <c r="D530" s="51">
        <f t="shared" si="24"/>
        <v>35323547.038213141</v>
      </c>
      <c r="E530" s="54">
        <f t="shared" si="25"/>
        <v>4930524.3600332849</v>
      </c>
      <c r="F530" s="53">
        <f>$K$4*B530</f>
        <v>39003623.995200001</v>
      </c>
      <c r="G530" s="51">
        <f t="shared" si="26"/>
        <v>390036.23995200003</v>
      </c>
      <c r="H530" s="52">
        <f>$K$3*D530</f>
        <v>8830886.7595532853</v>
      </c>
    </row>
    <row r="531" spans="1:8" ht="13.8" x14ac:dyDescent="0.25">
      <c r="A531" s="41">
        <v>0.50743494423791824</v>
      </c>
      <c r="B531" s="41">
        <v>4888.8101864</v>
      </c>
      <c r="C531" s="41">
        <f>C530+(((A531+A530)/2)*(B531-B530))</f>
        <v>4039.1524936694673</v>
      </c>
      <c r="D531" s="51">
        <f t="shared" si="24"/>
        <v>35382975.84454453</v>
      </c>
      <c r="E531" s="54">
        <f t="shared" si="25"/>
        <v>4934695.8120161314</v>
      </c>
      <c r="F531" s="53">
        <f>$K$4*B531</f>
        <v>39110481.4912</v>
      </c>
      <c r="G531" s="51">
        <f t="shared" si="26"/>
        <v>391104.81491200003</v>
      </c>
      <c r="H531" s="52">
        <f>$K$3*D531</f>
        <v>8845743.9611361325</v>
      </c>
    </row>
    <row r="532" spans="1:8" ht="13.8" x14ac:dyDescent="0.25">
      <c r="A532" s="40">
        <v>0.50650557620817849</v>
      </c>
      <c r="B532" s="40">
        <v>4889.1291639999999</v>
      </c>
      <c r="C532" s="41">
        <f>C531+(((A532+A531)/2)*(B532-B531))</f>
        <v>4039.3142058263447</v>
      </c>
      <c r="D532" s="51">
        <f t="shared" si="24"/>
        <v>35384392.443038784</v>
      </c>
      <c r="E532" s="54">
        <f t="shared" si="25"/>
        <v>4934794.7795596961</v>
      </c>
      <c r="F532" s="53">
        <f>$K$4*B532</f>
        <v>39113033.311999999</v>
      </c>
      <c r="G532" s="51">
        <f t="shared" si="26"/>
        <v>391130.33312000002</v>
      </c>
      <c r="H532" s="52">
        <f>$K$3*D532</f>
        <v>8846098.110759696</v>
      </c>
    </row>
    <row r="533" spans="1:8" ht="13.8" x14ac:dyDescent="0.25">
      <c r="A533" s="41">
        <v>0.50557620817843862</v>
      </c>
      <c r="B533" s="41">
        <v>4893.3954893999999</v>
      </c>
      <c r="C533" s="41">
        <f>C532+(((A533+A532)/2)*(B533-B532))</f>
        <v>4041.4731409381475</v>
      </c>
      <c r="D533" s="51">
        <f t="shared" si="24"/>
        <v>35403304.714618169</v>
      </c>
      <c r="E533" s="54">
        <f t="shared" si="25"/>
        <v>4936109.7871345431</v>
      </c>
      <c r="F533" s="53">
        <f>$K$4*B533</f>
        <v>39147163.915200002</v>
      </c>
      <c r="G533" s="51">
        <f t="shared" si="26"/>
        <v>391471.63915200002</v>
      </c>
      <c r="H533" s="52">
        <f>$K$3*D533</f>
        <v>8850826.1786545422</v>
      </c>
    </row>
    <row r="534" spans="1:8" ht="13.8" x14ac:dyDescent="0.25">
      <c r="A534" s="40">
        <v>0.50464684014869887</v>
      </c>
      <c r="B534" s="40">
        <v>4916.4814931999999</v>
      </c>
      <c r="C534" s="41">
        <f>C533+(((A534+A533)/2)*(B534-B533))</f>
        <v>4053.1341475044114</v>
      </c>
      <c r="D534" s="51">
        <f t="shared" si="24"/>
        <v>35505455.13213864</v>
      </c>
      <c r="E534" s="54">
        <f t="shared" si="25"/>
        <v>4943178.5884746611</v>
      </c>
      <c r="F534" s="53">
        <f>$K$4*B534</f>
        <v>39331851.945600003</v>
      </c>
      <c r="G534" s="51">
        <f t="shared" si="26"/>
        <v>393318.51945600007</v>
      </c>
      <c r="H534" s="52">
        <f>$K$3*D534</f>
        <v>8876363.7830346599</v>
      </c>
    </row>
    <row r="535" spans="1:8" ht="13.8" x14ac:dyDescent="0.25">
      <c r="A535" s="41">
        <v>0.50371747211895912</v>
      </c>
      <c r="B535" s="41">
        <v>4919.3323555000006</v>
      </c>
      <c r="C535" s="41">
        <f>C534+(((A535+A534)/2)*(B535-B534))</f>
        <v>4054.5715014056664</v>
      </c>
      <c r="D535" s="51">
        <f t="shared" si="24"/>
        <v>35518046.352313638</v>
      </c>
      <c r="E535" s="54">
        <f t="shared" si="25"/>
        <v>4944045.7036784086</v>
      </c>
      <c r="F535" s="53">
        <f>$K$4*B535</f>
        <v>39354658.844000004</v>
      </c>
      <c r="G535" s="51">
        <f t="shared" si="26"/>
        <v>393546.58844000008</v>
      </c>
      <c r="H535" s="52">
        <f>$K$3*D535</f>
        <v>8879511.5880784094</v>
      </c>
    </row>
    <row r="536" spans="1:8" ht="13.8" x14ac:dyDescent="0.25">
      <c r="A536" s="40">
        <v>0.50278810408921937</v>
      </c>
      <c r="B536" s="40">
        <v>4934.5635359000007</v>
      </c>
      <c r="C536" s="41">
        <f>C535+(((A536+A535)/2)*(B536-B535))</f>
        <v>4062.2366354080827</v>
      </c>
      <c r="D536" s="51">
        <f t="shared" si="24"/>
        <v>35585192.926174805</v>
      </c>
      <c r="E536" s="54">
        <f t="shared" si="25"/>
        <v>4948647.4028237015</v>
      </c>
      <c r="F536" s="53">
        <f>$K$4*B536</f>
        <v>39476508.287200004</v>
      </c>
      <c r="G536" s="51">
        <f t="shared" si="26"/>
        <v>394765.08287200006</v>
      </c>
      <c r="H536" s="52">
        <f>$K$3*D536</f>
        <v>8896298.2315437011</v>
      </c>
    </row>
    <row r="537" spans="1:8" ht="13.8" x14ac:dyDescent="0.25">
      <c r="A537" s="41">
        <v>0.5018587360594795</v>
      </c>
      <c r="B537" s="41">
        <v>4941.8202763000008</v>
      </c>
      <c r="C537" s="41">
        <f>C536+(((A537+A536)/2)*(B537-B536))</f>
        <v>4065.8818660644024</v>
      </c>
      <c r="D537" s="51">
        <f t="shared" si="24"/>
        <v>35617125.146724164</v>
      </c>
      <c r="E537" s="54">
        <f t="shared" si="25"/>
        <v>4950825.06564104</v>
      </c>
      <c r="F537" s="53">
        <f>$K$4*B537</f>
        <v>39534562.210400008</v>
      </c>
      <c r="G537" s="51">
        <f t="shared" si="26"/>
        <v>395345.62210400007</v>
      </c>
      <c r="H537" s="52">
        <f>$K$3*D537</f>
        <v>8904281.2866810411</v>
      </c>
    </row>
    <row r="538" spans="1:8" ht="13.8" x14ac:dyDescent="0.25">
      <c r="A538" s="40">
        <v>0.50092936802973975</v>
      </c>
      <c r="B538" s="40">
        <v>4947.7213619000013</v>
      </c>
      <c r="C538" s="41">
        <f>C537+(((A538+A537)/2)*(B538-B537))</f>
        <v>4068.8406352848488</v>
      </c>
      <c r="D538" s="51">
        <f t="shared" si="24"/>
        <v>35643043.965095274</v>
      </c>
      <c r="E538" s="54">
        <f t="shared" si="25"/>
        <v>4952583.9017538177</v>
      </c>
      <c r="F538" s="53">
        <f>$K$4*B538</f>
        <v>39581770.895200007</v>
      </c>
      <c r="G538" s="51">
        <f t="shared" si="26"/>
        <v>395817.70895200007</v>
      </c>
      <c r="H538" s="52">
        <f>$K$3*D538</f>
        <v>8910760.9912738185</v>
      </c>
    </row>
    <row r="539" spans="1:8" ht="13.8" x14ac:dyDescent="0.25">
      <c r="A539" s="41">
        <v>0.5</v>
      </c>
      <c r="B539" s="41">
        <v>4951.0108184000001</v>
      </c>
      <c r="C539" s="41">
        <f>C538+(((A539+A538)/2)*(B539-B538))</f>
        <v>4070.4868920927015</v>
      </c>
      <c r="D539" s="51">
        <f t="shared" si="24"/>
        <v>35657465.174732067</v>
      </c>
      <c r="E539" s="54">
        <f t="shared" si="25"/>
        <v>4953557.6389630167</v>
      </c>
      <c r="F539" s="53">
        <f>$K$4*B539</f>
        <v>39608086.547200002</v>
      </c>
      <c r="G539" s="51">
        <f t="shared" si="26"/>
        <v>396080.86547200003</v>
      </c>
      <c r="H539" s="52">
        <f>$K$3*D539</f>
        <v>8914366.2936830167</v>
      </c>
    </row>
    <row r="540" spans="1:8" ht="13.8" x14ac:dyDescent="0.25">
      <c r="A540" s="40">
        <v>0.49907063197026025</v>
      </c>
      <c r="B540" s="40">
        <v>4958.5666002999997</v>
      </c>
      <c r="C540" s="41">
        <f>C539+(((A540+A539)/2)*(B540-B539))</f>
        <v>4074.2612719916324</v>
      </c>
      <c r="D540" s="51">
        <f t="shared" si="24"/>
        <v>35690528.742646702</v>
      </c>
      <c r="E540" s="54">
        <f t="shared" si="25"/>
        <v>4955778.9054216761</v>
      </c>
      <c r="F540" s="53">
        <f>$K$4*B540</f>
        <v>39668532.8024</v>
      </c>
      <c r="G540" s="51">
        <f t="shared" si="26"/>
        <v>396685.32802399999</v>
      </c>
      <c r="H540" s="52">
        <f>$K$3*D540</f>
        <v>8922632.1856616754</v>
      </c>
    </row>
    <row r="541" spans="1:8" ht="13.8" x14ac:dyDescent="0.25">
      <c r="A541" s="41">
        <v>0.49814126394052044</v>
      </c>
      <c r="B541" s="41">
        <v>4959.0849389000014</v>
      </c>
      <c r="C541" s="41">
        <f>C540+(((A541+A540)/2)*(B541-B540))</f>
        <v>4074.5197187006479</v>
      </c>
      <c r="D541" s="51">
        <f t="shared" si="24"/>
        <v>35692792.735817671</v>
      </c>
      <c r="E541" s="54">
        <f t="shared" si="25"/>
        <v>4955930.2328344155</v>
      </c>
      <c r="F541" s="53">
        <f>$K$4*B541</f>
        <v>39672679.511200011</v>
      </c>
      <c r="G541" s="51">
        <f t="shared" si="26"/>
        <v>396726.79511200014</v>
      </c>
      <c r="H541" s="52">
        <f>$K$3*D541</f>
        <v>8923198.1839544177</v>
      </c>
    </row>
    <row r="542" spans="1:8" ht="13.8" x14ac:dyDescent="0.25">
      <c r="A542" s="40">
        <v>0.49721189591078069</v>
      </c>
      <c r="B542" s="40">
        <v>4971.2459599000013</v>
      </c>
      <c r="C542" s="41">
        <f>C541+(((A542+A541)/2)*(B542-B541))</f>
        <v>4080.571974040332</v>
      </c>
      <c r="D542" s="51">
        <f t="shared" si="24"/>
        <v>35745810.492593303</v>
      </c>
      <c r="E542" s="54">
        <f t="shared" si="25"/>
        <v>4959455.8552283254</v>
      </c>
      <c r="F542" s="53">
        <f>$K$4*B542</f>
        <v>39769967.679200009</v>
      </c>
      <c r="G542" s="51">
        <f t="shared" si="26"/>
        <v>397699.67679200007</v>
      </c>
      <c r="H542" s="52">
        <f>$K$3*D542</f>
        <v>8936452.6231483258</v>
      </c>
    </row>
    <row r="543" spans="1:8" ht="13.8" x14ac:dyDescent="0.25">
      <c r="A543" s="41">
        <v>0.49628252788104088</v>
      </c>
      <c r="B543" s="41">
        <v>4972.7411674000004</v>
      </c>
      <c r="C543" s="41">
        <f>C542+(((A543+A542)/2)*(B543-B542))</f>
        <v>4081.3147141971626</v>
      </c>
      <c r="D543" s="51">
        <f t="shared" si="24"/>
        <v>35752316.896367148</v>
      </c>
      <c r="E543" s="54">
        <f t="shared" si="25"/>
        <v>4959886.2901717853</v>
      </c>
      <c r="F543" s="53">
        <f>$K$4*B543</f>
        <v>39781929.339200005</v>
      </c>
      <c r="G543" s="51">
        <f t="shared" si="26"/>
        <v>397819.29339200008</v>
      </c>
      <c r="H543" s="52">
        <f>$K$3*D543</f>
        <v>8938079.2240917869</v>
      </c>
    </row>
    <row r="544" spans="1:8" ht="13.8" x14ac:dyDescent="0.25">
      <c r="A544" s="40">
        <v>0.49535315985130113</v>
      </c>
      <c r="B544" s="40">
        <v>4975.8910711999997</v>
      </c>
      <c r="C544" s="41">
        <f>C543+(((A544+A543)/2)*(B544-B543))</f>
        <v>4082.8764927076641</v>
      </c>
      <c r="D544" s="51">
        <f t="shared" si="24"/>
        <v>35765998.076119132</v>
      </c>
      <c r="E544" s="54">
        <f t="shared" si="25"/>
        <v>4960786.6620697826</v>
      </c>
      <c r="F544" s="53">
        <f>$K$4*B544</f>
        <v>39807128.569600001</v>
      </c>
      <c r="G544" s="51">
        <f t="shared" si="26"/>
        <v>398071.28569600004</v>
      </c>
      <c r="H544" s="52">
        <f>$K$3*D544</f>
        <v>8941499.5190297831</v>
      </c>
    </row>
    <row r="545" spans="1:8" ht="13.8" x14ac:dyDescent="0.25">
      <c r="A545" s="41">
        <v>0.49442379182156132</v>
      </c>
      <c r="B545" s="41">
        <v>4989.0090250000003</v>
      </c>
      <c r="C545" s="41">
        <f>C544+(((A545+A544)/2)*(B545-B544))</f>
        <v>4089.3684168698392</v>
      </c>
      <c r="D545" s="51">
        <f t="shared" si="24"/>
        <v>35822867.331779793</v>
      </c>
      <c r="E545" s="54">
        <f t="shared" si="25"/>
        <v>4964509.6129449494</v>
      </c>
      <c r="F545" s="53">
        <f>$K$4*B545</f>
        <v>39912072.200000003</v>
      </c>
      <c r="G545" s="51">
        <f t="shared" si="26"/>
        <v>399120.72200000007</v>
      </c>
      <c r="H545" s="52">
        <f>$K$3*D545</f>
        <v>8955716.8329449482</v>
      </c>
    </row>
    <row r="546" spans="1:8" ht="13.8" x14ac:dyDescent="0.25">
      <c r="A546" s="40">
        <v>0.49349442379182157</v>
      </c>
      <c r="B546" s="40">
        <v>4997.6214202000001</v>
      </c>
      <c r="C546" s="41">
        <f>C545+(((A546+A545)/2)*(B546-B545))</f>
        <v>4093.6225879189096</v>
      </c>
      <c r="D546" s="51">
        <f t="shared" si="24"/>
        <v>35860133.870169647</v>
      </c>
      <c r="E546" s="54">
        <f t="shared" si="25"/>
        <v>4966936.3313824106</v>
      </c>
      <c r="F546" s="53">
        <f>$K$4*B546</f>
        <v>39980971.361600004</v>
      </c>
      <c r="G546" s="51">
        <f t="shared" si="26"/>
        <v>399809.71361600002</v>
      </c>
      <c r="H546" s="52">
        <f>$K$3*D546</f>
        <v>8965033.4675424118</v>
      </c>
    </row>
    <row r="547" spans="1:8" ht="13.8" x14ac:dyDescent="0.25">
      <c r="A547" s="41">
        <v>0.49256505576208176</v>
      </c>
      <c r="B547" s="41">
        <v>4999.6349663000001</v>
      </c>
      <c r="C547" s="41">
        <f>C546+(((A547+A546)/2)*(B547-B546))</f>
        <v>4094.6153260286214</v>
      </c>
      <c r="D547" s="51">
        <f t="shared" si="24"/>
        <v>35868830.256010726</v>
      </c>
      <c r="E547" s="54">
        <f t="shared" si="25"/>
        <v>4967499.5909626801</v>
      </c>
      <c r="F547" s="53">
        <f>$K$4*B547</f>
        <v>39997079.730400003</v>
      </c>
      <c r="G547" s="51">
        <f t="shared" si="26"/>
        <v>399970.79730400007</v>
      </c>
      <c r="H547" s="52">
        <f>$K$3*D547</f>
        <v>8967207.5640026815</v>
      </c>
    </row>
    <row r="548" spans="1:8" ht="13.8" x14ac:dyDescent="0.25">
      <c r="A548" s="40">
        <v>0.49163568773234201</v>
      </c>
      <c r="B548" s="40">
        <v>5014.4873607999998</v>
      </c>
      <c r="C548" s="41">
        <f>C547+(((A548+A547)/2)*(B548-B547))</f>
        <v>4101.9241948834078</v>
      </c>
      <c r="D548" s="51">
        <f t="shared" si="24"/>
        <v>35932855.947178654</v>
      </c>
      <c r="E548" s="54">
        <f t="shared" si="25"/>
        <v>4971624.0981546631</v>
      </c>
      <c r="F548" s="53">
        <f>$K$4*B548</f>
        <v>40115898.886399999</v>
      </c>
      <c r="G548" s="51">
        <f t="shared" si="26"/>
        <v>401158.98886400001</v>
      </c>
      <c r="H548" s="52">
        <f>$K$3*D548</f>
        <v>8983213.9867946636</v>
      </c>
    </row>
    <row r="549" spans="1:8" ht="13.8" x14ac:dyDescent="0.25">
      <c r="A549" s="41">
        <v>0.49070631970260226</v>
      </c>
      <c r="B549" s="41">
        <v>5016.6005873999993</v>
      </c>
      <c r="C549" s="41">
        <f>C548+(((A549+A548)/2)*(B549-B548))</f>
        <v>4102.962150513612</v>
      </c>
      <c r="D549" s="51">
        <f t="shared" si="24"/>
        <v>35941948.438499235</v>
      </c>
      <c r="E549" s="54">
        <f t="shared" si="25"/>
        <v>4972206.6397048086</v>
      </c>
      <c r="F549" s="53">
        <f>$K$4*B549</f>
        <v>40132804.699199997</v>
      </c>
      <c r="G549" s="51">
        <f t="shared" si="26"/>
        <v>401328.04699199996</v>
      </c>
      <c r="H549" s="52">
        <f>$K$3*D549</f>
        <v>8985487.1096248087</v>
      </c>
    </row>
    <row r="550" spans="1:8" ht="13.8" x14ac:dyDescent="0.25">
      <c r="A550" s="40">
        <v>0.48977695167286245</v>
      </c>
      <c r="B550" s="40">
        <v>5028.8413528000001</v>
      </c>
      <c r="C550" s="41">
        <f>C549+(((A550+A549)/2)*(B550-B549))</f>
        <v>4108.9630833653782</v>
      </c>
      <c r="D550" s="51">
        <f t="shared" si="24"/>
        <v>35994516.610280707</v>
      </c>
      <c r="E550" s="54">
        <f t="shared" si="25"/>
        <v>4975556.0703301765</v>
      </c>
      <c r="F550" s="53">
        <f>$K$4*B550</f>
        <v>40230730.822400004</v>
      </c>
      <c r="G550" s="51">
        <f t="shared" si="26"/>
        <v>402307.30822400004</v>
      </c>
      <c r="H550" s="52">
        <f>$K$3*D550</f>
        <v>8998629.1525701769</v>
      </c>
    </row>
    <row r="551" spans="1:8" ht="13.8" x14ac:dyDescent="0.25">
      <c r="A551" s="41">
        <v>0.4888475836431227</v>
      </c>
      <c r="B551" s="41">
        <v>5029.2400748</v>
      </c>
      <c r="C551" s="41">
        <f>C550+(((A551+A550)/2)*(B551-B550))</f>
        <v>4109.1581829313636</v>
      </c>
      <c r="D551" s="51">
        <f t="shared" si="24"/>
        <v>35996225.682478748</v>
      </c>
      <c r="E551" s="54">
        <f t="shared" si="25"/>
        <v>4975664.3607796878</v>
      </c>
      <c r="F551" s="53">
        <f>$K$4*B551</f>
        <v>40233920.598399997</v>
      </c>
      <c r="G551" s="51">
        <f t="shared" si="26"/>
        <v>402339.205984</v>
      </c>
      <c r="H551" s="52">
        <f>$K$3*D551</f>
        <v>8999056.4206196871</v>
      </c>
    </row>
    <row r="552" spans="1:8" ht="13.8" x14ac:dyDescent="0.25">
      <c r="A552" s="40">
        <v>0.48791821561338289</v>
      </c>
      <c r="B552" s="40">
        <v>5035.8588600000003</v>
      </c>
      <c r="C552" s="41">
        <f>C551+(((A552+A551)/2)*(B552-B551))</f>
        <v>4112.3906844393559</v>
      </c>
      <c r="D552" s="51">
        <f t="shared" si="24"/>
        <v>36024542.395688757</v>
      </c>
      <c r="E552" s="54">
        <f t="shared" si="25"/>
        <v>4977448.5109221898</v>
      </c>
      <c r="F552" s="53">
        <f>$K$4*B552</f>
        <v>40286870.880000003</v>
      </c>
      <c r="G552" s="51">
        <f t="shared" si="26"/>
        <v>402868.70880000002</v>
      </c>
      <c r="H552" s="52">
        <f>$K$3*D552</f>
        <v>9006135.5989221893</v>
      </c>
    </row>
    <row r="553" spans="1:8" ht="13.8" x14ac:dyDescent="0.25">
      <c r="A553" s="41">
        <v>0.48698884758364314</v>
      </c>
      <c r="B553" s="41">
        <v>5042.5175173999996</v>
      </c>
      <c r="C553" s="41">
        <f>C552+(((A553+A552)/2)*(B553-B552))</f>
        <v>4115.6364705046899</v>
      </c>
      <c r="D553" s="51">
        <f t="shared" si="24"/>
        <v>36052975.481621079</v>
      </c>
      <c r="E553" s="54">
        <f t="shared" si="25"/>
        <v>4979229.85648527</v>
      </c>
      <c r="F553" s="53">
        <f>$K$4*B553</f>
        <v>40340140.139199995</v>
      </c>
      <c r="G553" s="51">
        <f t="shared" si="26"/>
        <v>403401.40139199997</v>
      </c>
      <c r="H553" s="52">
        <f>$K$3*D553</f>
        <v>9013243.8704052698</v>
      </c>
    </row>
    <row r="554" spans="1:8" ht="13.8" x14ac:dyDescent="0.25">
      <c r="A554" s="40">
        <v>0.48605947955390333</v>
      </c>
      <c r="B554" s="40">
        <v>5053.9010305000002</v>
      </c>
      <c r="C554" s="41">
        <f>C553+(((A554+A553)/2)*(B554-B553))</f>
        <v>4121.1748246941415</v>
      </c>
      <c r="D554" s="51">
        <f t="shared" si="24"/>
        <v>36101491.464320675</v>
      </c>
      <c r="E554" s="54">
        <f t="shared" si="25"/>
        <v>4982252.0416801684</v>
      </c>
      <c r="F554" s="53">
        <f>$K$4*B554</f>
        <v>40431208.244000003</v>
      </c>
      <c r="G554" s="51">
        <f t="shared" si="26"/>
        <v>404312.08244000003</v>
      </c>
      <c r="H554" s="52">
        <f>$K$3*D554</f>
        <v>9025372.8660801686</v>
      </c>
    </row>
    <row r="555" spans="1:8" ht="13.8" x14ac:dyDescent="0.25">
      <c r="A555" s="41">
        <v>0.48513011152416358</v>
      </c>
      <c r="B555" s="41">
        <v>5055.0971965000008</v>
      </c>
      <c r="C555" s="41">
        <f>C554+(((A555+A554)/2)*(B555-B554))</f>
        <v>4121.7556766783428</v>
      </c>
      <c r="D555" s="51">
        <f t="shared" si="24"/>
        <v>36106579.727702282</v>
      </c>
      <c r="E555" s="54">
        <f t="shared" si="25"/>
        <v>4982567.1747255698</v>
      </c>
      <c r="F555" s="53">
        <f>$K$4*B555</f>
        <v>40440777.572000004</v>
      </c>
      <c r="G555" s="51">
        <f t="shared" si="26"/>
        <v>404407.77572000003</v>
      </c>
      <c r="H555" s="52">
        <f>$K$3*D555</f>
        <v>9026644.9319255706</v>
      </c>
    </row>
    <row r="556" spans="1:8" ht="13.8" x14ac:dyDescent="0.25">
      <c r="A556" s="40">
        <v>0.48420074349442377</v>
      </c>
      <c r="B556" s="40">
        <v>5055.8946404999997</v>
      </c>
      <c r="C556" s="41">
        <f>C555+(((A556+A555)/2)*(B556-B555))</f>
        <v>4122.1421702155167</v>
      </c>
      <c r="D556" s="51">
        <f t="shared" si="24"/>
        <v>36109965.411087923</v>
      </c>
      <c r="E556" s="54">
        <f t="shared" si="25"/>
        <v>4982775.6403719801</v>
      </c>
      <c r="F556" s="53">
        <f>$K$4*B556</f>
        <v>40447157.123999998</v>
      </c>
      <c r="G556" s="51">
        <f t="shared" si="26"/>
        <v>404471.57123999996</v>
      </c>
      <c r="H556" s="52">
        <f>$K$3*D556</f>
        <v>9027491.3527719807</v>
      </c>
    </row>
    <row r="557" spans="1:8" ht="13.8" x14ac:dyDescent="0.25">
      <c r="A557" s="41">
        <v>0.48327137546468402</v>
      </c>
      <c r="B557" s="41">
        <v>5063.4902945999993</v>
      </c>
      <c r="C557" s="41">
        <f>C556+(((A557+A556)/2)*(B557-B556))</f>
        <v>4125.8164619990202</v>
      </c>
      <c r="D557" s="51">
        <f t="shared" si="24"/>
        <v>36142152.207111418</v>
      </c>
      <c r="E557" s="54">
        <f t="shared" si="25"/>
        <v>4984745.8160978556</v>
      </c>
      <c r="F557" s="53">
        <f>$K$4*B557</f>
        <v>40507922.356799997</v>
      </c>
      <c r="G557" s="51">
        <f t="shared" si="26"/>
        <v>405079.22356799996</v>
      </c>
      <c r="H557" s="52">
        <f>$K$3*D557</f>
        <v>9035538.0517778546</v>
      </c>
    </row>
    <row r="558" spans="1:8" ht="13.8" x14ac:dyDescent="0.25">
      <c r="A558" s="40">
        <v>0.48234200743494426</v>
      </c>
      <c r="B558" s="40">
        <v>5079.6784078000001</v>
      </c>
      <c r="C558" s="41">
        <f>C557+(((A558+A557)/2)*(B558-B557))</f>
        <v>4133.6321913739275</v>
      </c>
      <c r="D558" s="51">
        <f t="shared" si="24"/>
        <v>36210617.996435605</v>
      </c>
      <c r="E558" s="54">
        <f t="shared" si="25"/>
        <v>4988911.7728689006</v>
      </c>
      <c r="F558" s="53">
        <f>$K$4*B558</f>
        <v>40637427.262400001</v>
      </c>
      <c r="G558" s="51">
        <f t="shared" si="26"/>
        <v>406374.27262400003</v>
      </c>
      <c r="H558" s="52">
        <f>$K$3*D558</f>
        <v>9052654.4991089012</v>
      </c>
    </row>
    <row r="559" spans="1:8" ht="13.8" x14ac:dyDescent="0.25">
      <c r="A559" s="41">
        <v>0.48141263940520446</v>
      </c>
      <c r="B559" s="41">
        <v>5085.6791739</v>
      </c>
      <c r="C559" s="41">
        <f>C558+(((A559+A558)/2)*(B559-B558))</f>
        <v>4136.5238244806651</v>
      </c>
      <c r="D559" s="51">
        <f t="shared" si="24"/>
        <v>36235948.702450626</v>
      </c>
      <c r="E559" s="54">
        <f t="shared" si="25"/>
        <v>4990443.8364926567</v>
      </c>
      <c r="F559" s="53">
        <f>$K$4*B559</f>
        <v>40685433.391199999</v>
      </c>
      <c r="G559" s="51">
        <f t="shared" si="26"/>
        <v>406854.333912</v>
      </c>
      <c r="H559" s="52">
        <f>$K$3*D559</f>
        <v>9058987.1756126564</v>
      </c>
    </row>
    <row r="560" spans="1:8" ht="13.8" x14ac:dyDescent="0.25">
      <c r="A560" s="40">
        <v>0.4804832713754647</v>
      </c>
      <c r="B560" s="40">
        <v>5091.5603234000009</v>
      </c>
      <c r="C560" s="41">
        <f>C559+(((A560+A559)/2)*(B560-B559))</f>
        <v>4139.3523513080354</v>
      </c>
      <c r="D560" s="51">
        <f t="shared" si="24"/>
        <v>36260726.597458385</v>
      </c>
      <c r="E560" s="54">
        <f t="shared" si="25"/>
        <v>4991933.390644595</v>
      </c>
      <c r="F560" s="53">
        <f>$K$4*B560</f>
        <v>40732482.587200008</v>
      </c>
      <c r="G560" s="51">
        <f t="shared" si="26"/>
        <v>407324.82587200007</v>
      </c>
      <c r="H560" s="52">
        <f>$K$3*D560</f>
        <v>9065181.6493645962</v>
      </c>
    </row>
    <row r="561" spans="1:8" ht="13.8" x14ac:dyDescent="0.25">
      <c r="A561" s="41">
        <v>0.4795539033457249</v>
      </c>
      <c r="B561" s="41">
        <v>5097.6607700000004</v>
      </c>
      <c r="C561" s="41">
        <f>C560+(((A561+A560)/2)*(B561-B560))</f>
        <v>4142.2806790672357</v>
      </c>
      <c r="D561" s="51">
        <f t="shared" si="24"/>
        <v>36286378.748628981</v>
      </c>
      <c r="E561" s="54">
        <f t="shared" si="25"/>
        <v>4993466.071157245</v>
      </c>
      <c r="F561" s="53">
        <f>$K$4*B561</f>
        <v>40781286.160000004</v>
      </c>
      <c r="G561" s="51">
        <f t="shared" si="26"/>
        <v>407812.86160000006</v>
      </c>
      <c r="H561" s="52">
        <f>$K$3*D561</f>
        <v>9071594.6871572454</v>
      </c>
    </row>
    <row r="562" spans="1:8" ht="13.8" x14ac:dyDescent="0.25">
      <c r="A562" s="40">
        <v>0.47862453531598514</v>
      </c>
      <c r="B562" s="40">
        <v>5100.1727185999998</v>
      </c>
      <c r="C562" s="41">
        <f>C561+(((A562+A561)/2)*(B562-B561))</f>
        <v>4143.4841265610085</v>
      </c>
      <c r="D562" s="51">
        <f t="shared" si="24"/>
        <v>36296920.948674433</v>
      </c>
      <c r="E562" s="54">
        <f t="shared" si="25"/>
        <v>4994092.0622886084</v>
      </c>
      <c r="F562" s="53">
        <f>$K$4*B562</f>
        <v>40801381.748800002</v>
      </c>
      <c r="G562" s="51">
        <f t="shared" si="26"/>
        <v>408013.81748800003</v>
      </c>
      <c r="H562" s="52">
        <f>$K$3*D562</f>
        <v>9074230.2371686082</v>
      </c>
    </row>
    <row r="563" spans="1:8" ht="13.8" x14ac:dyDescent="0.25">
      <c r="A563" s="41">
        <v>0.47769516728624534</v>
      </c>
      <c r="B563" s="41">
        <v>5101.3688846000005</v>
      </c>
      <c r="C563" s="41">
        <f>C562+(((A563+A562)/2)*(B563-B562))</f>
        <v>4144.0560851177006</v>
      </c>
      <c r="D563" s="51">
        <f t="shared" si="24"/>
        <v>36301931.305631056</v>
      </c>
      <c r="E563" s="54">
        <f t="shared" si="25"/>
        <v>4994387.7187277637</v>
      </c>
      <c r="F563" s="53">
        <f>$K$4*B563</f>
        <v>40810951.076800004</v>
      </c>
      <c r="G563" s="51">
        <f t="shared" si="26"/>
        <v>408109.51076800004</v>
      </c>
      <c r="H563" s="52">
        <f>$K$3*D563</f>
        <v>9075482.8264077641</v>
      </c>
    </row>
    <row r="564" spans="1:8" ht="13.8" x14ac:dyDescent="0.25">
      <c r="A564" s="40">
        <v>0.47676579925650558</v>
      </c>
      <c r="B564" s="40">
        <v>5113.3504807000008</v>
      </c>
      <c r="C564" s="41">
        <f>C563+(((A564+A563)/2)*(B564-B563))</f>
        <v>4149.7740680148663</v>
      </c>
      <c r="D564" s="51">
        <f t="shared" si="24"/>
        <v>36352020.835810229</v>
      </c>
      <c r="E564" s="54">
        <f t="shared" si="25"/>
        <v>4997324.8243925562</v>
      </c>
      <c r="F564" s="53">
        <f>$K$4*B564</f>
        <v>40906803.845600009</v>
      </c>
      <c r="G564" s="51">
        <f t="shared" si="26"/>
        <v>409068.0384560001</v>
      </c>
      <c r="H564" s="52">
        <f>$K$3*D564</f>
        <v>9088005.2089525573</v>
      </c>
    </row>
    <row r="565" spans="1:8" ht="13.8" x14ac:dyDescent="0.25">
      <c r="A565" s="41">
        <v>0.47583643122676578</v>
      </c>
      <c r="B565" s="41">
        <v>5129.5585300000002</v>
      </c>
      <c r="C565" s="41">
        <f>C564+(((A565+A564)/2)*(B565-B564))</f>
        <v>4157.493979972347</v>
      </c>
      <c r="D565" s="51">
        <f t="shared" si="24"/>
        <v>36419647.264557756</v>
      </c>
      <c r="E565" s="54">
        <f t="shared" si="25"/>
        <v>5001264.99213944</v>
      </c>
      <c r="F565" s="53">
        <f>$K$4*B565</f>
        <v>41036468.240000002</v>
      </c>
      <c r="G565" s="51">
        <f t="shared" si="26"/>
        <v>410364.68240000005</v>
      </c>
      <c r="H565" s="52">
        <f>$K$3*D565</f>
        <v>9104911.8161394391</v>
      </c>
    </row>
    <row r="566" spans="1:8" ht="13.8" x14ac:dyDescent="0.25">
      <c r="A566" s="40">
        <v>0.47490706319702602</v>
      </c>
      <c r="B566" s="40">
        <v>5144.4906688999999</v>
      </c>
      <c r="C566" s="41">
        <f>C565+(((A566+A565)/2)*(B566-B565))</f>
        <v>4164.5922969308504</v>
      </c>
      <c r="D566" s="51">
        <f t="shared" si="24"/>
        <v>36481828.521114253</v>
      </c>
      <c r="E566" s="54">
        <f t="shared" si="25"/>
        <v>5004864.5951585621</v>
      </c>
      <c r="F566" s="53">
        <f>$K$4*B566</f>
        <v>41155925.351199999</v>
      </c>
      <c r="G566" s="51">
        <f t="shared" si="26"/>
        <v>411559.25351200002</v>
      </c>
      <c r="H566" s="52">
        <f>$K$3*D566</f>
        <v>9120457.1302785631</v>
      </c>
    </row>
    <row r="567" spans="1:8" ht="13.8" x14ac:dyDescent="0.25">
      <c r="A567" s="41">
        <v>0.47397769516728627</v>
      </c>
      <c r="B567" s="41">
        <v>5145.7267070999997</v>
      </c>
      <c r="C567" s="41">
        <f>C566+(((A567+A566)/2)*(B567-B566))</f>
        <v>4165.1787258352178</v>
      </c>
      <c r="D567" s="51">
        <f t="shared" si="24"/>
        <v>36486965.638316505</v>
      </c>
      <c r="E567" s="54">
        <f t="shared" si="25"/>
        <v>5005160.0438991264</v>
      </c>
      <c r="F567" s="53">
        <f>$K$4*B567</f>
        <v>41165813.656799994</v>
      </c>
      <c r="G567" s="51">
        <f t="shared" si="26"/>
        <v>411658.13656799996</v>
      </c>
      <c r="H567" s="52">
        <f>$K$3*D567</f>
        <v>9121741.4095791262</v>
      </c>
    </row>
    <row r="568" spans="1:8" ht="13.8" x14ac:dyDescent="0.25">
      <c r="A568" s="40">
        <v>0.47304832713754646</v>
      </c>
      <c r="B568" s="40">
        <v>5146.0855568999996</v>
      </c>
      <c r="C568" s="41">
        <f>C567+(((A568+A567)/2)*(B568-B567))</f>
        <v>4165.3486458845673</v>
      </c>
      <c r="D568" s="51">
        <f t="shared" si="24"/>
        <v>36488454.137948811</v>
      </c>
      <c r="E568" s="54">
        <f t="shared" si="25"/>
        <v>5005245.0889672041</v>
      </c>
      <c r="F568" s="53">
        <f>$K$4*B568</f>
        <v>41168684.455199994</v>
      </c>
      <c r="G568" s="51">
        <f t="shared" si="26"/>
        <v>411686.84455199994</v>
      </c>
      <c r="H568" s="52">
        <f>$K$3*D568</f>
        <v>9122113.5344872028</v>
      </c>
    </row>
    <row r="569" spans="1:8" ht="13.8" x14ac:dyDescent="0.25">
      <c r="A569" s="41">
        <v>0.47211895910780671</v>
      </c>
      <c r="B569" s="41">
        <v>5151.5480483000001</v>
      </c>
      <c r="C569" s="41">
        <f>C568+(((A569+A568)/2)*(B569-B568))</f>
        <v>4167.9301299709059</v>
      </c>
      <c r="D569" s="51">
        <f t="shared" si="24"/>
        <v>36511067.938545138</v>
      </c>
      <c r="E569" s="54">
        <f t="shared" si="25"/>
        <v>5006528.545996285</v>
      </c>
      <c r="F569" s="53">
        <f>$K$4*B569</f>
        <v>41212384.386399999</v>
      </c>
      <c r="G569" s="51">
        <f t="shared" si="26"/>
        <v>412123.84386399999</v>
      </c>
      <c r="H569" s="52">
        <f>$K$3*D569</f>
        <v>9127766.9846362844</v>
      </c>
    </row>
    <row r="570" spans="1:8" ht="13.8" x14ac:dyDescent="0.25">
      <c r="A570" s="40">
        <v>0.47118959107806691</v>
      </c>
      <c r="B570" s="40">
        <v>5173.9562247000003</v>
      </c>
      <c r="C570" s="41">
        <f>C569+(((A570+A569)/2)*(B570-B569))</f>
        <v>4178.4990421670027</v>
      </c>
      <c r="D570" s="51">
        <f t="shared" si="24"/>
        <v>36603651.609382942</v>
      </c>
      <c r="E570" s="54">
        <f t="shared" si="25"/>
        <v>5011747.922585736</v>
      </c>
      <c r="F570" s="53">
        <f>$K$4*B570</f>
        <v>41391649.797600001</v>
      </c>
      <c r="G570" s="51">
        <f t="shared" si="26"/>
        <v>413916.49797600001</v>
      </c>
      <c r="H570" s="52">
        <f>$K$3*D570</f>
        <v>9150912.9023457356</v>
      </c>
    </row>
    <row r="571" spans="1:8" ht="13.8" x14ac:dyDescent="0.25">
      <c r="A571" s="41">
        <v>0.47026022304832715</v>
      </c>
      <c r="B571" s="41">
        <v>5178.2823584000007</v>
      </c>
      <c r="C571" s="41">
        <f>C570+(((A571+A570)/2)*(B571-B570))</f>
        <v>4180.5354610508784</v>
      </c>
      <c r="D571" s="51">
        <f t="shared" si="24"/>
        <v>36621490.638805695</v>
      </c>
      <c r="E571" s="54">
        <f t="shared" si="25"/>
        <v>5012746.772981423</v>
      </c>
      <c r="F571" s="53">
        <f>$K$4*B571</f>
        <v>41426258.867200002</v>
      </c>
      <c r="G571" s="51">
        <f t="shared" si="26"/>
        <v>414262.58867200004</v>
      </c>
      <c r="H571" s="52">
        <f>$K$3*D571</f>
        <v>9155372.6597014237</v>
      </c>
    </row>
    <row r="572" spans="1:8" ht="13.8" x14ac:dyDescent="0.25">
      <c r="A572" s="40">
        <v>0.46933085501858735</v>
      </c>
      <c r="B572" s="40">
        <v>5179.9769269000017</v>
      </c>
      <c r="C572" s="41">
        <f>C571+(((A572+A571)/2)*(B572-B571))</f>
        <v>4181.3315617727658</v>
      </c>
      <c r="D572" s="51">
        <f t="shared" si="24"/>
        <v>36628464.48112943</v>
      </c>
      <c r="E572" s="54">
        <f t="shared" si="25"/>
        <v>5013134.5787623562</v>
      </c>
      <c r="F572" s="53">
        <f>$K$4*B572</f>
        <v>41439815.41520001</v>
      </c>
      <c r="G572" s="51">
        <f t="shared" si="26"/>
        <v>414398.15415200009</v>
      </c>
      <c r="H572" s="52">
        <f>$K$3*D572</f>
        <v>9157116.1202823576</v>
      </c>
    </row>
    <row r="573" spans="1:8" ht="13.8" x14ac:dyDescent="0.25">
      <c r="A573" s="41">
        <v>0.46840148698884759</v>
      </c>
      <c r="B573" s="41">
        <v>5181.9705368999994</v>
      </c>
      <c r="C573" s="41">
        <f>C572+(((A573+A572)/2)*(B573-B572))</f>
        <v>4182.2662980599398</v>
      </c>
      <c r="D573" s="51">
        <f t="shared" si="24"/>
        <v>36636652.771005072</v>
      </c>
      <c r="E573" s="54">
        <f t="shared" si="25"/>
        <v>5013586.7632312682</v>
      </c>
      <c r="F573" s="53">
        <f>$K$4*B573</f>
        <v>41455764.295199998</v>
      </c>
      <c r="G573" s="51">
        <f t="shared" si="26"/>
        <v>414557.64295199997</v>
      </c>
      <c r="H573" s="52">
        <f>$K$3*D573</f>
        <v>9159163.1927512679</v>
      </c>
    </row>
    <row r="574" spans="1:8" ht="13.8" x14ac:dyDescent="0.25">
      <c r="A574" s="40">
        <v>0.46747211895910779</v>
      </c>
      <c r="B574" s="40">
        <v>5200.2718767000006</v>
      </c>
      <c r="C574" s="41">
        <f>C573+(((A574+A573)/2)*(B574-B573))</f>
        <v>4190.8301684960925</v>
      </c>
      <c r="D574" s="51">
        <f t="shared" si="24"/>
        <v>36711672.276025765</v>
      </c>
      <c r="E574" s="54">
        <f t="shared" si="25"/>
        <v>5017700.5676464401</v>
      </c>
      <c r="F574" s="53">
        <f>$K$4*B574</f>
        <v>41602175.013600007</v>
      </c>
      <c r="G574" s="51">
        <f t="shared" si="26"/>
        <v>416021.7501360001</v>
      </c>
      <c r="H574" s="52">
        <f>$K$3*D574</f>
        <v>9177918.0690064412</v>
      </c>
    </row>
    <row r="575" spans="1:8" ht="13.8" x14ac:dyDescent="0.25">
      <c r="A575" s="41">
        <v>0.46654275092936803</v>
      </c>
      <c r="B575" s="41">
        <v>5227.9431835000005</v>
      </c>
      <c r="C575" s="41">
        <f>C574+(((A575+A574)/2)*(B575-B574))</f>
        <v>4203.7528745063155</v>
      </c>
      <c r="D575" s="51">
        <f t="shared" si="24"/>
        <v>36824875.18067532</v>
      </c>
      <c r="E575" s="54">
        <f t="shared" si="25"/>
        <v>5023864.2483688304</v>
      </c>
      <c r="F575" s="53">
        <f>$K$4*B575</f>
        <v>41823545.468000002</v>
      </c>
      <c r="G575" s="51">
        <f t="shared" si="26"/>
        <v>418235.45468000002</v>
      </c>
      <c r="H575" s="52">
        <f>$K$3*D575</f>
        <v>9206218.7951688301</v>
      </c>
    </row>
    <row r="576" spans="1:8" ht="13.8" x14ac:dyDescent="0.25">
      <c r="A576" s="40">
        <v>0.46561338289962823</v>
      </c>
      <c r="B576" s="40">
        <v>5244.9088046000006</v>
      </c>
      <c r="C576" s="41">
        <f>C575+(((A576+A575)/2)*(B576-B575))</f>
        <v>4211.6601783926071</v>
      </c>
      <c r="D576" s="51">
        <f t="shared" si="24"/>
        <v>36894143.162719235</v>
      </c>
      <c r="E576" s="54">
        <f t="shared" si="25"/>
        <v>5027608.7469998077</v>
      </c>
      <c r="F576" s="53">
        <f>$K$4*B576</f>
        <v>41959270.436800003</v>
      </c>
      <c r="G576" s="51">
        <f t="shared" si="26"/>
        <v>419592.70436800004</v>
      </c>
      <c r="H576" s="52">
        <f>$K$3*D576</f>
        <v>9223535.7906798087</v>
      </c>
    </row>
    <row r="577" spans="1:8" ht="13.8" x14ac:dyDescent="0.25">
      <c r="A577" s="41">
        <v>0.46468401486988847</v>
      </c>
      <c r="B577" s="41">
        <v>5253.9199218000003</v>
      </c>
      <c r="C577" s="41">
        <f>C576+(((A577+A576)/2)*(B577-B576))</f>
        <v>4215.851687833685</v>
      </c>
      <c r="D577" s="51">
        <f t="shared" si="24"/>
        <v>36930860.785423078</v>
      </c>
      <c r="E577" s="54">
        <f t="shared" si="25"/>
        <v>5029579.2589157689</v>
      </c>
      <c r="F577" s="53">
        <f>$K$4*B577</f>
        <v>42031359.374400005</v>
      </c>
      <c r="G577" s="51">
        <f t="shared" si="26"/>
        <v>420313.59374400007</v>
      </c>
      <c r="H577" s="52">
        <f>$K$3*D577</f>
        <v>9232715.1963557694</v>
      </c>
    </row>
    <row r="578" spans="1:8" ht="13.8" x14ac:dyDescent="0.25">
      <c r="A578" s="40">
        <v>0.46375464684014872</v>
      </c>
      <c r="B578" s="40">
        <v>5260.5387070000006</v>
      </c>
      <c r="C578" s="41">
        <f>C577+(((A578+A577)/2)*(B578-B577))</f>
        <v>4218.9242558703027</v>
      </c>
      <c r="D578" s="51">
        <f t="shared" si="24"/>
        <v>36957776.481423855</v>
      </c>
      <c r="E578" s="54">
        <f t="shared" si="25"/>
        <v>5031013.1547559639</v>
      </c>
      <c r="F578" s="53">
        <f>$K$4*B578</f>
        <v>42084309.656000003</v>
      </c>
      <c r="G578" s="51">
        <f t="shared" si="26"/>
        <v>420843.09656000003</v>
      </c>
      <c r="H578" s="52">
        <f>$K$3*D578</f>
        <v>9239444.1203559637</v>
      </c>
    </row>
    <row r="579" spans="1:8" ht="13.8" x14ac:dyDescent="0.25">
      <c r="A579" s="41">
        <v>0.46282527881040891</v>
      </c>
      <c r="B579" s="41">
        <v>5270.6263736000019</v>
      </c>
      <c r="C579" s="41">
        <f>C578+(((A579+A578)/2)*(B579-B578))</f>
        <v>4223.597770554411</v>
      </c>
      <c r="D579" s="51">
        <f t="shared" ref="D579:D642" si="27">C579*24*365</f>
        <v>36998716.470056646</v>
      </c>
      <c r="E579" s="54">
        <f t="shared" ref="E579:E642" si="28">H579-G579-(F579*$K$5)</f>
        <v>5033178.01863416</v>
      </c>
      <c r="F579" s="53">
        <f>$K$4*B579</f>
        <v>42165010.988800012</v>
      </c>
      <c r="G579" s="51">
        <f t="shared" ref="G579:G642" si="29">F579*0.01</f>
        <v>421650.10988800012</v>
      </c>
      <c r="H579" s="52">
        <f>$K$3*D579</f>
        <v>9249679.1175141614</v>
      </c>
    </row>
    <row r="580" spans="1:8" ht="13.8" x14ac:dyDescent="0.25">
      <c r="A580" s="40">
        <v>0.46189591078066916</v>
      </c>
      <c r="B580" s="40">
        <v>5312.0934616000022</v>
      </c>
      <c r="C580" s="41">
        <f>C579+(((A580+A579)/2)*(B580-B579))</f>
        <v>4242.7705180265302</v>
      </c>
      <c r="D580" s="51">
        <f t="shared" si="27"/>
        <v>37166669.737912409</v>
      </c>
      <c r="E580" s="54">
        <f t="shared" si="28"/>
        <v>5041992.6651981017</v>
      </c>
      <c r="F580" s="53">
        <f>$K$4*B580</f>
        <v>42496747.692800015</v>
      </c>
      <c r="G580" s="51">
        <f t="shared" si="29"/>
        <v>424967.47692800016</v>
      </c>
      <c r="H580" s="52">
        <f>$K$3*D580</f>
        <v>9291667.4344781023</v>
      </c>
    </row>
    <row r="581" spans="1:8" ht="13.8" x14ac:dyDescent="0.25">
      <c r="A581" s="41">
        <v>0.46096654275092935</v>
      </c>
      <c r="B581" s="41">
        <v>5312.9905860999997</v>
      </c>
      <c r="C581" s="41">
        <f>C580+(((A581+A580)/2)*(B581-B580))</f>
        <v>4243.1844792851261</v>
      </c>
      <c r="D581" s="51">
        <f t="shared" si="27"/>
        <v>37170296.038537703</v>
      </c>
      <c r="E581" s="54">
        <f t="shared" si="28"/>
        <v>5042181.5407544253</v>
      </c>
      <c r="F581" s="53">
        <f>$K$4*B581</f>
        <v>42503924.6888</v>
      </c>
      <c r="G581" s="51">
        <f t="shared" si="29"/>
        <v>425039.24688799999</v>
      </c>
      <c r="H581" s="52">
        <f>$K$3*D581</f>
        <v>9292574.0096344259</v>
      </c>
    </row>
    <row r="582" spans="1:8" ht="13.8" x14ac:dyDescent="0.25">
      <c r="A582" s="40">
        <v>0.4600371747211896</v>
      </c>
      <c r="B582" s="40">
        <v>5323.1380609999997</v>
      </c>
      <c r="C582" s="41">
        <f>C581+(((A582+A581)/2)*(B582-B581))</f>
        <v>4247.8574103380533</v>
      </c>
      <c r="D582" s="51">
        <f t="shared" si="27"/>
        <v>37211230.914561354</v>
      </c>
      <c r="E582" s="54">
        <f t="shared" si="28"/>
        <v>5044297.279840338</v>
      </c>
      <c r="F582" s="53">
        <f>$K$4*B582</f>
        <v>42585104.487999998</v>
      </c>
      <c r="G582" s="51">
        <f t="shared" si="29"/>
        <v>425851.04488</v>
      </c>
      <c r="H582" s="52">
        <f>$K$3*D582</f>
        <v>9302807.7286403384</v>
      </c>
    </row>
    <row r="583" spans="1:8" ht="13.8" x14ac:dyDescent="0.25">
      <c r="A583" s="41">
        <v>0.45910780669144979</v>
      </c>
      <c r="B583" s="41">
        <v>5329.4976769000004</v>
      </c>
      <c r="C583" s="41">
        <f>C582+(((A583+A582)/2)*(B583-B582))</f>
        <v>4250.7801148571525</v>
      </c>
      <c r="D583" s="51">
        <f t="shared" si="27"/>
        <v>37236833.806148656</v>
      </c>
      <c r="E583" s="54">
        <f t="shared" si="28"/>
        <v>5045610.3100171629</v>
      </c>
      <c r="F583" s="53">
        <f>$K$4*B583</f>
        <v>42635981.415200002</v>
      </c>
      <c r="G583" s="51">
        <f t="shared" si="29"/>
        <v>426359.81415200001</v>
      </c>
      <c r="H583" s="52">
        <f>$K$3*D583</f>
        <v>9309208.4515371639</v>
      </c>
    </row>
    <row r="584" spans="1:8" ht="13.8" x14ac:dyDescent="0.25">
      <c r="A584" s="40">
        <v>0.45817843866171004</v>
      </c>
      <c r="B584" s="40">
        <v>5338.3094331000011</v>
      </c>
      <c r="C584" s="41">
        <f>C583+(((A584+A583)/2)*(B584-B583))</f>
        <v>4254.8215662369857</v>
      </c>
      <c r="D584" s="51">
        <f t="shared" si="27"/>
        <v>37272236.920235991</v>
      </c>
      <c r="E584" s="54">
        <f t="shared" si="28"/>
        <v>5047411.6835789979</v>
      </c>
      <c r="F584" s="53">
        <f>$K$4*B584</f>
        <v>42706475.464800008</v>
      </c>
      <c r="G584" s="51">
        <f t="shared" si="29"/>
        <v>427064.75464800006</v>
      </c>
      <c r="H584" s="52">
        <f>$K$3*D584</f>
        <v>9318059.2300589979</v>
      </c>
    </row>
    <row r="585" spans="1:8" ht="13.8" x14ac:dyDescent="0.25">
      <c r="A585" s="41">
        <v>0.45724907063197023</v>
      </c>
      <c r="B585" s="41">
        <v>5343.4330108000004</v>
      </c>
      <c r="C585" s="41">
        <f>C584+(((A585+A584)/2)*(B585-B584))</f>
        <v>4257.1666982232773</v>
      </c>
      <c r="D585" s="51">
        <f t="shared" si="27"/>
        <v>37292780.276435904</v>
      </c>
      <c r="E585" s="54">
        <f t="shared" si="28"/>
        <v>5048448.6604689769</v>
      </c>
      <c r="F585" s="53">
        <f>$K$4*B585</f>
        <v>42747464.086400002</v>
      </c>
      <c r="G585" s="51">
        <f t="shared" si="29"/>
        <v>427474.64086400002</v>
      </c>
      <c r="H585" s="52">
        <f>$K$3*D585</f>
        <v>9323195.0691089761</v>
      </c>
    </row>
    <row r="586" spans="1:8" ht="13.8" x14ac:dyDescent="0.25">
      <c r="A586" s="40">
        <v>0.45631970260223048</v>
      </c>
      <c r="B586" s="40">
        <v>5346.0047676999993</v>
      </c>
      <c r="C586" s="41">
        <f>C585+(((A586+A585)/2)*(B586-B585))</f>
        <v>4258.3414366213719</v>
      </c>
      <c r="D586" s="51">
        <f t="shared" si="27"/>
        <v>37303070.984803215</v>
      </c>
      <c r="E586" s="54">
        <f t="shared" si="28"/>
        <v>5048963.9320408031</v>
      </c>
      <c r="F586" s="53">
        <f>$K$4*B586</f>
        <v>42768038.141599998</v>
      </c>
      <c r="G586" s="51">
        <f t="shared" si="29"/>
        <v>427680.38141599996</v>
      </c>
      <c r="H586" s="52">
        <f>$K$3*D586</f>
        <v>9325767.7462008037</v>
      </c>
    </row>
    <row r="587" spans="1:8" ht="13.8" x14ac:dyDescent="0.25">
      <c r="A587" s="41">
        <v>0.45539033457249073</v>
      </c>
      <c r="B587" s="41">
        <v>5362.1330725999987</v>
      </c>
      <c r="C587" s="41">
        <f>C586+(((A587+A586)/2)*(B587-B586))</f>
        <v>4265.6936053513436</v>
      </c>
      <c r="D587" s="51">
        <f t="shared" si="27"/>
        <v>37367475.982877769</v>
      </c>
      <c r="E587" s="54">
        <f t="shared" si="28"/>
        <v>5052162.5376394428</v>
      </c>
      <c r="F587" s="53">
        <f>$K$4*B587</f>
        <v>42897064.580799989</v>
      </c>
      <c r="G587" s="51">
        <f t="shared" si="29"/>
        <v>428970.64580799988</v>
      </c>
      <c r="H587" s="52">
        <f>$K$3*D587</f>
        <v>9341868.9957194421</v>
      </c>
    </row>
    <row r="588" spans="1:8" ht="13.8" x14ac:dyDescent="0.25">
      <c r="A588" s="40">
        <v>0.45446096654275092</v>
      </c>
      <c r="B588" s="40">
        <v>5371.2438702999998</v>
      </c>
      <c r="C588" s="41">
        <f>C587+(((A588+A587)/2)*(B588-B587))</f>
        <v>4269.8383409221151</v>
      </c>
      <c r="D588" s="51">
        <f t="shared" si="27"/>
        <v>37403783.866477728</v>
      </c>
      <c r="E588" s="54">
        <f t="shared" si="28"/>
        <v>5053950.8703794312</v>
      </c>
      <c r="F588" s="53">
        <f>$K$4*B588</f>
        <v>42969950.962399997</v>
      </c>
      <c r="G588" s="51">
        <f t="shared" si="29"/>
        <v>429699.509624</v>
      </c>
      <c r="H588" s="52">
        <f>$K$3*D588</f>
        <v>9350945.966619432</v>
      </c>
    </row>
    <row r="589" spans="1:8" ht="13.8" x14ac:dyDescent="0.25">
      <c r="A589" s="41">
        <v>0.45353159851301117</v>
      </c>
      <c r="B589" s="41">
        <v>5384.6808016999994</v>
      </c>
      <c r="C589" s="41">
        <f>C588+(((A589+A588)/2)*(B589-B588))</f>
        <v>4275.9386578262975</v>
      </c>
      <c r="D589" s="51">
        <f t="shared" si="27"/>
        <v>37457222.642558366</v>
      </c>
      <c r="E589" s="54">
        <f t="shared" si="28"/>
        <v>5056561.0192795917</v>
      </c>
      <c r="F589" s="53">
        <f>$K$4*B589</f>
        <v>43077446.413599998</v>
      </c>
      <c r="G589" s="51">
        <f t="shared" si="29"/>
        <v>430774.46413599997</v>
      </c>
      <c r="H589" s="52">
        <f>$K$3*D589</f>
        <v>9364305.6606395915</v>
      </c>
    </row>
    <row r="590" spans="1:8" ht="13.8" x14ac:dyDescent="0.25">
      <c r="A590" s="40">
        <v>0.45260223048327136</v>
      </c>
      <c r="B590" s="40">
        <v>5387.8307055000005</v>
      </c>
      <c r="C590" s="41">
        <f>C589+(((A590+A589)/2)*(B590-B589))</f>
        <v>4277.3657750219299</v>
      </c>
      <c r="D590" s="51">
        <f t="shared" si="27"/>
        <v>37469724.189192109</v>
      </c>
      <c r="E590" s="54">
        <f t="shared" si="28"/>
        <v>5057166.4828980267</v>
      </c>
      <c r="F590" s="53">
        <f>$K$4*B590</f>
        <v>43102645.644000001</v>
      </c>
      <c r="G590" s="51">
        <f t="shared" si="29"/>
        <v>431026.45644000004</v>
      </c>
      <c r="H590" s="52">
        <f>$K$3*D590</f>
        <v>9367431.0472980272</v>
      </c>
    </row>
    <row r="591" spans="1:8" ht="13.8" x14ac:dyDescent="0.25">
      <c r="A591" s="41">
        <v>0.45167286245353161</v>
      </c>
      <c r="B591" s="41">
        <v>5408.7835465999997</v>
      </c>
      <c r="C591" s="41">
        <f>C590+(((A591+A590)/2)*(B591-B590))</f>
        <v>4286.8393411884263</v>
      </c>
      <c r="D591" s="51">
        <f t="shared" si="27"/>
        <v>37552712.628810614</v>
      </c>
      <c r="E591" s="54">
        <f t="shared" si="28"/>
        <v>5061151.319922654</v>
      </c>
      <c r="F591" s="53">
        <f>$K$4*B591</f>
        <v>43270268.3728</v>
      </c>
      <c r="G591" s="51">
        <f t="shared" si="29"/>
        <v>432702.68372800003</v>
      </c>
      <c r="H591" s="52">
        <f>$K$3*D591</f>
        <v>9388178.1572026536</v>
      </c>
    </row>
    <row r="592" spans="1:8" ht="13.8" x14ac:dyDescent="0.25">
      <c r="A592" s="40">
        <v>0.4507434944237918</v>
      </c>
      <c r="B592" s="40">
        <v>5413.2691691000009</v>
      </c>
      <c r="C592" s="41">
        <f>C591+(((A592+A591)/2)*(B592-B591))</f>
        <v>4288.863290745815</v>
      </c>
      <c r="D592" s="51">
        <f t="shared" si="27"/>
        <v>37570442.426933333</v>
      </c>
      <c r="E592" s="54">
        <f t="shared" si="28"/>
        <v>5061995.2714533331</v>
      </c>
      <c r="F592" s="53">
        <f>$K$4*B592</f>
        <v>43306153.352800004</v>
      </c>
      <c r="G592" s="51">
        <f t="shared" si="29"/>
        <v>433061.53352800006</v>
      </c>
      <c r="H592" s="52">
        <f>$K$3*D592</f>
        <v>9392610.6067333333</v>
      </c>
    </row>
    <row r="593" spans="1:8" ht="13.8" x14ac:dyDescent="0.25">
      <c r="A593" s="41">
        <v>0.44981412639405205</v>
      </c>
      <c r="B593" s="41">
        <v>5419.3297434999995</v>
      </c>
      <c r="C593" s="41">
        <f>C592+(((A593+A592)/2)*(B593-B592))</f>
        <v>4291.5922389770412</v>
      </c>
      <c r="D593" s="51">
        <f t="shared" si="27"/>
        <v>37594348.01343888</v>
      </c>
      <c r="E593" s="54">
        <f t="shared" si="28"/>
        <v>5063123.2085597198</v>
      </c>
      <c r="F593" s="53">
        <f>$K$4*B593</f>
        <v>43354637.947999999</v>
      </c>
      <c r="G593" s="51">
        <f t="shared" si="29"/>
        <v>433546.37948</v>
      </c>
      <c r="H593" s="52">
        <f>$K$3*D593</f>
        <v>9398587.0033597201</v>
      </c>
    </row>
    <row r="594" spans="1:8" ht="13.8" x14ac:dyDescent="0.25">
      <c r="A594" s="40">
        <v>0.44888475836431224</v>
      </c>
      <c r="B594" s="40">
        <v>5423.2571551999999</v>
      </c>
      <c r="C594" s="41">
        <f>C593+(((A594+A593)/2)*(B594-B593))</f>
        <v>4293.3570192344296</v>
      </c>
      <c r="D594" s="51">
        <f t="shared" si="27"/>
        <v>37609807.488493599</v>
      </c>
      <c r="E594" s="54">
        <f t="shared" si="28"/>
        <v>5063846.1479634</v>
      </c>
      <c r="F594" s="53">
        <f>$K$4*B594</f>
        <v>43386057.241599999</v>
      </c>
      <c r="G594" s="51">
        <f t="shared" si="29"/>
        <v>433860.57241600001</v>
      </c>
      <c r="H594" s="52">
        <f>$K$3*D594</f>
        <v>9402451.8721233997</v>
      </c>
    </row>
    <row r="595" spans="1:8" ht="13.8" x14ac:dyDescent="0.25">
      <c r="A595" s="41">
        <v>0.44795539033457249</v>
      </c>
      <c r="B595" s="41">
        <v>5423.5163245000003</v>
      </c>
      <c r="C595" s="41">
        <f>C594+(((A595+A594)/2)*(B595-B594))</f>
        <v>4293.4732359512045</v>
      </c>
      <c r="D595" s="51">
        <f t="shared" si="27"/>
        <v>37610825.546932548</v>
      </c>
      <c r="E595" s="54">
        <f t="shared" si="28"/>
        <v>5063893.3271331377</v>
      </c>
      <c r="F595" s="53">
        <f>$K$4*B595</f>
        <v>43388130.596000001</v>
      </c>
      <c r="G595" s="51">
        <f t="shared" si="29"/>
        <v>433881.30596000003</v>
      </c>
      <c r="H595" s="52">
        <f>$K$3*D595</f>
        <v>9402706.3867331371</v>
      </c>
    </row>
    <row r="596" spans="1:8" ht="13.8" x14ac:dyDescent="0.25">
      <c r="A596" s="40">
        <v>0.44702602230483274</v>
      </c>
      <c r="B596" s="40">
        <v>5427.4836083999999</v>
      </c>
      <c r="C596" s="41">
        <f>C595+(((A596+A595)/2)*(B596-B595))</f>
        <v>4295.2485586257862</v>
      </c>
      <c r="D596" s="51">
        <f t="shared" si="27"/>
        <v>37626377.373561889</v>
      </c>
      <c r="E596" s="54">
        <f t="shared" si="28"/>
        <v>5064607.4566704715</v>
      </c>
      <c r="F596" s="53">
        <f>$K$4*B596</f>
        <v>43419868.867200002</v>
      </c>
      <c r="G596" s="51">
        <f t="shared" si="29"/>
        <v>434198.68867200002</v>
      </c>
      <c r="H596" s="52">
        <f>$K$3*D596</f>
        <v>9406594.3433904722</v>
      </c>
    </row>
    <row r="597" spans="1:8" ht="13.8" x14ac:dyDescent="0.25">
      <c r="A597" s="41">
        <v>0.44609665427509293</v>
      </c>
      <c r="B597" s="41">
        <v>5449.1142768999998</v>
      </c>
      <c r="C597" s="41">
        <f>C596+(((A597+A596)/2)*(B597-B596))</f>
        <v>4304.9079788992531</v>
      </c>
      <c r="D597" s="51">
        <f t="shared" si="27"/>
        <v>37710993.895157456</v>
      </c>
      <c r="E597" s="54">
        <f t="shared" si="28"/>
        <v>5068457.0522693638</v>
      </c>
      <c r="F597" s="53">
        <f>$K$4*B597</f>
        <v>43592914.2152</v>
      </c>
      <c r="G597" s="51">
        <f t="shared" si="29"/>
        <v>435929.14215199999</v>
      </c>
      <c r="H597" s="52">
        <f>$K$3*D597</f>
        <v>9427748.4737893641</v>
      </c>
    </row>
    <row r="598" spans="1:8" ht="13.8" x14ac:dyDescent="0.25">
      <c r="A598" s="40">
        <v>0.44516728624535318</v>
      </c>
      <c r="B598" s="40">
        <v>5454.1979824000009</v>
      </c>
      <c r="C598" s="41">
        <f>C597+(((A598+A597)/2)*(B598-B597))</f>
        <v>4307.1734405974412</v>
      </c>
      <c r="D598" s="51">
        <f t="shared" si="27"/>
        <v>37730839.339633584</v>
      </c>
      <c r="E598" s="54">
        <f t="shared" si="28"/>
        <v>5069351.4489883948</v>
      </c>
      <c r="F598" s="53">
        <f>$K$4*B598</f>
        <v>43633583.859200008</v>
      </c>
      <c r="G598" s="51">
        <f t="shared" si="29"/>
        <v>436335.83859200007</v>
      </c>
      <c r="H598" s="52">
        <f>$K$3*D598</f>
        <v>9432709.834908396</v>
      </c>
    </row>
    <row r="599" spans="1:8" ht="13.8" x14ac:dyDescent="0.25">
      <c r="A599" s="41">
        <v>0.44423791821561337</v>
      </c>
      <c r="B599" s="41">
        <v>5459.640537700001</v>
      </c>
      <c r="C599" s="41">
        <f>C598+(((A599+A598)/2)*(B599-B598))</f>
        <v>4309.5937591021348</v>
      </c>
      <c r="D599" s="51">
        <f t="shared" si="27"/>
        <v>37752041.329734698</v>
      </c>
      <c r="E599" s="54">
        <f t="shared" si="28"/>
        <v>5070297.9022736736</v>
      </c>
      <c r="F599" s="53">
        <f>$K$4*B599</f>
        <v>43677124.301600009</v>
      </c>
      <c r="G599" s="51">
        <f t="shared" si="29"/>
        <v>436771.24301600008</v>
      </c>
      <c r="H599" s="52">
        <f>$K$3*D599</f>
        <v>9438010.3324336745</v>
      </c>
    </row>
    <row r="600" spans="1:8" ht="13.8" x14ac:dyDescent="0.25">
      <c r="A600" s="40">
        <v>0.44330855018587362</v>
      </c>
      <c r="B600" s="40">
        <v>5462.7904415000003</v>
      </c>
      <c r="C600" s="41">
        <f>C599+(((A600+A599)/2)*(B600-B599))</f>
        <v>4310.9916020988812</v>
      </c>
      <c r="D600" s="51">
        <f t="shared" si="27"/>
        <v>37764286.434386194</v>
      </c>
      <c r="E600" s="54">
        <f t="shared" si="28"/>
        <v>5070839.2553965487</v>
      </c>
      <c r="F600" s="53">
        <f>$K$4*B600</f>
        <v>43702323.532000005</v>
      </c>
      <c r="G600" s="51">
        <f t="shared" si="29"/>
        <v>437023.23532000004</v>
      </c>
      <c r="H600" s="52">
        <f>$K$3*D600</f>
        <v>9441071.6085965484</v>
      </c>
    </row>
    <row r="601" spans="1:8" ht="13.8" x14ac:dyDescent="0.25">
      <c r="A601" s="41">
        <v>0.44237918215613381</v>
      </c>
      <c r="B601" s="41">
        <v>5464.6046265999994</v>
      </c>
      <c r="C601" s="41">
        <f>C600+(((A601+A600)/2)*(B601-B600))</f>
        <v>4311.7950028425148</v>
      </c>
      <c r="D601" s="51">
        <f t="shared" si="27"/>
        <v>37771324.224900432</v>
      </c>
      <c r="E601" s="54">
        <f t="shared" si="28"/>
        <v>5071147.3549451083</v>
      </c>
      <c r="F601" s="53">
        <f>$K$4*B601</f>
        <v>43716837.012799993</v>
      </c>
      <c r="G601" s="51">
        <f t="shared" si="29"/>
        <v>437168.37012799992</v>
      </c>
      <c r="H601" s="52">
        <f>$K$3*D601</f>
        <v>9442831.056225108</v>
      </c>
    </row>
    <row r="602" spans="1:8" ht="13.8" x14ac:dyDescent="0.25">
      <c r="A602" s="40">
        <v>0.44144981412639406</v>
      </c>
      <c r="B602" s="40">
        <v>5474.5527405000003</v>
      </c>
      <c r="C602" s="41">
        <f>C601+(((A602+A601)/2)*(B602-B601))</f>
        <v>4316.1912186040854</v>
      </c>
      <c r="D602" s="51">
        <f t="shared" si="27"/>
        <v>37809835.074971788</v>
      </c>
      <c r="E602" s="54">
        <f t="shared" si="28"/>
        <v>5072816.5763429459</v>
      </c>
      <c r="F602" s="53">
        <f>$K$4*B602</f>
        <v>43796421.924000002</v>
      </c>
      <c r="G602" s="51">
        <f t="shared" si="29"/>
        <v>437964.21924000001</v>
      </c>
      <c r="H602" s="52">
        <f>$K$3*D602</f>
        <v>9452458.7687429469</v>
      </c>
    </row>
    <row r="603" spans="1:8" ht="13.8" x14ac:dyDescent="0.25">
      <c r="A603" s="41">
        <v>0.44052044609665425</v>
      </c>
      <c r="B603" s="41">
        <v>5477.443475</v>
      </c>
      <c r="C603" s="41">
        <f>C602+(((A603+A602)/2)*(B603-B602))</f>
        <v>4317.4659895336854</v>
      </c>
      <c r="D603" s="51">
        <f t="shared" si="27"/>
        <v>37821002.068315089</v>
      </c>
      <c r="E603" s="54">
        <f t="shared" si="28"/>
        <v>5073295.7370787729</v>
      </c>
      <c r="F603" s="53">
        <f>$K$4*B603</f>
        <v>43819547.799999997</v>
      </c>
      <c r="G603" s="51">
        <f t="shared" si="29"/>
        <v>438195.478</v>
      </c>
      <c r="H603" s="52">
        <f>$K$3*D603</f>
        <v>9455250.5170787722</v>
      </c>
    </row>
    <row r="604" spans="1:8" ht="13.8" x14ac:dyDescent="0.25">
      <c r="A604" s="40">
        <v>0.4395910780669145</v>
      </c>
      <c r="B604" s="40">
        <v>5480.2544651000007</v>
      </c>
      <c r="C604" s="41">
        <f>C603+(((A604+A603)/2)*(B604-B603))</f>
        <v>4318.7029819243453</v>
      </c>
      <c r="D604" s="51">
        <f t="shared" si="27"/>
        <v>37831838.121657267</v>
      </c>
      <c r="E604" s="54">
        <f t="shared" si="28"/>
        <v>5073755.9583343156</v>
      </c>
      <c r="F604" s="53">
        <f>$K$4*B604</f>
        <v>43842035.720800005</v>
      </c>
      <c r="G604" s="51">
        <f t="shared" si="29"/>
        <v>438420.35720800003</v>
      </c>
      <c r="H604" s="52">
        <f>$K$3*D604</f>
        <v>9457959.5304143168</v>
      </c>
    </row>
    <row r="605" spans="1:8" ht="13.8" x14ac:dyDescent="0.25">
      <c r="A605" s="41">
        <v>0.43866171003717475</v>
      </c>
      <c r="B605" s="41">
        <v>5482.2879473000003</v>
      </c>
      <c r="C605" s="41">
        <f>C604+(((A605+A604)/2)*(B605-B604))</f>
        <v>4319.5959376301998</v>
      </c>
      <c r="D605" s="51">
        <f t="shared" si="27"/>
        <v>37839660.413640551</v>
      </c>
      <c r="E605" s="54">
        <f t="shared" si="28"/>
        <v>5074084.7455701372</v>
      </c>
      <c r="F605" s="53">
        <f>$K$4*B605</f>
        <v>43858303.578400001</v>
      </c>
      <c r="G605" s="51">
        <f t="shared" si="29"/>
        <v>438583.03578400001</v>
      </c>
      <c r="H605" s="52">
        <f>$K$3*D605</f>
        <v>9459915.1034101378</v>
      </c>
    </row>
    <row r="606" spans="1:8" ht="13.8" x14ac:dyDescent="0.25">
      <c r="A606" s="40">
        <v>0.43773234200743494</v>
      </c>
      <c r="B606" s="40">
        <v>5483.8230270000004</v>
      </c>
      <c r="C606" s="41">
        <f>C605+(((A606+A605)/2)*(B606-B605))</f>
        <v>4320.2686049894473</v>
      </c>
      <c r="D606" s="51">
        <f t="shared" si="27"/>
        <v>37845552.979707561</v>
      </c>
      <c r="E606" s="54">
        <f t="shared" si="28"/>
        <v>5074329.8233268904</v>
      </c>
      <c r="F606" s="53">
        <f>$K$4*B606</f>
        <v>43870584.216000006</v>
      </c>
      <c r="G606" s="51">
        <f t="shared" si="29"/>
        <v>438705.84216000006</v>
      </c>
      <c r="H606" s="52">
        <f>$K$3*D606</f>
        <v>9461388.2449268904</v>
      </c>
    </row>
    <row r="607" spans="1:8" ht="13.8" x14ac:dyDescent="0.25">
      <c r="A607" s="41">
        <v>0.43680297397769519</v>
      </c>
      <c r="B607" s="41">
        <v>5487.8501192000003</v>
      </c>
      <c r="C607" s="41">
        <f>C606+(((A607+A606)/2)*(B607-B606))</f>
        <v>4322.0295221642618</v>
      </c>
      <c r="D607" s="51">
        <f t="shared" si="27"/>
        <v>37860978.614158928</v>
      </c>
      <c r="E607" s="54">
        <f t="shared" si="28"/>
        <v>5074964.5581797324</v>
      </c>
      <c r="F607" s="53">
        <f>$K$4*B607</f>
        <v>43902800.953600004</v>
      </c>
      <c r="G607" s="51">
        <f t="shared" si="29"/>
        <v>439028.00953600003</v>
      </c>
      <c r="H607" s="52">
        <f>$K$3*D607</f>
        <v>9465244.6535397321</v>
      </c>
    </row>
    <row r="608" spans="1:8" ht="13.8" x14ac:dyDescent="0.25">
      <c r="A608" s="40">
        <v>0.43587360594795538</v>
      </c>
      <c r="B608" s="40">
        <v>5496.5023866000001</v>
      </c>
      <c r="C608" s="41">
        <f>C607+(((A608+A607)/2)*(B608-B607))</f>
        <v>4325.8048377258792</v>
      </c>
      <c r="D608" s="51">
        <f t="shared" si="27"/>
        <v>37894050.378478706</v>
      </c>
      <c r="E608" s="54">
        <f t="shared" si="28"/>
        <v>5076310.6853396762</v>
      </c>
      <c r="F608" s="53">
        <f>$K$4*B608</f>
        <v>43972019.092799999</v>
      </c>
      <c r="G608" s="51">
        <f t="shared" si="29"/>
        <v>439720.19092800003</v>
      </c>
      <c r="H608" s="52">
        <f>$K$3*D608</f>
        <v>9473512.5946196765</v>
      </c>
    </row>
    <row r="609" spans="1:8" ht="13.8" x14ac:dyDescent="0.25">
      <c r="A609" s="41">
        <v>0.43494423791821563</v>
      </c>
      <c r="B609" s="41">
        <v>5503.3404688999999</v>
      </c>
      <c r="C609" s="41">
        <f>C608+(((A609+A608)/2)*(B609-B608))</f>
        <v>4328.7821997682122</v>
      </c>
      <c r="D609" s="51">
        <f t="shared" si="27"/>
        <v>37920132.069969542</v>
      </c>
      <c r="E609" s="54">
        <f t="shared" si="28"/>
        <v>5077360.6423723865</v>
      </c>
      <c r="F609" s="53">
        <f>$K$4*B609</f>
        <v>44026723.751199998</v>
      </c>
      <c r="G609" s="51">
        <f t="shared" si="29"/>
        <v>440267.23751199996</v>
      </c>
      <c r="H609" s="52">
        <f>$K$3*D609</f>
        <v>9480033.0174923856</v>
      </c>
    </row>
    <row r="610" spans="1:8" ht="13.8" x14ac:dyDescent="0.25">
      <c r="A610" s="40">
        <v>0.43401486988847582</v>
      </c>
      <c r="B610" s="40">
        <v>5510.1386789999997</v>
      </c>
      <c r="C610" s="41">
        <f>C609+(((A610+A609)/2)*(B610-B609))</f>
        <v>4331.7358830598014</v>
      </c>
      <c r="D610" s="51">
        <f t="shared" si="27"/>
        <v>37946006.335603856</v>
      </c>
      <c r="E610" s="54">
        <f t="shared" si="28"/>
        <v>5078390.6407009652</v>
      </c>
      <c r="F610" s="53">
        <f>$K$4*B610</f>
        <v>44081109.431999996</v>
      </c>
      <c r="G610" s="51">
        <f t="shared" si="29"/>
        <v>440811.09431999997</v>
      </c>
      <c r="H610" s="52">
        <f>$K$3*D610</f>
        <v>9486501.5839009639</v>
      </c>
    </row>
    <row r="611" spans="1:8" ht="13.8" x14ac:dyDescent="0.25">
      <c r="A611" s="41">
        <v>0.43308550185873607</v>
      </c>
      <c r="B611" s="41">
        <v>5519.8276236000002</v>
      </c>
      <c r="C611" s="41">
        <f>C610+(((A611+A610)/2)*(B611-B610))</f>
        <v>4335.9365267920502</v>
      </c>
      <c r="D611" s="51">
        <f t="shared" si="27"/>
        <v>37982803.974698357</v>
      </c>
      <c r="E611" s="54">
        <f t="shared" si="28"/>
        <v>5079838.8947945889</v>
      </c>
      <c r="F611" s="53">
        <f>$K$4*B611</f>
        <v>44158620.988800004</v>
      </c>
      <c r="G611" s="51">
        <f t="shared" si="29"/>
        <v>441586.20988800004</v>
      </c>
      <c r="H611" s="52">
        <f>$K$3*D611</f>
        <v>9495700.9936745893</v>
      </c>
    </row>
    <row r="612" spans="1:8" ht="13.8" x14ac:dyDescent="0.25">
      <c r="A612" s="40">
        <v>0.43215613382899626</v>
      </c>
      <c r="B612" s="40">
        <v>5529.5963125999997</v>
      </c>
      <c r="C612" s="41">
        <f>C611+(((A612+A611)/2)*(B612-B611))</f>
        <v>4340.1626650164926</v>
      </c>
      <c r="D612" s="51">
        <f t="shared" si="27"/>
        <v>38019824.945544474</v>
      </c>
      <c r="E612" s="54">
        <f t="shared" si="28"/>
        <v>5081279.186306119</v>
      </c>
      <c r="F612" s="53">
        <f>$K$4*B612</f>
        <v>44236770.500799999</v>
      </c>
      <c r="G612" s="51">
        <f t="shared" si="29"/>
        <v>442367.70500800002</v>
      </c>
      <c r="H612" s="52">
        <f>$K$3*D612</f>
        <v>9504956.2363861185</v>
      </c>
    </row>
    <row r="613" spans="1:8" ht="13.8" x14ac:dyDescent="0.25">
      <c r="A613" s="41">
        <v>0.43122676579925651</v>
      </c>
      <c r="B613" s="41">
        <v>5540.3019983000004</v>
      </c>
      <c r="C613" s="41">
        <f>C612+(((A613+A612)/2)*(B613-B612))</f>
        <v>4344.7842179975805</v>
      </c>
      <c r="D613" s="51">
        <f t="shared" si="27"/>
        <v>38060309.749658801</v>
      </c>
      <c r="E613" s="54">
        <f t="shared" si="28"/>
        <v>5082835.8387747016</v>
      </c>
      <c r="F613" s="53">
        <f>$K$4*B613</f>
        <v>44322415.986400001</v>
      </c>
      <c r="G613" s="51">
        <f t="shared" si="29"/>
        <v>443224.15986400004</v>
      </c>
      <c r="H613" s="52">
        <f>$K$3*D613</f>
        <v>9515077.4374147002</v>
      </c>
    </row>
    <row r="614" spans="1:8" ht="13.8" x14ac:dyDescent="0.25">
      <c r="A614" s="40">
        <v>0.43029739776951675</v>
      </c>
      <c r="B614" s="40">
        <v>5557.5666609000009</v>
      </c>
      <c r="C614" s="41">
        <f>C613+(((A614+A613)/2)*(B614-B613))</f>
        <v>4352.2211800004616</v>
      </c>
      <c r="D614" s="51">
        <f t="shared" si="27"/>
        <v>38125457.536804043</v>
      </c>
      <c r="E614" s="54">
        <f t="shared" si="28"/>
        <v>5085311.055481011</v>
      </c>
      <c r="F614" s="53">
        <f>$K$4*B614</f>
        <v>44460533.287200004</v>
      </c>
      <c r="G614" s="51">
        <f t="shared" si="29"/>
        <v>444605.33287200006</v>
      </c>
      <c r="H614" s="52">
        <f>$K$3*D614</f>
        <v>9531364.3842010107</v>
      </c>
    </row>
    <row r="615" spans="1:8" ht="13.8" x14ac:dyDescent="0.25">
      <c r="A615" s="41">
        <v>0.42936802973977695</v>
      </c>
      <c r="B615" s="41">
        <v>5558.9223157000015</v>
      </c>
      <c r="C615" s="41">
        <f>C614+(((A615+A614)/2)*(B615-B614))</f>
        <v>4352.8038847820608</v>
      </c>
      <c r="D615" s="51">
        <f t="shared" si="27"/>
        <v>38130562.030690849</v>
      </c>
      <c r="E615" s="54">
        <f t="shared" si="28"/>
        <v>5085502.6551127117</v>
      </c>
      <c r="F615" s="53">
        <f>$K$4*B615</f>
        <v>44471378.525600009</v>
      </c>
      <c r="G615" s="51">
        <f t="shared" si="29"/>
        <v>444713.78525600012</v>
      </c>
      <c r="H615" s="52">
        <f>$K$3*D615</f>
        <v>9532640.5076727122</v>
      </c>
    </row>
    <row r="616" spans="1:8" ht="13.8" x14ac:dyDescent="0.25">
      <c r="A616" s="40">
        <v>0.42843866171003719</v>
      </c>
      <c r="B616" s="40">
        <v>5570.1463400000021</v>
      </c>
      <c r="C616" s="41">
        <f>C615+(((A616+A615)/2)*(B616-B615))</f>
        <v>4357.6179063568288</v>
      </c>
      <c r="D616" s="51">
        <f t="shared" si="27"/>
        <v>38172732.859685823</v>
      </c>
      <c r="E616" s="54">
        <f t="shared" si="28"/>
        <v>5087066.1429214552</v>
      </c>
      <c r="F616" s="53">
        <f>$K$4*B616</f>
        <v>44561170.720000014</v>
      </c>
      <c r="G616" s="51">
        <f t="shared" si="29"/>
        <v>445611.70720000012</v>
      </c>
      <c r="H616" s="52">
        <f>$K$3*D616</f>
        <v>9543183.2149214558</v>
      </c>
    </row>
    <row r="617" spans="1:8" ht="13.8" x14ac:dyDescent="0.25">
      <c r="A617" s="41">
        <v>0.42750929368029739</v>
      </c>
      <c r="B617" s="41">
        <v>5589.8830790000011</v>
      </c>
      <c r="C617" s="41">
        <f>C616+(((A617+A616)/2)*(B617-B616))</f>
        <v>4366.0647170533894</v>
      </c>
      <c r="D617" s="51">
        <f t="shared" si="27"/>
        <v>38246726.921387695</v>
      </c>
      <c r="E617" s="54">
        <f t="shared" si="28"/>
        <v>5089775.2671469226</v>
      </c>
      <c r="F617" s="53">
        <f>$K$4*B617</f>
        <v>44719064.632000007</v>
      </c>
      <c r="G617" s="51">
        <f t="shared" si="29"/>
        <v>447190.64632000006</v>
      </c>
      <c r="H617" s="52">
        <f>$K$3*D617</f>
        <v>9561681.7303469237</v>
      </c>
    </row>
    <row r="618" spans="1:8" ht="13.8" x14ac:dyDescent="0.25">
      <c r="A618" s="40">
        <v>0.42657992565055763</v>
      </c>
      <c r="B618" s="40">
        <v>5600.7681896000004</v>
      </c>
      <c r="C618" s="41">
        <f>C617+(((A618+A617)/2)*(B618-B617))</f>
        <v>4370.7131448607306</v>
      </c>
      <c r="D618" s="51">
        <f t="shared" si="27"/>
        <v>38287447.148979999</v>
      </c>
      <c r="E618" s="54">
        <f t="shared" si="28"/>
        <v>5091247.2355650002</v>
      </c>
      <c r="F618" s="53">
        <f>$K$4*B618</f>
        <v>44806145.516800001</v>
      </c>
      <c r="G618" s="51">
        <f t="shared" si="29"/>
        <v>448061.45516800001</v>
      </c>
      <c r="H618" s="52">
        <f>$K$3*D618</f>
        <v>9571861.7872449998</v>
      </c>
    </row>
    <row r="619" spans="1:8" ht="13.8" x14ac:dyDescent="0.25">
      <c r="A619" s="41">
        <v>0.42565055762081783</v>
      </c>
      <c r="B619" s="41">
        <v>5607.2872943000002</v>
      </c>
      <c r="C619" s="41">
        <f>C618+(((A619+A618)/2)*(B619-B618))</f>
        <v>4373.4910347352197</v>
      </c>
      <c r="D619" s="51">
        <f t="shared" si="27"/>
        <v>38311781.464280523</v>
      </c>
      <c r="E619" s="54">
        <f t="shared" si="28"/>
        <v>5092115.5306301313</v>
      </c>
      <c r="F619" s="53">
        <f>$K$4*B619</f>
        <v>44858298.354400001</v>
      </c>
      <c r="G619" s="51">
        <f t="shared" si="29"/>
        <v>448582.98354400002</v>
      </c>
      <c r="H619" s="52">
        <f>$K$3*D619</f>
        <v>9577945.3660701308</v>
      </c>
    </row>
    <row r="620" spans="1:8" ht="13.8" x14ac:dyDescent="0.25">
      <c r="A620" s="40">
        <v>0.42472118959107807</v>
      </c>
      <c r="B620" s="40">
        <v>5615.3215425999997</v>
      </c>
      <c r="C620" s="41">
        <f>C619+(((A620+A619)/2)*(B620-B619))</f>
        <v>4376.9070836174224</v>
      </c>
      <c r="D620" s="51">
        <f t="shared" si="27"/>
        <v>38341706.052488625</v>
      </c>
      <c r="E620" s="54">
        <f t="shared" si="28"/>
        <v>5093169.2790421564</v>
      </c>
      <c r="F620" s="53">
        <f>$K$4*B620</f>
        <v>44922572.340799995</v>
      </c>
      <c r="G620" s="51">
        <f t="shared" si="29"/>
        <v>449225.72340799996</v>
      </c>
      <c r="H620" s="52">
        <f>$K$3*D620</f>
        <v>9585426.5131221563</v>
      </c>
    </row>
    <row r="621" spans="1:8" ht="13.8" x14ac:dyDescent="0.25">
      <c r="A621" s="41">
        <v>0.42379182156133827</v>
      </c>
      <c r="B621" s="41">
        <v>5646.5215391000002</v>
      </c>
      <c r="C621" s="41">
        <f>C620+(((A621+A620)/2)*(B621-B620))</f>
        <v>4390.1438851065022</v>
      </c>
      <c r="D621" s="51">
        <f t="shared" si="27"/>
        <v>38457660.433532953</v>
      </c>
      <c r="E621" s="54">
        <f t="shared" si="28"/>
        <v>5097197.8771032384</v>
      </c>
      <c r="F621" s="53">
        <f>$K$4*B621</f>
        <v>45172172.312799998</v>
      </c>
      <c r="G621" s="51">
        <f t="shared" si="29"/>
        <v>451721.72312799998</v>
      </c>
      <c r="H621" s="52">
        <f>$K$3*D621</f>
        <v>9614415.1083832383</v>
      </c>
    </row>
    <row r="622" spans="1:8" ht="13.8" x14ac:dyDescent="0.25">
      <c r="A622" s="40">
        <v>0.42286245353159851</v>
      </c>
      <c r="B622" s="40">
        <v>5696.6010222999994</v>
      </c>
      <c r="C622" s="41">
        <f>C621+(((A622+A621)/2)*(B622-B621))</f>
        <v>4411.3438893793646</v>
      </c>
      <c r="D622" s="51">
        <f t="shared" si="27"/>
        <v>38643372.470963232</v>
      </c>
      <c r="E622" s="54">
        <f t="shared" si="28"/>
        <v>5103562.2999008074</v>
      </c>
      <c r="F622" s="53">
        <f>$K$4*B622</f>
        <v>45572808.178399995</v>
      </c>
      <c r="G622" s="51">
        <f t="shared" si="29"/>
        <v>455728.08178399998</v>
      </c>
      <c r="H622" s="52">
        <f>$K$3*D622</f>
        <v>9660843.1177408081</v>
      </c>
    </row>
    <row r="623" spans="1:8" ht="13.8" x14ac:dyDescent="0.25">
      <c r="A623" s="41">
        <v>0.42193308550185876</v>
      </c>
      <c r="B623" s="41">
        <v>5725.1694536000005</v>
      </c>
      <c r="C623" s="41">
        <f>C622+(((A623+A622)/2)*(B623-B622))</f>
        <v>4423.4111310390772</v>
      </c>
      <c r="D623" s="51">
        <f t="shared" si="27"/>
        <v>38749081.507902317</v>
      </c>
      <c r="E623" s="54">
        <f t="shared" si="28"/>
        <v>5107134.8140955791</v>
      </c>
      <c r="F623" s="53">
        <f>$K$4*B623</f>
        <v>45801355.628800005</v>
      </c>
      <c r="G623" s="51">
        <f t="shared" si="29"/>
        <v>458013.55628800008</v>
      </c>
      <c r="H623" s="52">
        <f>$K$3*D623</f>
        <v>9687270.3769755792</v>
      </c>
    </row>
    <row r="624" spans="1:8" ht="13.8" x14ac:dyDescent="0.25">
      <c r="A624" s="40">
        <v>0.42100371747211895</v>
      </c>
      <c r="B624" s="40">
        <v>5740.9189726000004</v>
      </c>
      <c r="C624" s="41">
        <f>C623+(((A624+A623)/2)*(B624-B623))</f>
        <v>4430.0490556361965</v>
      </c>
      <c r="D624" s="51">
        <f t="shared" si="27"/>
        <v>38807229.727373078</v>
      </c>
      <c r="E624" s="54">
        <f t="shared" si="28"/>
        <v>5109072.2537632696</v>
      </c>
      <c r="F624" s="53">
        <f>$K$4*B624</f>
        <v>45927351.7808</v>
      </c>
      <c r="G624" s="51">
        <f t="shared" si="29"/>
        <v>459273.51780800003</v>
      </c>
      <c r="H624" s="52">
        <f>$K$3*D624</f>
        <v>9701807.4318432696</v>
      </c>
    </row>
    <row r="625" spans="1:8" ht="13.8" x14ac:dyDescent="0.25">
      <c r="A625" s="41">
        <v>0.4200743494423792</v>
      </c>
      <c r="B625" s="41">
        <v>5750.8272143000004</v>
      </c>
      <c r="C625" s="41">
        <f>C624+(((A625+A624)/2)*(B625-B624))</f>
        <v>4434.2158580239757</v>
      </c>
      <c r="D625" s="51">
        <f t="shared" si="27"/>
        <v>38843730.91629003</v>
      </c>
      <c r="E625" s="54">
        <f t="shared" si="28"/>
        <v>5110270.9576325072</v>
      </c>
      <c r="F625" s="53">
        <f>$K$4*B625</f>
        <v>46006617.714400001</v>
      </c>
      <c r="G625" s="51">
        <f t="shared" si="29"/>
        <v>460066.17714400002</v>
      </c>
      <c r="H625" s="52">
        <f>$K$3*D625</f>
        <v>9710932.7290725075</v>
      </c>
    </row>
    <row r="626" spans="1:8" ht="13.8" x14ac:dyDescent="0.25">
      <c r="A626" s="40">
        <v>0.41914498141263939</v>
      </c>
      <c r="B626" s="40">
        <v>5756.8479164999999</v>
      </c>
      <c r="C626" s="41">
        <f>C625+(((A626+A625)/2)*(B626-B625))</f>
        <v>4436.7422028597557</v>
      </c>
      <c r="D626" s="51">
        <f t="shared" si="27"/>
        <v>38865861.697051458</v>
      </c>
      <c r="E626" s="54">
        <f t="shared" si="28"/>
        <v>5110987.0910628652</v>
      </c>
      <c r="F626" s="53">
        <f>$K$4*B626</f>
        <v>46054783.332000002</v>
      </c>
      <c r="G626" s="51">
        <f t="shared" si="29"/>
        <v>460547.83332000003</v>
      </c>
      <c r="H626" s="52">
        <f>$K$3*D626</f>
        <v>9716465.4242628645</v>
      </c>
    </row>
    <row r="627" spans="1:8" ht="13.8" x14ac:dyDescent="0.25">
      <c r="A627" s="41">
        <v>0.41821561338289964</v>
      </c>
      <c r="B627" s="41">
        <v>5775.1293202000006</v>
      </c>
      <c r="C627" s="41">
        <f>C626+(((A627+A626)/2)*(B627-B626))</f>
        <v>4444.3962663977209</v>
      </c>
      <c r="D627" s="51">
        <f t="shared" si="27"/>
        <v>38932911.293644033</v>
      </c>
      <c r="E627" s="54">
        <f t="shared" si="28"/>
        <v>5113124.3672510087</v>
      </c>
      <c r="F627" s="53">
        <f>$K$4*B627</f>
        <v>46201034.561600007</v>
      </c>
      <c r="G627" s="51">
        <f t="shared" si="29"/>
        <v>462010.34561600006</v>
      </c>
      <c r="H627" s="52">
        <f>$K$3*D627</f>
        <v>9733227.8234110083</v>
      </c>
    </row>
    <row r="628" spans="1:8" ht="13.8" x14ac:dyDescent="0.25">
      <c r="A628" s="40">
        <v>0.41728624535315983</v>
      </c>
      <c r="B628" s="40">
        <v>5800.1889979000016</v>
      </c>
      <c r="C628" s="41">
        <f>C627+(((A628+A627)/2)*(B628-B627))</f>
        <v>4454.8649700465594</v>
      </c>
      <c r="D628" s="51">
        <f t="shared" si="27"/>
        <v>39024617.137607858</v>
      </c>
      <c r="E628" s="54">
        <f t="shared" si="28"/>
        <v>5116003.086081963</v>
      </c>
      <c r="F628" s="53">
        <f>$K$4*B628</f>
        <v>46401511.983200014</v>
      </c>
      <c r="G628" s="51">
        <f t="shared" si="29"/>
        <v>464015.11983200017</v>
      </c>
      <c r="H628" s="52">
        <f>$K$3*D628</f>
        <v>9756154.2844019644</v>
      </c>
    </row>
    <row r="629" spans="1:8" ht="13.8" x14ac:dyDescent="0.25">
      <c r="A629" s="41">
        <v>0.41635687732342008</v>
      </c>
      <c r="B629" s="41">
        <v>5811.0940446000004</v>
      </c>
      <c r="C629" s="41">
        <f>C628+(((A629+A628)/2)*(B629-B628))</f>
        <v>4459.41042863852</v>
      </c>
      <c r="D629" s="51">
        <f t="shared" si="27"/>
        <v>39064435.354873441</v>
      </c>
      <c r="E629" s="54">
        <f t="shared" si="28"/>
        <v>5117233.6030383594</v>
      </c>
      <c r="F629" s="53">
        <f>$K$4*B629</f>
        <v>46488752.356800005</v>
      </c>
      <c r="G629" s="51">
        <f t="shared" si="29"/>
        <v>464887.52356800006</v>
      </c>
      <c r="H629" s="52">
        <f>$K$3*D629</f>
        <v>9766108.8387183603</v>
      </c>
    </row>
    <row r="630" spans="1:8" ht="13.8" x14ac:dyDescent="0.25">
      <c r="A630" s="40">
        <v>0.41542750929368027</v>
      </c>
      <c r="B630" s="40">
        <v>5818.2710406000006</v>
      </c>
      <c r="C630" s="41">
        <f>C629+(((A630+A629)/2)*(B630-B629))</f>
        <v>4462.3952852463271</v>
      </c>
      <c r="D630" s="51">
        <f t="shared" si="27"/>
        <v>39090582.698757827</v>
      </c>
      <c r="E630" s="54">
        <f t="shared" si="28"/>
        <v>5118028.8422094565</v>
      </c>
      <c r="F630" s="53">
        <f>$K$4*B630</f>
        <v>46546168.324800007</v>
      </c>
      <c r="G630" s="51">
        <f t="shared" si="29"/>
        <v>465461.6832480001</v>
      </c>
      <c r="H630" s="52">
        <f>$K$3*D630</f>
        <v>9772645.6746894568</v>
      </c>
    </row>
    <row r="631" spans="1:8" ht="13.8" x14ac:dyDescent="0.25">
      <c r="A631" s="41">
        <v>0.41449814126394052</v>
      </c>
      <c r="B631" s="41">
        <v>5829.1362151000003</v>
      </c>
      <c r="C631" s="41">
        <f>C630+(((A631+A630)/2)*(B631-B630))</f>
        <v>4466.9039287539945</v>
      </c>
      <c r="D631" s="51">
        <f t="shared" si="27"/>
        <v>39130078.415884994</v>
      </c>
      <c r="E631" s="54">
        <f t="shared" si="28"/>
        <v>5119210.6318912487</v>
      </c>
      <c r="F631" s="53">
        <f>$K$4*B631</f>
        <v>46633089.720800005</v>
      </c>
      <c r="G631" s="51">
        <f t="shared" si="29"/>
        <v>466330.89720800007</v>
      </c>
      <c r="H631" s="52">
        <f>$K$3*D631</f>
        <v>9782519.6039712485</v>
      </c>
    </row>
    <row r="632" spans="1:8" ht="13.8" x14ac:dyDescent="0.25">
      <c r="A632" s="40">
        <v>0.41356877323420077</v>
      </c>
      <c r="B632" s="40">
        <v>5831.7279080999997</v>
      </c>
      <c r="C632" s="41">
        <f>C631+(((A632+A631)/2)*(B632-B631))</f>
        <v>4467.9769763669128</v>
      </c>
      <c r="D632" s="51">
        <f t="shared" si="27"/>
        <v>39139478.312974155</v>
      </c>
      <c r="E632" s="54">
        <f t="shared" si="28"/>
        <v>5119487.2517635394</v>
      </c>
      <c r="F632" s="53">
        <f>$K$4*B632</f>
        <v>46653823.264799997</v>
      </c>
      <c r="G632" s="51">
        <f t="shared" si="29"/>
        <v>466538.232648</v>
      </c>
      <c r="H632" s="52">
        <f>$K$3*D632</f>
        <v>9784869.5782435387</v>
      </c>
    </row>
    <row r="633" spans="1:8" ht="13.8" x14ac:dyDescent="0.25">
      <c r="A633" s="41">
        <v>0.41263940520446096</v>
      </c>
      <c r="B633" s="41">
        <v>5833.0038185000012</v>
      </c>
      <c r="C633" s="41">
        <f>C632+(((A633+A632)/2)*(B633-B632))</f>
        <v>4468.5040601706305</v>
      </c>
      <c r="D633" s="51">
        <f t="shared" si="27"/>
        <v>39144095.567094721</v>
      </c>
      <c r="E633" s="54">
        <f t="shared" si="28"/>
        <v>5119620.8369736802</v>
      </c>
      <c r="F633" s="53">
        <f>$K$4*B633</f>
        <v>46664030.548000008</v>
      </c>
      <c r="G633" s="51">
        <f t="shared" si="29"/>
        <v>466640.3054800001</v>
      </c>
      <c r="H633" s="52">
        <f>$K$3*D633</f>
        <v>9786023.8917736802</v>
      </c>
    </row>
    <row r="634" spans="1:8" ht="13.8" x14ac:dyDescent="0.25">
      <c r="A634" s="40">
        <v>0.41171003717472121</v>
      </c>
      <c r="B634" s="40">
        <v>5844.2477789000013</v>
      </c>
      <c r="C634" s="41">
        <f>C633+(((A634+A633)/2)*(B634-B633))</f>
        <v>4473.1385364135676</v>
      </c>
      <c r="D634" s="51">
        <f t="shared" si="27"/>
        <v>39184693.578982852</v>
      </c>
      <c r="E634" s="54">
        <f t="shared" si="28"/>
        <v>5120775.1716257129</v>
      </c>
      <c r="F634" s="53">
        <f>$K$4*B634</f>
        <v>46753982.23120001</v>
      </c>
      <c r="G634" s="51">
        <f t="shared" si="29"/>
        <v>467539.82231200009</v>
      </c>
      <c r="H634" s="52">
        <f>$K$3*D634</f>
        <v>9796173.3947457131</v>
      </c>
    </row>
    <row r="635" spans="1:8" ht="13.8" x14ac:dyDescent="0.25">
      <c r="A635" s="41">
        <v>0.4107806691449814</v>
      </c>
      <c r="B635" s="41">
        <v>5844.8657979999998</v>
      </c>
      <c r="C635" s="41">
        <f>C634+(((A635+A634)/2)*(B635-B634))</f>
        <v>4473.392693896606</v>
      </c>
      <c r="D635" s="51">
        <f t="shared" si="27"/>
        <v>39186919.99853427</v>
      </c>
      <c r="E635" s="54">
        <f t="shared" si="28"/>
        <v>5120837.3612335688</v>
      </c>
      <c r="F635" s="53">
        <f>$K$4*B635</f>
        <v>46758926.383999996</v>
      </c>
      <c r="G635" s="51">
        <f t="shared" si="29"/>
        <v>467589.26383999997</v>
      </c>
      <c r="H635" s="52">
        <f>$K$3*D635</f>
        <v>9796729.9996335674</v>
      </c>
    </row>
    <row r="636" spans="1:8" ht="13.8" x14ac:dyDescent="0.25">
      <c r="A636" s="40">
        <v>0.40985130111524165</v>
      </c>
      <c r="B636" s="40">
        <v>5849.5707176000014</v>
      </c>
      <c r="C636" s="41">
        <f>C635+(((A636+A635)/2)*(B636-B635))</f>
        <v>4475.3231976172383</v>
      </c>
      <c r="D636" s="51">
        <f t="shared" si="27"/>
        <v>39203831.211127006</v>
      </c>
      <c r="E636" s="54">
        <f t="shared" si="28"/>
        <v>5121301.2287017498</v>
      </c>
      <c r="F636" s="53">
        <f>$K$4*B636</f>
        <v>46796565.740800008</v>
      </c>
      <c r="G636" s="51">
        <f t="shared" si="29"/>
        <v>467965.65740800009</v>
      </c>
      <c r="H636" s="52">
        <f>$K$3*D636</f>
        <v>9800957.8027817514</v>
      </c>
    </row>
    <row r="637" spans="1:8" ht="13.8" x14ac:dyDescent="0.25">
      <c r="A637" s="41">
        <v>0.40892193308550184</v>
      </c>
      <c r="B637" s="41">
        <v>5851.3849027000006</v>
      </c>
      <c r="C637" s="41">
        <f>C636+(((A637+A636)/2)*(B637-B636))</f>
        <v>4476.0659007181212</v>
      </c>
      <c r="D637" s="51">
        <f t="shared" si="27"/>
        <v>39210337.290290743</v>
      </c>
      <c r="E637" s="54">
        <f t="shared" si="28"/>
        <v>5121476.4004126862</v>
      </c>
      <c r="F637" s="53">
        <f>$K$4*B637</f>
        <v>46811079.221600004</v>
      </c>
      <c r="G637" s="51">
        <f t="shared" si="29"/>
        <v>468110.79221600003</v>
      </c>
      <c r="H637" s="52">
        <f>$K$3*D637</f>
        <v>9802584.3225726858</v>
      </c>
    </row>
    <row r="638" spans="1:8" ht="13.8" x14ac:dyDescent="0.25">
      <c r="A638" s="40">
        <v>0.40799256505576209</v>
      </c>
      <c r="B638" s="40">
        <v>5862.7883518999997</v>
      </c>
      <c r="C638" s="41">
        <f>C637+(((A638+A637)/2)*(B638-B637))</f>
        <v>4480.7237222082695</v>
      </c>
      <c r="D638" s="51">
        <f t="shared" si="27"/>
        <v>39251139.806544438</v>
      </c>
      <c r="E638" s="54">
        <f t="shared" si="28"/>
        <v>5122554.2701161103</v>
      </c>
      <c r="F638" s="53">
        <f>$K$4*B638</f>
        <v>46902306.815200001</v>
      </c>
      <c r="G638" s="51">
        <f t="shared" si="29"/>
        <v>469023.06815200002</v>
      </c>
      <c r="H638" s="52">
        <f>$K$3*D638</f>
        <v>9812784.9516361095</v>
      </c>
    </row>
    <row r="639" spans="1:8" ht="13.8" x14ac:dyDescent="0.25">
      <c r="A639" s="41">
        <v>0.40706319702602228</v>
      </c>
      <c r="B639" s="41">
        <v>5866.7157636000002</v>
      </c>
      <c r="C639" s="41">
        <f>C638+(((A639+A638)/2)*(B639-B638))</f>
        <v>4482.3242519763462</v>
      </c>
      <c r="D639" s="51">
        <f t="shared" si="27"/>
        <v>39265160.447312795</v>
      </c>
      <c r="E639" s="54">
        <f t="shared" si="28"/>
        <v>5122917.5009481981</v>
      </c>
      <c r="F639" s="53">
        <f>$K$4*B639</f>
        <v>46933726.108800001</v>
      </c>
      <c r="G639" s="51">
        <f t="shared" si="29"/>
        <v>469337.26108800003</v>
      </c>
      <c r="H639" s="52">
        <f>$K$3*D639</f>
        <v>9816290.1118281987</v>
      </c>
    </row>
    <row r="640" spans="1:8" ht="13.8" x14ac:dyDescent="0.25">
      <c r="A640" s="40">
        <v>0.40613382899628253</v>
      </c>
      <c r="B640" s="40">
        <v>5872.6965936000006</v>
      </c>
      <c r="C640" s="41">
        <f>C639+(((A640+A639)/2)*(B640-B639))</f>
        <v>4484.7560485609192</v>
      </c>
      <c r="D640" s="51">
        <f t="shared" si="27"/>
        <v>39286462.985393651</v>
      </c>
      <c r="E640" s="54">
        <f t="shared" si="28"/>
        <v>5123458.4714684123</v>
      </c>
      <c r="F640" s="53">
        <f>$K$4*B640</f>
        <v>46981572.748800002</v>
      </c>
      <c r="G640" s="51">
        <f t="shared" si="29"/>
        <v>469815.727488</v>
      </c>
      <c r="H640" s="52">
        <f>$K$3*D640</f>
        <v>9821615.7463484127</v>
      </c>
    </row>
    <row r="641" spans="1:8" ht="13.8" x14ac:dyDescent="0.25">
      <c r="A641" s="41">
        <v>0.40520446096654272</v>
      </c>
      <c r="B641" s="41">
        <v>5875.6471363999999</v>
      </c>
      <c r="C641" s="41">
        <f>C640+(((A641+A640)/2)*(B641-B640))</f>
        <v>4485.9529927358262</v>
      </c>
      <c r="D641" s="51">
        <f t="shared" si="27"/>
        <v>39296948.216365837</v>
      </c>
      <c r="E641" s="54">
        <f t="shared" si="28"/>
        <v>5123719.3449714584</v>
      </c>
      <c r="F641" s="53">
        <f>$K$4*B641</f>
        <v>47005177.091200002</v>
      </c>
      <c r="G641" s="51">
        <f t="shared" si="29"/>
        <v>470051.77091200004</v>
      </c>
      <c r="H641" s="52">
        <f>$K$3*D641</f>
        <v>9824237.0540914591</v>
      </c>
    </row>
    <row r="642" spans="1:8" ht="13.8" x14ac:dyDescent="0.25">
      <c r="A642" s="40">
        <v>0.40427509293680297</v>
      </c>
      <c r="B642" s="40">
        <v>5882.4453465000006</v>
      </c>
      <c r="C642" s="41">
        <f>C641+(((A642+A641)/2)*(B642-B641))</f>
        <v>4488.7044987753707</v>
      </c>
      <c r="D642" s="51">
        <f t="shared" si="27"/>
        <v>39321051.409272246</v>
      </c>
      <c r="E642" s="54">
        <f t="shared" si="28"/>
        <v>5124306.5751180612</v>
      </c>
      <c r="F642" s="53">
        <f>$K$4*B642</f>
        <v>47059562.772000007</v>
      </c>
      <c r="G642" s="51">
        <f t="shared" si="29"/>
        <v>470595.62772000011</v>
      </c>
      <c r="H642" s="52">
        <f>$K$3*D642</f>
        <v>9830262.8523180615</v>
      </c>
    </row>
    <row r="643" spans="1:8" ht="13.8" x14ac:dyDescent="0.25">
      <c r="A643" s="41">
        <v>0.40334572490706322</v>
      </c>
      <c r="B643" s="41">
        <v>5884.4389565000001</v>
      </c>
      <c r="C643" s="41">
        <f>C642+(((A643+A642)/2)*(B643-B642))</f>
        <v>4489.509539244701</v>
      </c>
      <c r="D643" s="51">
        <f t="shared" ref="D643:D706" si="30">C643*24*365</f>
        <v>39328103.563783586</v>
      </c>
      <c r="E643" s="54">
        <f t="shared" ref="E643:E706" si="31">H643-G643-(F643*$K$5)</f>
        <v>5124474.7257458959</v>
      </c>
      <c r="F643" s="53">
        <f>$K$4*B643</f>
        <v>47075511.652000003</v>
      </c>
      <c r="G643" s="51">
        <f t="shared" ref="G643:G706" si="32">F643*0.01</f>
        <v>470755.11652000004</v>
      </c>
      <c r="H643" s="52">
        <f>$K$3*D643</f>
        <v>9832025.8909458965</v>
      </c>
    </row>
    <row r="644" spans="1:8" ht="13.8" x14ac:dyDescent="0.25">
      <c r="A644" s="40">
        <v>0.40241635687732341</v>
      </c>
      <c r="B644" s="40">
        <v>5906.5281553000004</v>
      </c>
      <c r="C644" s="41">
        <f>C643+(((A644+A643)/2)*(B644-B643))</f>
        <v>4498.4088586497201</v>
      </c>
      <c r="D644" s="51">
        <f t="shared" si="30"/>
        <v>39406061.601771548</v>
      </c>
      <c r="E644" s="54">
        <f t="shared" si="31"/>
        <v>5126292.8762028869</v>
      </c>
      <c r="F644" s="53">
        <f>$K$4*B644</f>
        <v>47252225.242400005</v>
      </c>
      <c r="G644" s="51">
        <f t="shared" si="32"/>
        <v>472522.25242400006</v>
      </c>
      <c r="H644" s="52">
        <f>$K$3*D644</f>
        <v>9851515.4004428871</v>
      </c>
    </row>
    <row r="645" spans="1:8" ht="13.8" x14ac:dyDescent="0.25">
      <c r="A645" s="41">
        <v>0.40148698884758366</v>
      </c>
      <c r="B645" s="41">
        <v>5922.4371631000013</v>
      </c>
      <c r="C645" s="41">
        <f>C644+(((A645+A644)/2)*(B645-B644))</f>
        <v>4504.8035109485127</v>
      </c>
      <c r="D645" s="51">
        <f t="shared" si="30"/>
        <v>39462078.755908966</v>
      </c>
      <c r="E645" s="54">
        <f t="shared" si="31"/>
        <v>5127569.9584972411</v>
      </c>
      <c r="F645" s="53">
        <f>$K$4*B645</f>
        <v>47379497.304800011</v>
      </c>
      <c r="G645" s="51">
        <f t="shared" si="32"/>
        <v>473794.97304800013</v>
      </c>
      <c r="H645" s="52">
        <f>$K$3*D645</f>
        <v>9865519.6889772415</v>
      </c>
    </row>
    <row r="646" spans="1:8" ht="13.8" x14ac:dyDescent="0.25">
      <c r="A646" s="40">
        <v>0.40055762081784385</v>
      </c>
      <c r="B646" s="40">
        <v>5927.2218271000002</v>
      </c>
      <c r="C646" s="41">
        <f>C645+(((A646+A645)/2)*(B646-B645))</f>
        <v>4506.7222679336419</v>
      </c>
      <c r="D646" s="51">
        <f t="shared" si="30"/>
        <v>39478887.067098707</v>
      </c>
      <c r="E646" s="54">
        <f t="shared" si="31"/>
        <v>5127944.3050946761</v>
      </c>
      <c r="F646" s="53">
        <f>$K$4*B646</f>
        <v>47417774.616800003</v>
      </c>
      <c r="G646" s="51">
        <f t="shared" si="32"/>
        <v>474177.74616800004</v>
      </c>
      <c r="H646" s="52">
        <f>$K$3*D646</f>
        <v>9869721.7667746767</v>
      </c>
    </row>
    <row r="647" spans="1:8" ht="13.8" x14ac:dyDescent="0.25">
      <c r="A647" s="41">
        <v>0.3996282527881041</v>
      </c>
      <c r="B647" s="41">
        <v>5947.1778631999996</v>
      </c>
      <c r="C647" s="41">
        <f>C646+(((A647+A646)/2)*(B647-B646))</f>
        <v>4514.706537023837</v>
      </c>
      <c r="D647" s="51">
        <f t="shared" si="30"/>
        <v>39548829.264328808</v>
      </c>
      <c r="E647" s="54">
        <f t="shared" si="31"/>
        <v>5129465.0255222013</v>
      </c>
      <c r="F647" s="53">
        <f>$K$4*B647</f>
        <v>47577422.905599996</v>
      </c>
      <c r="G647" s="51">
        <f t="shared" si="32"/>
        <v>475774.22905599995</v>
      </c>
      <c r="H647" s="52">
        <f>$K$3*D647</f>
        <v>9887207.3160822019</v>
      </c>
    </row>
    <row r="648" spans="1:8" ht="13.8" x14ac:dyDescent="0.25">
      <c r="A648" s="40">
        <v>0.39869888475836429</v>
      </c>
      <c r="B648" s="40">
        <v>5949.8094284000008</v>
      </c>
      <c r="C648" s="41">
        <f>C647+(((A648+A647)/2)*(B648-B647))</f>
        <v>4515.756961980529</v>
      </c>
      <c r="D648" s="51">
        <f t="shared" si="30"/>
        <v>39558030.986949436</v>
      </c>
      <c r="E648" s="54">
        <f t="shared" si="31"/>
        <v>5129660.2040173579</v>
      </c>
      <c r="F648" s="53">
        <f>$K$4*B648</f>
        <v>47598475.427200004</v>
      </c>
      <c r="G648" s="51">
        <f t="shared" si="32"/>
        <v>475984.75427200005</v>
      </c>
      <c r="H648" s="52">
        <f>$K$3*D648</f>
        <v>9889507.7467373591</v>
      </c>
    </row>
    <row r="649" spans="1:8" ht="13.8" x14ac:dyDescent="0.25">
      <c r="A649" s="41">
        <v>0.39776951672862454</v>
      </c>
      <c r="B649" s="41">
        <v>5950.3676392000007</v>
      </c>
      <c r="C649" s="41">
        <f>C648+(((A649+A648)/2)*(B649-B648))</f>
        <v>4515.9792606123137</v>
      </c>
      <c r="D649" s="51">
        <f t="shared" si="30"/>
        <v>39559978.322963871</v>
      </c>
      <c r="E649" s="54">
        <f t="shared" si="31"/>
        <v>5129700.4693809673</v>
      </c>
      <c r="F649" s="53">
        <f>$K$4*B649</f>
        <v>47602941.113600008</v>
      </c>
      <c r="G649" s="51">
        <f t="shared" si="32"/>
        <v>476029.41113600007</v>
      </c>
      <c r="H649" s="52">
        <f>$K$3*D649</f>
        <v>9889994.5807409678</v>
      </c>
    </row>
    <row r="650" spans="1:8" ht="13.8" x14ac:dyDescent="0.25">
      <c r="A650" s="40">
        <v>0.39684014869888473</v>
      </c>
      <c r="B650" s="40">
        <v>5951.8030383999994</v>
      </c>
      <c r="C650" s="41">
        <f>C649+(((A650+A649)/2)*(B650-B649))</f>
        <v>4516.5495516513465</v>
      </c>
      <c r="D650" s="51">
        <f t="shared" si="30"/>
        <v>39564974.072465792</v>
      </c>
      <c r="E650" s="54">
        <f t="shared" si="31"/>
        <v>5129801.0873964494</v>
      </c>
      <c r="F650" s="53">
        <f>$K$4*B650</f>
        <v>47614424.307199992</v>
      </c>
      <c r="G650" s="51">
        <f t="shared" si="32"/>
        <v>476144.24307199992</v>
      </c>
      <c r="H650" s="52">
        <f>$K$3*D650</f>
        <v>9891243.5181164481</v>
      </c>
    </row>
    <row r="651" spans="1:8" ht="13.8" x14ac:dyDescent="0.25">
      <c r="A651" s="41">
        <v>0.39591078066914498</v>
      </c>
      <c r="B651" s="41">
        <v>5975.7462944999997</v>
      </c>
      <c r="C651" s="41">
        <f>C650+(((A651+A650)/2)*(B651-B650))</f>
        <v>4526.0400709140322</v>
      </c>
      <c r="D651" s="51">
        <f t="shared" si="30"/>
        <v>39648111.021206923</v>
      </c>
      <c r="E651" s="54">
        <f t="shared" si="31"/>
        <v>5131430.7197017306</v>
      </c>
      <c r="F651" s="53">
        <f>$K$4*B651</f>
        <v>47805970.355999999</v>
      </c>
      <c r="G651" s="51">
        <f t="shared" si="32"/>
        <v>478059.70355999999</v>
      </c>
      <c r="H651" s="52">
        <f>$K$3*D651</f>
        <v>9912027.7553017307</v>
      </c>
    </row>
    <row r="652" spans="1:8" ht="13.8" x14ac:dyDescent="0.25">
      <c r="A652" s="40">
        <v>0.39498141263940523</v>
      </c>
      <c r="B652" s="40">
        <v>6004.5938311999998</v>
      </c>
      <c r="C652" s="41">
        <f>C651+(((A652+A651)/2)*(B652-B651))</f>
        <v>4537.4477167001378</v>
      </c>
      <c r="D652" s="51">
        <f t="shared" si="30"/>
        <v>39748041.998293206</v>
      </c>
      <c r="E652" s="54">
        <f t="shared" si="31"/>
        <v>5133335.4346133024</v>
      </c>
      <c r="F652" s="53">
        <f>$K$4*B652</f>
        <v>48036750.649599999</v>
      </c>
      <c r="G652" s="51">
        <f t="shared" si="32"/>
        <v>480367.50649599999</v>
      </c>
      <c r="H652" s="52">
        <f>$K$3*D652</f>
        <v>9937010.4995733015</v>
      </c>
    </row>
    <row r="653" spans="1:8" ht="13.8" x14ac:dyDescent="0.25">
      <c r="A653" s="41">
        <v>0.39405204460966542</v>
      </c>
      <c r="B653" s="41">
        <v>6014.7811783000006</v>
      </c>
      <c r="C653" s="41">
        <f>C652+(((A653+A652)/2)*(B653-B652))</f>
        <v>4541.4667955513924</v>
      </c>
      <c r="D653" s="51">
        <f t="shared" si="30"/>
        <v>39783249.129030198</v>
      </c>
      <c r="E653" s="54">
        <f t="shared" si="31"/>
        <v>5133987.3396175504</v>
      </c>
      <c r="F653" s="53">
        <f>$K$4*B653</f>
        <v>48118249.426400006</v>
      </c>
      <c r="G653" s="51">
        <f t="shared" si="32"/>
        <v>481182.4942640001</v>
      </c>
      <c r="H653" s="52">
        <f>$K$3*D653</f>
        <v>9945812.2822575495</v>
      </c>
    </row>
    <row r="654" spans="1:8" ht="13.8" x14ac:dyDescent="0.25">
      <c r="A654" s="40">
        <v>0.39312267657992567</v>
      </c>
      <c r="B654" s="40">
        <v>6017.1137019999996</v>
      </c>
      <c r="C654" s="41">
        <f>C653+(((A654+A653)/2)*(B654-B653))</f>
        <v>4542.3848473979997</v>
      </c>
      <c r="D654" s="51">
        <f t="shared" si="30"/>
        <v>39791291.263206474</v>
      </c>
      <c r="E654" s="54">
        <f t="shared" si="31"/>
        <v>5134131.8542016186</v>
      </c>
      <c r="F654" s="53">
        <f>$K$4*B654</f>
        <v>48136909.615999997</v>
      </c>
      <c r="G654" s="51">
        <f t="shared" si="32"/>
        <v>481369.09615999996</v>
      </c>
      <c r="H654" s="52">
        <f>$K$3*D654</f>
        <v>9947822.8158016186</v>
      </c>
    </row>
    <row r="655" spans="1:8" ht="13.8" x14ac:dyDescent="0.25">
      <c r="A655" s="41">
        <v>0.39219330855018586</v>
      </c>
      <c r="B655" s="41">
        <v>6019.4063534999996</v>
      </c>
      <c r="C655" s="41">
        <f>C654+(((A655+A654)/2)*(B655-B654))</f>
        <v>4543.2850753336406</v>
      </c>
      <c r="D655" s="51">
        <f t="shared" si="30"/>
        <v>39799177.259922691</v>
      </c>
      <c r="E655" s="54">
        <f t="shared" si="31"/>
        <v>5134269.2321806736</v>
      </c>
      <c r="F655" s="53">
        <f>$K$4*B655</f>
        <v>48155250.827999994</v>
      </c>
      <c r="G655" s="51">
        <f t="shared" si="32"/>
        <v>481552.50827999995</v>
      </c>
      <c r="H655" s="52">
        <f>$K$3*D655</f>
        <v>9949794.3149806727</v>
      </c>
    </row>
    <row r="656" spans="1:8" ht="13.8" x14ac:dyDescent="0.25">
      <c r="A656" s="40">
        <v>0.39126394052044611</v>
      </c>
      <c r="B656" s="40">
        <v>6041.1167663999995</v>
      </c>
      <c r="C656" s="41">
        <f>C655+(((A656+A655)/2)*(B656-B655))</f>
        <v>4551.7896655170516</v>
      </c>
      <c r="D656" s="51">
        <f t="shared" si="30"/>
        <v>39873677.469929375</v>
      </c>
      <c r="E656" s="54">
        <f t="shared" si="31"/>
        <v>5135525.954362344</v>
      </c>
      <c r="F656" s="53">
        <f>$K$4*B656</f>
        <v>48328934.131199993</v>
      </c>
      <c r="G656" s="51">
        <f t="shared" si="32"/>
        <v>483289.34131199995</v>
      </c>
      <c r="H656" s="52">
        <f>$K$3*D656</f>
        <v>9968419.3674823437</v>
      </c>
    </row>
    <row r="657" spans="1:8" ht="13.8" x14ac:dyDescent="0.25">
      <c r="A657" s="41">
        <v>0.3903345724907063</v>
      </c>
      <c r="B657" s="41">
        <v>6042.8512071000005</v>
      </c>
      <c r="C657" s="41">
        <f>C656+(((A657+A656)/2)*(B657-B656))</f>
        <v>4552.4674836530648</v>
      </c>
      <c r="D657" s="51">
        <f t="shared" si="30"/>
        <v>39879615.156800851</v>
      </c>
      <c r="E657" s="54">
        <f t="shared" si="31"/>
        <v>5135622.8235202134</v>
      </c>
      <c r="F657" s="53">
        <f>$K$4*B657</f>
        <v>48342809.656800002</v>
      </c>
      <c r="G657" s="51">
        <f t="shared" si="32"/>
        <v>483428.09656800004</v>
      </c>
      <c r="H657" s="52">
        <f>$K$3*D657</f>
        <v>9969903.7892002128</v>
      </c>
    </row>
    <row r="658" spans="1:8" ht="13.8" x14ac:dyDescent="0.25">
      <c r="A658" s="40">
        <v>0.38940520446096655</v>
      </c>
      <c r="B658" s="40">
        <v>6045.9413026000002</v>
      </c>
      <c r="C658" s="41">
        <f>C657+(((A658+A657)/2)*(B658-B657))</f>
        <v>4553.6722188410295</v>
      </c>
      <c r="D658" s="51">
        <f t="shared" si="30"/>
        <v>39890168.637047417</v>
      </c>
      <c r="E658" s="54">
        <f t="shared" si="31"/>
        <v>5135789.1171818553</v>
      </c>
      <c r="F658" s="53">
        <f>$K$4*B658</f>
        <v>48367530.4208</v>
      </c>
      <c r="G658" s="51">
        <f t="shared" si="32"/>
        <v>483675.30420800002</v>
      </c>
      <c r="H658" s="52">
        <f>$K$3*D658</f>
        <v>9972542.1592618544</v>
      </c>
    </row>
    <row r="659" spans="1:8" ht="13.8" x14ac:dyDescent="0.25">
      <c r="A659" s="41">
        <v>0.38847583643122674</v>
      </c>
      <c r="B659" s="41">
        <v>6075.8853248000014</v>
      </c>
      <c r="C659" s="41">
        <f>C658+(((A659+A658)/2)*(B659-B658))</f>
        <v>4565.3186624197479</v>
      </c>
      <c r="D659" s="51">
        <f t="shared" si="30"/>
        <v>39992191.482796989</v>
      </c>
      <c r="E659" s="54">
        <f t="shared" si="31"/>
        <v>5137339.6108592469</v>
      </c>
      <c r="F659" s="53">
        <f>$K$4*B659</f>
        <v>48607082.598400012</v>
      </c>
      <c r="G659" s="51">
        <f t="shared" si="32"/>
        <v>486070.82598400011</v>
      </c>
      <c r="H659" s="52">
        <f>$K$3*D659</f>
        <v>9998047.8706992473</v>
      </c>
    </row>
    <row r="660" spans="1:8" ht="13.8" x14ac:dyDescent="0.25">
      <c r="A660" s="40">
        <v>0.38754646840148699</v>
      </c>
      <c r="B660" s="40">
        <v>6103.1379735</v>
      </c>
      <c r="C660" s="41">
        <f>C659+(((A660+A659)/2)*(B660-B659))</f>
        <v>4575.8929940482321</v>
      </c>
      <c r="D660" s="51">
        <f t="shared" si="30"/>
        <v>40084822.627862513</v>
      </c>
      <c r="E660" s="54">
        <f t="shared" si="31"/>
        <v>5138695.2781656282</v>
      </c>
      <c r="F660" s="53">
        <f>$K$4*B660</f>
        <v>48825103.788000003</v>
      </c>
      <c r="G660" s="51">
        <f t="shared" si="32"/>
        <v>488251.03788000002</v>
      </c>
      <c r="H660" s="52">
        <f>$K$3*D660</f>
        <v>10021205.656965628</v>
      </c>
    </row>
    <row r="661" spans="1:8" ht="13.8" x14ac:dyDescent="0.25">
      <c r="A661" s="41">
        <v>0.38661710037174724</v>
      </c>
      <c r="B661" s="41">
        <v>6121.2200162000017</v>
      </c>
      <c r="C661" s="41">
        <f>C660+(((A661+A660)/2)*(B661-B660))</f>
        <v>4582.8922234019037</v>
      </c>
      <c r="D661" s="51">
        <f t="shared" si="30"/>
        <v>40146135.877000675</v>
      </c>
      <c r="E661" s="54">
        <f t="shared" si="31"/>
        <v>5139557.9562901678</v>
      </c>
      <c r="F661" s="53">
        <f>$K$4*B661</f>
        <v>48969760.129600011</v>
      </c>
      <c r="G661" s="51">
        <f t="shared" si="32"/>
        <v>489697.60129600012</v>
      </c>
      <c r="H661" s="52">
        <f>$K$3*D661</f>
        <v>10036533.969250169</v>
      </c>
    </row>
    <row r="662" spans="1:8" ht="13.8" x14ac:dyDescent="0.25">
      <c r="A662" s="40">
        <v>0.38568773234200743</v>
      </c>
      <c r="B662" s="40">
        <v>6121.8579714000016</v>
      </c>
      <c r="C662" s="41">
        <f>C661+(((A662+A661)/2)*(B662-B661))</f>
        <v>4583.1385713439113</v>
      </c>
      <c r="D662" s="51">
        <f t="shared" si="30"/>
        <v>40148293.884972662</v>
      </c>
      <c r="E662" s="54">
        <f t="shared" si="31"/>
        <v>5139587.0941231642</v>
      </c>
      <c r="F662" s="53">
        <f>$K$4*B662</f>
        <v>48974863.771200016</v>
      </c>
      <c r="G662" s="51">
        <f t="shared" si="32"/>
        <v>489748.63771200017</v>
      </c>
      <c r="H662" s="52">
        <f>$K$3*D662</f>
        <v>10037073.471243165</v>
      </c>
    </row>
    <row r="663" spans="1:8" ht="13.8" x14ac:dyDescent="0.25">
      <c r="A663" s="41">
        <v>0.38475836431226768</v>
      </c>
      <c r="B663" s="41">
        <v>6130.051708500002</v>
      </c>
      <c r="C663" s="41">
        <f>C662+(((A663+A662)/2)*(B663-B662))</f>
        <v>4586.2949877267647</v>
      </c>
      <c r="D663" s="51">
        <f t="shared" si="30"/>
        <v>40175944.092486463</v>
      </c>
      <c r="E663" s="54">
        <f t="shared" si="31"/>
        <v>5139944.656321615</v>
      </c>
      <c r="F663" s="53">
        <f>$K$4*B663</f>
        <v>49040413.668000013</v>
      </c>
      <c r="G663" s="51">
        <f t="shared" si="32"/>
        <v>490404.13668000011</v>
      </c>
      <c r="H663" s="52">
        <f>$K$3*D663</f>
        <v>10043986.023121616</v>
      </c>
    </row>
    <row r="664" spans="1:8" ht="13.8" x14ac:dyDescent="0.25">
      <c r="A664" s="40">
        <v>0.38382899628252787</v>
      </c>
      <c r="B664" s="40">
        <v>6162.9462735000006</v>
      </c>
      <c r="C664" s="41">
        <f>C663+(((A664+A663)/2)*(B664-B663))</f>
        <v>4598.9361611723962</v>
      </c>
      <c r="D664" s="51">
        <f t="shared" si="30"/>
        <v>40286680.771870188</v>
      </c>
      <c r="E664" s="54">
        <f t="shared" si="31"/>
        <v>5141313.1741675455</v>
      </c>
      <c r="F664" s="53">
        <f>$K$4*B664</f>
        <v>49303570.188000008</v>
      </c>
      <c r="G664" s="51">
        <f t="shared" si="32"/>
        <v>493035.70188000007</v>
      </c>
      <c r="H664" s="52">
        <f>$K$3*D664</f>
        <v>10071670.192967547</v>
      </c>
    </row>
    <row r="665" spans="1:8" ht="13.8" x14ac:dyDescent="0.25">
      <c r="A665" s="41">
        <v>0.38289962825278812</v>
      </c>
      <c r="B665" s="41">
        <v>6165.1392445000001</v>
      </c>
      <c r="C665" s="41">
        <f>C664+(((A665+A664)/2)*(B665-B664))</f>
        <v>4599.7768679916335</v>
      </c>
      <c r="D665" s="51">
        <f t="shared" si="30"/>
        <v>40294045.363606706</v>
      </c>
      <c r="E665" s="54">
        <f t="shared" si="31"/>
        <v>5141399.945301678</v>
      </c>
      <c r="F665" s="53">
        <f>$K$4*B665</f>
        <v>49321113.956</v>
      </c>
      <c r="G665" s="51">
        <f t="shared" si="32"/>
        <v>493211.13956000004</v>
      </c>
      <c r="H665" s="52">
        <f>$K$3*D665</f>
        <v>10073511.340901677</v>
      </c>
    </row>
    <row r="666" spans="1:8" ht="13.8" x14ac:dyDescent="0.25">
      <c r="A666" s="40">
        <v>0.38197026022304831</v>
      </c>
      <c r="B666" s="40">
        <v>6167.2923433000005</v>
      </c>
      <c r="C666" s="41">
        <f>C665+(((A666+A665)/2)*(B666-B665))</f>
        <v>4600.6002882111507</v>
      </c>
      <c r="D666" s="51">
        <f t="shared" si="30"/>
        <v>40301258.524729684</v>
      </c>
      <c r="E666" s="54">
        <f t="shared" si="31"/>
        <v>5141480.7565424209</v>
      </c>
      <c r="F666" s="53">
        <f>$K$4*B666</f>
        <v>49338338.746400006</v>
      </c>
      <c r="G666" s="51">
        <f t="shared" si="32"/>
        <v>493383.38746400009</v>
      </c>
      <c r="H666" s="52">
        <f>$K$3*D666</f>
        <v>10075314.631182421</v>
      </c>
    </row>
    <row r="667" spans="1:8" ht="13.8" x14ac:dyDescent="0.25">
      <c r="A667" s="41">
        <v>0.38104089219330856</v>
      </c>
      <c r="B667" s="41">
        <v>6194.6048003000005</v>
      </c>
      <c r="C667" s="41">
        <f>C666+(((A667+A666)/2)*(B667-B666))</f>
        <v>4611.020142856597</v>
      </c>
      <c r="D667" s="51">
        <f t="shared" si="30"/>
        <v>40392536.451423794</v>
      </c>
      <c r="E667" s="54">
        <f t="shared" si="31"/>
        <v>5142450.2726159487</v>
      </c>
      <c r="F667" s="53">
        <f>$K$4*B667</f>
        <v>49556838.402400002</v>
      </c>
      <c r="G667" s="51">
        <f t="shared" si="32"/>
        <v>495568.38402400003</v>
      </c>
      <c r="H667" s="52">
        <f>$K$3*D667</f>
        <v>10098134.112855949</v>
      </c>
    </row>
    <row r="668" spans="1:8" ht="13.8" x14ac:dyDescent="0.25">
      <c r="A668" s="40">
        <v>0.38011152416356875</v>
      </c>
      <c r="B668" s="40">
        <v>6198.9508701000004</v>
      </c>
      <c r="C668" s="41">
        <f>C667+(((A668+A667)/2)*(B668-B667))</f>
        <v>4612.6741536215595</v>
      </c>
      <c r="D668" s="51">
        <f t="shared" si="30"/>
        <v>40407025.58572486</v>
      </c>
      <c r="E668" s="54">
        <f t="shared" si="31"/>
        <v>5142595.7003512159</v>
      </c>
      <c r="F668" s="53">
        <f>$K$4*B668</f>
        <v>49591606.960800007</v>
      </c>
      <c r="G668" s="51">
        <f t="shared" si="32"/>
        <v>495916.06960800011</v>
      </c>
      <c r="H668" s="52">
        <f>$K$3*D668</f>
        <v>10101756.396431215</v>
      </c>
    </row>
    <row r="669" spans="1:8" ht="13.8" x14ac:dyDescent="0.25">
      <c r="A669" s="41">
        <v>0.379182156133829</v>
      </c>
      <c r="B669" s="41">
        <v>6203.8750868000006</v>
      </c>
      <c r="C669" s="41">
        <f>C668+(((A669+A668)/2)*(B669-B668))</f>
        <v>4614.5436169319219</v>
      </c>
      <c r="D669" s="51">
        <f t="shared" si="30"/>
        <v>40423402.084323637</v>
      </c>
      <c r="E669" s="54">
        <f t="shared" si="31"/>
        <v>5142750.4516409086</v>
      </c>
      <c r="F669" s="53">
        <f>$K$4*B669</f>
        <v>49631000.694400005</v>
      </c>
      <c r="G669" s="51">
        <f t="shared" si="32"/>
        <v>496310.00694400008</v>
      </c>
      <c r="H669" s="52">
        <f>$K$3*D669</f>
        <v>10105850.521080909</v>
      </c>
    </row>
    <row r="670" spans="1:8" ht="13.8" x14ac:dyDescent="0.25">
      <c r="A670" s="40">
        <v>0.37825278810408924</v>
      </c>
      <c r="B670" s="40">
        <v>6212.0488878000006</v>
      </c>
      <c r="C670" s="41">
        <f>C669+(((A670+A669)/2)*(B670-B669))</f>
        <v>4617.6391781842449</v>
      </c>
      <c r="D670" s="51">
        <f t="shared" si="30"/>
        <v>40450519.200893983</v>
      </c>
      <c r="E670" s="54">
        <f t="shared" si="31"/>
        <v>5142990.6899834946</v>
      </c>
      <c r="F670" s="53">
        <f>$K$4*B670</f>
        <v>49696391.102400005</v>
      </c>
      <c r="G670" s="51">
        <f t="shared" si="32"/>
        <v>496963.91102400003</v>
      </c>
      <c r="H670" s="52">
        <f>$K$3*D670</f>
        <v>10112629.800223496</v>
      </c>
    </row>
    <row r="671" spans="1:8" ht="13.8" x14ac:dyDescent="0.25">
      <c r="A671" s="41">
        <v>0.37732342007434944</v>
      </c>
      <c r="B671" s="41">
        <v>6219.1062672000007</v>
      </c>
      <c r="C671" s="41">
        <f>C670+(((A671+A670)/2)*(B671-B670))</f>
        <v>4620.3053721676097</v>
      </c>
      <c r="D671" s="51">
        <f t="shared" si="30"/>
        <v>40473875.060188264</v>
      </c>
      <c r="E671" s="54">
        <f t="shared" si="31"/>
        <v>5143183.7512870664</v>
      </c>
      <c r="F671" s="53">
        <f>$K$4*B671</f>
        <v>49752850.137600005</v>
      </c>
      <c r="G671" s="51">
        <f t="shared" si="32"/>
        <v>497528.50137600006</v>
      </c>
      <c r="H671" s="52">
        <f>$K$3*D671</f>
        <v>10118468.765047066</v>
      </c>
    </row>
    <row r="672" spans="1:8" ht="13.8" x14ac:dyDescent="0.25">
      <c r="A672" s="40">
        <v>0.37639405204460968</v>
      </c>
      <c r="B672" s="40">
        <v>6238.2847953999999</v>
      </c>
      <c r="C672" s="41">
        <f>C671+(((A672+A671)/2)*(B672-B671))</f>
        <v>4627.5329680645427</v>
      </c>
      <c r="D672" s="51">
        <f t="shared" si="30"/>
        <v>40537188.800245397</v>
      </c>
      <c r="E672" s="54">
        <f t="shared" si="31"/>
        <v>5143669.3637413485</v>
      </c>
      <c r="F672" s="53">
        <f>$K$4*B672</f>
        <v>49906278.363200001</v>
      </c>
      <c r="G672" s="51">
        <f t="shared" si="32"/>
        <v>499062.78363200004</v>
      </c>
      <c r="H672" s="52">
        <f>$K$3*D672</f>
        <v>10134297.200061349</v>
      </c>
    </row>
    <row r="673" spans="1:8" ht="13.8" x14ac:dyDescent="0.25">
      <c r="A673" s="41">
        <v>0.37546468401486988</v>
      </c>
      <c r="B673" s="41">
        <v>6248.9506089000006</v>
      </c>
      <c r="C673" s="41">
        <f>C672+(((A673+A672)/2)*(B673-B672))</f>
        <v>4631.5425605931214</v>
      </c>
      <c r="D673" s="51">
        <f t="shared" si="30"/>
        <v>40572312.830795743</v>
      </c>
      <c r="E673" s="54">
        <f t="shared" si="31"/>
        <v>5143917.720578935</v>
      </c>
      <c r="F673" s="53">
        <f>$K$4*B673</f>
        <v>49991604.871200003</v>
      </c>
      <c r="G673" s="51">
        <f t="shared" si="32"/>
        <v>499916.04871200002</v>
      </c>
      <c r="H673" s="52">
        <f>$K$3*D673</f>
        <v>10143078.207698936</v>
      </c>
    </row>
    <row r="674" spans="1:8" ht="13.8" x14ac:dyDescent="0.25">
      <c r="A674" s="40">
        <v>0.37453531598513012</v>
      </c>
      <c r="B674" s="40">
        <v>6265.0789138</v>
      </c>
      <c r="C674" s="41">
        <f>C673+(((A674+A673)/2)*(B674-B673))</f>
        <v>4637.5906749306214</v>
      </c>
      <c r="D674" s="51">
        <f t="shared" si="30"/>
        <v>40625294.312392242</v>
      </c>
      <c r="E674" s="54">
        <f t="shared" si="31"/>
        <v>5144260.4470580602</v>
      </c>
      <c r="F674" s="53">
        <f>$K$4*B674</f>
        <v>50120631.310400002</v>
      </c>
      <c r="G674" s="51">
        <f t="shared" si="32"/>
        <v>501206.313104</v>
      </c>
      <c r="H674" s="52">
        <f>$K$3*D674</f>
        <v>10156323.578098061</v>
      </c>
    </row>
    <row r="675" spans="1:8" ht="13.8" x14ac:dyDescent="0.25">
      <c r="A675" s="41">
        <v>0.37360594795539032</v>
      </c>
      <c r="B675" s="41">
        <v>6269.8835139000003</v>
      </c>
      <c r="C675" s="41">
        <f>C674+(((A675+A674)/2)*(B675-B674))</f>
        <v>4639.3879347263928</v>
      </c>
      <c r="D675" s="51">
        <f t="shared" si="30"/>
        <v>40641038.308203198</v>
      </c>
      <c r="E675" s="54">
        <f t="shared" si="31"/>
        <v>5144352.7659307988</v>
      </c>
      <c r="F675" s="53">
        <f>$K$4*B675</f>
        <v>50159068.111200005</v>
      </c>
      <c r="G675" s="51">
        <f t="shared" si="32"/>
        <v>501590.68111200008</v>
      </c>
      <c r="H675" s="52">
        <f>$K$3*D675</f>
        <v>10160259.5770508</v>
      </c>
    </row>
    <row r="676" spans="1:8" ht="13.8" x14ac:dyDescent="0.25">
      <c r="A676" s="40">
        <v>0.37267657992565056</v>
      </c>
      <c r="B676" s="40">
        <v>6273.8906700000007</v>
      </c>
      <c r="C676" s="41">
        <f>C675+(((A676+A675)/2)*(B676-B675))</f>
        <v>4640.8831700183537</v>
      </c>
      <c r="D676" s="51">
        <f t="shared" si="30"/>
        <v>40654136.569360778</v>
      </c>
      <c r="E676" s="54">
        <f t="shared" si="31"/>
        <v>5144421.6063401941</v>
      </c>
      <c r="F676" s="53">
        <f>$K$4*B676</f>
        <v>50191125.360000007</v>
      </c>
      <c r="G676" s="51">
        <f t="shared" si="32"/>
        <v>501911.25360000005</v>
      </c>
      <c r="H676" s="52">
        <f>$K$3*D676</f>
        <v>10163534.142340194</v>
      </c>
    </row>
    <row r="677" spans="1:8" ht="13.8" x14ac:dyDescent="0.25">
      <c r="A677" s="41">
        <v>0.37174721189591076</v>
      </c>
      <c r="B677" s="41">
        <v>6288.9623616000008</v>
      </c>
      <c r="C677" s="41">
        <f>C676+(((A677+A676)/2)*(B677-B676))</f>
        <v>4646.4930329233721</v>
      </c>
      <c r="D677" s="51">
        <f t="shared" si="30"/>
        <v>40703278.968408741</v>
      </c>
      <c r="E677" s="54">
        <f t="shared" si="31"/>
        <v>5144649.8528221855</v>
      </c>
      <c r="F677" s="53">
        <f>$K$4*B677</f>
        <v>50311698.892800003</v>
      </c>
      <c r="G677" s="51">
        <f t="shared" si="32"/>
        <v>503116.98892800004</v>
      </c>
      <c r="H677" s="52">
        <f>$K$3*D677</f>
        <v>10175819.742102185</v>
      </c>
    </row>
    <row r="678" spans="1:8" ht="13.8" x14ac:dyDescent="0.25">
      <c r="A678" s="40">
        <v>0.370817843866171</v>
      </c>
      <c r="B678" s="40">
        <v>6324.2093863999999</v>
      </c>
      <c r="C678" s="41">
        <f>C677+(((A678+A677)/2)*(B678-B677))</f>
        <v>4659.5796373914018</v>
      </c>
      <c r="D678" s="51">
        <f t="shared" si="30"/>
        <v>40817917.623548679</v>
      </c>
      <c r="E678" s="54">
        <f t="shared" si="31"/>
        <v>5145111.8967671702</v>
      </c>
      <c r="F678" s="53">
        <f>$K$4*B678</f>
        <v>50593675.091200002</v>
      </c>
      <c r="G678" s="51">
        <f t="shared" si="32"/>
        <v>505936.75091200002</v>
      </c>
      <c r="H678" s="52">
        <f>$K$3*D678</f>
        <v>10204479.40588717</v>
      </c>
    </row>
    <row r="679" spans="1:8" ht="13.8" x14ac:dyDescent="0.25">
      <c r="A679" s="41">
        <v>0.36988847583643125</v>
      </c>
      <c r="B679" s="41">
        <v>6328.0969259000012</v>
      </c>
      <c r="C679" s="41">
        <f>C678+(((A679+A678)/2)*(B679-B678))</f>
        <v>4661.0193999292742</v>
      </c>
      <c r="D679" s="51">
        <f t="shared" si="30"/>
        <v>40830529.943380438</v>
      </c>
      <c r="E679" s="54">
        <f t="shared" si="31"/>
        <v>5145154.9451251095</v>
      </c>
      <c r="F679" s="53">
        <f>$K$4*B679</f>
        <v>50624775.407200009</v>
      </c>
      <c r="G679" s="51">
        <f t="shared" si="32"/>
        <v>506247.7540720001</v>
      </c>
      <c r="H679" s="52">
        <f>$K$3*D679</f>
        <v>10207632.485845109</v>
      </c>
    </row>
    <row r="680" spans="1:8" ht="13.8" x14ac:dyDescent="0.25">
      <c r="A680" s="40">
        <v>0.36895910780669144</v>
      </c>
      <c r="B680" s="40">
        <v>6348.9899587</v>
      </c>
      <c r="C680" s="41">
        <f>C679+(((A680+A679)/2)*(B680-B679))</f>
        <v>4668.737783328902</v>
      </c>
      <c r="D680" s="51">
        <f t="shared" si="30"/>
        <v>40898142.981961176</v>
      </c>
      <c r="E680" s="54">
        <f t="shared" si="31"/>
        <v>5145343.7785302941</v>
      </c>
      <c r="F680" s="53">
        <f>$K$4*B680</f>
        <v>50791919.669600002</v>
      </c>
      <c r="G680" s="51">
        <f t="shared" si="32"/>
        <v>507919.19669600006</v>
      </c>
      <c r="H680" s="52">
        <f>$K$3*D680</f>
        <v>10224535.745490294</v>
      </c>
    </row>
    <row r="681" spans="1:8" ht="13.8" x14ac:dyDescent="0.25">
      <c r="A681" s="41">
        <v>0.36802973977695169</v>
      </c>
      <c r="B681" s="41">
        <v>6357.2036319000008</v>
      </c>
      <c r="C681" s="41">
        <f>C680+(((A681+A680)/2)*(B681-B680))</f>
        <v>4671.764476101951</v>
      </c>
      <c r="D681" s="51">
        <f t="shared" si="30"/>
        <v>40924656.81065309</v>
      </c>
      <c r="E681" s="54">
        <f t="shared" si="31"/>
        <v>5145401.2971432731</v>
      </c>
      <c r="F681" s="53">
        <f>$K$4*B681</f>
        <v>50857629.055200003</v>
      </c>
      <c r="G681" s="51">
        <f t="shared" si="32"/>
        <v>508576.29055200005</v>
      </c>
      <c r="H681" s="52">
        <f>$K$3*D681</f>
        <v>10231164.202663273</v>
      </c>
    </row>
    <row r="682" spans="1:8" ht="13.8" x14ac:dyDescent="0.25">
      <c r="A682" s="40">
        <v>0.36710037174721188</v>
      </c>
      <c r="B682" s="40">
        <v>6383.4993478000006</v>
      </c>
      <c r="C682" s="41">
        <f>C681+(((A682+A681)/2)*(B682-B681))</f>
        <v>4681.4298623830382</v>
      </c>
      <c r="D682" s="51">
        <f t="shared" si="30"/>
        <v>41009325.594475418</v>
      </c>
      <c r="E682" s="54">
        <f t="shared" si="31"/>
        <v>5145531.9203788545</v>
      </c>
      <c r="F682" s="53">
        <f>$K$4*B682</f>
        <v>51067994.782400005</v>
      </c>
      <c r="G682" s="51">
        <f t="shared" si="32"/>
        <v>510679.94782400003</v>
      </c>
      <c r="H682" s="52">
        <f>$K$3*D682</f>
        <v>10252331.398618855</v>
      </c>
    </row>
    <row r="683" spans="1:8" ht="13.8" x14ac:dyDescent="0.25">
      <c r="A683" s="41">
        <v>0.36617100371747213</v>
      </c>
      <c r="B683" s="41">
        <v>6398.4912950000007</v>
      </c>
      <c r="C683" s="41">
        <f>C682+(((A683+A682)/2)*(B683-B682))</f>
        <v>4686.926445255157</v>
      </c>
      <c r="D683" s="51">
        <f t="shared" si="30"/>
        <v>41057475.66043517</v>
      </c>
      <c r="E683" s="54">
        <f t="shared" si="31"/>
        <v>5145575.8791087922</v>
      </c>
      <c r="F683" s="53">
        <f>$K$4*B683</f>
        <v>51187930.360000007</v>
      </c>
      <c r="G683" s="51">
        <f t="shared" si="32"/>
        <v>511879.3036000001</v>
      </c>
      <c r="H683" s="52">
        <f>$K$3*D683</f>
        <v>10264368.915108792</v>
      </c>
    </row>
    <row r="684" spans="1:8" ht="13.8" x14ac:dyDescent="0.25">
      <c r="A684" s="40">
        <v>0.36524163568773232</v>
      </c>
      <c r="B684" s="40">
        <v>6431.8443902999998</v>
      </c>
      <c r="C684" s="41">
        <f>C683+(((A684+A683)/2)*(B684-B683))</f>
        <v>4699.1238829880094</v>
      </c>
      <c r="D684" s="51">
        <f t="shared" si="30"/>
        <v>41164325.214974962</v>
      </c>
      <c r="E684" s="54">
        <f t="shared" si="31"/>
        <v>5145605.7915037395</v>
      </c>
      <c r="F684" s="53">
        <f>$K$4*B684</f>
        <v>51454755.122400001</v>
      </c>
      <c r="G684" s="51">
        <f t="shared" si="32"/>
        <v>514547.551224</v>
      </c>
      <c r="H684" s="52">
        <f>$K$3*D684</f>
        <v>10291081.303743741</v>
      </c>
    </row>
    <row r="685" spans="1:8" ht="13.8" x14ac:dyDescent="0.25">
      <c r="A685" s="41">
        <v>0.36431226765799257</v>
      </c>
      <c r="B685" s="41">
        <v>6442.3507149999987</v>
      </c>
      <c r="C685" s="41">
        <f>C684+(((A685+A684)/2)*(B685-B684))</f>
        <v>4702.9563480853603</v>
      </c>
      <c r="D685" s="51">
        <f t="shared" si="30"/>
        <v>41197897.609227754</v>
      </c>
      <c r="E685" s="54">
        <f t="shared" si="31"/>
        <v>5145593.8303069398</v>
      </c>
      <c r="F685" s="53">
        <f>$K$4*B685</f>
        <v>51538805.719999991</v>
      </c>
      <c r="G685" s="51">
        <f t="shared" si="32"/>
        <v>515388.05719999992</v>
      </c>
      <c r="H685" s="52">
        <f>$K$3*D685</f>
        <v>10299474.402306939</v>
      </c>
    </row>
    <row r="686" spans="1:8" ht="13.8" x14ac:dyDescent="0.25">
      <c r="A686" s="40">
        <v>0.36338289962825276</v>
      </c>
      <c r="B686" s="40">
        <v>6458.7182531000008</v>
      </c>
      <c r="C686" s="41">
        <f>C685+(((A686+A685)/2)*(B686-B685))</f>
        <v>4708.9116372732333</v>
      </c>
      <c r="D686" s="51">
        <f t="shared" si="30"/>
        <v>41250065.942513525</v>
      </c>
      <c r="E686" s="54">
        <f t="shared" si="31"/>
        <v>5145541.8831483806</v>
      </c>
      <c r="F686" s="53">
        <f>$K$4*B686</f>
        <v>51669746.024800003</v>
      </c>
      <c r="G686" s="51">
        <f t="shared" si="32"/>
        <v>516697.46024800005</v>
      </c>
      <c r="H686" s="52">
        <f>$K$3*D686</f>
        <v>10312516.485628381</v>
      </c>
    </row>
    <row r="687" spans="1:8" ht="13.8" x14ac:dyDescent="0.25">
      <c r="A687" s="41">
        <v>0.36245353159851301</v>
      </c>
      <c r="B687" s="41">
        <v>6477.4183149</v>
      </c>
      <c r="C687" s="41">
        <f>C686+(((A687+A686)/2)*(B687-B686))</f>
        <v>4715.698230333549</v>
      </c>
      <c r="D687" s="51">
        <f t="shared" si="30"/>
        <v>41309516.497721888</v>
      </c>
      <c r="E687" s="54">
        <f t="shared" si="31"/>
        <v>5145444.4725104729</v>
      </c>
      <c r="F687" s="53">
        <f>$K$4*B687</f>
        <v>51819346.519199997</v>
      </c>
      <c r="G687" s="51">
        <f t="shared" si="32"/>
        <v>518193.46519199997</v>
      </c>
      <c r="H687" s="52">
        <f>$K$3*D687</f>
        <v>10327379.124430472</v>
      </c>
    </row>
    <row r="688" spans="1:8" ht="13.8" x14ac:dyDescent="0.25">
      <c r="A688" s="40">
        <v>0.36152416356877326</v>
      </c>
      <c r="B688" s="40">
        <v>6522.2944760000009</v>
      </c>
      <c r="C688" s="41">
        <f>C687+(((A688+A687)/2)*(B688-B687))</f>
        <v>4731.9429001741164</v>
      </c>
      <c r="D688" s="51">
        <f t="shared" si="30"/>
        <v>41451819.805525266</v>
      </c>
      <c r="E688" s="54">
        <f t="shared" si="31"/>
        <v>5145119.3705813149</v>
      </c>
      <c r="F688" s="53">
        <f>$K$4*B688</f>
        <v>52178355.808000006</v>
      </c>
      <c r="G688" s="51">
        <f t="shared" si="32"/>
        <v>521783.55808000005</v>
      </c>
      <c r="H688" s="52">
        <f>$K$3*D688</f>
        <v>10362954.951381316</v>
      </c>
    </row>
    <row r="689" spans="1:8" ht="13.8" x14ac:dyDescent="0.25">
      <c r="A689" s="41">
        <v>0.36059479553903345</v>
      </c>
      <c r="B689" s="41">
        <v>6540.5160713999985</v>
      </c>
      <c r="C689" s="41">
        <f>C688+(((A689+A688)/2)*(B689-B688))</f>
        <v>4738.5219799258812</v>
      </c>
      <c r="D689" s="51">
        <f t="shared" si="30"/>
        <v>41509452.544150718</v>
      </c>
      <c r="E689" s="54">
        <f t="shared" si="31"/>
        <v>5144950.2789176805</v>
      </c>
      <c r="F689" s="53">
        <f>$K$4*B689</f>
        <v>52324128.571199991</v>
      </c>
      <c r="G689" s="51">
        <f t="shared" si="32"/>
        <v>523241.28571199992</v>
      </c>
      <c r="H689" s="52">
        <f>$K$3*D689</f>
        <v>10377363.136037679</v>
      </c>
    </row>
    <row r="690" spans="1:8" ht="13.8" x14ac:dyDescent="0.25">
      <c r="A690" s="40">
        <v>0.3596654275092937</v>
      </c>
      <c r="B690" s="40">
        <v>6546.0782432999995</v>
      </c>
      <c r="C690" s="41">
        <f>C689+(((A690+A689)/2)*(B690-B689))</f>
        <v>4740.525085512545</v>
      </c>
      <c r="D690" s="51">
        <f t="shared" si="30"/>
        <v>41526999.749089897</v>
      </c>
      <c r="E690" s="54">
        <f t="shared" si="31"/>
        <v>5144887.3426324753</v>
      </c>
      <c r="F690" s="53">
        <f>$K$4*B690</f>
        <v>52368625.946399994</v>
      </c>
      <c r="G690" s="51">
        <f t="shared" si="32"/>
        <v>523686.25946399994</v>
      </c>
      <c r="H690" s="52">
        <f>$K$3*D690</f>
        <v>10381749.937272474</v>
      </c>
    </row>
    <row r="691" spans="1:8" ht="13.8" x14ac:dyDescent="0.25">
      <c r="A691" s="41">
        <v>0.35873605947955389</v>
      </c>
      <c r="B691" s="41">
        <v>6555.1092966000006</v>
      </c>
      <c r="C691" s="41">
        <f>C690+(((A691+A690)/2)*(B691-B690))</f>
        <v>4743.7690465724436</v>
      </c>
      <c r="D691" s="51">
        <f t="shared" si="30"/>
        <v>41555416.847974606</v>
      </c>
      <c r="E691" s="54">
        <f t="shared" si="31"/>
        <v>5144766.7747136503</v>
      </c>
      <c r="F691" s="53">
        <f>$K$4*B691</f>
        <v>52440874.372800007</v>
      </c>
      <c r="G691" s="51">
        <f t="shared" si="32"/>
        <v>524408.74372800009</v>
      </c>
      <c r="H691" s="52">
        <f>$K$3*D691</f>
        <v>10388854.211993651</v>
      </c>
    </row>
    <row r="692" spans="1:8" ht="13.8" x14ac:dyDescent="0.25">
      <c r="A692" s="40">
        <v>0.35780669144981414</v>
      </c>
      <c r="B692" s="40">
        <v>6580.308527000001</v>
      </c>
      <c r="C692" s="41">
        <f>C691+(((A692+A691)/2)*(B692-B691))</f>
        <v>4752.7972095085033</v>
      </c>
      <c r="D692" s="51">
        <f t="shared" si="30"/>
        <v>41634503.555294491</v>
      </c>
      <c r="E692" s="54">
        <f t="shared" si="31"/>
        <v>5144379.0672236234</v>
      </c>
      <c r="F692" s="53">
        <f>$K$4*B692</f>
        <v>52642468.216000006</v>
      </c>
      <c r="G692" s="51">
        <f t="shared" si="32"/>
        <v>526424.68216000008</v>
      </c>
      <c r="H692" s="52">
        <f>$K$3*D692</f>
        <v>10408625.888823623</v>
      </c>
    </row>
    <row r="693" spans="1:8" ht="13.8" x14ac:dyDescent="0.25">
      <c r="A693" s="41">
        <v>0.35687732342007433</v>
      </c>
      <c r="B693" s="41">
        <v>6603.7733166999997</v>
      </c>
      <c r="C693" s="41">
        <f>C692+(((A693+A692)/2)*(B693-B692))</f>
        <v>4761.1821645639393</v>
      </c>
      <c r="D693" s="51">
        <f t="shared" si="30"/>
        <v>41707955.76158011</v>
      </c>
      <c r="E693" s="54">
        <f t="shared" si="31"/>
        <v>5143970.2870350275</v>
      </c>
      <c r="F693" s="53">
        <f>$K$4*B693</f>
        <v>52830186.533599995</v>
      </c>
      <c r="G693" s="51">
        <f t="shared" si="32"/>
        <v>528301.86533599999</v>
      </c>
      <c r="H693" s="52">
        <f>$K$3*D693</f>
        <v>10426988.940395027</v>
      </c>
    </row>
    <row r="694" spans="1:8" ht="13.8" x14ac:dyDescent="0.25">
      <c r="A694" s="40">
        <v>0.35594795539033458</v>
      </c>
      <c r="B694" s="40">
        <v>6625.3641129999996</v>
      </c>
      <c r="C694" s="41">
        <f>C693+(((A694+A693)/2)*(B694-B693))</f>
        <v>4768.877397260082</v>
      </c>
      <c r="D694" s="51">
        <f t="shared" si="30"/>
        <v>41775365.999998316</v>
      </c>
      <c r="E694" s="54">
        <f t="shared" si="31"/>
        <v>5143550.2095995806</v>
      </c>
      <c r="F694" s="53">
        <f>$K$4*B694</f>
        <v>53002912.903999999</v>
      </c>
      <c r="G694" s="51">
        <f t="shared" si="32"/>
        <v>530029.12904000003</v>
      </c>
      <c r="H694" s="52">
        <f>$K$3*D694</f>
        <v>10443841.499999579</v>
      </c>
    </row>
    <row r="695" spans="1:8" ht="13.8" x14ac:dyDescent="0.25">
      <c r="A695" s="41">
        <v>0.35501858736059477</v>
      </c>
      <c r="B695" s="41">
        <v>6632.8800227000002</v>
      </c>
      <c r="C695" s="41">
        <f>C694+(((A695+A694)/2)*(B695-B694))</f>
        <v>4771.5491774276006</v>
      </c>
      <c r="D695" s="51">
        <f t="shared" si="30"/>
        <v>41798770.794265777</v>
      </c>
      <c r="E695" s="54">
        <f t="shared" si="31"/>
        <v>5143388.6804064447</v>
      </c>
      <c r="F695" s="53">
        <f>$K$4*B695</f>
        <v>53063040.181600004</v>
      </c>
      <c r="G695" s="51">
        <f t="shared" si="32"/>
        <v>530630.401816</v>
      </c>
      <c r="H695" s="52">
        <f>$K$3*D695</f>
        <v>10449692.698566444</v>
      </c>
    </row>
    <row r="696" spans="1:8" ht="13.8" x14ac:dyDescent="0.25">
      <c r="A696" s="40">
        <v>0.35408921933085502</v>
      </c>
      <c r="B696" s="40">
        <v>6652.7563143999996</v>
      </c>
      <c r="C696" s="41">
        <f>C695+(((A696+A695)/2)*(B696-B695))</f>
        <v>4778.596394233874</v>
      </c>
      <c r="D696" s="51">
        <f t="shared" si="30"/>
        <v>41860504.413488731</v>
      </c>
      <c r="E696" s="54">
        <f t="shared" si="31"/>
        <v>5142921.0518521834</v>
      </c>
      <c r="F696" s="53">
        <f>$K$4*B696</f>
        <v>53222050.515199997</v>
      </c>
      <c r="G696" s="51">
        <f t="shared" si="32"/>
        <v>532220.505152</v>
      </c>
      <c r="H696" s="52">
        <f>$K$3*D696</f>
        <v>10465126.103372183</v>
      </c>
    </row>
    <row r="697" spans="1:8" ht="13.8" x14ac:dyDescent="0.25">
      <c r="A697" s="41">
        <v>0.35315985130111527</v>
      </c>
      <c r="B697" s="41">
        <v>6672.4531812000005</v>
      </c>
      <c r="C697" s="41">
        <f>C696+(((A697+A696)/2)*(B697-B696))</f>
        <v>4785.5616896032052</v>
      </c>
      <c r="D697" s="51">
        <f t="shared" si="30"/>
        <v>41921520.400924079</v>
      </c>
      <c r="E697" s="54">
        <f t="shared" si="31"/>
        <v>5142417.5552710192</v>
      </c>
      <c r="F697" s="53">
        <f>$K$4*B697</f>
        <v>53379625.449600004</v>
      </c>
      <c r="G697" s="51">
        <f t="shared" si="32"/>
        <v>533796.25449600001</v>
      </c>
      <c r="H697" s="52">
        <f>$K$3*D697</f>
        <v>10480380.10023102</v>
      </c>
    </row>
    <row r="698" spans="1:8" ht="13.8" x14ac:dyDescent="0.25">
      <c r="A698" s="40">
        <v>0.35223048327137546</v>
      </c>
      <c r="B698" s="40">
        <v>6696.1771402000004</v>
      </c>
      <c r="C698" s="41">
        <f>C697+(((A698+A697)/2)*(B698-B697))</f>
        <v>4793.9290152914018</v>
      </c>
      <c r="D698" s="51">
        <f t="shared" si="30"/>
        <v>41994818.173952676</v>
      </c>
      <c r="E698" s="54">
        <f t="shared" si="31"/>
        <v>5141762.8313281694</v>
      </c>
      <c r="F698" s="53">
        <f>$K$4*B698</f>
        <v>53569417.121600002</v>
      </c>
      <c r="G698" s="51">
        <f t="shared" si="32"/>
        <v>535694.17121599999</v>
      </c>
      <c r="H698" s="52">
        <f>$K$3*D698</f>
        <v>10498704.543488169</v>
      </c>
    </row>
    <row r="699" spans="1:8" ht="13.8" x14ac:dyDescent="0.25">
      <c r="A699" s="41">
        <v>0.35130111524163571</v>
      </c>
      <c r="B699" s="41">
        <v>6701.8190565000023</v>
      </c>
      <c r="C699" s="41">
        <f>C698+(((A699+A698)/2)*(B699-B698))</f>
        <v>4795.91364848801</v>
      </c>
      <c r="D699" s="51">
        <f t="shared" si="30"/>
        <v>42012203.560754962</v>
      </c>
      <c r="E699" s="54">
        <f t="shared" si="31"/>
        <v>5141595.6449887389</v>
      </c>
      <c r="F699" s="53">
        <f>$K$4*B699</f>
        <v>53614552.452000014</v>
      </c>
      <c r="G699" s="51">
        <f t="shared" si="32"/>
        <v>536145.52452000021</v>
      </c>
      <c r="H699" s="52">
        <f>$K$3*D699</f>
        <v>10503050.890188741</v>
      </c>
    </row>
    <row r="700" spans="1:8" ht="13.8" x14ac:dyDescent="0.25">
      <c r="A700" s="40">
        <v>0.3503717472118959</v>
      </c>
      <c r="B700" s="40">
        <v>6725.2838462</v>
      </c>
      <c r="C700" s="41">
        <f>C699+(((A700+A699)/2)*(B700-B699))</f>
        <v>4804.1459515658435</v>
      </c>
      <c r="D700" s="51">
        <f t="shared" si="30"/>
        <v>42084318.535716794</v>
      </c>
      <c r="E700" s="54">
        <f t="shared" si="31"/>
        <v>5140852.5569691993</v>
      </c>
      <c r="F700" s="53">
        <f>$K$4*B700</f>
        <v>53802270.769599997</v>
      </c>
      <c r="G700" s="51">
        <f t="shared" si="32"/>
        <v>538022.707696</v>
      </c>
      <c r="H700" s="52">
        <f>$K$3*D700</f>
        <v>10521079.633929199</v>
      </c>
    </row>
    <row r="701" spans="1:8" ht="13.8" x14ac:dyDescent="0.25">
      <c r="A701" s="41">
        <v>0.34944237918215615</v>
      </c>
      <c r="B701" s="41">
        <v>6736.0892123999993</v>
      </c>
      <c r="C701" s="41">
        <f>C700+(((A701+A700)/2)*(B701-B700))</f>
        <v>4807.9268255196539</v>
      </c>
      <c r="D701" s="51">
        <f t="shared" si="30"/>
        <v>42117438.991552167</v>
      </c>
      <c r="E701" s="54">
        <f t="shared" si="31"/>
        <v>5140488.3779680422</v>
      </c>
      <c r="F701" s="53">
        <f>$K$4*B701</f>
        <v>53888713.699199997</v>
      </c>
      <c r="G701" s="51">
        <f t="shared" si="32"/>
        <v>538887.13699199993</v>
      </c>
      <c r="H701" s="52">
        <f>$K$3*D701</f>
        <v>10529359.747888042</v>
      </c>
    </row>
    <row r="702" spans="1:8" ht="13.8" x14ac:dyDescent="0.25">
      <c r="A702" s="40">
        <v>0.34851301115241634</v>
      </c>
      <c r="B702" s="40">
        <v>6742.8276142000004</v>
      </c>
      <c r="C702" s="41">
        <f>C701+(((A702+A701)/2)*(B702-B701))</f>
        <v>4810.2783774489289</v>
      </c>
      <c r="D702" s="51">
        <f t="shared" si="30"/>
        <v>42138038.586452618</v>
      </c>
      <c r="E702" s="54">
        <f t="shared" si="31"/>
        <v>5140247.5552531546</v>
      </c>
      <c r="F702" s="53">
        <f>$K$4*B702</f>
        <v>53942620.913600005</v>
      </c>
      <c r="G702" s="51">
        <f t="shared" si="32"/>
        <v>539426.20913600002</v>
      </c>
      <c r="H702" s="52">
        <f>$K$3*D702</f>
        <v>10534509.646613155</v>
      </c>
    </row>
    <row r="703" spans="1:8" ht="13.8" x14ac:dyDescent="0.25">
      <c r="A703" s="41">
        <v>0.34758364312267659</v>
      </c>
      <c r="B703" s="41">
        <v>6774.1272911999995</v>
      </c>
      <c r="C703" s="41">
        <f>C702+(((A703+A702)/2)*(B703-B702))</f>
        <v>4821.1721776687245</v>
      </c>
      <c r="D703" s="51">
        <f t="shared" si="30"/>
        <v>42233468.276378028</v>
      </c>
      <c r="E703" s="54">
        <f t="shared" si="31"/>
        <v>5139065.2361345068</v>
      </c>
      <c r="F703" s="53">
        <f>$K$4*B703</f>
        <v>54193018.329599999</v>
      </c>
      <c r="G703" s="51">
        <f t="shared" si="32"/>
        <v>541930.183296</v>
      </c>
      <c r="H703" s="52">
        <f>$K$3*D703</f>
        <v>10558367.069094507</v>
      </c>
    </row>
    <row r="704" spans="1:8" ht="13.8" x14ac:dyDescent="0.25">
      <c r="A704" s="40">
        <v>0.34665427509293678</v>
      </c>
      <c r="B704" s="40">
        <v>6782.2612200000003</v>
      </c>
      <c r="C704" s="41">
        <f>C703+(((A704+A703)/2)*(B704-B703))</f>
        <v>4823.9956185672381</v>
      </c>
      <c r="D704" s="51">
        <f t="shared" si="30"/>
        <v>42258201.618649006</v>
      </c>
      <c r="E704" s="54">
        <f t="shared" si="31"/>
        <v>5138741.4286622507</v>
      </c>
      <c r="F704" s="53">
        <f>$K$4*B704</f>
        <v>54258089.760000005</v>
      </c>
      <c r="G704" s="51">
        <f t="shared" si="32"/>
        <v>542580.89760000003</v>
      </c>
      <c r="H704" s="52">
        <f>$K$3*D704</f>
        <v>10564550.404662251</v>
      </c>
    </row>
    <row r="705" spans="1:8" ht="13.8" x14ac:dyDescent="0.25">
      <c r="A705" s="41">
        <v>0.34572490706319703</v>
      </c>
      <c r="B705" s="41">
        <v>6802.0178951000016</v>
      </c>
      <c r="C705" s="41">
        <f>C704+(((A705+A704)/2)*(B705-B704))</f>
        <v>4830.8351738411702</v>
      </c>
      <c r="D705" s="51">
        <f t="shared" si="30"/>
        <v>42318116.122848652</v>
      </c>
      <c r="E705" s="54">
        <f t="shared" si="31"/>
        <v>5137914.7146321619</v>
      </c>
      <c r="F705" s="53">
        <f>$K$4*B705</f>
        <v>54416143.16080001</v>
      </c>
      <c r="G705" s="51">
        <f t="shared" si="32"/>
        <v>544161.43160800007</v>
      </c>
      <c r="H705" s="52">
        <f>$K$3*D705</f>
        <v>10579529.030712163</v>
      </c>
    </row>
    <row r="706" spans="1:8" ht="13.8" x14ac:dyDescent="0.25">
      <c r="A706" s="40">
        <v>0.34479553903345728</v>
      </c>
      <c r="B706" s="40">
        <v>6808.6566164000014</v>
      </c>
      <c r="C706" s="41">
        <f>C705+(((A706+A705)/2)*(B706-B705))</f>
        <v>4833.127260237964</v>
      </c>
      <c r="D706" s="51">
        <f t="shared" si="30"/>
        <v>42338194.799684562</v>
      </c>
      <c r="E706" s="54">
        <f t="shared" si="31"/>
        <v>5137623.4068011399</v>
      </c>
      <c r="F706" s="53">
        <f>$K$4*B706</f>
        <v>54469252.931200013</v>
      </c>
      <c r="G706" s="51">
        <f t="shared" si="32"/>
        <v>544692.52931200014</v>
      </c>
      <c r="H706" s="52">
        <f>$K$3*D706</f>
        <v>10584548.69992114</v>
      </c>
    </row>
    <row r="707" spans="1:8" ht="13.8" x14ac:dyDescent="0.25">
      <c r="A707" s="41">
        <v>0.34386617100371747</v>
      </c>
      <c r="B707" s="41">
        <v>6816.0927817000011</v>
      </c>
      <c r="C707" s="41">
        <f>C706+(((A707+A706)/2)*(B707-B706))</f>
        <v>4835.6877613937722</v>
      </c>
      <c r="D707" s="51">
        <f t="shared" ref="D707:D770" si="33">C707*24*365</f>
        <v>42360624.789809443</v>
      </c>
      <c r="E707" s="54">
        <f t="shared" ref="E707:E770" si="34">H707-G707-(F707*$K$5)</f>
        <v>5137281.9720923593</v>
      </c>
      <c r="F707" s="53">
        <f>$K$4*B707</f>
        <v>54528742.253600009</v>
      </c>
      <c r="G707" s="51">
        <f t="shared" ref="G707:G770" si="35">F707*0.01</f>
        <v>545287.42253600014</v>
      </c>
      <c r="H707" s="52">
        <f>$K$3*D707</f>
        <v>10590156.197452361</v>
      </c>
    </row>
    <row r="708" spans="1:8" ht="13.8" x14ac:dyDescent="0.25">
      <c r="A708" s="40">
        <v>0.34293680297397772</v>
      </c>
      <c r="B708" s="40">
        <v>6817.2291393999994</v>
      </c>
      <c r="C708" s="41">
        <f>C707+(((A708+A707)/2)*(B708-B707))</f>
        <v>4836.0779883177029</v>
      </c>
      <c r="D708" s="51">
        <f t="shared" si="33"/>
        <v>42364043.17766308</v>
      </c>
      <c r="E708" s="54">
        <f t="shared" si="34"/>
        <v>5137227.482895771</v>
      </c>
      <c r="F708" s="53">
        <f>$K$4*B708</f>
        <v>54537833.115199998</v>
      </c>
      <c r="G708" s="51">
        <f t="shared" si="35"/>
        <v>545378.331152</v>
      </c>
      <c r="H708" s="52">
        <f>$K$3*D708</f>
        <v>10591010.79441577</v>
      </c>
    </row>
    <row r="709" spans="1:8" ht="13.8" x14ac:dyDescent="0.25">
      <c r="A709" s="41">
        <v>0.34200743494423791</v>
      </c>
      <c r="B709" s="41">
        <v>6818.9835161999999</v>
      </c>
      <c r="C709" s="41">
        <f>C708+(((A709+A708)/2)*(B709-B708))</f>
        <v>4836.6788134578519</v>
      </c>
      <c r="D709" s="51">
        <f t="shared" si="33"/>
        <v>42369306.405890778</v>
      </c>
      <c r="E709" s="54">
        <f t="shared" si="34"/>
        <v>5137139.7885126946</v>
      </c>
      <c r="F709" s="53">
        <f>$K$4*B709</f>
        <v>54551868.129599996</v>
      </c>
      <c r="G709" s="51">
        <f t="shared" si="35"/>
        <v>545518.68129600002</v>
      </c>
      <c r="H709" s="52">
        <f>$K$3*D709</f>
        <v>10592326.601472694</v>
      </c>
    </row>
    <row r="710" spans="1:8" ht="13.8" x14ac:dyDescent="0.25">
      <c r="A710" s="40">
        <v>0.34107806691449816</v>
      </c>
      <c r="B710" s="40">
        <v>6828.3136109999987</v>
      </c>
      <c r="C710" s="41">
        <f>C709+(((A710+A709)/2)*(B710-B709))</f>
        <v>4839.8654397022756</v>
      </c>
      <c r="D710" s="51">
        <f t="shared" si="33"/>
        <v>42397221.251791932</v>
      </c>
      <c r="E710" s="54">
        <f t="shared" si="34"/>
        <v>5136654.4241479831</v>
      </c>
      <c r="F710" s="53">
        <f>$K$4*B710</f>
        <v>54626508.887999989</v>
      </c>
      <c r="G710" s="51">
        <f t="shared" si="35"/>
        <v>546265.08887999994</v>
      </c>
      <c r="H710" s="52">
        <f>$K$3*D710</f>
        <v>10599305.312947983</v>
      </c>
    </row>
    <row r="711" spans="1:8" ht="13.8" x14ac:dyDescent="0.25">
      <c r="A711" s="41">
        <v>0.34014869888475835</v>
      </c>
      <c r="B711" s="41">
        <v>6849.2863882000001</v>
      </c>
      <c r="C711" s="41">
        <f>C710+(((A711+A710)/2)*(B711-B710))</f>
        <v>4847.0090482931682</v>
      </c>
      <c r="D711" s="51">
        <f t="shared" si="33"/>
        <v>42459799.263048157</v>
      </c>
      <c r="E711" s="54">
        <f t="shared" si="34"/>
        <v>5135520.7052020384</v>
      </c>
      <c r="F711" s="53">
        <f>$K$4*B711</f>
        <v>54794291.105599999</v>
      </c>
      <c r="G711" s="51">
        <f t="shared" si="35"/>
        <v>547942.91105600004</v>
      </c>
      <c r="H711" s="52">
        <f>$K$3*D711</f>
        <v>10614949.815762039</v>
      </c>
    </row>
    <row r="712" spans="1:8" ht="13.8" x14ac:dyDescent="0.25">
      <c r="A712" s="40">
        <v>0.3392193308550186</v>
      </c>
      <c r="B712" s="40">
        <v>6854.9283045000011</v>
      </c>
      <c r="C712" s="41">
        <f>C711+(((A712+A711)/2)*(B712-B711))</f>
        <v>4848.9255170735123</v>
      </c>
      <c r="D712" s="51">
        <f t="shared" si="33"/>
        <v>42476587.529563971</v>
      </c>
      <c r="E712" s="54">
        <f t="shared" si="34"/>
        <v>5135204.2387909926</v>
      </c>
      <c r="F712" s="53">
        <f>$K$4*B712</f>
        <v>54839426.436000012</v>
      </c>
      <c r="G712" s="51">
        <f t="shared" si="35"/>
        <v>548394.26436000015</v>
      </c>
      <c r="H712" s="52">
        <f>$K$3*D712</f>
        <v>10619146.882390993</v>
      </c>
    </row>
    <row r="713" spans="1:8" ht="13.8" x14ac:dyDescent="0.25">
      <c r="A713" s="41">
        <v>0.33828996282527879</v>
      </c>
      <c r="B713" s="41">
        <v>6858.018399999999</v>
      </c>
      <c r="C713" s="41">
        <f>C712+(((A713+A712)/2)*(B713-B712))</f>
        <v>4849.9723012833165</v>
      </c>
      <c r="D713" s="51">
        <f t="shared" si="33"/>
        <v>42485757.359241851</v>
      </c>
      <c r="E713" s="54">
        <f t="shared" si="34"/>
        <v>5135024.6198104639</v>
      </c>
      <c r="F713" s="53">
        <f>$K$4*B713</f>
        <v>54864147.199999996</v>
      </c>
      <c r="G713" s="51">
        <f t="shared" si="35"/>
        <v>548641.47199999995</v>
      </c>
      <c r="H713" s="52">
        <f>$K$3*D713</f>
        <v>10621439.339810463</v>
      </c>
    </row>
    <row r="714" spans="1:8" ht="13.8" x14ac:dyDescent="0.25">
      <c r="A714" s="40">
        <v>0.33736059479553904</v>
      </c>
      <c r="B714" s="40">
        <v>6887.0652977</v>
      </c>
      <c r="C714" s="41">
        <f>C713+(((A714+A713)/2)*(B714-B713))</f>
        <v>4859.7850775973966</v>
      </c>
      <c r="D714" s="51">
        <f t="shared" si="33"/>
        <v>42571717.279753193</v>
      </c>
      <c r="E714" s="54">
        <f t="shared" si="34"/>
        <v>5133277.0817782981</v>
      </c>
      <c r="F714" s="53">
        <f>$K$4*B714</f>
        <v>55096522.3816</v>
      </c>
      <c r="G714" s="51">
        <f t="shared" si="35"/>
        <v>550965.22381600004</v>
      </c>
      <c r="H714" s="52">
        <f>$K$3*D714</f>
        <v>10642929.319938298</v>
      </c>
    </row>
    <row r="715" spans="1:8" ht="13.8" x14ac:dyDescent="0.25">
      <c r="A715" s="41">
        <v>0.33643122676579923</v>
      </c>
      <c r="B715" s="41">
        <v>6897.3523252999976</v>
      </c>
      <c r="C715" s="41">
        <f>C714+(((A715+A714)/2)*(B715-B714))</f>
        <v>4863.2507351299237</v>
      </c>
      <c r="D715" s="51">
        <f t="shared" si="33"/>
        <v>42602076.439738132</v>
      </c>
      <c r="E715" s="54">
        <f t="shared" si="34"/>
        <v>5132637.2496945355</v>
      </c>
      <c r="F715" s="53">
        <f>$K$4*B715</f>
        <v>55178818.602399983</v>
      </c>
      <c r="G715" s="51">
        <f t="shared" si="35"/>
        <v>551788.18602399982</v>
      </c>
      <c r="H715" s="52">
        <f>$K$3*D715</f>
        <v>10650519.109934533</v>
      </c>
    </row>
    <row r="716" spans="1:8" ht="13.8" x14ac:dyDescent="0.25">
      <c r="A716" s="40">
        <v>0.33550185873605948</v>
      </c>
      <c r="B716" s="40">
        <v>6899.5253602000003</v>
      </c>
      <c r="C716" s="41">
        <f>C715+(((A716+A715)/2)*(B716-B715))</f>
        <v>4863.980802152555</v>
      </c>
      <c r="D716" s="51">
        <f t="shared" si="33"/>
        <v>42608471.826856382</v>
      </c>
      <c r="E716" s="54">
        <f t="shared" si="34"/>
        <v>5132497.6685540965</v>
      </c>
      <c r="F716" s="53">
        <f>$K$4*B716</f>
        <v>55196202.8816</v>
      </c>
      <c r="G716" s="51">
        <f t="shared" si="35"/>
        <v>551962.02881599998</v>
      </c>
      <c r="H716" s="52">
        <f>$K$3*D716</f>
        <v>10652117.956714096</v>
      </c>
    </row>
    <row r="717" spans="1:8" ht="13.8" x14ac:dyDescent="0.25">
      <c r="A717" s="41">
        <v>0.33457249070631973</v>
      </c>
      <c r="B717" s="41">
        <v>6902.8546889000008</v>
      </c>
      <c r="C717" s="41">
        <f>C716+(((A717+A716)/2)*(B717-B716))</f>
        <v>4865.0962510339214</v>
      </c>
      <c r="D717" s="51">
        <f t="shared" si="33"/>
        <v>42618243.159057148</v>
      </c>
      <c r="E717" s="54">
        <f t="shared" si="34"/>
        <v>5132277.0386442859</v>
      </c>
      <c r="F717" s="53">
        <f>$K$4*B717</f>
        <v>55222837.511200003</v>
      </c>
      <c r="G717" s="51">
        <f t="shared" si="35"/>
        <v>552228.37511200004</v>
      </c>
      <c r="H717" s="52">
        <f>$K$3*D717</f>
        <v>10654560.789764287</v>
      </c>
    </row>
    <row r="718" spans="1:8" ht="13.8" x14ac:dyDescent="0.25">
      <c r="A718" s="40">
        <v>0.33364312267657992</v>
      </c>
      <c r="B718" s="40">
        <v>6911.3674036000002</v>
      </c>
      <c r="C718" s="41">
        <f>C717+(((A718+A717)/2)*(B718-B717))</f>
        <v>4867.9404154713284</v>
      </c>
      <c r="D718" s="51">
        <f t="shared" si="33"/>
        <v>42643158.039528839</v>
      </c>
      <c r="E718" s="54">
        <f t="shared" si="34"/>
        <v>5131695.5870022103</v>
      </c>
      <c r="F718" s="53">
        <f>$K$4*B718</f>
        <v>55290939.228799999</v>
      </c>
      <c r="G718" s="51">
        <f t="shared" si="35"/>
        <v>552909.39228799997</v>
      </c>
      <c r="H718" s="52">
        <f>$K$3*D718</f>
        <v>10660789.50988221</v>
      </c>
    </row>
    <row r="719" spans="1:8" ht="13.8" x14ac:dyDescent="0.25">
      <c r="A719" s="41">
        <v>0.33271375464684017</v>
      </c>
      <c r="B719" s="41">
        <v>6918.0459970999991</v>
      </c>
      <c r="C719" s="41">
        <f>C718+(((A719+A718)/2)*(B719-B718))</f>
        <v>4870.1655788261141</v>
      </c>
      <c r="D719" s="51">
        <f t="shared" si="33"/>
        <v>42662650.470516756</v>
      </c>
      <c r="E719" s="54">
        <f t="shared" si="34"/>
        <v>5131225.8199491901</v>
      </c>
      <c r="F719" s="53">
        <f>$K$4*B719</f>
        <v>55344367.976799995</v>
      </c>
      <c r="G719" s="51">
        <f t="shared" si="35"/>
        <v>553443.67976799991</v>
      </c>
      <c r="H719" s="52">
        <f>$K$3*D719</f>
        <v>10665662.617629189</v>
      </c>
    </row>
    <row r="720" spans="1:8" ht="13.8" x14ac:dyDescent="0.25">
      <c r="A720" s="40">
        <v>0.33178438661710036</v>
      </c>
      <c r="B720" s="40">
        <v>6926.8178811000016</v>
      </c>
      <c r="C720" s="41">
        <f>C719+(((A720+A719)/2)*(B720-B719))</f>
        <v>4873.080029132806</v>
      </c>
      <c r="D720" s="51">
        <f t="shared" si="33"/>
        <v>42688181.055203386</v>
      </c>
      <c r="E720" s="54">
        <f t="shared" si="34"/>
        <v>5130590.9589208458</v>
      </c>
      <c r="F720" s="53">
        <f>$K$4*B720</f>
        <v>55414543.048800014</v>
      </c>
      <c r="G720" s="51">
        <f t="shared" si="35"/>
        <v>554145.43048800016</v>
      </c>
      <c r="H720" s="52">
        <f>$K$3*D720</f>
        <v>10672045.263800846</v>
      </c>
    </row>
    <row r="721" spans="1:8" ht="13.8" x14ac:dyDescent="0.25">
      <c r="A721" s="41">
        <v>0.33085501858736061</v>
      </c>
      <c r="B721" s="41">
        <v>6935.8489344000009</v>
      </c>
      <c r="C721" s="41">
        <f>C720+(((A721+A720)/2)*(B721-B720))</f>
        <v>4876.0721950263469</v>
      </c>
      <c r="D721" s="51">
        <f t="shared" si="33"/>
        <v>42714392.428430796</v>
      </c>
      <c r="E721" s="54">
        <f t="shared" si="34"/>
        <v>5129918.9595876997</v>
      </c>
      <c r="F721" s="53">
        <f>$K$4*B721</f>
        <v>55486791.475200005</v>
      </c>
      <c r="G721" s="51">
        <f t="shared" si="35"/>
        <v>554867.91475200001</v>
      </c>
      <c r="H721" s="52">
        <f>$K$3*D721</f>
        <v>10678598.107107699</v>
      </c>
    </row>
    <row r="722" spans="1:8" ht="13.8" x14ac:dyDescent="0.25">
      <c r="A722" s="40">
        <v>0.3299256505576208</v>
      </c>
      <c r="B722" s="40">
        <v>6944.8002432999992</v>
      </c>
      <c r="C722" s="41">
        <f>C721+(((A722+A721)/2)*(B722-B721))</f>
        <v>4879.0296209686794</v>
      </c>
      <c r="D722" s="51">
        <f t="shared" si="33"/>
        <v>42740299.479685634</v>
      </c>
      <c r="E722" s="54">
        <f t="shared" si="34"/>
        <v>5129234.6752814101</v>
      </c>
      <c r="F722" s="53">
        <f>$K$4*B722</f>
        <v>55558401.946399994</v>
      </c>
      <c r="G722" s="51">
        <f t="shared" si="35"/>
        <v>555584.0194639999</v>
      </c>
      <c r="H722" s="52">
        <f>$K$3*D722</f>
        <v>10685074.869921409</v>
      </c>
    </row>
    <row r="723" spans="1:8" ht="13.8" x14ac:dyDescent="0.25">
      <c r="A723" s="41">
        <v>0.32899628252788105</v>
      </c>
      <c r="B723" s="41">
        <v>7025.2424067999991</v>
      </c>
      <c r="C723" s="41">
        <f>C722+(((A723+A722)/2)*(B723-B722))</f>
        <v>4905.5321739061792</v>
      </c>
      <c r="D723" s="51">
        <f t="shared" si="33"/>
        <v>42972461.843418129</v>
      </c>
      <c r="E723" s="54">
        <f t="shared" si="34"/>
        <v>5122921.5354145337</v>
      </c>
      <c r="F723" s="53">
        <f>$K$4*B723</f>
        <v>56201939.254399993</v>
      </c>
      <c r="G723" s="51">
        <f t="shared" si="35"/>
        <v>562019.39254399994</v>
      </c>
      <c r="H723" s="52">
        <f>$K$3*D723</f>
        <v>10743115.460854532</v>
      </c>
    </row>
    <row r="724" spans="1:8" ht="13.8" x14ac:dyDescent="0.25">
      <c r="A724" s="40">
        <v>0.32806691449814124</v>
      </c>
      <c r="B724" s="40">
        <v>7048.1888579000006</v>
      </c>
      <c r="C724" s="41">
        <f>C723+(((A724+A723)/2)*(B724-B723))</f>
        <v>4913.0708081662633</v>
      </c>
      <c r="D724" s="51">
        <f t="shared" si="33"/>
        <v>43038500.279536463</v>
      </c>
      <c r="E724" s="54">
        <f t="shared" si="34"/>
        <v>5121073.9835641161</v>
      </c>
      <c r="F724" s="53">
        <f>$K$4*B724</f>
        <v>56385510.863200001</v>
      </c>
      <c r="G724" s="51">
        <f t="shared" si="35"/>
        <v>563855.10863200005</v>
      </c>
      <c r="H724" s="52">
        <f>$K$3*D724</f>
        <v>10759625.069884116</v>
      </c>
    </row>
    <row r="725" spans="1:8" ht="13.8" x14ac:dyDescent="0.25">
      <c r="A725" s="41">
        <v>0.32713754646840149</v>
      </c>
      <c r="B725" s="41">
        <v>7064.8355013999999</v>
      </c>
      <c r="C725" s="41">
        <f>C724+(((A725+A724)/2)*(B725-B724))</f>
        <v>4918.5242857069234</v>
      </c>
      <c r="D725" s="51">
        <f t="shared" si="33"/>
        <v>43086272.742792644</v>
      </c>
      <c r="E725" s="54">
        <f t="shared" si="34"/>
        <v>5119699.7845781604</v>
      </c>
      <c r="F725" s="53">
        <f>$K$4*B725</f>
        <v>56518684.011199996</v>
      </c>
      <c r="G725" s="51">
        <f t="shared" si="35"/>
        <v>565186.84011200001</v>
      </c>
      <c r="H725" s="52">
        <f>$K$3*D725</f>
        <v>10771568.185698161</v>
      </c>
    </row>
    <row r="726" spans="1:8" ht="13.8" x14ac:dyDescent="0.25">
      <c r="A726" s="40">
        <v>0.32620817843866173</v>
      </c>
      <c r="B726" s="40">
        <v>7068.2246384000018</v>
      </c>
      <c r="C726" s="41">
        <f>C725+(((A726+A725)/2)*(B726-B725))</f>
        <v>4919.6314247919609</v>
      </c>
      <c r="D726" s="51">
        <f t="shared" si="33"/>
        <v>43095971.281177573</v>
      </c>
      <c r="E726" s="54">
        <f t="shared" si="34"/>
        <v>5119413.1095743924</v>
      </c>
      <c r="F726" s="53">
        <f>$K$4*B726</f>
        <v>56545797.107200012</v>
      </c>
      <c r="G726" s="51">
        <f t="shared" si="35"/>
        <v>565457.9710720001</v>
      </c>
      <c r="H726" s="52">
        <f>$K$3*D726</f>
        <v>10773992.820294393</v>
      </c>
    </row>
    <row r="727" spans="1:8" ht="13.8" x14ac:dyDescent="0.25">
      <c r="A727" s="41">
        <v>0.32527881040892193</v>
      </c>
      <c r="B727" s="41">
        <v>7076.4981198999985</v>
      </c>
      <c r="C727" s="41">
        <f>C726+(((A727+A726)/2)*(B727-B726))</f>
        <v>4922.32645756682</v>
      </c>
      <c r="D727" s="51">
        <f t="shared" si="33"/>
        <v>43119579.768285342</v>
      </c>
      <c r="E727" s="54">
        <f t="shared" si="34"/>
        <v>5118696.4461513367</v>
      </c>
      <c r="F727" s="53">
        <f>$K$4*B727</f>
        <v>56611984.959199987</v>
      </c>
      <c r="G727" s="51">
        <f t="shared" si="35"/>
        <v>566119.8495919999</v>
      </c>
      <c r="H727" s="52">
        <f>$K$3*D727</f>
        <v>10779894.942071335</v>
      </c>
    </row>
    <row r="728" spans="1:8" ht="13.8" x14ac:dyDescent="0.25">
      <c r="A728" s="40">
        <v>0.32434944237918217</v>
      </c>
      <c r="B728" s="40">
        <v>7088.1408023000013</v>
      </c>
      <c r="C728" s="41">
        <f>C727+(((A728+A727)/2)*(B728-B727))</f>
        <v>4926.1081652794601</v>
      </c>
      <c r="D728" s="51">
        <f t="shared" si="33"/>
        <v>43152707.527848072</v>
      </c>
      <c r="E728" s="54">
        <f t="shared" si="34"/>
        <v>5117664.2401220175</v>
      </c>
      <c r="F728" s="53">
        <f>$K$4*B728</f>
        <v>56705126.418400012</v>
      </c>
      <c r="G728" s="51">
        <f t="shared" si="35"/>
        <v>567051.26418400009</v>
      </c>
      <c r="H728" s="52">
        <f>$K$3*D728</f>
        <v>10788176.881962018</v>
      </c>
    </row>
    <row r="729" spans="1:8" ht="13.8" x14ac:dyDescent="0.25">
      <c r="A729" s="41">
        <v>0.32342007434944237</v>
      </c>
      <c r="B729" s="41">
        <v>7094.8393319000006</v>
      </c>
      <c r="C729" s="41">
        <f>C728+(((A729+A728)/2)*(B729-B728))</f>
        <v>4928.2777169203518</v>
      </c>
      <c r="D729" s="51">
        <f t="shared" si="33"/>
        <v>43171712.800222285</v>
      </c>
      <c r="E729" s="54">
        <f t="shared" si="34"/>
        <v>5117056.7345355712</v>
      </c>
      <c r="F729" s="53">
        <f>$K$4*B729</f>
        <v>56758714.655200005</v>
      </c>
      <c r="G729" s="51">
        <f t="shared" si="35"/>
        <v>567587.14655200008</v>
      </c>
      <c r="H729" s="52">
        <f>$K$3*D729</f>
        <v>10792928.200055571</v>
      </c>
    </row>
    <row r="730" spans="1:8" ht="13.8" x14ac:dyDescent="0.25">
      <c r="A730" s="40">
        <v>0.32249070631970261</v>
      </c>
      <c r="B730" s="40">
        <v>7124.2849515999997</v>
      </c>
      <c r="C730" s="41">
        <f>C729+(((A730+A729)/2)*(B730-B729))</f>
        <v>4937.7873385242083</v>
      </c>
      <c r="D730" s="51">
        <f t="shared" si="33"/>
        <v>43255017.085472062</v>
      </c>
      <c r="E730" s="54">
        <f t="shared" si="34"/>
        <v>5114326.310088017</v>
      </c>
      <c r="F730" s="53">
        <f>$K$4*B730</f>
        <v>56994279.612799995</v>
      </c>
      <c r="G730" s="51">
        <f t="shared" si="35"/>
        <v>569942.79612800002</v>
      </c>
      <c r="H730" s="52">
        <f>$K$3*D730</f>
        <v>10813754.271368016</v>
      </c>
    </row>
    <row r="731" spans="1:8" ht="13.8" x14ac:dyDescent="0.25">
      <c r="A731" s="41">
        <v>0.32156133828996281</v>
      </c>
      <c r="B731" s="41">
        <v>7132.7976663000009</v>
      </c>
      <c r="C731" s="41">
        <f>C730+(((A731+A730)/2)*(B731-B730))</f>
        <v>4940.5286541780652</v>
      </c>
      <c r="D731" s="51">
        <f t="shared" si="33"/>
        <v>43279031.010599852</v>
      </c>
      <c r="E731" s="54">
        <f t="shared" si="34"/>
        <v>5113519.6196099631</v>
      </c>
      <c r="F731" s="53">
        <f>$K$4*B731</f>
        <v>57062381.330400005</v>
      </c>
      <c r="G731" s="51">
        <f t="shared" si="35"/>
        <v>570623.81330400007</v>
      </c>
      <c r="H731" s="52">
        <f>$K$3*D731</f>
        <v>10819757.752649963</v>
      </c>
    </row>
    <row r="732" spans="1:8" ht="13.8" x14ac:dyDescent="0.25">
      <c r="A732" s="40">
        <v>0.32063197026022305</v>
      </c>
      <c r="B732" s="40">
        <v>7152.8334468000003</v>
      </c>
      <c r="C732" s="41">
        <f>C731+(((A732+A731)/2)*(B732-B731))</f>
        <v>4946.9620762624054</v>
      </c>
      <c r="D732" s="51">
        <f t="shared" si="33"/>
        <v>43335387.788058668</v>
      </c>
      <c r="E732" s="54">
        <f t="shared" si="34"/>
        <v>5111580.1895746663</v>
      </c>
      <c r="F732" s="53">
        <f>$K$4*B732</f>
        <v>57222667.5744</v>
      </c>
      <c r="G732" s="51">
        <f t="shared" si="35"/>
        <v>572226.67574400001</v>
      </c>
      <c r="H732" s="52">
        <f>$K$3*D732</f>
        <v>10833846.947014667</v>
      </c>
    </row>
    <row r="733" spans="1:8" ht="13.8" x14ac:dyDescent="0.25">
      <c r="A733" s="41">
        <v>0.31970260223048325</v>
      </c>
      <c r="B733" s="41">
        <v>7167.6659052000014</v>
      </c>
      <c r="C733" s="41">
        <f>C732+(((A733+A732)/2)*(B733-B732))</f>
        <v>4951.7109442166811</v>
      </c>
      <c r="D733" s="51">
        <f t="shared" si="33"/>
        <v>43376987.871338129</v>
      </c>
      <c r="E733" s="54">
        <f t="shared" si="34"/>
        <v>5110114.2436745316</v>
      </c>
      <c r="F733" s="53">
        <f>$K$4*B733</f>
        <v>57341327.241600014</v>
      </c>
      <c r="G733" s="51">
        <f t="shared" si="35"/>
        <v>573413.27241600014</v>
      </c>
      <c r="H733" s="52">
        <f>$K$3*D733</f>
        <v>10844246.967834532</v>
      </c>
    </row>
    <row r="734" spans="1:8" ht="13.8" x14ac:dyDescent="0.25">
      <c r="A734" s="40">
        <v>0.31877323420074349</v>
      </c>
      <c r="B734" s="40">
        <v>7177.2152971000014</v>
      </c>
      <c r="C734" s="41">
        <f>C733+(((A734+A733)/2)*(B734-B733))</f>
        <v>4954.7594722070626</v>
      </c>
      <c r="D734" s="51">
        <f t="shared" si="33"/>
        <v>43403692.976533867</v>
      </c>
      <c r="E734" s="54">
        <f t="shared" si="34"/>
        <v>5109151.0064534666</v>
      </c>
      <c r="F734" s="53">
        <f>$K$4*B734</f>
        <v>57417722.376800008</v>
      </c>
      <c r="G734" s="51">
        <f t="shared" si="35"/>
        <v>574177.22376800014</v>
      </c>
      <c r="H734" s="52">
        <f>$K$3*D734</f>
        <v>10850923.244133467</v>
      </c>
    </row>
    <row r="735" spans="1:8" ht="13.8" x14ac:dyDescent="0.25">
      <c r="A735" s="41">
        <v>0.31784386617100374</v>
      </c>
      <c r="B735" s="41">
        <v>7179.7073095999986</v>
      </c>
      <c r="C735" s="41">
        <f>C734+(((A735+A734)/2)*(B735-B734))</f>
        <v>4955.5527010929818</v>
      </c>
      <c r="D735" s="51">
        <f t="shared" si="33"/>
        <v>43410641.66157452</v>
      </c>
      <c r="E735" s="54">
        <f t="shared" si="34"/>
        <v>5108894.5677136322</v>
      </c>
      <c r="F735" s="53">
        <f>$K$4*B735</f>
        <v>57437658.476799987</v>
      </c>
      <c r="G735" s="51">
        <f t="shared" si="35"/>
        <v>574376.58476799994</v>
      </c>
      <c r="H735" s="52">
        <f>$K$3*D735</f>
        <v>10852660.41539363</v>
      </c>
    </row>
    <row r="736" spans="1:8" ht="13.8" x14ac:dyDescent="0.25">
      <c r="A736" s="40">
        <v>0.31691449814126393</v>
      </c>
      <c r="B736" s="40">
        <v>7206.5811724000005</v>
      </c>
      <c r="C736" s="41">
        <f>C735+(((A736+A735)/2)*(B736-B735))</f>
        <v>4964.0819056898226</v>
      </c>
      <c r="D736" s="51">
        <f t="shared" si="33"/>
        <v>43485357.493842848</v>
      </c>
      <c r="E736" s="54">
        <f t="shared" si="34"/>
        <v>5106074.4355407124</v>
      </c>
      <c r="F736" s="53">
        <f>$K$4*B736</f>
        <v>57652649.379200004</v>
      </c>
      <c r="G736" s="51">
        <f t="shared" si="35"/>
        <v>576526.49379200011</v>
      </c>
      <c r="H736" s="52">
        <f>$K$3*D736</f>
        <v>10871339.373460712</v>
      </c>
    </row>
    <row r="737" spans="1:8" ht="13.8" x14ac:dyDescent="0.25">
      <c r="A737" s="41">
        <v>0.31598513011152418</v>
      </c>
      <c r="B737" s="41">
        <v>7223.1680076000011</v>
      </c>
      <c r="C737" s="41">
        <f>C736+(((A737+A736)/2)*(B737-B736))</f>
        <v>4969.330806605808</v>
      </c>
      <c r="D737" s="51">
        <f t="shared" si="33"/>
        <v>43531337.865866877</v>
      </c>
      <c r="E737" s="54">
        <f t="shared" si="34"/>
        <v>5104300.0603867183</v>
      </c>
      <c r="F737" s="53">
        <f>$K$4*B737</f>
        <v>57785344.060800008</v>
      </c>
      <c r="G737" s="51">
        <f t="shared" si="35"/>
        <v>577853.44060800015</v>
      </c>
      <c r="H737" s="52">
        <f>$K$3*D737</f>
        <v>10882834.466466719</v>
      </c>
    </row>
    <row r="738" spans="1:8" ht="13.8" x14ac:dyDescent="0.25">
      <c r="A738" s="40">
        <v>0.31505576208178437</v>
      </c>
      <c r="B738" s="40">
        <v>7229.8665371999996</v>
      </c>
      <c r="C738" s="41">
        <f>C737+(((A738+A737)/2)*(B738-B737))</f>
        <v>4971.4443296533909</v>
      </c>
      <c r="D738" s="51">
        <f t="shared" si="33"/>
        <v>43549852.327763706</v>
      </c>
      <c r="E738" s="54">
        <f t="shared" si="34"/>
        <v>5103569.8521809271</v>
      </c>
      <c r="F738" s="53">
        <f>$K$4*B738</f>
        <v>57838932.297599994</v>
      </c>
      <c r="G738" s="51">
        <f t="shared" si="35"/>
        <v>578389.32297599991</v>
      </c>
      <c r="H738" s="52">
        <f>$K$3*D738</f>
        <v>10887463.081940927</v>
      </c>
    </row>
    <row r="739" spans="1:8" ht="13.8" x14ac:dyDescent="0.25">
      <c r="A739" s="41">
        <v>0.31412639405204462</v>
      </c>
      <c r="B739" s="41">
        <v>7252.7930522000024</v>
      </c>
      <c r="C739" s="41">
        <f>C738+(((A739+A738)/2)*(B739-B738))</f>
        <v>4978.6568067235594</v>
      </c>
      <c r="D739" s="51">
        <f t="shared" si="33"/>
        <v>43613033.626898378</v>
      </c>
      <c r="E739" s="54">
        <f t="shared" si="34"/>
        <v>5101023.9649645928</v>
      </c>
      <c r="F739" s="53">
        <f>$K$4*B739</f>
        <v>58022344.417600021</v>
      </c>
      <c r="G739" s="51">
        <f t="shared" si="35"/>
        <v>580223.44417600019</v>
      </c>
      <c r="H739" s="52">
        <f>$K$3*D739</f>
        <v>10903258.406724595</v>
      </c>
    </row>
    <row r="740" spans="1:8" ht="13.8" x14ac:dyDescent="0.25">
      <c r="A740" s="40">
        <v>0.31319702602230481</v>
      </c>
      <c r="B740" s="40">
        <v>7263.5784823000013</v>
      </c>
      <c r="C740" s="41">
        <f>C739+(((A740+A739)/2)*(B740-B739))</f>
        <v>4982.0397831722112</v>
      </c>
      <c r="D740" s="51">
        <f t="shared" si="33"/>
        <v>43642668.500588574</v>
      </c>
      <c r="E740" s="54">
        <f t="shared" si="34"/>
        <v>5099804.3393071434</v>
      </c>
      <c r="F740" s="53">
        <f>$K$4*B740</f>
        <v>58108627.85840001</v>
      </c>
      <c r="G740" s="51">
        <f t="shared" si="35"/>
        <v>581086.27858400007</v>
      </c>
      <c r="H740" s="52">
        <f>$K$3*D740</f>
        <v>10910667.125147143</v>
      </c>
    </row>
    <row r="741" spans="1:8" ht="13.8" x14ac:dyDescent="0.25">
      <c r="A741" s="41">
        <v>0.31226765799256506</v>
      </c>
      <c r="B741" s="41">
        <v>7295.0177119999989</v>
      </c>
      <c r="C741" s="41">
        <f>C740+(((A741+A740)/2)*(B741-B740))</f>
        <v>4991.8718471072016</v>
      </c>
      <c r="D741" s="51">
        <f t="shared" si="33"/>
        <v>43728797.380659081</v>
      </c>
      <c r="E741" s="54">
        <f t="shared" si="34"/>
        <v>5096185.1755647715</v>
      </c>
      <c r="F741" s="53">
        <f>$K$4*B741</f>
        <v>58360141.695999995</v>
      </c>
      <c r="G741" s="51">
        <f t="shared" si="35"/>
        <v>583601.41695999994</v>
      </c>
      <c r="H741" s="52">
        <f>$K$3*D741</f>
        <v>10932199.34516477</v>
      </c>
    </row>
    <row r="742" spans="1:8" ht="13.8" x14ac:dyDescent="0.25">
      <c r="A742" s="40">
        <v>0.31133828996282525</v>
      </c>
      <c r="B742" s="40">
        <v>7297.7489577000015</v>
      </c>
      <c r="C742" s="41">
        <f>C741+(((A742+A741)/2)*(B742-B741))</f>
        <v>4992.7234576391265</v>
      </c>
      <c r="D742" s="51">
        <f t="shared" si="33"/>
        <v>43736257.488918744</v>
      </c>
      <c r="E742" s="54">
        <f t="shared" si="34"/>
        <v>5095865.2060696855</v>
      </c>
      <c r="F742" s="53">
        <f>$K$4*B742</f>
        <v>58381991.661600009</v>
      </c>
      <c r="G742" s="51">
        <f t="shared" si="35"/>
        <v>583819.91661600012</v>
      </c>
      <c r="H742" s="52">
        <f>$K$3*D742</f>
        <v>10934064.372229686</v>
      </c>
    </row>
    <row r="743" spans="1:8" ht="13.8" x14ac:dyDescent="0.25">
      <c r="A743" s="41">
        <v>0.3104089219330855</v>
      </c>
      <c r="B743" s="41">
        <v>7309.5710650000001</v>
      </c>
      <c r="C743" s="41">
        <f>C742+(((A743+A742)/2)*(B743-B742))</f>
        <v>4996.3986387653804</v>
      </c>
      <c r="D743" s="51">
        <f t="shared" si="33"/>
        <v>43768452.075584732</v>
      </c>
      <c r="E743" s="54">
        <f t="shared" si="34"/>
        <v>5094456.166896183</v>
      </c>
      <c r="F743" s="53">
        <f>$K$4*B743</f>
        <v>58476568.520000003</v>
      </c>
      <c r="G743" s="51">
        <f t="shared" si="35"/>
        <v>584765.68520000007</v>
      </c>
      <c r="H743" s="52">
        <f>$K$3*D743</f>
        <v>10942113.018896183</v>
      </c>
    </row>
    <row r="744" spans="1:8" ht="13.8" x14ac:dyDescent="0.25">
      <c r="A744" s="40">
        <v>0.30947955390334575</v>
      </c>
      <c r="B744" s="40">
        <v>7321.5127889000014</v>
      </c>
      <c r="C744" s="41">
        <f>C743+(((A744+A743)/2)*(B744-B743))</f>
        <v>5000.0999072789964</v>
      </c>
      <c r="D744" s="51">
        <f t="shared" si="33"/>
        <v>43800875.187764011</v>
      </c>
      <c r="E744" s="54">
        <f t="shared" si="34"/>
        <v>5093008.5658210013</v>
      </c>
      <c r="F744" s="53">
        <f>$K$4*B744</f>
        <v>58572102.311200008</v>
      </c>
      <c r="G744" s="51">
        <f t="shared" si="35"/>
        <v>585721.02311200008</v>
      </c>
      <c r="H744" s="52">
        <f>$K$3*D744</f>
        <v>10950218.796941003</v>
      </c>
    </row>
    <row r="745" spans="1:8" ht="13.8" x14ac:dyDescent="0.25">
      <c r="A745" s="41">
        <v>0.30855018587360594</v>
      </c>
      <c r="B745" s="41">
        <v>7327.7527882000004</v>
      </c>
      <c r="C745" s="41">
        <f>C744+(((A745+A744)/2)*(B745-B744))</f>
        <v>5002.02815985079</v>
      </c>
      <c r="D745" s="51">
        <f t="shared" si="33"/>
        <v>43817766.680292919</v>
      </c>
      <c r="E745" s="54">
        <f t="shared" si="34"/>
        <v>5092239.4395132298</v>
      </c>
      <c r="F745" s="53">
        <f>$K$4*B745</f>
        <v>58622022.305600002</v>
      </c>
      <c r="G745" s="51">
        <f t="shared" si="35"/>
        <v>586220.22305600008</v>
      </c>
      <c r="H745" s="52">
        <f>$K$3*D745</f>
        <v>10954441.67007323</v>
      </c>
    </row>
    <row r="746" spans="1:8" ht="13.8" x14ac:dyDescent="0.25">
      <c r="A746" s="40">
        <v>0.30762081784386619</v>
      </c>
      <c r="B746" s="40">
        <v>7343.6019877000017</v>
      </c>
      <c r="C746" s="41">
        <f>C745+(((A746+A745)/2)*(B746-B745))</f>
        <v>5006.911068432807</v>
      </c>
      <c r="D746" s="51">
        <f t="shared" si="33"/>
        <v>43860540.95947139</v>
      </c>
      <c r="E746" s="54">
        <f t="shared" si="34"/>
        <v>5090253.6497078463</v>
      </c>
      <c r="F746" s="53">
        <f>$K$4*B746</f>
        <v>58748815.901600011</v>
      </c>
      <c r="G746" s="51">
        <f t="shared" si="35"/>
        <v>587488.15901600011</v>
      </c>
      <c r="H746" s="52">
        <f>$K$3*D746</f>
        <v>10965135.239867847</v>
      </c>
    </row>
    <row r="747" spans="1:8" ht="13.8" x14ac:dyDescent="0.25">
      <c r="A747" s="41">
        <v>0.30669144981412638</v>
      </c>
      <c r="B747" s="41">
        <v>7367.6249882000011</v>
      </c>
      <c r="C747" s="41">
        <f>C746+(((A747+A746)/2)*(B747-B746))</f>
        <v>5014.2898803893586</v>
      </c>
      <c r="D747" s="51">
        <f t="shared" si="33"/>
        <v>43925179.352210782</v>
      </c>
      <c r="E747" s="54">
        <f t="shared" si="34"/>
        <v>5087194.8474926949</v>
      </c>
      <c r="F747" s="53">
        <f>$K$4*B747</f>
        <v>58940999.905600011</v>
      </c>
      <c r="G747" s="51">
        <f t="shared" si="35"/>
        <v>589409.99905600015</v>
      </c>
      <c r="H747" s="52">
        <f>$K$3*D747</f>
        <v>10981294.838052696</v>
      </c>
    </row>
    <row r="748" spans="1:8" ht="13.8" x14ac:dyDescent="0.25">
      <c r="A748" s="40">
        <v>0.30576208178438663</v>
      </c>
      <c r="B748" s="40">
        <v>7372.1106107000014</v>
      </c>
      <c r="C748" s="41">
        <f>C747+(((A748+A747)/2)*(B748-B747))</f>
        <v>5015.6634980601302</v>
      </c>
      <c r="D748" s="51">
        <f t="shared" si="33"/>
        <v>43937212.243006743</v>
      </c>
      <c r="E748" s="54">
        <f t="shared" si="34"/>
        <v>5086614.5721916854</v>
      </c>
      <c r="F748" s="53">
        <f>$K$4*B748</f>
        <v>58976884.885600008</v>
      </c>
      <c r="G748" s="51">
        <f t="shared" si="35"/>
        <v>589768.84885600011</v>
      </c>
      <c r="H748" s="52">
        <f>$K$3*D748</f>
        <v>10984303.060751686</v>
      </c>
    </row>
    <row r="749" spans="1:8" ht="13.8" x14ac:dyDescent="0.25">
      <c r="A749" s="41">
        <v>0.30483271375464682</v>
      </c>
      <c r="B749" s="41">
        <v>7405.6231947999995</v>
      </c>
      <c r="C749" s="41">
        <f>C748+(((A749+A748)/2)*(B749-B748))</f>
        <v>5025.8948027783917</v>
      </c>
      <c r="D749" s="51">
        <f t="shared" si="33"/>
        <v>44026838.472338714</v>
      </c>
      <c r="E749" s="54">
        <f t="shared" si="34"/>
        <v>5082211.0622446798</v>
      </c>
      <c r="F749" s="53">
        <f>$K$4*B749</f>
        <v>59244985.558399998</v>
      </c>
      <c r="G749" s="51">
        <f t="shared" si="35"/>
        <v>592449.855584</v>
      </c>
      <c r="H749" s="52">
        <f>$K$3*D749</f>
        <v>11006709.618084678</v>
      </c>
    </row>
    <row r="750" spans="1:8" ht="13.8" x14ac:dyDescent="0.25">
      <c r="A750" s="40">
        <v>0.30390334572490707</v>
      </c>
      <c r="B750" s="40">
        <v>7441.6277913999993</v>
      </c>
      <c r="C750" s="41">
        <f>C749+(((A750+A749)/2)*(B750-B749))</f>
        <v>5036.8534509071087</v>
      </c>
      <c r="D750" s="51">
        <f t="shared" si="33"/>
        <v>44122836.229946271</v>
      </c>
      <c r="E750" s="54">
        <f t="shared" si="34"/>
        <v>5077406.8243665686</v>
      </c>
      <c r="F750" s="53">
        <f>$K$4*B750</f>
        <v>59533022.331199996</v>
      </c>
      <c r="G750" s="51">
        <f t="shared" si="35"/>
        <v>595330.22331199993</v>
      </c>
      <c r="H750" s="52">
        <f>$K$3*D750</f>
        <v>11030709.057486568</v>
      </c>
    </row>
    <row r="751" spans="1:8" ht="13.8" x14ac:dyDescent="0.25">
      <c r="A751" s="41">
        <v>0.30297397769516726</v>
      </c>
      <c r="B751" s="41">
        <v>7444.9172478999999</v>
      </c>
      <c r="C751" s="41">
        <f>C750+(((A751+A750)/2)*(B751-B750))</f>
        <v>5037.8515991852219</v>
      </c>
      <c r="D751" s="51">
        <f t="shared" si="33"/>
        <v>44131580.00886254</v>
      </c>
      <c r="E751" s="54">
        <f t="shared" si="34"/>
        <v>5076961.2038956359</v>
      </c>
      <c r="F751" s="53">
        <f>$K$4*B751</f>
        <v>59559337.983199999</v>
      </c>
      <c r="G751" s="51">
        <f t="shared" si="35"/>
        <v>595593.37983200001</v>
      </c>
      <c r="H751" s="52">
        <f>$K$3*D751</f>
        <v>11032895.002215635</v>
      </c>
    </row>
    <row r="752" spans="1:8" ht="13.8" x14ac:dyDescent="0.25">
      <c r="A752" s="40">
        <v>0.30204460966542751</v>
      </c>
      <c r="B752" s="40">
        <v>7465.4713670000001</v>
      </c>
      <c r="C752" s="41">
        <f>C751+(((A752+A751)/2)*(B752-B751))</f>
        <v>5044.0694112363835</v>
      </c>
      <c r="D752" s="51">
        <f t="shared" si="33"/>
        <v>44186048.042430721</v>
      </c>
      <c r="E752" s="54">
        <f t="shared" si="34"/>
        <v>5074134.9170076801</v>
      </c>
      <c r="F752" s="53">
        <f>$K$4*B752</f>
        <v>59723770.936000004</v>
      </c>
      <c r="G752" s="51">
        <f t="shared" si="35"/>
        <v>597237.7093600001</v>
      </c>
      <c r="H752" s="52">
        <f>$K$3*D752</f>
        <v>11046512.01060768</v>
      </c>
    </row>
    <row r="753" spans="1:8" ht="13.8" x14ac:dyDescent="0.25">
      <c r="A753" s="41">
        <v>0.30111524163568776</v>
      </c>
      <c r="B753" s="41">
        <v>7504.8850367000005</v>
      </c>
      <c r="C753" s="41">
        <f>C752+(((A753+A752)/2)*(B753-B752))</f>
        <v>5055.9557828141251</v>
      </c>
      <c r="D753" s="51">
        <f t="shared" si="33"/>
        <v>44290172.657451734</v>
      </c>
      <c r="E753" s="54">
        <f t="shared" si="34"/>
        <v>5068635.1350029325</v>
      </c>
      <c r="F753" s="53">
        <f>$K$4*B753</f>
        <v>60039080.2936</v>
      </c>
      <c r="G753" s="51">
        <f t="shared" si="35"/>
        <v>600390.80293600005</v>
      </c>
      <c r="H753" s="52">
        <f>$K$3*D753</f>
        <v>11072543.164362933</v>
      </c>
    </row>
    <row r="754" spans="1:8" ht="13.8" x14ac:dyDescent="0.25">
      <c r="A754" s="40">
        <v>0.30018587360594795</v>
      </c>
      <c r="B754" s="40">
        <v>7540.1121253999981</v>
      </c>
      <c r="C754" s="41">
        <f>C753+(((A754+A753)/2)*(B754-B753))</f>
        <v>5066.5468266751377</v>
      </c>
      <c r="D754" s="51">
        <f t="shared" si="33"/>
        <v>44382950.201674208</v>
      </c>
      <c r="E754" s="54">
        <f t="shared" si="34"/>
        <v>5063647.850098554</v>
      </c>
      <c r="F754" s="53">
        <f>$K$4*B754</f>
        <v>60320897.003199987</v>
      </c>
      <c r="G754" s="51">
        <f t="shared" si="35"/>
        <v>603208.97003199987</v>
      </c>
      <c r="H754" s="52">
        <f>$K$3*D754</f>
        <v>11095737.550418552</v>
      </c>
    </row>
    <row r="755" spans="1:8" ht="13.8" x14ac:dyDescent="0.25">
      <c r="A755" s="41">
        <v>0.2992565055762082</v>
      </c>
      <c r="B755" s="41">
        <v>7546.3321886000022</v>
      </c>
      <c r="C755" s="41">
        <f>C754+(((A755+A754)/2)*(B755-B754))</f>
        <v>5068.4111114167745</v>
      </c>
      <c r="D755" s="51">
        <f t="shared" si="33"/>
        <v>44399281.33601094</v>
      </c>
      <c r="E755" s="54">
        <f t="shared" si="34"/>
        <v>5062754.583122734</v>
      </c>
      <c r="F755" s="53">
        <f>$K$4*B755</f>
        <v>60370657.508800015</v>
      </c>
      <c r="G755" s="51">
        <f t="shared" si="35"/>
        <v>603706.57508800016</v>
      </c>
      <c r="H755" s="52">
        <f>$K$3*D755</f>
        <v>11099820.334002735</v>
      </c>
    </row>
    <row r="756" spans="1:8" ht="13.8" x14ac:dyDescent="0.25">
      <c r="A756" s="40">
        <v>0.29832713754646839</v>
      </c>
      <c r="B756" s="40">
        <v>7555.7818999999981</v>
      </c>
      <c r="C756" s="41">
        <f>C755+(((A756+A755)/2)*(B756-B755))</f>
        <v>5071.2346078992086</v>
      </c>
      <c r="D756" s="51">
        <f t="shared" si="33"/>
        <v>44424015.165197067</v>
      </c>
      <c r="E756" s="54">
        <f t="shared" si="34"/>
        <v>5061378.2712992691</v>
      </c>
      <c r="F756" s="53">
        <f>$K$4*B756</f>
        <v>60446255.199999988</v>
      </c>
      <c r="G756" s="51">
        <f t="shared" si="35"/>
        <v>604462.55199999991</v>
      </c>
      <c r="H756" s="52">
        <f>$K$3*D756</f>
        <v>11106003.791299267</v>
      </c>
    </row>
    <row r="757" spans="1:8" ht="13.8" x14ac:dyDescent="0.25">
      <c r="A757" s="41">
        <v>0.29739776951672864</v>
      </c>
      <c r="B757" s="41">
        <v>7578.7084150000001</v>
      </c>
      <c r="C757" s="41">
        <f>C756+(((A757+A756)/2)*(B757-B756))</f>
        <v>5078.0635559080383</v>
      </c>
      <c r="D757" s="51">
        <f t="shared" si="33"/>
        <v>44483836.749754414</v>
      </c>
      <c r="E757" s="54">
        <f t="shared" si="34"/>
        <v>5057992.4554386036</v>
      </c>
      <c r="F757" s="53">
        <f>$K$4*B757</f>
        <v>60629667.32</v>
      </c>
      <c r="G757" s="51">
        <f t="shared" si="35"/>
        <v>606296.67319999996</v>
      </c>
      <c r="H757" s="52">
        <f>$K$3*D757</f>
        <v>11120959.187438603</v>
      </c>
    </row>
    <row r="758" spans="1:8" ht="13.8" x14ac:dyDescent="0.25">
      <c r="A758" s="40">
        <v>0.29646840148698883</v>
      </c>
      <c r="B758" s="40">
        <v>7585.1079031000008</v>
      </c>
      <c r="C758" s="41">
        <f>C757+(((A758+A757)/2)*(B758-B757))</f>
        <v>5079.9637756552038</v>
      </c>
      <c r="D758" s="51">
        <f t="shared" si="33"/>
        <v>44500482.674739584</v>
      </c>
      <c r="E758" s="54">
        <f t="shared" si="34"/>
        <v>5057034.3462048965</v>
      </c>
      <c r="F758" s="53">
        <f>$K$4*B758</f>
        <v>60680863.224800006</v>
      </c>
      <c r="G758" s="51">
        <f t="shared" si="35"/>
        <v>606808.63224800013</v>
      </c>
      <c r="H758" s="52">
        <f>$K$3*D758</f>
        <v>11125120.668684896</v>
      </c>
    </row>
    <row r="759" spans="1:8" ht="13.8" x14ac:dyDescent="0.25">
      <c r="A759" s="41">
        <v>0.29553903345724908</v>
      </c>
      <c r="B759" s="41">
        <v>7588.6565289</v>
      </c>
      <c r="C759" s="41">
        <f>C758+(((A759+A758)/2)*(B759-B758))</f>
        <v>5081.0141820839208</v>
      </c>
      <c r="D759" s="51">
        <f t="shared" si="33"/>
        <v>44509684.235055149</v>
      </c>
      <c r="E759" s="54">
        <f t="shared" si="34"/>
        <v>5056495.8356437869</v>
      </c>
      <c r="F759" s="53">
        <f>$K$4*B759</f>
        <v>60709252.231200002</v>
      </c>
      <c r="G759" s="51">
        <f t="shared" si="35"/>
        <v>607092.52231200004</v>
      </c>
      <c r="H759" s="52">
        <f>$K$3*D759</f>
        <v>11127421.058763787</v>
      </c>
    </row>
    <row r="760" spans="1:8" ht="13.8" x14ac:dyDescent="0.25">
      <c r="A760" s="40">
        <v>0.29460966542750927</v>
      </c>
      <c r="B760" s="40">
        <v>7601.6149938999988</v>
      </c>
      <c r="C760" s="41">
        <f>C759+(((A760+A759)/2)*(B760-B759))</f>
        <v>5084.8378927135673</v>
      </c>
      <c r="D760" s="51">
        <f t="shared" si="33"/>
        <v>44543179.940170847</v>
      </c>
      <c r="E760" s="54">
        <f t="shared" si="34"/>
        <v>5054502.9899227135</v>
      </c>
      <c r="F760" s="53">
        <f>$K$4*B760</f>
        <v>60812919.951199993</v>
      </c>
      <c r="G760" s="51">
        <f t="shared" si="35"/>
        <v>608129.19951199996</v>
      </c>
      <c r="H760" s="52">
        <f>$K$3*D760</f>
        <v>11135794.985042712</v>
      </c>
    </row>
    <row r="761" spans="1:8" ht="13.8" x14ac:dyDescent="0.25">
      <c r="A761" s="41">
        <v>0.29368029739776952</v>
      </c>
      <c r="B761" s="41">
        <v>7614.2943535000022</v>
      </c>
      <c r="C761" s="41">
        <f>C760+(((A761+A760)/2)*(B761-B760))</f>
        <v>5088.5674627074341</v>
      </c>
      <c r="D761" s="51">
        <f t="shared" si="33"/>
        <v>44575850.973317124</v>
      </c>
      <c r="E761" s="54">
        <f t="shared" si="34"/>
        <v>5052527.2605292788</v>
      </c>
      <c r="F761" s="53">
        <f>$K$4*B761</f>
        <v>60914354.828000017</v>
      </c>
      <c r="G761" s="51">
        <f t="shared" si="35"/>
        <v>609143.54828000022</v>
      </c>
      <c r="H761" s="52">
        <f>$K$3*D761</f>
        <v>11143962.743329281</v>
      </c>
    </row>
    <row r="762" spans="1:8" ht="13.8" x14ac:dyDescent="0.25">
      <c r="A762" s="40">
        <v>0.29275092936802977</v>
      </c>
      <c r="B762" s="40">
        <v>7620.8533304000002</v>
      </c>
      <c r="C762" s="41">
        <f>C761+(((A762+A761)/2)*(B762-B761))</f>
        <v>5090.4906571423317</v>
      </c>
      <c r="D762" s="51">
        <f t="shared" si="33"/>
        <v>44592698.156566828</v>
      </c>
      <c r="E762" s="54">
        <f t="shared" si="34"/>
        <v>5051491.8748217067</v>
      </c>
      <c r="F762" s="53">
        <f>$K$4*B762</f>
        <v>60966826.643200003</v>
      </c>
      <c r="G762" s="51">
        <f t="shared" si="35"/>
        <v>609668.26643200009</v>
      </c>
      <c r="H762" s="52">
        <f>$K$3*D762</f>
        <v>11148174.539141707</v>
      </c>
    </row>
    <row r="763" spans="1:8" ht="13.8" x14ac:dyDescent="0.25">
      <c r="A763" s="41">
        <v>0.29182156133828996</v>
      </c>
      <c r="B763" s="41">
        <v>7624.023170299999</v>
      </c>
      <c r="C763" s="41">
        <f>C762+(((A763+A762)/2)*(B763-B762))</f>
        <v>5091.4171577450734</v>
      </c>
      <c r="D763" s="51">
        <f t="shared" si="33"/>
        <v>44600814.301846847</v>
      </c>
      <c r="E763" s="54">
        <f t="shared" si="34"/>
        <v>5050985.0392217133</v>
      </c>
      <c r="F763" s="53">
        <f>$K$4*B763</f>
        <v>60992185.362399995</v>
      </c>
      <c r="G763" s="51">
        <f t="shared" si="35"/>
        <v>609921.85362399998</v>
      </c>
      <c r="H763" s="52">
        <f>$K$3*D763</f>
        <v>11150203.575461712</v>
      </c>
    </row>
    <row r="764" spans="1:8" ht="13.8" x14ac:dyDescent="0.25">
      <c r="A764" s="40">
        <v>0.29089219330855021</v>
      </c>
      <c r="B764" s="40">
        <v>7624.3222117999994</v>
      </c>
      <c r="C764" s="41">
        <f>C763+(((A764+A763)/2)*(B764-B763))</f>
        <v>5091.5042855427037</v>
      </c>
      <c r="D764" s="51">
        <f t="shared" si="33"/>
        <v>44601577.541354083</v>
      </c>
      <c r="E764" s="54">
        <f t="shared" si="34"/>
        <v>5050936.6158985207</v>
      </c>
      <c r="F764" s="53">
        <f>$K$4*B764</f>
        <v>60994577.694399998</v>
      </c>
      <c r="G764" s="51">
        <f t="shared" si="35"/>
        <v>609945.77694400004</v>
      </c>
      <c r="H764" s="52">
        <f>$K$3*D764</f>
        <v>11150394.385338521</v>
      </c>
    </row>
    <row r="765" spans="1:8" ht="13.8" x14ac:dyDescent="0.25">
      <c r="A765" s="41">
        <v>0.2899628252788104</v>
      </c>
      <c r="B765" s="41">
        <v>7638.5167149999988</v>
      </c>
      <c r="C765" s="41">
        <f>C764+(((A765+A764)/2)*(B765-B764))</f>
        <v>5095.6267597527403</v>
      </c>
      <c r="D765" s="51">
        <f t="shared" si="33"/>
        <v>44637690.415434003</v>
      </c>
      <c r="E765" s="54">
        <f t="shared" si="34"/>
        <v>5048609.2318585012</v>
      </c>
      <c r="F765" s="53">
        <f>$K$4*B765</f>
        <v>61108133.719999991</v>
      </c>
      <c r="G765" s="51">
        <f t="shared" si="35"/>
        <v>611081.33719999995</v>
      </c>
      <c r="H765" s="52">
        <f>$K$3*D765</f>
        <v>11159422.603858501</v>
      </c>
    </row>
    <row r="766" spans="1:8" ht="13.8" x14ac:dyDescent="0.25">
      <c r="A766" s="40">
        <v>0.28903345724907065</v>
      </c>
      <c r="B766" s="40">
        <v>7647.1689824000023</v>
      </c>
      <c r="C766" s="41">
        <f>C765+(((A766+A765)/2)*(B766-B765))</f>
        <v>5098.1315750827598</v>
      </c>
      <c r="D766" s="51">
        <f t="shared" si="33"/>
        <v>44659632.597724974</v>
      </c>
      <c r="E766" s="54">
        <f t="shared" si="34"/>
        <v>5047172.9635112425</v>
      </c>
      <c r="F766" s="53">
        <f>$K$4*B766</f>
        <v>61177351.859200016</v>
      </c>
      <c r="G766" s="51">
        <f t="shared" si="35"/>
        <v>611773.51859200012</v>
      </c>
      <c r="H766" s="52">
        <f>$K$3*D766</f>
        <v>11164908.149431244</v>
      </c>
    </row>
    <row r="767" spans="1:8" ht="13.8" x14ac:dyDescent="0.25">
      <c r="A767" s="41">
        <v>0.28810408921933084</v>
      </c>
      <c r="B767" s="41">
        <v>7708.7117230999993</v>
      </c>
      <c r="C767" s="41">
        <f>C766+(((A767+A766)/2)*(B767-B766))</f>
        <v>5115.8908882680289</v>
      </c>
      <c r="D767" s="51">
        <f t="shared" si="33"/>
        <v>44815204.18122793</v>
      </c>
      <c r="E767" s="54">
        <f t="shared" si="34"/>
        <v>5036831.6668269839</v>
      </c>
      <c r="F767" s="53">
        <f>$K$4*B767</f>
        <v>61669693.784799993</v>
      </c>
      <c r="G767" s="51">
        <f t="shared" si="35"/>
        <v>616696.93784799997</v>
      </c>
      <c r="H767" s="52">
        <f>$K$3*D767</f>
        <v>11203801.045306982</v>
      </c>
    </row>
    <row r="768" spans="1:8" ht="13.8" x14ac:dyDescent="0.25">
      <c r="A768" s="40">
        <v>0.28717472118959109</v>
      </c>
      <c r="B768" s="40">
        <v>7775.497658100001</v>
      </c>
      <c r="C768" s="41">
        <f>C767+(((A768+A767)/2)*(B768-B767))</f>
        <v>5135.101154887453</v>
      </c>
      <c r="D768" s="51">
        <f t="shared" si="33"/>
        <v>44983486.116814092</v>
      </c>
      <c r="E768" s="54">
        <f t="shared" si="34"/>
        <v>5025473.4027235229</v>
      </c>
      <c r="F768" s="53">
        <f>$K$4*B768</f>
        <v>62203981.264800005</v>
      </c>
      <c r="G768" s="51">
        <f t="shared" si="35"/>
        <v>622039.81264800008</v>
      </c>
      <c r="H768" s="52">
        <f>$K$3*D768</f>
        <v>11245871.529203523</v>
      </c>
    </row>
    <row r="769" spans="1:8" ht="13.8" x14ac:dyDescent="0.25">
      <c r="A769" s="41">
        <v>0.28624535315985128</v>
      </c>
      <c r="B769" s="41">
        <v>7808.1131177000007</v>
      </c>
      <c r="C769" s="41">
        <f>C768+(((A769+A768)/2)*(B769-B768))</f>
        <v>5144.4523345218395</v>
      </c>
      <c r="D769" s="51">
        <f t="shared" si="33"/>
        <v>45065402.450411312</v>
      </c>
      <c r="E769" s="54">
        <f t="shared" si="34"/>
        <v>5019860.1184428278</v>
      </c>
      <c r="F769" s="53">
        <f>$K$4*B769</f>
        <v>62464904.941600002</v>
      </c>
      <c r="G769" s="51">
        <f t="shared" si="35"/>
        <v>624649.04941600002</v>
      </c>
      <c r="H769" s="52">
        <f>$K$3*D769</f>
        <v>11266350.612602828</v>
      </c>
    </row>
    <row r="770" spans="1:8" ht="13.8" x14ac:dyDescent="0.25">
      <c r="A770" s="40">
        <v>0.28531598513011153</v>
      </c>
      <c r="B770" s="40">
        <v>7809.2893475999999</v>
      </c>
      <c r="C770" s="41">
        <f>C769+(((A770+A769)/2)*(B770-B769))</f>
        <v>5144.7884782897299</v>
      </c>
      <c r="D770" s="51">
        <f t="shared" si="33"/>
        <v>45068347.069818035</v>
      </c>
      <c r="E770" s="54">
        <f t="shared" si="34"/>
        <v>5019655.2893745089</v>
      </c>
      <c r="F770" s="53">
        <f>$K$4*B770</f>
        <v>62474314.7808</v>
      </c>
      <c r="G770" s="51">
        <f t="shared" si="35"/>
        <v>624743.14780799998</v>
      </c>
      <c r="H770" s="52">
        <f>$K$3*D770</f>
        <v>11267086.767454509</v>
      </c>
    </row>
    <row r="771" spans="1:8" ht="13.8" x14ac:dyDescent="0.25">
      <c r="A771" s="41">
        <v>0.28438661710037177</v>
      </c>
      <c r="B771" s="41">
        <v>7863.4357952</v>
      </c>
      <c r="C771" s="41">
        <f>C770+(((A771+A770)/2)*(B771-B770))</f>
        <v>5160.2121643393584</v>
      </c>
      <c r="D771" s="51">
        <f t="shared" ref="D771:D834" si="36">C771*24*365</f>
        <v>45203458.559612781</v>
      </c>
      <c r="E771" s="54">
        <f t="shared" ref="E771:E834" si="37">H771-G771-(F771*$K$5)</f>
        <v>5010116.003743195</v>
      </c>
      <c r="F771" s="53">
        <f>$K$4*B771</f>
        <v>62907486.361599997</v>
      </c>
      <c r="G771" s="51">
        <f t="shared" ref="G771:G834" si="38">F771*0.01</f>
        <v>629074.86361599993</v>
      </c>
      <c r="H771" s="52">
        <f>$K$3*D771</f>
        <v>11300864.639903195</v>
      </c>
    </row>
    <row r="772" spans="1:8" ht="13.8" x14ac:dyDescent="0.25">
      <c r="A772" s="40">
        <v>0.28345724907063197</v>
      </c>
      <c r="B772" s="40">
        <v>7886.7012238999996</v>
      </c>
      <c r="C772" s="41">
        <f>C771+(((A772+A771)/2)*(B772-B771))</f>
        <v>5166.8177298299252</v>
      </c>
      <c r="D772" s="51">
        <f t="shared" si="36"/>
        <v>45261323.313310146</v>
      </c>
      <c r="E772" s="54">
        <f t="shared" si="37"/>
        <v>5005969.8492075363</v>
      </c>
      <c r="F772" s="53">
        <f>$K$4*B772</f>
        <v>63093609.791199997</v>
      </c>
      <c r="G772" s="51">
        <f t="shared" si="38"/>
        <v>630936.09791200003</v>
      </c>
      <c r="H772" s="52">
        <f>$K$3*D772</f>
        <v>11315330.828327537</v>
      </c>
    </row>
    <row r="773" spans="1:8" ht="13.8" x14ac:dyDescent="0.25">
      <c r="A773" s="41">
        <v>0.28252788104089221</v>
      </c>
      <c r="B773" s="41">
        <v>7894.8351527000013</v>
      </c>
      <c r="C773" s="41">
        <f>C772+(((A773+A772)/2)*(B773-B772))</f>
        <v>5169.1195712050185</v>
      </c>
      <c r="D773" s="51">
        <f t="shared" si="36"/>
        <v>45281487.443755962</v>
      </c>
      <c r="E773" s="54">
        <f t="shared" si="37"/>
        <v>5004503.7387789888</v>
      </c>
      <c r="F773" s="53">
        <f>$K$4*B773</f>
        <v>63158681.221600011</v>
      </c>
      <c r="G773" s="51">
        <f t="shared" si="38"/>
        <v>631586.81221600017</v>
      </c>
      <c r="H773" s="52">
        <f>$K$3*D773</f>
        <v>11320371.86093899</v>
      </c>
    </row>
    <row r="774" spans="1:8" ht="13.8" x14ac:dyDescent="0.25">
      <c r="A774" s="40">
        <v>0.28159851301115241</v>
      </c>
      <c r="B774" s="40">
        <v>7897.3670373999994</v>
      </c>
      <c r="C774" s="41">
        <f>C773+(((A774+A773)/2)*(B774-B773))</f>
        <v>5169.8337226980011</v>
      </c>
      <c r="D774" s="51">
        <f t="shared" si="36"/>
        <v>45287743.410834491</v>
      </c>
      <c r="E774" s="54">
        <f t="shared" si="37"/>
        <v>5004042.2227886235</v>
      </c>
      <c r="F774" s="53">
        <f>$K$4*B774</f>
        <v>63178936.299199998</v>
      </c>
      <c r="G774" s="51">
        <f t="shared" si="38"/>
        <v>631789.36299199995</v>
      </c>
      <c r="H774" s="52">
        <f>$K$3*D774</f>
        <v>11321935.852708623</v>
      </c>
    </row>
    <row r="775" spans="1:8" ht="13.8" x14ac:dyDescent="0.25">
      <c r="A775" s="41">
        <v>0.28066914498141265</v>
      </c>
      <c r="B775" s="41">
        <v>7910.4650550999995</v>
      </c>
      <c r="C775" s="41">
        <f>C774+(((A775+A774)/2)*(B775-B774))</f>
        <v>5173.5160185662635</v>
      </c>
      <c r="D775" s="51">
        <f t="shared" si="36"/>
        <v>45320000.322640464</v>
      </c>
      <c r="E775" s="54">
        <f t="shared" si="37"/>
        <v>5001628.0365801174</v>
      </c>
      <c r="F775" s="53">
        <f>$K$4*B775</f>
        <v>63283720.440799996</v>
      </c>
      <c r="G775" s="51">
        <f t="shared" si="38"/>
        <v>632837.20440799999</v>
      </c>
      <c r="H775" s="52">
        <f>$K$3*D775</f>
        <v>11330000.080660116</v>
      </c>
    </row>
    <row r="776" spans="1:8" ht="13.8" x14ac:dyDescent="0.25">
      <c r="A776" s="40">
        <v>0.27973977695167285</v>
      </c>
      <c r="B776" s="40">
        <v>7922.2672263000022</v>
      </c>
      <c r="C776" s="41">
        <f>C775+(((A776+A775)/2)*(B776-B775))</f>
        <v>5176.8230395855953</v>
      </c>
      <c r="D776" s="51">
        <f t="shared" si="36"/>
        <v>45348969.826769814</v>
      </c>
      <c r="E776" s="54">
        <f t="shared" si="37"/>
        <v>4999428.6756524527</v>
      </c>
      <c r="F776" s="53">
        <f>$K$4*B776</f>
        <v>63378137.810400017</v>
      </c>
      <c r="G776" s="51">
        <f t="shared" si="38"/>
        <v>633781.37810400024</v>
      </c>
      <c r="H776" s="52">
        <f>$K$3*D776</f>
        <v>11337242.456692453</v>
      </c>
    </row>
    <row r="777" spans="1:8" ht="13.8" x14ac:dyDescent="0.25">
      <c r="A777" s="41">
        <v>0.27881040892193309</v>
      </c>
      <c r="B777" s="41">
        <v>7937.9968092000017</v>
      </c>
      <c r="C777" s="41">
        <f>C776+(((A777+A776)/2)*(B777-B776))</f>
        <v>5181.2159203118499</v>
      </c>
      <c r="D777" s="51">
        <f t="shared" si="36"/>
        <v>45387451.461931802</v>
      </c>
      <c r="E777" s="54">
        <f t="shared" si="37"/>
        <v>4996465.4181229481</v>
      </c>
      <c r="F777" s="53">
        <f>$K$4*B777</f>
        <v>63503974.473600015</v>
      </c>
      <c r="G777" s="51">
        <f t="shared" si="38"/>
        <v>635039.7447360002</v>
      </c>
      <c r="H777" s="52">
        <f>$K$3*D777</f>
        <v>11346862.865482951</v>
      </c>
    </row>
    <row r="778" spans="1:8" ht="13.8" x14ac:dyDescent="0.25">
      <c r="A778" s="40">
        <v>0.27788104089219329</v>
      </c>
      <c r="B778" s="40">
        <v>7947.7455621000026</v>
      </c>
      <c r="C778" s="41">
        <f>C777+(((A778+A777)/2)*(B778-B777))</f>
        <v>5183.9294440047406</v>
      </c>
      <c r="D778" s="51">
        <f t="shared" si="36"/>
        <v>45411221.929481529</v>
      </c>
      <c r="E778" s="54">
        <f t="shared" si="37"/>
        <v>4994609.0326903798</v>
      </c>
      <c r="F778" s="53">
        <f>$K$4*B778</f>
        <v>63581964.49680002</v>
      </c>
      <c r="G778" s="51">
        <f t="shared" si="38"/>
        <v>635819.64496800024</v>
      </c>
      <c r="H778" s="52">
        <f>$K$3*D778</f>
        <v>11352805.482370382</v>
      </c>
    </row>
    <row r="779" spans="1:8" ht="13.8" x14ac:dyDescent="0.25">
      <c r="A779" s="41">
        <v>0.27695167286245354</v>
      </c>
      <c r="B779" s="41">
        <v>7973.4631311000003</v>
      </c>
      <c r="C779" s="41">
        <f>C778+(((A779+A778)/2)*(B779-B778))</f>
        <v>5191.0639183044614</v>
      </c>
      <c r="D779" s="51">
        <f t="shared" si="36"/>
        <v>45473719.92434708</v>
      </c>
      <c r="E779" s="54">
        <f t="shared" si="37"/>
        <v>4989659.4762067692</v>
      </c>
      <c r="F779" s="53">
        <f>$K$4*B779</f>
        <v>63787705.048799999</v>
      </c>
      <c r="G779" s="51">
        <f t="shared" si="38"/>
        <v>637877.05048800004</v>
      </c>
      <c r="H779" s="52">
        <f>$K$3*D779</f>
        <v>11368429.98108677</v>
      </c>
    </row>
    <row r="780" spans="1:8" ht="13.8" x14ac:dyDescent="0.25">
      <c r="A780" s="40">
        <v>0.27602230483271373</v>
      </c>
      <c r="B780" s="40">
        <v>7981.6169960000016</v>
      </c>
      <c r="C780" s="41">
        <f>C779+(((A780+A779)/2)*(B780-B779))</f>
        <v>5193.3183558581331</v>
      </c>
      <c r="D780" s="51">
        <f t="shared" si="36"/>
        <v>45493468.797317244</v>
      </c>
      <c r="E780" s="54">
        <f t="shared" si="37"/>
        <v>4988073.6025293097</v>
      </c>
      <c r="F780" s="53">
        <f>$K$4*B780</f>
        <v>63852935.96800001</v>
      </c>
      <c r="G780" s="51">
        <f t="shared" si="38"/>
        <v>638529.35968000011</v>
      </c>
      <c r="H780" s="52">
        <f>$K$3*D780</f>
        <v>11373367.199329311</v>
      </c>
    </row>
    <row r="781" spans="1:8" ht="13.8" x14ac:dyDescent="0.25">
      <c r="A781" s="41">
        <v>0.27509293680297398</v>
      </c>
      <c r="B781" s="41">
        <v>7984.7270276000008</v>
      </c>
      <c r="C781" s="41">
        <f>C780+(((A781+A780)/2)*(B781-B780))</f>
        <v>5194.1753487664973</v>
      </c>
      <c r="D781" s="51">
        <f t="shared" si="36"/>
        <v>45500976.055194519</v>
      </c>
      <c r="E781" s="54">
        <f t="shared" si="37"/>
        <v>4987462.3917186297</v>
      </c>
      <c r="F781" s="53">
        <f>$K$4*B781</f>
        <v>63877816.220800005</v>
      </c>
      <c r="G781" s="51">
        <f t="shared" si="38"/>
        <v>638778.16220800008</v>
      </c>
      <c r="H781" s="52">
        <f>$K$3*D781</f>
        <v>11375244.01379863</v>
      </c>
    </row>
    <row r="782" spans="1:8" ht="13.8" x14ac:dyDescent="0.25">
      <c r="A782" s="40">
        <v>0.27416356877323422</v>
      </c>
      <c r="B782" s="40">
        <v>8007.2348844999997</v>
      </c>
      <c r="C782" s="41">
        <f>C781+(((A782+A781)/2)*(B782-B781))</f>
        <v>5200.3566421809483</v>
      </c>
      <c r="D782" s="51">
        <f t="shared" si="36"/>
        <v>45555124.185505107</v>
      </c>
      <c r="E782" s="54">
        <f t="shared" si="37"/>
        <v>4982993.1387762781</v>
      </c>
      <c r="F782" s="53">
        <f>$K$4*B782</f>
        <v>64057879.075999998</v>
      </c>
      <c r="G782" s="51">
        <f t="shared" si="38"/>
        <v>640578.79076</v>
      </c>
      <c r="H782" s="52">
        <f>$K$3*D782</f>
        <v>11388781.046376277</v>
      </c>
    </row>
    <row r="783" spans="1:8" ht="13.8" x14ac:dyDescent="0.25">
      <c r="A783" s="41">
        <v>0.27323420074349442</v>
      </c>
      <c r="B783" s="41">
        <v>8013.8536697</v>
      </c>
      <c r="C783" s="41">
        <f>C782+(((A783+A782)/2)*(B783-B782))</f>
        <v>5202.1681963086439</v>
      </c>
      <c r="D783" s="51">
        <f t="shared" si="36"/>
        <v>45570993.399663717</v>
      </c>
      <c r="E783" s="54">
        <f t="shared" si="37"/>
        <v>4981665.4141559293</v>
      </c>
      <c r="F783" s="53">
        <f>$K$4*B783</f>
        <v>64110829.357599996</v>
      </c>
      <c r="G783" s="51">
        <f t="shared" si="38"/>
        <v>641108.29357600003</v>
      </c>
      <c r="H783" s="52">
        <f>$K$3*D783</f>
        <v>11392748.349915929</v>
      </c>
    </row>
    <row r="784" spans="1:8" ht="13.8" x14ac:dyDescent="0.25">
      <c r="A784" s="40">
        <v>0.27230483271375466</v>
      </c>
      <c r="B784" s="40">
        <v>8020.6120076000007</v>
      </c>
      <c r="C784" s="41">
        <f>C783+(((A784+A783)/2)*(B784-B783))</f>
        <v>5204.0116648715157</v>
      </c>
      <c r="D784" s="51">
        <f t="shared" si="36"/>
        <v>45587142.18427448</v>
      </c>
      <c r="E784" s="54">
        <f t="shared" si="37"/>
        <v>4980295.9399886196</v>
      </c>
      <c r="F784" s="53">
        <f>$K$4*B784</f>
        <v>64164896.060800008</v>
      </c>
      <c r="G784" s="51">
        <f t="shared" si="38"/>
        <v>641648.96060800005</v>
      </c>
      <c r="H784" s="52">
        <f>$K$3*D784</f>
        <v>11396785.54606862</v>
      </c>
    </row>
    <row r="785" spans="1:8" ht="13.8" x14ac:dyDescent="0.25">
      <c r="A785" s="41">
        <v>0.27137546468401486</v>
      </c>
      <c r="B785" s="41">
        <v>8033.5904087000008</v>
      </c>
      <c r="C785" s="41">
        <f>C784+(((A785+A784)/2)*(B785-B784))</f>
        <v>5207.5397153564136</v>
      </c>
      <c r="D785" s="51">
        <f t="shared" si="36"/>
        <v>45618047.906522185</v>
      </c>
      <c r="E785" s="54">
        <f t="shared" si="37"/>
        <v>4977639.6496705459</v>
      </c>
      <c r="F785" s="53">
        <f>$K$4*B785</f>
        <v>64268723.269600004</v>
      </c>
      <c r="G785" s="51">
        <f t="shared" si="38"/>
        <v>642687.23269600002</v>
      </c>
      <c r="H785" s="52">
        <f>$K$3*D785</f>
        <v>11404511.976630546</v>
      </c>
    </row>
    <row r="786" spans="1:8" ht="13.8" x14ac:dyDescent="0.25">
      <c r="A786" s="40">
        <v>0.2704460966542751</v>
      </c>
      <c r="B786" s="40">
        <v>8037.5975647999994</v>
      </c>
      <c r="C786" s="41">
        <f>C785+(((A786+A785)/2)*(B786-B785))</f>
        <v>5208.625297143727</v>
      </c>
      <c r="D786" s="51">
        <f t="shared" si="36"/>
        <v>45627557.602979049</v>
      </c>
      <c r="E786" s="54">
        <f t="shared" si="37"/>
        <v>4976811.3489047633</v>
      </c>
      <c r="F786" s="53">
        <f>$K$4*B786</f>
        <v>64300780.518399999</v>
      </c>
      <c r="G786" s="51">
        <f t="shared" si="38"/>
        <v>643007.80518400006</v>
      </c>
      <c r="H786" s="52">
        <f>$K$3*D786</f>
        <v>11406889.400744762</v>
      </c>
    </row>
    <row r="787" spans="1:8" ht="13.8" x14ac:dyDescent="0.25">
      <c r="A787" s="41">
        <v>0.2695167286245353</v>
      </c>
      <c r="B787" s="41">
        <v>8037.7171813999994</v>
      </c>
      <c r="C787" s="41">
        <f>C786+(((A787+A786)/2)*(B787-B786))</f>
        <v>5208.6575914023706</v>
      </c>
      <c r="D787" s="51">
        <f t="shared" si="36"/>
        <v>45627840.500684768</v>
      </c>
      <c r="E787" s="54">
        <f t="shared" si="37"/>
        <v>4976786.3800511928</v>
      </c>
      <c r="F787" s="53">
        <f>$K$4*B787</f>
        <v>64301737.451199993</v>
      </c>
      <c r="G787" s="51">
        <f t="shared" si="38"/>
        <v>643017.37451199989</v>
      </c>
      <c r="H787" s="52">
        <f>$K$3*D787</f>
        <v>11406960.125171192</v>
      </c>
    </row>
    <row r="788" spans="1:8" ht="13.8" x14ac:dyDescent="0.25">
      <c r="A788" s="40">
        <v>0.26858736059479554</v>
      </c>
      <c r="B788" s="40">
        <v>8079.6627357999996</v>
      </c>
      <c r="C788" s="41">
        <f>C787+(((A788+A787)/2)*(B788-B787))</f>
        <v>5219.9431285759765</v>
      </c>
      <c r="D788" s="51">
        <f t="shared" si="36"/>
        <v>45726701.806325555</v>
      </c>
      <c r="E788" s="54">
        <f t="shared" si="37"/>
        <v>4967945.2629413884</v>
      </c>
      <c r="F788" s="53">
        <f>$K$4*B788</f>
        <v>64637301.886399999</v>
      </c>
      <c r="G788" s="51">
        <f t="shared" si="38"/>
        <v>646373.01886399998</v>
      </c>
      <c r="H788" s="52">
        <f>$K$3*D788</f>
        <v>11431675.451581389</v>
      </c>
    </row>
    <row r="789" spans="1:8" ht="13.8" x14ac:dyDescent="0.25">
      <c r="A789" s="41">
        <v>0.26765799256505574</v>
      </c>
      <c r="B789" s="41">
        <v>8084.0486777999995</v>
      </c>
      <c r="C789" s="41">
        <f>C788+(((A789+A788)/2)*(B789-B788))</f>
        <v>5221.1190990843406</v>
      </c>
      <c r="D789" s="51">
        <f t="shared" si="36"/>
        <v>45737003.307978824</v>
      </c>
      <c r="E789" s="54">
        <f t="shared" si="37"/>
        <v>4967011.8847547071</v>
      </c>
      <c r="F789" s="53">
        <f>$K$4*B789</f>
        <v>64672389.422399998</v>
      </c>
      <c r="G789" s="51">
        <f t="shared" si="38"/>
        <v>646723.89422400005</v>
      </c>
      <c r="H789" s="52">
        <f>$K$3*D789</f>
        <v>11434250.826994706</v>
      </c>
    </row>
    <row r="790" spans="1:8" ht="13.8" x14ac:dyDescent="0.25">
      <c r="A790" s="40">
        <v>0.26672862453531598</v>
      </c>
      <c r="B790" s="40">
        <v>8123.9208778000011</v>
      </c>
      <c r="C790" s="41">
        <f>C789+(((A790+A789)/2)*(B790-B789))</f>
        <v>5231.7726841215153</v>
      </c>
      <c r="D790" s="51">
        <f t="shared" si="36"/>
        <v>45830328.712904476</v>
      </c>
      <c r="E790" s="54">
        <f t="shared" si="37"/>
        <v>4958445.4759861184</v>
      </c>
      <c r="F790" s="53">
        <f>$K$4*B790</f>
        <v>64991367.022400007</v>
      </c>
      <c r="G790" s="51">
        <f t="shared" si="38"/>
        <v>649913.67022400012</v>
      </c>
      <c r="H790" s="52">
        <f>$K$3*D790</f>
        <v>11457582.178226119</v>
      </c>
    </row>
    <row r="791" spans="1:8" ht="13.8" x14ac:dyDescent="0.25">
      <c r="A791" s="41">
        <v>0.26579925650557623</v>
      </c>
      <c r="B791" s="41">
        <v>8133.9686721999979</v>
      </c>
      <c r="C791" s="41">
        <f>C790+(((A791+A790)/2)*(B791-B790))</f>
        <v>5234.4480494519976</v>
      </c>
      <c r="D791" s="51">
        <f t="shared" si="36"/>
        <v>45853764.913199499</v>
      </c>
      <c r="E791" s="54">
        <f t="shared" si="37"/>
        <v>4956266.2905398775</v>
      </c>
      <c r="F791" s="53">
        <f>$K$4*B791</f>
        <v>65071749.377599984</v>
      </c>
      <c r="G791" s="51">
        <f t="shared" si="38"/>
        <v>650717.49377599987</v>
      </c>
      <c r="H791" s="52">
        <f>$K$3*D791</f>
        <v>11463441.228299875</v>
      </c>
    </row>
    <row r="792" spans="1:8" ht="13.8" x14ac:dyDescent="0.25">
      <c r="A792" s="40">
        <v>0.26486988847583642</v>
      </c>
      <c r="B792" s="40">
        <v>8134.6265635000009</v>
      </c>
      <c r="C792" s="41">
        <f>C791+(((A792+A791)/2)*(B792-B791))</f>
        <v>5234.6226107588291</v>
      </c>
      <c r="D792" s="51">
        <f t="shared" si="36"/>
        <v>45855294.070247337</v>
      </c>
      <c r="E792" s="54">
        <f t="shared" si="37"/>
        <v>4956122.2667618329</v>
      </c>
      <c r="F792" s="53">
        <f>$K$4*B792</f>
        <v>65077012.508000009</v>
      </c>
      <c r="G792" s="51">
        <f t="shared" si="38"/>
        <v>650770.12508000014</v>
      </c>
      <c r="H792" s="52">
        <f>$K$3*D792</f>
        <v>11463823.517561834</v>
      </c>
    </row>
    <row r="793" spans="1:8" ht="13.8" x14ac:dyDescent="0.25">
      <c r="A793" s="41">
        <v>0.26394052044609667</v>
      </c>
      <c r="B793" s="41">
        <v>8139.1919303999994</v>
      </c>
      <c r="C793" s="41">
        <f>C792+(((A793+A792)/2)*(B793-B792))</f>
        <v>5235.8297175274629</v>
      </c>
      <c r="D793" s="51">
        <f t="shared" si="36"/>
        <v>45865868.325540572</v>
      </c>
      <c r="E793" s="54">
        <f t="shared" si="37"/>
        <v>4955113.5370651446</v>
      </c>
      <c r="F793" s="53">
        <f>$K$4*B793</f>
        <v>65113535.443199992</v>
      </c>
      <c r="G793" s="51">
        <f t="shared" si="38"/>
        <v>651135.35443199996</v>
      </c>
      <c r="H793" s="52">
        <f>$K$3*D793</f>
        <v>11466467.081385143</v>
      </c>
    </row>
    <row r="794" spans="1:8" ht="13.8" x14ac:dyDescent="0.25">
      <c r="A794" s="40">
        <v>0.26301115241635686</v>
      </c>
      <c r="B794" s="40">
        <v>8195.9699431999998</v>
      </c>
      <c r="C794" s="41">
        <f>C793+(((A794+A793)/2)*(B794-B793))</f>
        <v>5250.7893519408462</v>
      </c>
      <c r="D794" s="51">
        <f t="shared" si="36"/>
        <v>45996914.723001815</v>
      </c>
      <c r="E794" s="54">
        <f t="shared" si="37"/>
        <v>4942452.7261904543</v>
      </c>
      <c r="F794" s="53">
        <f>$K$4*B794</f>
        <v>65567759.545599997</v>
      </c>
      <c r="G794" s="51">
        <f t="shared" si="38"/>
        <v>655677.59545599995</v>
      </c>
      <c r="H794" s="52">
        <f>$K$3*D794</f>
        <v>11499228.680750454</v>
      </c>
    </row>
    <row r="795" spans="1:8" ht="13.8" x14ac:dyDescent="0.25">
      <c r="A795" s="41">
        <v>0.26208178438661711</v>
      </c>
      <c r="B795" s="41">
        <v>8196.0297515000002</v>
      </c>
      <c r="C795" s="41">
        <f>C794+(((A795+A794)/2)*(B795-B794))</f>
        <v>5250.8050543987929</v>
      </c>
      <c r="D795" s="51">
        <f t="shared" si="36"/>
        <v>45997052.276533425</v>
      </c>
      <c r="E795" s="54">
        <f t="shared" si="37"/>
        <v>4942439.2679333566</v>
      </c>
      <c r="F795" s="53">
        <f>$K$4*B795</f>
        <v>65568238.012000002</v>
      </c>
      <c r="G795" s="51">
        <f t="shared" si="38"/>
        <v>655682.38011999999</v>
      </c>
      <c r="H795" s="52">
        <f>$K$3*D795</f>
        <v>11499263.069133356</v>
      </c>
    </row>
    <row r="796" spans="1:8" ht="13.8" x14ac:dyDescent="0.25">
      <c r="A796" s="40">
        <v>0.2611524163568773</v>
      </c>
      <c r="B796" s="40">
        <v>8200.0169715000011</v>
      </c>
      <c r="C796" s="41">
        <f>C795+(((A796+A795)/2)*(B796-B795))</f>
        <v>5251.8481793337378</v>
      </c>
      <c r="D796" s="51">
        <f t="shared" si="36"/>
        <v>46006190.050963543</v>
      </c>
      <c r="E796" s="54">
        <f t="shared" si="37"/>
        <v>4941533.9355408847</v>
      </c>
      <c r="F796" s="53">
        <f>$K$4*B796</f>
        <v>65600135.772000007</v>
      </c>
      <c r="G796" s="51">
        <f t="shared" si="38"/>
        <v>656001.35772000009</v>
      </c>
      <c r="H796" s="52">
        <f>$K$3*D796</f>
        <v>11501547.512740886</v>
      </c>
    </row>
    <row r="797" spans="1:8" ht="13.8" x14ac:dyDescent="0.25">
      <c r="A797" s="41">
        <v>0.26022304832713755</v>
      </c>
      <c r="B797" s="41">
        <v>8224.3190774000013</v>
      </c>
      <c r="C797" s="41">
        <f>C796+(((A797+A796)/2)*(B797-B796))</f>
        <v>5258.1834402119439</v>
      </c>
      <c r="D797" s="51">
        <f t="shared" si="36"/>
        <v>46061686.936256625</v>
      </c>
      <c r="E797" s="54">
        <f t="shared" si="37"/>
        <v>4935966.4721441548</v>
      </c>
      <c r="F797" s="53">
        <f>$K$4*B797</f>
        <v>65794552.619200014</v>
      </c>
      <c r="G797" s="51">
        <f t="shared" si="38"/>
        <v>657945.52619200014</v>
      </c>
      <c r="H797" s="52">
        <f>$K$3*D797</f>
        <v>11515421.734064156</v>
      </c>
    </row>
    <row r="798" spans="1:8" ht="13.8" x14ac:dyDescent="0.25">
      <c r="A798" s="40">
        <v>0.25929368029739774</v>
      </c>
      <c r="B798" s="40">
        <v>8232.0343481000018</v>
      </c>
      <c r="C798" s="41">
        <f>C797+(((A798+A797)/2)*(B798-B797))</f>
        <v>5260.1875463092019</v>
      </c>
      <c r="D798" s="51">
        <f t="shared" si="36"/>
        <v>46079242.905668609</v>
      </c>
      <c r="E798" s="54">
        <f t="shared" si="37"/>
        <v>4934183.2479371503</v>
      </c>
      <c r="F798" s="53">
        <f>$K$4*B798</f>
        <v>65856274.784800015</v>
      </c>
      <c r="G798" s="51">
        <f t="shared" si="38"/>
        <v>658562.74784800014</v>
      </c>
      <c r="H798" s="52">
        <f>$K$3*D798</f>
        <v>11519810.726417152</v>
      </c>
    </row>
    <row r="799" spans="1:8" ht="13.8" x14ac:dyDescent="0.25">
      <c r="A799" s="41">
        <v>0.25836431226765799</v>
      </c>
      <c r="B799" s="41">
        <v>8242.7400337999989</v>
      </c>
      <c r="C799" s="41">
        <f>C798+(((A799+A798)/2)*(B799-B798))</f>
        <v>5262.9584881934488</v>
      </c>
      <c r="D799" s="51">
        <f t="shared" si="36"/>
        <v>46103516.35657461</v>
      </c>
      <c r="E799" s="54">
        <f t="shared" si="37"/>
        <v>4931687.0621036543</v>
      </c>
      <c r="F799" s="53">
        <f>$K$4*B799</f>
        <v>65941920.270399988</v>
      </c>
      <c r="G799" s="51">
        <f t="shared" si="38"/>
        <v>659419.20270399994</v>
      </c>
      <c r="H799" s="52">
        <f>$K$3*D799</f>
        <v>11525879.089143652</v>
      </c>
    </row>
    <row r="800" spans="1:8" ht="13.8" x14ac:dyDescent="0.25">
      <c r="A800" s="40">
        <v>0.25743494423791824</v>
      </c>
      <c r="B800" s="40">
        <v>8255.0804797000001</v>
      </c>
      <c r="C800" s="41">
        <f>C799+(((A800+A799)/2)*(B800-B799))</f>
        <v>5266.1410846035324</v>
      </c>
      <c r="D800" s="51">
        <f t="shared" si="36"/>
        <v>46131395.901126944</v>
      </c>
      <c r="E800" s="54">
        <f t="shared" si="37"/>
        <v>4928784.5915217362</v>
      </c>
      <c r="F800" s="53">
        <f>$K$4*B800</f>
        <v>66040643.8376</v>
      </c>
      <c r="G800" s="51">
        <f t="shared" si="38"/>
        <v>660406.43837600003</v>
      </c>
      <c r="H800" s="52">
        <f>$K$3*D800</f>
        <v>11532848.975281736</v>
      </c>
    </row>
    <row r="801" spans="1:8" ht="13.8" x14ac:dyDescent="0.25">
      <c r="A801" s="41">
        <v>0.25650557620817843</v>
      </c>
      <c r="B801" s="41">
        <v>8278.4455888999983</v>
      </c>
      <c r="C801" s="41">
        <f>C800+(((A801+A800)/2)*(B801-B800))</f>
        <v>5272.1452227947957</v>
      </c>
      <c r="D801" s="51">
        <f t="shared" si="36"/>
        <v>46183992.151682407</v>
      </c>
      <c r="E801" s="54">
        <f t="shared" si="37"/>
        <v>4923241.5668006027</v>
      </c>
      <c r="F801" s="53">
        <f>$K$4*B801</f>
        <v>66227564.711199984</v>
      </c>
      <c r="G801" s="51">
        <f t="shared" si="38"/>
        <v>662275.6471119998</v>
      </c>
      <c r="H801" s="52">
        <f>$K$3*D801</f>
        <v>11545998.037920602</v>
      </c>
    </row>
    <row r="802" spans="1:8" ht="13.8" x14ac:dyDescent="0.25">
      <c r="A802" s="40">
        <v>0.25557620817843868</v>
      </c>
      <c r="B802" s="40">
        <v>8325.5147210000014</v>
      </c>
      <c r="C802" s="41">
        <f>C801+(((A802+A801)/2)*(B802-B801))</f>
        <v>5284.1968453724448</v>
      </c>
      <c r="D802" s="51">
        <f t="shared" si="36"/>
        <v>46289564.365462616</v>
      </c>
      <c r="E802" s="54">
        <f t="shared" si="37"/>
        <v>4911979.3145656521</v>
      </c>
      <c r="F802" s="53">
        <f>$K$4*B802</f>
        <v>66604117.768000014</v>
      </c>
      <c r="G802" s="51">
        <f t="shared" si="38"/>
        <v>666041.1776800002</v>
      </c>
      <c r="H802" s="52">
        <f>$K$3*D802</f>
        <v>11572391.091365654</v>
      </c>
    </row>
    <row r="803" spans="1:8" ht="13.8" x14ac:dyDescent="0.25">
      <c r="A803" s="41">
        <v>0.25464684014869887</v>
      </c>
      <c r="B803" s="41">
        <v>8346.9260924000009</v>
      </c>
      <c r="C803" s="41">
        <f>C802+(((A803+A802)/2)*(B803-B802))</f>
        <v>5289.6591329647308</v>
      </c>
      <c r="D803" s="51">
        <f t="shared" si="36"/>
        <v>46337414.004771039</v>
      </c>
      <c r="E803" s="54">
        <f t="shared" si="37"/>
        <v>4906812.6272727586</v>
      </c>
      <c r="F803" s="53">
        <f>$K$4*B803</f>
        <v>66775408.739200011</v>
      </c>
      <c r="G803" s="51">
        <f t="shared" si="38"/>
        <v>667754.08739200013</v>
      </c>
      <c r="H803" s="52">
        <f>$K$3*D803</f>
        <v>11584353.50119276</v>
      </c>
    </row>
    <row r="804" spans="1:8" ht="13.8" x14ac:dyDescent="0.25">
      <c r="A804" s="40">
        <v>0.25371747211895912</v>
      </c>
      <c r="B804" s="40">
        <v>8370.3111377000005</v>
      </c>
      <c r="C804" s="41">
        <f>C803+(((A804+A803)/2)*(B804-B803))</f>
        <v>5295.6031942003719</v>
      </c>
      <c r="D804" s="51">
        <f t="shared" si="36"/>
        <v>46389483.981195256</v>
      </c>
      <c r="E804" s="54">
        <f t="shared" si="37"/>
        <v>4901122.0851388127</v>
      </c>
      <c r="F804" s="53">
        <f>$K$4*B804</f>
        <v>66962489.101600006</v>
      </c>
      <c r="G804" s="51">
        <f t="shared" si="38"/>
        <v>669624.89101600007</v>
      </c>
      <c r="H804" s="52">
        <f>$K$3*D804</f>
        <v>11597370.995298814</v>
      </c>
    </row>
    <row r="805" spans="1:8" ht="13.8" x14ac:dyDescent="0.25">
      <c r="A805" s="41">
        <v>0.25278810408921931</v>
      </c>
      <c r="B805" s="41">
        <v>8385.1236599999993</v>
      </c>
      <c r="C805" s="41">
        <f>C804+(((A805+A804)/2)*(B805-B804))</f>
        <v>5299.3545067717005</v>
      </c>
      <c r="D805" s="51">
        <f t="shared" si="36"/>
        <v>46422345.479320094</v>
      </c>
      <c r="E805" s="54">
        <f t="shared" si="37"/>
        <v>4897487.4418300251</v>
      </c>
      <c r="F805" s="53">
        <f>$K$4*B805</f>
        <v>67080989.279999994</v>
      </c>
      <c r="G805" s="51">
        <f t="shared" si="38"/>
        <v>670809.89279999991</v>
      </c>
      <c r="H805" s="52">
        <f>$K$3*D805</f>
        <v>11605586.369830023</v>
      </c>
    </row>
    <row r="806" spans="1:8" ht="13.8" x14ac:dyDescent="0.25">
      <c r="A806" s="40">
        <v>0.25185873605947956</v>
      </c>
      <c r="B806" s="40">
        <v>8388.7719663000007</v>
      </c>
      <c r="C806" s="41">
        <f>C805+(((A806+A805)/2)*(B806-B805))</f>
        <v>5300.275059894796</v>
      </c>
      <c r="D806" s="51">
        <f t="shared" si="36"/>
        <v>46430409.524678409</v>
      </c>
      <c r="E806" s="54">
        <f t="shared" si="37"/>
        <v>4896584.8081296021</v>
      </c>
      <c r="F806" s="53">
        <f>$K$4*B806</f>
        <v>67110175.730400011</v>
      </c>
      <c r="G806" s="51">
        <f t="shared" si="38"/>
        <v>671101.75730400009</v>
      </c>
      <c r="H806" s="52">
        <f>$K$3*D806</f>
        <v>11607602.381169602</v>
      </c>
    </row>
    <row r="807" spans="1:8" ht="13.8" x14ac:dyDescent="0.25">
      <c r="A807" s="41">
        <v>0.25092936802973975</v>
      </c>
      <c r="B807" s="41">
        <v>8390.0080045000013</v>
      </c>
      <c r="C807" s="41">
        <f>C806+(((A807+A806)/2)*(B807-B806))</f>
        <v>5300.5857925463761</v>
      </c>
      <c r="D807" s="51">
        <f t="shared" si="36"/>
        <v>46433131.542706259</v>
      </c>
      <c r="E807" s="54">
        <f t="shared" si="37"/>
        <v>4896276.4820765639</v>
      </c>
      <c r="F807" s="53">
        <f>$K$4*B807</f>
        <v>67120064.036000013</v>
      </c>
      <c r="G807" s="51">
        <f t="shared" si="38"/>
        <v>671200.64036000019</v>
      </c>
      <c r="H807" s="52">
        <f>$K$3*D807</f>
        <v>11608282.885676565</v>
      </c>
    </row>
    <row r="808" spans="1:8" ht="13.8" x14ac:dyDescent="0.25">
      <c r="A808" s="40">
        <v>0.25</v>
      </c>
      <c r="B808" s="40">
        <v>8404.9002712000001</v>
      </c>
      <c r="C808" s="41">
        <f>C807+(((A808+A807)/2)*(B808-B807))</f>
        <v>5304.3157794196568</v>
      </c>
      <c r="D808" s="51">
        <f t="shared" si="36"/>
        <v>46465806.227716193</v>
      </c>
      <c r="E808" s="54">
        <f t="shared" si="37"/>
        <v>4892531.3399690492</v>
      </c>
      <c r="F808" s="53">
        <f>$K$4*B808</f>
        <v>67239202.169599995</v>
      </c>
      <c r="G808" s="51">
        <f t="shared" si="38"/>
        <v>672392.02169600001</v>
      </c>
      <c r="H808" s="52">
        <f>$K$3*D808</f>
        <v>11616451.556929048</v>
      </c>
    </row>
    <row r="809" spans="1:8" ht="13.8" x14ac:dyDescent="0.25">
      <c r="A809" s="41">
        <v>0.24907063197026022</v>
      </c>
      <c r="B809" s="41">
        <v>8424.2582243000015</v>
      </c>
      <c r="C809" s="41">
        <f>C808+(((A809+A808)/2)*(B809-B808))</f>
        <v>5309.1462723632912</v>
      </c>
      <c r="D809" s="51">
        <f t="shared" si="36"/>
        <v>46508121.345902435</v>
      </c>
      <c r="E809" s="54">
        <f t="shared" si="37"/>
        <v>4887623.7570356093</v>
      </c>
      <c r="F809" s="53">
        <f>$K$4*B809</f>
        <v>67394065.794400007</v>
      </c>
      <c r="G809" s="51">
        <f t="shared" si="38"/>
        <v>673940.65794400009</v>
      </c>
      <c r="H809" s="52">
        <f>$K$3*D809</f>
        <v>11627030.336475609</v>
      </c>
    </row>
    <row r="810" spans="1:8" ht="13.8" x14ac:dyDescent="0.25">
      <c r="A810" s="40">
        <v>0.24814126394052044</v>
      </c>
      <c r="B810" s="40">
        <v>8424.3180326000002</v>
      </c>
      <c r="C810" s="41">
        <f>C809+(((A810+A809)/2)*(B810-B809))</f>
        <v>5309.1611410624082</v>
      </c>
      <c r="D810" s="51">
        <f t="shared" si="36"/>
        <v>46508251.595706694</v>
      </c>
      <c r="E810" s="54">
        <f t="shared" si="37"/>
        <v>4887608.4728466729</v>
      </c>
      <c r="F810" s="53">
        <f>$K$4*B810</f>
        <v>67394544.260800004</v>
      </c>
      <c r="G810" s="51">
        <f t="shared" si="38"/>
        <v>673945.44260800001</v>
      </c>
      <c r="H810" s="52">
        <f>$K$3*D810</f>
        <v>11627062.898926673</v>
      </c>
    </row>
    <row r="811" spans="1:8" ht="13.8" x14ac:dyDescent="0.25">
      <c r="A811" s="41">
        <v>0.24721189591078066</v>
      </c>
      <c r="B811" s="41">
        <v>8425.2350932000027</v>
      </c>
      <c r="C811" s="41">
        <f>C810+(((A811+A810)/2)*(B811-B810))</f>
        <v>5309.3882754954011</v>
      </c>
      <c r="D811" s="51">
        <f t="shared" si="36"/>
        <v>46510241.293339714</v>
      </c>
      <c r="E811" s="54">
        <f t="shared" si="37"/>
        <v>4887372.248774928</v>
      </c>
      <c r="F811" s="53">
        <f>$K$4*B811</f>
        <v>67401880.745600015</v>
      </c>
      <c r="G811" s="51">
        <f t="shared" si="38"/>
        <v>674018.80745600013</v>
      </c>
      <c r="H811" s="52">
        <f>$K$3*D811</f>
        <v>11627560.323334929</v>
      </c>
    </row>
    <row r="812" spans="1:8" ht="13.8" x14ac:dyDescent="0.25">
      <c r="A812" s="40">
        <v>0.24628252788104088</v>
      </c>
      <c r="B812" s="40">
        <v>8432.6712585000005</v>
      </c>
      <c r="C812" s="41">
        <f>C811+(((A812+A811)/2)*(B812-B811))</f>
        <v>5311.2231285503731</v>
      </c>
      <c r="D812" s="51">
        <f t="shared" si="36"/>
        <v>46526314.606101267</v>
      </c>
      <c r="E812" s="54">
        <f t="shared" si="37"/>
        <v>4885441.6447253162</v>
      </c>
      <c r="F812" s="53">
        <f>$K$4*B812</f>
        <v>67461370.068000004</v>
      </c>
      <c r="G812" s="51">
        <f t="shared" si="38"/>
        <v>674613.70068000001</v>
      </c>
      <c r="H812" s="52">
        <f>$K$3*D812</f>
        <v>11631578.651525317</v>
      </c>
    </row>
    <row r="813" spans="1:8" ht="13.8" x14ac:dyDescent="0.25">
      <c r="A813" s="41">
        <v>0.24535315985130113</v>
      </c>
      <c r="B813" s="40">
        <v>8440.6456985000004</v>
      </c>
      <c r="C813" s="41">
        <f>C812+(((A813+A812)/2)*(B813-B812))</f>
        <v>5313.1833881972134</v>
      </c>
      <c r="D813" s="51">
        <f t="shared" si="36"/>
        <v>46543486.480607592</v>
      </c>
      <c r="E813" s="54">
        <f t="shared" si="37"/>
        <v>4883355.0613518981</v>
      </c>
      <c r="F813" s="53">
        <f>$K$4*B813</f>
        <v>67525165.588</v>
      </c>
      <c r="G813" s="51">
        <f t="shared" si="38"/>
        <v>675251.65587999998</v>
      </c>
      <c r="H813" s="52">
        <f>$K$3*D813</f>
        <v>11635871.620151898</v>
      </c>
    </row>
    <row r="814" spans="1:8" ht="13.8" x14ac:dyDescent="0.25">
      <c r="A814" s="40">
        <v>0.24442379182156135</v>
      </c>
      <c r="B814" s="41">
        <v>8440.6456985000004</v>
      </c>
      <c r="C814" s="41">
        <f>C813+(((A814+A813)/2)*(B814-B813))</f>
        <v>5313.1833881972134</v>
      </c>
      <c r="D814" s="51">
        <f t="shared" si="36"/>
        <v>46543486.480607592</v>
      </c>
      <c r="E814" s="54">
        <f t="shared" si="37"/>
        <v>4883355.0613518981</v>
      </c>
      <c r="F814" s="53">
        <f>$K$4*B814</f>
        <v>67525165.588</v>
      </c>
      <c r="G814" s="51">
        <f t="shared" si="38"/>
        <v>675251.65587999998</v>
      </c>
      <c r="H814" s="52">
        <f>$K$3*D814</f>
        <v>11635871.620151898</v>
      </c>
    </row>
    <row r="815" spans="1:8" ht="13.8" x14ac:dyDescent="0.25">
      <c r="A815" s="41">
        <v>0.24349442379182157</v>
      </c>
      <c r="B815" s="41">
        <v>8469.6327878999982</v>
      </c>
      <c r="C815" s="41">
        <f>C814+(((A815+A814)/2)*(B815-B814))</f>
        <v>5320.2550526651494</v>
      </c>
      <c r="D815" s="51">
        <f t="shared" si="36"/>
        <v>46605434.261346705</v>
      </c>
      <c r="E815" s="54">
        <f t="shared" si="37"/>
        <v>4875652.3350166772</v>
      </c>
      <c r="F815" s="53">
        <f>$K$4*B815</f>
        <v>67757062.303199992</v>
      </c>
      <c r="G815" s="51">
        <f t="shared" si="38"/>
        <v>677570.62303199992</v>
      </c>
      <c r="H815" s="52">
        <f>$K$3*D815</f>
        <v>11651358.565336676</v>
      </c>
    </row>
    <row r="816" spans="1:8" ht="13.8" x14ac:dyDescent="0.25">
      <c r="A816" s="40">
        <v>0.24256505576208179</v>
      </c>
      <c r="B816" s="40">
        <v>8574.9153320000005</v>
      </c>
      <c r="C816" s="41">
        <f>C815+(((A816+A815)/2)*(B816-B815))</f>
        <v>5345.8418419608288</v>
      </c>
      <c r="D816" s="51">
        <f t="shared" si="36"/>
        <v>46829574.535576865</v>
      </c>
      <c r="E816" s="54">
        <f t="shared" si="37"/>
        <v>4847461.3682942158</v>
      </c>
      <c r="F816" s="53">
        <f>$K$4*B816</f>
        <v>68599322.656000003</v>
      </c>
      <c r="G816" s="51">
        <f t="shared" si="38"/>
        <v>685993.2265600001</v>
      </c>
      <c r="H816" s="52">
        <f>$K$3*D816</f>
        <v>11707393.633894216</v>
      </c>
    </row>
    <row r="817" spans="1:8" ht="13.8" x14ac:dyDescent="0.25">
      <c r="A817" s="41">
        <v>0.24163568773234201</v>
      </c>
      <c r="B817" s="41">
        <v>8628.6032492999984</v>
      </c>
      <c r="C817" s="41">
        <f>C816+(((A817+A816)/2)*(B817-B816))</f>
        <v>5358.8397066974921</v>
      </c>
      <c r="D817" s="51">
        <f t="shared" si="36"/>
        <v>46943435.830670029</v>
      </c>
      <c r="E817" s="54">
        <f t="shared" si="37"/>
        <v>4832976.3582275081</v>
      </c>
      <c r="F817" s="53">
        <f>$K$4*B817</f>
        <v>69028825.994399995</v>
      </c>
      <c r="G817" s="51">
        <f t="shared" si="38"/>
        <v>690288.25994399993</v>
      </c>
      <c r="H817" s="52">
        <f>$K$3*D817</f>
        <v>11735858.957667507</v>
      </c>
    </row>
    <row r="818" spans="1:8" ht="13.8" x14ac:dyDescent="0.25">
      <c r="A818" s="40">
        <v>0.24070631970260223</v>
      </c>
      <c r="B818" s="40">
        <v>8635.7005008999986</v>
      </c>
      <c r="C818" s="41">
        <f>C817+(((A818+A817)/2)*(B818-B817))</f>
        <v>5360.5513579894996</v>
      </c>
      <c r="D818" s="51">
        <f t="shared" si="36"/>
        <v>46958429.895988017</v>
      </c>
      <c r="E818" s="54">
        <f t="shared" si="37"/>
        <v>4831047.0732770059</v>
      </c>
      <c r="F818" s="53">
        <f>$K$4*B818</f>
        <v>69085604.007199988</v>
      </c>
      <c r="G818" s="51">
        <f t="shared" si="38"/>
        <v>690856.04007199989</v>
      </c>
      <c r="H818" s="52">
        <f>$K$3*D818</f>
        <v>11739607.473997004</v>
      </c>
    </row>
    <row r="819" spans="1:8" ht="13.8" x14ac:dyDescent="0.25">
      <c r="A819" s="41">
        <v>0.23977695167286245</v>
      </c>
      <c r="B819" s="41">
        <v>8663.5512326000007</v>
      </c>
      <c r="C819" s="41">
        <f>C818+(((A819+A818)/2)*(B819-B818))</f>
        <v>5367.2422633282085</v>
      </c>
      <c r="D819" s="51">
        <f t="shared" si="36"/>
        <v>47017042.226755112</v>
      </c>
      <c r="E819" s="54">
        <f t="shared" si="37"/>
        <v>4823419.570608777</v>
      </c>
      <c r="F819" s="53">
        <f>$K$4*B819</f>
        <v>69308409.860800013</v>
      </c>
      <c r="G819" s="51">
        <f t="shared" si="38"/>
        <v>693084.09860800009</v>
      </c>
      <c r="H819" s="52">
        <f>$K$3*D819</f>
        <v>11754260.556688778</v>
      </c>
    </row>
    <row r="820" spans="1:8" ht="13.8" x14ac:dyDescent="0.25">
      <c r="A820" s="40">
        <v>0.23884758364312267</v>
      </c>
      <c r="B820" s="40">
        <v>8666.7609447000032</v>
      </c>
      <c r="C820" s="41">
        <f>C819+(((A820+A819)/2)*(B820-B819))</f>
        <v>5368.0103868093893</v>
      </c>
      <c r="D820" s="51">
        <f t="shared" si="36"/>
        <v>47023770.988450244</v>
      </c>
      <c r="E820" s="54">
        <f t="shared" si="37"/>
        <v>4822533.9913525591</v>
      </c>
      <c r="F820" s="53">
        <f>$K$4*B820</f>
        <v>69334087.557600021</v>
      </c>
      <c r="G820" s="51">
        <f t="shared" si="38"/>
        <v>693340.87557600019</v>
      </c>
      <c r="H820" s="52">
        <f>$K$3*D820</f>
        <v>11755942.747112561</v>
      </c>
    </row>
    <row r="821" spans="1:8" ht="13.8" x14ac:dyDescent="0.25">
      <c r="A821" s="41">
        <v>0.23791821561338289</v>
      </c>
      <c r="B821" s="41">
        <v>8688.7105908000012</v>
      </c>
      <c r="C821" s="41">
        <f>C820+(((A821+A820)/2)*(B821-B820))</f>
        <v>5373.2428070925207</v>
      </c>
      <c r="D821" s="51">
        <f t="shared" si="36"/>
        <v>47069606.990130484</v>
      </c>
      <c r="E821" s="54">
        <f t="shared" si="37"/>
        <v>4816433.2748926217</v>
      </c>
      <c r="F821" s="53">
        <f>$K$4*B821</f>
        <v>69509684.726400003</v>
      </c>
      <c r="G821" s="51">
        <f t="shared" si="38"/>
        <v>695096.8472640001</v>
      </c>
      <c r="H821" s="52">
        <f>$K$3*D821</f>
        <v>11767401.747532621</v>
      </c>
    </row>
    <row r="822" spans="1:8" ht="13.8" x14ac:dyDescent="0.25">
      <c r="A822" s="40">
        <v>0.23698884758364314</v>
      </c>
      <c r="B822" s="40">
        <v>8691.1826671999988</v>
      </c>
      <c r="C822" s="41">
        <f>C821+(((A822+A821)/2)*(B822-B821))</f>
        <v>5373.8298103640818</v>
      </c>
      <c r="D822" s="51">
        <f t="shared" si="36"/>
        <v>47074749.138789356</v>
      </c>
      <c r="E822" s="54">
        <f t="shared" si="37"/>
        <v>4815741.1509373412</v>
      </c>
      <c r="F822" s="53">
        <f>$K$4*B822</f>
        <v>69529461.337599993</v>
      </c>
      <c r="G822" s="51">
        <f t="shared" si="38"/>
        <v>695294.61337599996</v>
      </c>
      <c r="H822" s="52">
        <f>$K$3*D822</f>
        <v>11768687.284697339</v>
      </c>
    </row>
    <row r="823" spans="1:8" ht="13.8" x14ac:dyDescent="0.25">
      <c r="A823" s="41">
        <v>0.23605947955390336</v>
      </c>
      <c r="B823" s="41">
        <v>8702.3468832000017</v>
      </c>
      <c r="C823" s="41">
        <f>C822+(((A823+A822)/2)*(B823-B822))</f>
        <v>5376.4704172153833</v>
      </c>
      <c r="D823" s="51">
        <f t="shared" si="36"/>
        <v>47097880.854806758</v>
      </c>
      <c r="E823" s="54">
        <f t="shared" si="37"/>
        <v>4812592.70714169</v>
      </c>
      <c r="F823" s="53">
        <f>$K$4*B823</f>
        <v>69618775.065600008</v>
      </c>
      <c r="G823" s="51">
        <f t="shared" si="38"/>
        <v>696187.75065600011</v>
      </c>
      <c r="H823" s="52">
        <f>$K$3*D823</f>
        <v>11774470.21370169</v>
      </c>
    </row>
    <row r="824" spans="1:8" ht="13.8" x14ac:dyDescent="0.25">
      <c r="A824" s="40">
        <v>0.23513011152416358</v>
      </c>
      <c r="B824" s="40">
        <v>8721.7447085000022</v>
      </c>
      <c r="C824" s="41">
        <f>C823+(((A824+A823)/2)*(B824-B823))</f>
        <v>5381.0404439008389</v>
      </c>
      <c r="D824" s="51">
        <f t="shared" si="36"/>
        <v>47137914.28857135</v>
      </c>
      <c r="E824" s="54">
        <f t="shared" si="37"/>
        <v>4807082.8053428354</v>
      </c>
      <c r="F824" s="53">
        <f>$K$4*B824</f>
        <v>69773957.668000013</v>
      </c>
      <c r="G824" s="51">
        <f t="shared" si="38"/>
        <v>697739.57668000017</v>
      </c>
      <c r="H824" s="52">
        <f>$K$3*D824</f>
        <v>11784478.572142838</v>
      </c>
    </row>
    <row r="825" spans="1:8" ht="13.8" x14ac:dyDescent="0.25">
      <c r="A825" s="41">
        <v>0.2342007434944238</v>
      </c>
      <c r="B825" s="41">
        <v>8757.948666100001</v>
      </c>
      <c r="C825" s="41">
        <f>C824+(((A825+A824)/2)*(B825-B824))</f>
        <v>5389.5362610885713</v>
      </c>
      <c r="D825" s="51">
        <f t="shared" si="36"/>
        <v>47212337.647135884</v>
      </c>
      <c r="E825" s="54">
        <f t="shared" si="37"/>
        <v>4796725.4789039707</v>
      </c>
      <c r="F825" s="53">
        <f>$K$4*B825</f>
        <v>70063589.328800008</v>
      </c>
      <c r="G825" s="51">
        <f t="shared" si="38"/>
        <v>700635.89328800014</v>
      </c>
      <c r="H825" s="52">
        <f>$K$3*D825</f>
        <v>11803084.411783971</v>
      </c>
    </row>
    <row r="826" spans="1:8" ht="13.8" x14ac:dyDescent="0.25">
      <c r="A826" s="40">
        <v>0.23327137546468402</v>
      </c>
      <c r="B826" s="40">
        <v>8762.3146720000022</v>
      </c>
      <c r="C826" s="41">
        <f>C825+(((A826+A825)/2)*(B826-B825))</f>
        <v>5390.5567541033024</v>
      </c>
      <c r="D826" s="51">
        <f t="shared" si="36"/>
        <v>47221277.165944934</v>
      </c>
      <c r="E826" s="54">
        <f t="shared" si="37"/>
        <v>4795467.553886232</v>
      </c>
      <c r="F826" s="53">
        <f>$K$4*B826</f>
        <v>70098517.376000017</v>
      </c>
      <c r="G826" s="51">
        <f t="shared" si="38"/>
        <v>700985.17376000015</v>
      </c>
      <c r="H826" s="52">
        <f>$K$3*D826</f>
        <v>11805319.291486233</v>
      </c>
    </row>
    <row r="827" spans="1:8" ht="13.8" x14ac:dyDescent="0.25">
      <c r="A827" s="41">
        <v>0.23234200743494424</v>
      </c>
      <c r="B827" s="41">
        <v>8769.1726904000006</v>
      </c>
      <c r="C827" s="41">
        <f>C826+(((A827+A826)/2)*(B827-B826))</f>
        <v>5392.1533466769079</v>
      </c>
      <c r="D827" s="51">
        <f t="shared" si="36"/>
        <v>47235263.316889718</v>
      </c>
      <c r="E827" s="54">
        <f t="shared" si="37"/>
        <v>4793477.6769024301</v>
      </c>
      <c r="F827" s="53">
        <f>$K$4*B827</f>
        <v>70153381.523200005</v>
      </c>
      <c r="G827" s="51">
        <f t="shared" si="38"/>
        <v>701533.81523200008</v>
      </c>
      <c r="H827" s="52">
        <f>$K$3*D827</f>
        <v>11808815.82922243</v>
      </c>
    </row>
    <row r="828" spans="1:8" ht="13.8" x14ac:dyDescent="0.25">
      <c r="A828" s="40">
        <v>0.23141263940520446</v>
      </c>
      <c r="B828" s="40">
        <v>8791.3615697000005</v>
      </c>
      <c r="C828" s="41">
        <f>C827+(((A828+A827)/2)*(B828-B827))</f>
        <v>5397.2984446186829</v>
      </c>
      <c r="D828" s="51">
        <f t="shared" si="36"/>
        <v>47280334.374859668</v>
      </c>
      <c r="E828" s="54">
        <f t="shared" si="37"/>
        <v>4786994.337954917</v>
      </c>
      <c r="F828" s="53">
        <f>$K$4*B828</f>
        <v>70330892.557600006</v>
      </c>
      <c r="G828" s="51">
        <f t="shared" si="38"/>
        <v>703308.92557600013</v>
      </c>
      <c r="H828" s="52">
        <f>$K$3*D828</f>
        <v>11820083.593714917</v>
      </c>
    </row>
    <row r="829" spans="1:8" ht="13.8" x14ac:dyDescent="0.25">
      <c r="A829" s="41">
        <v>0.23048327137546468</v>
      </c>
      <c r="B829" s="41">
        <v>8800.0138371000012</v>
      </c>
      <c r="C829" s="41">
        <f>C828+(((A829+A828)/2)*(B829-B828))</f>
        <v>5399.2966680842037</v>
      </c>
      <c r="D829" s="51">
        <f t="shared" si="36"/>
        <v>47297838.812417626</v>
      </c>
      <c r="E829" s="54">
        <f t="shared" si="37"/>
        <v>4784448.6334244059</v>
      </c>
      <c r="F829" s="53">
        <f>$K$4*B829</f>
        <v>70400110.696800008</v>
      </c>
      <c r="G829" s="51">
        <f t="shared" si="38"/>
        <v>704001.10696800007</v>
      </c>
      <c r="H829" s="52">
        <f>$K$3*D829</f>
        <v>11824459.703104407</v>
      </c>
    </row>
    <row r="830" spans="1:8" ht="13.8" x14ac:dyDescent="0.25">
      <c r="A830" s="40">
        <v>0.2295539033457249</v>
      </c>
      <c r="B830" s="40">
        <v>8803.6222711999999</v>
      </c>
      <c r="C830" s="41">
        <f>C829+(((A830+A829)/2)*(B830-B829))</f>
        <v>5400.1266749984688</v>
      </c>
      <c r="D830" s="51">
        <f t="shared" si="36"/>
        <v>47305109.672986589</v>
      </c>
      <c r="E830" s="54">
        <f t="shared" si="37"/>
        <v>4783379.6012866488</v>
      </c>
      <c r="F830" s="53">
        <f>$K$4*B830</f>
        <v>70428978.169599995</v>
      </c>
      <c r="G830" s="51">
        <f t="shared" si="38"/>
        <v>704289.78169600002</v>
      </c>
      <c r="H830" s="52">
        <f>$K$3*D830</f>
        <v>11826277.418246647</v>
      </c>
    </row>
    <row r="831" spans="1:8" ht="13.8" x14ac:dyDescent="0.25">
      <c r="A831" s="41">
        <v>0.22862453531598512</v>
      </c>
      <c r="B831" s="41">
        <v>8838.2911491000013</v>
      </c>
      <c r="C831" s="41">
        <f>C830+(((A831+A830)/2)*(B831-B830))</f>
        <v>5408.0689411716567</v>
      </c>
      <c r="D831" s="51">
        <f t="shared" si="36"/>
        <v>47374683.924663715</v>
      </c>
      <c r="E831" s="54">
        <f t="shared" si="37"/>
        <v>4773038.0618859269</v>
      </c>
      <c r="F831" s="53">
        <f>$K$4*B831</f>
        <v>70706329.192800015</v>
      </c>
      <c r="G831" s="51">
        <f t="shared" si="38"/>
        <v>707063.29192800017</v>
      </c>
      <c r="H831" s="52">
        <f>$K$3*D831</f>
        <v>11843670.981165929</v>
      </c>
    </row>
    <row r="832" spans="1:8" ht="13.8" x14ac:dyDescent="0.25">
      <c r="A832" s="40">
        <v>0.22769516728624536</v>
      </c>
      <c r="B832" s="40">
        <v>8847.621243900001</v>
      </c>
      <c r="C832" s="41">
        <f>C831+(((A832+A831)/2)*(B832-B831))</f>
        <v>5410.1976942138499</v>
      </c>
      <c r="D832" s="51">
        <f t="shared" si="36"/>
        <v>47393331.801313326</v>
      </c>
      <c r="E832" s="54">
        <f t="shared" si="37"/>
        <v>4770235.9552083313</v>
      </c>
      <c r="F832" s="53">
        <f>$K$4*B832</f>
        <v>70780969.951200008</v>
      </c>
      <c r="G832" s="51">
        <f t="shared" si="38"/>
        <v>707809.69951200008</v>
      </c>
      <c r="H832" s="52">
        <f>$K$3*D832</f>
        <v>11848332.950328331</v>
      </c>
    </row>
    <row r="833" spans="1:8" ht="13.8" x14ac:dyDescent="0.25">
      <c r="A833" s="41">
        <v>0.22676579925650558</v>
      </c>
      <c r="B833" s="41">
        <v>8853.5223294999996</v>
      </c>
      <c r="C833" s="41">
        <f>C832+(((A833+A832)/2)*(B833-B832))</f>
        <v>5411.5386007465631</v>
      </c>
      <c r="D833" s="51">
        <f t="shared" si="36"/>
        <v>47405078.142539889</v>
      </c>
      <c r="E833" s="54">
        <f t="shared" si="37"/>
        <v>4768451.6720349733</v>
      </c>
      <c r="F833" s="53">
        <f>$K$4*B833</f>
        <v>70828178.635999992</v>
      </c>
      <c r="G833" s="51">
        <f t="shared" si="38"/>
        <v>708281.78635999991</v>
      </c>
      <c r="H833" s="52">
        <f>$K$3*D833</f>
        <v>11851269.535634972</v>
      </c>
    </row>
    <row r="834" spans="1:8" ht="13.8" x14ac:dyDescent="0.25">
      <c r="A834" s="40">
        <v>0.2258364312267658</v>
      </c>
      <c r="B834" s="40">
        <v>8890.5835394000023</v>
      </c>
      <c r="C834" s="41">
        <f>C833+(((A834+A833)/2)*(B834-B833))</f>
        <v>5419.9255938791384</v>
      </c>
      <c r="D834" s="51">
        <f t="shared" si="36"/>
        <v>47478548.202381253</v>
      </c>
      <c r="E834" s="54">
        <f t="shared" si="37"/>
        <v>4757170.2190753128</v>
      </c>
      <c r="F834" s="53">
        <f>$K$4*B834</f>
        <v>71124668.315200016</v>
      </c>
      <c r="G834" s="51">
        <f t="shared" si="38"/>
        <v>711246.68315200019</v>
      </c>
      <c r="H834" s="52">
        <f>$K$3*D834</f>
        <v>11869637.050595313</v>
      </c>
    </row>
    <row r="835" spans="1:8" ht="13.8" x14ac:dyDescent="0.25">
      <c r="A835" s="41">
        <v>0.22490706319702602</v>
      </c>
      <c r="B835" s="41">
        <v>8895.1289702000031</v>
      </c>
      <c r="C835" s="41">
        <f>C834+(((A835+A834)/2)*(B835-B834))</f>
        <v>5420.9500055603658</v>
      </c>
      <c r="D835" s="51">
        <f t="shared" ref="D835:D898" si="39">C835*24*365</f>
        <v>47487522.048708804</v>
      </c>
      <c r="E835" s="54">
        <f t="shared" ref="E835:E898" si="40">H835-G835-(F835*$K$5)</f>
        <v>4755777.3360171989</v>
      </c>
      <c r="F835" s="53">
        <f>$K$4*B835</f>
        <v>71161031.761600018</v>
      </c>
      <c r="G835" s="51">
        <f t="shared" ref="G835:G898" si="41">F835*0.01</f>
        <v>711610.31761600019</v>
      </c>
      <c r="H835" s="52">
        <f>$K$3*D835</f>
        <v>11871880.512177201</v>
      </c>
    </row>
    <row r="836" spans="1:8" ht="13.8" x14ac:dyDescent="0.25">
      <c r="A836" s="40">
        <v>0.22397769516728624</v>
      </c>
      <c r="B836" s="40">
        <v>8900.9503113999999</v>
      </c>
      <c r="C836" s="41">
        <f>C835+(((A836+A835)/2)*(B836-B835))</f>
        <v>5422.2565612293238</v>
      </c>
      <c r="D836" s="51">
        <f t="shared" si="39"/>
        <v>47498967.476368874</v>
      </c>
      <c r="E836" s="54">
        <f t="shared" si="40"/>
        <v>4753981.6199722188</v>
      </c>
      <c r="F836" s="53">
        <f>$K$4*B836</f>
        <v>71207602.4912</v>
      </c>
      <c r="G836" s="51">
        <f t="shared" si="41"/>
        <v>712076.02491200005</v>
      </c>
      <c r="H836" s="52">
        <f>$K$3*D836</f>
        <v>11874741.869092219</v>
      </c>
    </row>
    <row r="837" spans="1:8" ht="13.8" x14ac:dyDescent="0.25">
      <c r="A837" s="41">
        <v>0.22304832713754646</v>
      </c>
      <c r="B837" s="41">
        <v>8921.1057084999993</v>
      </c>
      <c r="C837" s="41">
        <f>C836+(((A837+A836)/2)*(B837-B836))</f>
        <v>5426.7615547261175</v>
      </c>
      <c r="D837" s="51">
        <f t="shared" si="39"/>
        <v>47538431.219400793</v>
      </c>
      <c r="E837" s="54">
        <f t="shared" si="40"/>
        <v>4747723.2380501991</v>
      </c>
      <c r="F837" s="53">
        <f>$K$4*B837</f>
        <v>71368845.667999998</v>
      </c>
      <c r="G837" s="51">
        <f t="shared" si="41"/>
        <v>713688.45667999994</v>
      </c>
      <c r="H837" s="52">
        <f>$K$3*D837</f>
        <v>11884607.804850198</v>
      </c>
    </row>
    <row r="838" spans="1:8" ht="13.8" x14ac:dyDescent="0.25">
      <c r="A838" s="40">
        <v>0.22211895910780668</v>
      </c>
      <c r="B838" s="40">
        <v>8961.6357997999985</v>
      </c>
      <c r="C838" s="41">
        <f>C837+(((A838+A837)/2)*(B838-B837))</f>
        <v>5435.7828901037665</v>
      </c>
      <c r="D838" s="51">
        <f t="shared" si="39"/>
        <v>47617458.117308997</v>
      </c>
      <c r="E838" s="54">
        <f t="shared" si="40"/>
        <v>4735055.8894872498</v>
      </c>
      <c r="F838" s="53">
        <f>$K$4*B838</f>
        <v>71693086.398399994</v>
      </c>
      <c r="G838" s="51">
        <f t="shared" si="41"/>
        <v>716930.86398399994</v>
      </c>
      <c r="H838" s="52">
        <f>$K$3*D838</f>
        <v>11904364.529327249</v>
      </c>
    </row>
    <row r="839" spans="1:8" ht="13.8" x14ac:dyDescent="0.25">
      <c r="A839" s="41">
        <v>0.22118959107806691</v>
      </c>
      <c r="B839" s="41">
        <v>8966.0018057000016</v>
      </c>
      <c r="C839" s="41">
        <f>C838+(((A839+A838)/2)*(B839-B838))</f>
        <v>5436.7506339765832</v>
      </c>
      <c r="D839" s="51">
        <f t="shared" si="39"/>
        <v>47625935.553634875</v>
      </c>
      <c r="E839" s="54">
        <f t="shared" si="40"/>
        <v>4733682.4438487161</v>
      </c>
      <c r="F839" s="53">
        <f>$K$4*B839</f>
        <v>71728014.445600018</v>
      </c>
      <c r="G839" s="51">
        <f t="shared" si="41"/>
        <v>717280.14445600018</v>
      </c>
      <c r="H839" s="52">
        <f>$K$3*D839</f>
        <v>11906483.888408719</v>
      </c>
    </row>
    <row r="840" spans="1:8" ht="13.8" x14ac:dyDescent="0.25">
      <c r="A840" s="40">
        <v>0.22026022304832713</v>
      </c>
      <c r="B840" s="40">
        <v>9024.8133007000015</v>
      </c>
      <c r="C840" s="41">
        <f>C839+(((A840+A839)/2)*(B840-B839))</f>
        <v>5449.7317957447058</v>
      </c>
      <c r="D840" s="51">
        <f t="shared" si="39"/>
        <v>47739650.530723624</v>
      </c>
      <c r="E840" s="54">
        <f t="shared" si="40"/>
        <v>4715061.9921209058</v>
      </c>
      <c r="F840" s="53">
        <f>$K$4*B840</f>
        <v>72198506.405600011</v>
      </c>
      <c r="G840" s="51">
        <f t="shared" si="41"/>
        <v>721985.06405600009</v>
      </c>
      <c r="H840" s="52">
        <f>$K$3*D840</f>
        <v>11934912.632680906</v>
      </c>
    </row>
    <row r="841" spans="1:8" ht="13.8" x14ac:dyDescent="0.25">
      <c r="A841" s="41">
        <v>0.21933085501858737</v>
      </c>
      <c r="B841" s="41">
        <v>9050.4311891999987</v>
      </c>
      <c r="C841" s="41">
        <f>C840+(((A841+A840)/2)*(B841-B840))</f>
        <v>5455.3624933564615</v>
      </c>
      <c r="D841" s="51">
        <f t="shared" si="39"/>
        <v>47788975.441802606</v>
      </c>
      <c r="E841" s="54">
        <f t="shared" si="40"/>
        <v>4706898.9090906521</v>
      </c>
      <c r="F841" s="53">
        <f>$K$4*B841</f>
        <v>72403449.513599992</v>
      </c>
      <c r="G841" s="51">
        <f t="shared" si="41"/>
        <v>724034.49513599998</v>
      </c>
      <c r="H841" s="52">
        <f>$K$3*D841</f>
        <v>11947243.860450651</v>
      </c>
    </row>
    <row r="842" spans="1:8" ht="13.8" x14ac:dyDescent="0.25">
      <c r="A842" s="40">
        <v>0.21840148698884759</v>
      </c>
      <c r="B842" s="40">
        <v>9058.4056292000005</v>
      </c>
      <c r="C842" s="41">
        <f>C841+(((A842+A841)/2)*(B842-B841))</f>
        <v>5457.1078285051608</v>
      </c>
      <c r="D842" s="51">
        <f t="shared" si="39"/>
        <v>47804264.577705212</v>
      </c>
      <c r="E842" s="54">
        <f t="shared" si="40"/>
        <v>4704341.6410663035</v>
      </c>
      <c r="F842" s="53">
        <f>$K$4*B842</f>
        <v>72467245.033600003</v>
      </c>
      <c r="G842" s="51">
        <f t="shared" si="41"/>
        <v>724672.45033600007</v>
      </c>
      <c r="H842" s="52">
        <f>$K$3*D842</f>
        <v>11951066.144426303</v>
      </c>
    </row>
    <row r="843" spans="1:8" ht="13.8" x14ac:dyDescent="0.25">
      <c r="A843" s="41">
        <v>0.21747211895910781</v>
      </c>
      <c r="B843" s="41">
        <v>9130.5743112</v>
      </c>
      <c r="C843" s="41">
        <f>C842+(((A843+A842)/2)*(B843-B842))</f>
        <v>5472.8360403350862</v>
      </c>
      <c r="D843" s="51">
        <f t="shared" si="39"/>
        <v>47942043.713335358</v>
      </c>
      <c r="E843" s="54">
        <f t="shared" si="40"/>
        <v>4681051.4793738397</v>
      </c>
      <c r="F843" s="53">
        <f>$K$4*B843</f>
        <v>73044594.489600003</v>
      </c>
      <c r="G843" s="51">
        <f t="shared" si="41"/>
        <v>730445.94489600009</v>
      </c>
      <c r="H843" s="52">
        <f>$K$3*D843</f>
        <v>11985510.928333839</v>
      </c>
    </row>
    <row r="844" spans="1:8" ht="13.8" x14ac:dyDescent="0.25">
      <c r="A844" s="40">
        <v>0.21654275092936803</v>
      </c>
      <c r="B844" s="40">
        <v>9147.2408908000016</v>
      </c>
      <c r="C844" s="41">
        <f>C843+(((A844+A843)/2)*(B844-B843))</f>
        <v>5476.4528120233763</v>
      </c>
      <c r="D844" s="51">
        <f t="shared" si="39"/>
        <v>47973726.633324772</v>
      </c>
      <c r="E844" s="54">
        <f t="shared" si="40"/>
        <v>4675638.9456911925</v>
      </c>
      <c r="F844" s="53">
        <f>$K$4*B844</f>
        <v>73177927.126400009</v>
      </c>
      <c r="G844" s="51">
        <f t="shared" si="41"/>
        <v>731779.2712640001</v>
      </c>
      <c r="H844" s="52">
        <f>$K$3*D844</f>
        <v>11993431.658331193</v>
      </c>
    </row>
    <row r="845" spans="1:8" ht="13.8" x14ac:dyDescent="0.25">
      <c r="A845" s="41">
        <v>0.21561338289962825</v>
      </c>
      <c r="B845" s="41">
        <v>9182.9265097999996</v>
      </c>
      <c r="C845" s="41">
        <f>C844+(((A845+A844)/2)*(B845-B844))</f>
        <v>5484.1636915935433</v>
      </c>
      <c r="D845" s="51">
        <f t="shared" si="39"/>
        <v>48041273.938359432</v>
      </c>
      <c r="E845" s="54">
        <f t="shared" si="40"/>
        <v>4663977.2767498586</v>
      </c>
      <c r="F845" s="53">
        <f>$K$4*B845</f>
        <v>73463412.078400001</v>
      </c>
      <c r="G845" s="51">
        <f t="shared" si="41"/>
        <v>734634.12078400003</v>
      </c>
      <c r="H845" s="52">
        <f>$K$3*D845</f>
        <v>12010318.484589858</v>
      </c>
    </row>
    <row r="846" spans="1:8" ht="13.8" x14ac:dyDescent="0.25">
      <c r="A846" s="40">
        <v>0.21468401486988847</v>
      </c>
      <c r="B846" s="40">
        <v>9212.9303403000013</v>
      </c>
      <c r="C846" s="41">
        <f>C845+(((A846+A845)/2)*(B846-B845))</f>
        <v>5490.6189766871776</v>
      </c>
      <c r="D846" s="51">
        <f t="shared" si="39"/>
        <v>48097822.23577968</v>
      </c>
      <c r="E846" s="54">
        <f t="shared" si="40"/>
        <v>4654111.2867049184</v>
      </c>
      <c r="F846" s="53">
        <f>$K$4*B846</f>
        <v>73703442.72240001</v>
      </c>
      <c r="G846" s="51">
        <f t="shared" si="41"/>
        <v>737034.4272240001</v>
      </c>
      <c r="H846" s="52">
        <f>$K$3*D846</f>
        <v>12024455.55894492</v>
      </c>
    </row>
    <row r="847" spans="1:8" ht="13.8" x14ac:dyDescent="0.25">
      <c r="A847" s="41">
        <v>0.21375464684014869</v>
      </c>
      <c r="B847" s="41">
        <v>9233.4246510999983</v>
      </c>
      <c r="C847" s="41">
        <f>C846+(((A847+A846)/2)*(B847-B846))</f>
        <v>5495.0092542330876</v>
      </c>
      <c r="D847" s="51">
        <f t="shared" si="39"/>
        <v>48136281.067081839</v>
      </c>
      <c r="E847" s="54">
        <f t="shared" si="40"/>
        <v>4647330.5458904617</v>
      </c>
      <c r="F847" s="53">
        <f>$K$4*B847</f>
        <v>73867397.208799988</v>
      </c>
      <c r="G847" s="51">
        <f t="shared" si="41"/>
        <v>738673.97208799992</v>
      </c>
      <c r="H847" s="52">
        <f>$K$3*D847</f>
        <v>12034070.26677046</v>
      </c>
    </row>
    <row r="848" spans="1:8" ht="13.8" x14ac:dyDescent="0.25">
      <c r="A848" s="40">
        <v>0.21282527881040891</v>
      </c>
      <c r="B848" s="40">
        <v>9234.8002420000012</v>
      </c>
      <c r="C848" s="41">
        <f>C847+(((A848+A847)/2)*(B848-B847))</f>
        <v>5495.3026539650118</v>
      </c>
      <c r="D848" s="51">
        <f t="shared" si="39"/>
        <v>48138851.248733498</v>
      </c>
      <c r="E848" s="54">
        <f t="shared" si="40"/>
        <v>4646872.6185833737</v>
      </c>
      <c r="F848" s="53">
        <f>$K$4*B848</f>
        <v>73878401.936000004</v>
      </c>
      <c r="G848" s="51">
        <f t="shared" si="41"/>
        <v>738784.01936000003</v>
      </c>
      <c r="H848" s="52">
        <f>$K$3*D848</f>
        <v>12034712.812183375</v>
      </c>
    </row>
    <row r="849" spans="1:8" ht="13.8" x14ac:dyDescent="0.25">
      <c r="A849" s="41">
        <v>0.21189591078066913</v>
      </c>
      <c r="B849" s="41">
        <v>9283.0456040000026</v>
      </c>
      <c r="C849" s="41">
        <f>C848+(((A849+A848)/2)*(B849-B848))</f>
        <v>5505.5480677354581</v>
      </c>
      <c r="D849" s="51">
        <f t="shared" si="39"/>
        <v>48228601.073362619</v>
      </c>
      <c r="E849" s="54">
        <f t="shared" si="40"/>
        <v>4630713.7851406531</v>
      </c>
      <c r="F849" s="53">
        <f>$K$4*B849</f>
        <v>74264364.832000017</v>
      </c>
      <c r="G849" s="51">
        <f t="shared" si="41"/>
        <v>742643.64832000015</v>
      </c>
      <c r="H849" s="52">
        <f>$K$3*D849</f>
        <v>12057150.268340655</v>
      </c>
    </row>
    <row r="850" spans="1:8" ht="13.8" x14ac:dyDescent="0.25">
      <c r="A850" s="40">
        <v>0.21096654275092938</v>
      </c>
      <c r="B850" s="40">
        <v>9314.9433640000007</v>
      </c>
      <c r="C850" s="41">
        <f>C849+(((A850+A849)/2)*(B850-B849))</f>
        <v>5512.2922502633382</v>
      </c>
      <c r="D850" s="51">
        <f t="shared" si="39"/>
        <v>48287680.112306848</v>
      </c>
      <c r="E850" s="54">
        <f t="shared" si="40"/>
        <v>4619965.3368767127</v>
      </c>
      <c r="F850" s="53">
        <f>$K$4*B850</f>
        <v>74519546.912</v>
      </c>
      <c r="G850" s="51">
        <f t="shared" si="41"/>
        <v>745195.46912000002</v>
      </c>
      <c r="H850" s="52">
        <f>$K$3*D850</f>
        <v>12071920.028076712</v>
      </c>
    </row>
    <row r="851" spans="1:8" ht="13.8" x14ac:dyDescent="0.25">
      <c r="A851" s="41">
        <v>0.2100371747211896</v>
      </c>
      <c r="B851" s="41">
        <v>9316.2192744000022</v>
      </c>
      <c r="C851" s="41">
        <f>C850+(((A851+A850)/2)*(B851-B850))</f>
        <v>5512.5608317741189</v>
      </c>
      <c r="D851" s="51">
        <f t="shared" si="39"/>
        <v>48290032.886341274</v>
      </c>
      <c r="E851" s="54">
        <f t="shared" si="40"/>
        <v>4619532.8020653166</v>
      </c>
      <c r="F851" s="53">
        <f>$K$4*B851</f>
        <v>74529754.195200011</v>
      </c>
      <c r="G851" s="51">
        <f t="shared" si="41"/>
        <v>745297.54195200012</v>
      </c>
      <c r="H851" s="52">
        <f>$K$3*D851</f>
        <v>12072508.221585318</v>
      </c>
    </row>
    <row r="852" spans="1:8" ht="13.8" x14ac:dyDescent="0.25">
      <c r="A852" s="40">
        <v>0.20910780669144982</v>
      </c>
      <c r="B852" s="40">
        <v>9365.2820164999994</v>
      </c>
      <c r="C852" s="41">
        <f>C851+(((A852+A851)/2)*(B852-B851))</f>
        <v>5522.8430328368968</v>
      </c>
      <c r="D852" s="51">
        <f t="shared" si="39"/>
        <v>48380104.967651218</v>
      </c>
      <c r="E852" s="54">
        <f t="shared" si="40"/>
        <v>4602800.6287128059</v>
      </c>
      <c r="F852" s="53">
        <f>$K$4*B852</f>
        <v>74922256.131999999</v>
      </c>
      <c r="G852" s="51">
        <f t="shared" si="41"/>
        <v>749222.56131999998</v>
      </c>
      <c r="H852" s="52">
        <f>$K$3*D852</f>
        <v>12095026.241912805</v>
      </c>
    </row>
    <row r="853" spans="1:8" ht="13.8" x14ac:dyDescent="0.25">
      <c r="A853" s="41">
        <v>0.20817843866171004</v>
      </c>
      <c r="B853" s="41">
        <v>9379.8353695000023</v>
      </c>
      <c r="C853" s="41">
        <f>C852+(((A853+A852)/2)*(B853-B852))</f>
        <v>5525.8794898522319</v>
      </c>
      <c r="D853" s="51">
        <f t="shared" si="39"/>
        <v>48406704.331105553</v>
      </c>
      <c r="E853" s="54">
        <f t="shared" si="40"/>
        <v>4597807.7871763865</v>
      </c>
      <c r="F853" s="53">
        <f>$K$4*B853</f>
        <v>75038682.956000015</v>
      </c>
      <c r="G853" s="51">
        <f t="shared" si="41"/>
        <v>750386.82956000022</v>
      </c>
      <c r="H853" s="52">
        <f>$K$3*D853</f>
        <v>12101676.082776388</v>
      </c>
    </row>
    <row r="854" spans="1:8" ht="13.8" x14ac:dyDescent="0.25">
      <c r="A854" s="40">
        <v>0.20724907063197026</v>
      </c>
      <c r="B854" s="40">
        <v>9395.9636744000018</v>
      </c>
      <c r="C854" s="41">
        <f>C853+(((A854+A853)/2)*(B854-B853))</f>
        <v>5529.2295606191001</v>
      </c>
      <c r="D854" s="51">
        <f t="shared" si="39"/>
        <v>48436050.951023318</v>
      </c>
      <c r="E854" s="54">
        <f t="shared" si="40"/>
        <v>4592241.7982358281</v>
      </c>
      <c r="F854" s="53">
        <f>$K$4*B854</f>
        <v>75167709.395200014</v>
      </c>
      <c r="G854" s="51">
        <f t="shared" si="41"/>
        <v>751677.09395200014</v>
      </c>
      <c r="H854" s="52">
        <f>$K$3*D854</f>
        <v>12109012.737755829</v>
      </c>
    </row>
    <row r="855" spans="1:8" ht="13.8" x14ac:dyDescent="0.25">
      <c r="A855" s="41">
        <v>0.20631970260223048</v>
      </c>
      <c r="B855" s="41">
        <v>9441.5375990000011</v>
      </c>
      <c r="C855" s="41">
        <f>C854+(((A855+A854)/2)*(B855-B854))</f>
        <v>5538.6535366632452</v>
      </c>
      <c r="D855" s="51">
        <f t="shared" si="39"/>
        <v>48518604.981170028</v>
      </c>
      <c r="E855" s="54">
        <f t="shared" si="40"/>
        <v>4576421.1660925057</v>
      </c>
      <c r="F855" s="53">
        <f>$K$4*B855</f>
        <v>75532300.792000011</v>
      </c>
      <c r="G855" s="51">
        <f t="shared" si="41"/>
        <v>755323.00792000012</v>
      </c>
      <c r="H855" s="52">
        <f>$K$3*D855</f>
        <v>12129651.245292507</v>
      </c>
    </row>
    <row r="856" spans="1:8" ht="13.8" x14ac:dyDescent="0.25">
      <c r="A856" s="40">
        <v>0.2053903345724907</v>
      </c>
      <c r="B856" s="40">
        <v>9450.4490356999995</v>
      </c>
      <c r="C856" s="41">
        <f>C855+(((A856+A855)/2)*(B856-B855))</f>
        <v>5540.4880006307631</v>
      </c>
      <c r="D856" s="51">
        <f t="shared" si="39"/>
        <v>48534674.88552548</v>
      </c>
      <c r="E856" s="54">
        <f t="shared" si="40"/>
        <v>4573309.4928213721</v>
      </c>
      <c r="F856" s="53">
        <f>$K$4*B856</f>
        <v>75603592.285599992</v>
      </c>
      <c r="G856" s="51">
        <f t="shared" si="41"/>
        <v>756035.9228559999</v>
      </c>
      <c r="H856" s="52">
        <f>$K$3*D856</f>
        <v>12133668.72138137</v>
      </c>
    </row>
    <row r="857" spans="1:8" ht="13.8" x14ac:dyDescent="0.25">
      <c r="A857" s="41">
        <v>0.20446096654275092</v>
      </c>
      <c r="B857" s="41">
        <v>9519.8665359000006</v>
      </c>
      <c r="C857" s="41">
        <f>C856+(((A857+A856)/2)*(B857-B856))</f>
        <v>5554.7134270193319</v>
      </c>
      <c r="D857" s="51">
        <f t="shared" si="39"/>
        <v>48659289.620689347</v>
      </c>
      <c r="E857" s="54">
        <f t="shared" si="40"/>
        <v>4548929.1764523368</v>
      </c>
      <c r="F857" s="53">
        <f>$K$4*B857</f>
        <v>76158932.287200004</v>
      </c>
      <c r="G857" s="51">
        <f t="shared" si="41"/>
        <v>761589.32287200005</v>
      </c>
      <c r="H857" s="52">
        <f>$K$3*D857</f>
        <v>12164822.405172337</v>
      </c>
    </row>
    <row r="858" spans="1:8" ht="13.8" x14ac:dyDescent="0.25">
      <c r="A858" s="40">
        <v>0.20353159851301114</v>
      </c>
      <c r="B858" s="40">
        <v>9534.6192499000008</v>
      </c>
      <c r="C858" s="41">
        <f>C857+(((A858+A857)/2)*(B858-B857))</f>
        <v>5557.7229258325287</v>
      </c>
      <c r="D858" s="51">
        <f t="shared" si="39"/>
        <v>48685652.830292955</v>
      </c>
      <c r="E858" s="54">
        <f t="shared" si="40"/>
        <v>4543717.8076532381</v>
      </c>
      <c r="F858" s="53">
        <f>$K$4*B858</f>
        <v>76276953.999200001</v>
      </c>
      <c r="G858" s="51">
        <f t="shared" si="41"/>
        <v>762769.53999199998</v>
      </c>
      <c r="H858" s="52">
        <f>$K$3*D858</f>
        <v>12171413.207573239</v>
      </c>
    </row>
    <row r="859" spans="1:8" ht="13.8" x14ac:dyDescent="0.25">
      <c r="A859" s="41">
        <v>0.20260223048327136</v>
      </c>
      <c r="B859" s="41">
        <v>9558.7818030999988</v>
      </c>
      <c r="C859" s="41">
        <f>C858+(((A859+A858)/2)*(B859-B858))</f>
        <v>5562.6295409572494</v>
      </c>
      <c r="D859" s="51">
        <f t="shared" si="39"/>
        <v>48728634.778785504</v>
      </c>
      <c r="E859" s="54">
        <f t="shared" si="40"/>
        <v>4535133.2522163773</v>
      </c>
      <c r="F859" s="53">
        <f>$K$4*B859</f>
        <v>76470254.424799994</v>
      </c>
      <c r="G859" s="51">
        <f t="shared" si="41"/>
        <v>764702.5442479999</v>
      </c>
      <c r="H859" s="52">
        <f>$K$3*D859</f>
        <v>12182158.694696376</v>
      </c>
    </row>
    <row r="860" spans="1:8" ht="13.8" x14ac:dyDescent="0.25">
      <c r="A860" s="40">
        <v>0.20167286245353161</v>
      </c>
      <c r="B860" s="40">
        <v>9606.409146</v>
      </c>
      <c r="C860" s="41">
        <f>C859+(((A860+A859)/2)*(B860-B859))</f>
        <v>5572.2568151958649</v>
      </c>
      <c r="D860" s="51">
        <f t="shared" si="39"/>
        <v>48812969.701115772</v>
      </c>
      <c r="E860" s="54">
        <f t="shared" si="40"/>
        <v>4518115.1084789429</v>
      </c>
      <c r="F860" s="53">
        <f>$K$4*B860</f>
        <v>76851273.167999998</v>
      </c>
      <c r="G860" s="51">
        <f t="shared" si="41"/>
        <v>768512.73167999997</v>
      </c>
      <c r="H860" s="52">
        <f>$K$3*D860</f>
        <v>12203242.425278943</v>
      </c>
    </row>
    <row r="861" spans="1:8" ht="13.8" x14ac:dyDescent="0.25">
      <c r="A861" s="41">
        <v>0.20074349442379183</v>
      </c>
      <c r="B861" s="41">
        <v>9644.5668414000011</v>
      </c>
      <c r="C861" s="41">
        <f>C860+(((A861+A860)/2)*(B861-B860))</f>
        <v>5579.9344555807165</v>
      </c>
      <c r="D861" s="51">
        <f t="shared" si="39"/>
        <v>48880225.830887072</v>
      </c>
      <c r="E861" s="54">
        <f t="shared" si="40"/>
        <v>4504402.9846017677</v>
      </c>
      <c r="F861" s="53">
        <f>$K$4*B861</f>
        <v>77156534.73120001</v>
      </c>
      <c r="G861" s="51">
        <f t="shared" si="41"/>
        <v>771565.34731200011</v>
      </c>
      <c r="H861" s="52">
        <f>$K$3*D861</f>
        <v>12220056.457721768</v>
      </c>
    </row>
    <row r="862" spans="1:8" ht="13.8" x14ac:dyDescent="0.25">
      <c r="A862" s="40">
        <v>0.19981412639405205</v>
      </c>
      <c r="B862" s="40">
        <v>9671.4606402999998</v>
      </c>
      <c r="C862" s="41">
        <f>C861+(((A862+A861)/2)*(B862-B861))</f>
        <v>5585.3207136317851</v>
      </c>
      <c r="D862" s="51">
        <f t="shared" si="39"/>
        <v>48927409.451414429</v>
      </c>
      <c r="E862" s="54">
        <f t="shared" si="40"/>
        <v>4494683.850613608</v>
      </c>
      <c r="F862" s="53">
        <f>$K$4*B862</f>
        <v>77371685.122400001</v>
      </c>
      <c r="G862" s="51">
        <f t="shared" si="41"/>
        <v>773716.85122399998</v>
      </c>
      <c r="H862" s="52">
        <f>$K$3*D862</f>
        <v>12231852.362853607</v>
      </c>
    </row>
    <row r="863" spans="1:8" ht="13.8" x14ac:dyDescent="0.25">
      <c r="A863" s="41">
        <v>0.19888475836431227</v>
      </c>
      <c r="B863" s="41">
        <v>9675.3880519999984</v>
      </c>
      <c r="C863" s="41">
        <f>C862+(((A863+A862)/2)*(B863-B862))</f>
        <v>5586.1036409641729</v>
      </c>
      <c r="D863" s="51">
        <f t="shared" si="39"/>
        <v>48934267.894846149</v>
      </c>
      <c r="E863" s="54">
        <f t="shared" si="40"/>
        <v>4493256.5321115386</v>
      </c>
      <c r="F863" s="53">
        <f>$K$4*B863</f>
        <v>77403104.415999994</v>
      </c>
      <c r="G863" s="51">
        <f t="shared" si="41"/>
        <v>774031.04415999993</v>
      </c>
      <c r="H863" s="52">
        <f>$K$3*D863</f>
        <v>12233566.973711537</v>
      </c>
    </row>
    <row r="864" spans="1:8" ht="13.8" x14ac:dyDescent="0.25">
      <c r="A864" s="40">
        <v>0.19795539033457249</v>
      </c>
      <c r="B864" s="40">
        <v>9702.5410201999985</v>
      </c>
      <c r="C864" s="41">
        <f>C863+(((A864+A863)/2)*(B864-B863))</f>
        <v>5591.4913349332246</v>
      </c>
      <c r="D864" s="51">
        <f t="shared" si="39"/>
        <v>48981464.094015047</v>
      </c>
      <c r="E864" s="54">
        <f t="shared" si="40"/>
        <v>4483333.2073437618</v>
      </c>
      <c r="F864" s="53">
        <f>$K$4*B864</f>
        <v>77620328.161599994</v>
      </c>
      <c r="G864" s="51">
        <f t="shared" si="41"/>
        <v>776203.28161599999</v>
      </c>
      <c r="H864" s="52">
        <f>$K$3*D864</f>
        <v>12245366.023503762</v>
      </c>
    </row>
    <row r="865" spans="1:8" ht="13.8" x14ac:dyDescent="0.25">
      <c r="A865" s="41">
        <v>0.19702602230483271</v>
      </c>
      <c r="B865" s="41">
        <v>9734.3789719000015</v>
      </c>
      <c r="C865" s="41">
        <f>C864+(((A865+A864)/2)*(B865-B864))</f>
        <v>5597.7790345022304</v>
      </c>
      <c r="D865" s="51">
        <f t="shared" si="39"/>
        <v>49036544.342239544</v>
      </c>
      <c r="E865" s="54">
        <f t="shared" si="40"/>
        <v>4471632.9080398856</v>
      </c>
      <c r="F865" s="53">
        <f>$K$4*B865</f>
        <v>77875031.775200009</v>
      </c>
      <c r="G865" s="51">
        <f t="shared" si="41"/>
        <v>778750.31775200006</v>
      </c>
      <c r="H865" s="52">
        <f>$K$3*D865</f>
        <v>12259136.085559886</v>
      </c>
    </row>
    <row r="866" spans="1:8" ht="13.8" x14ac:dyDescent="0.25">
      <c r="A866" s="40">
        <v>0.19609665427509293</v>
      </c>
      <c r="B866" s="40">
        <v>9744.9251688000004</v>
      </c>
      <c r="C866" s="41">
        <f>C865+(((A866+A865)/2)*(B866-B865))</f>
        <v>5599.8520090787633</v>
      </c>
      <c r="D866" s="51">
        <f t="shared" si="39"/>
        <v>49054703.599529967</v>
      </c>
      <c r="E866" s="54">
        <f t="shared" si="40"/>
        <v>4467735.7648424916</v>
      </c>
      <c r="F866" s="53">
        <f>$K$4*B866</f>
        <v>77959401.350400001</v>
      </c>
      <c r="G866" s="51">
        <f t="shared" si="41"/>
        <v>779594.01350400003</v>
      </c>
      <c r="H866" s="52">
        <f>$K$3*D866</f>
        <v>12263675.899882492</v>
      </c>
    </row>
    <row r="867" spans="1:8" ht="13.8" x14ac:dyDescent="0.25">
      <c r="A867" s="41">
        <v>0.19516728624535315</v>
      </c>
      <c r="B867" s="41">
        <v>9787.1099563999996</v>
      </c>
      <c r="C867" s="41">
        <f>C866+(((A867+A866)/2)*(B867-B866))</f>
        <v>5608.1047021919603</v>
      </c>
      <c r="D867" s="51">
        <f t="shared" si="39"/>
        <v>49126997.191201575</v>
      </c>
      <c r="E867" s="54">
        <f t="shared" si="40"/>
        <v>4452061.3326803939</v>
      </c>
      <c r="F867" s="53">
        <f>$K$4*B867</f>
        <v>78296879.651199996</v>
      </c>
      <c r="G867" s="51">
        <f t="shared" si="41"/>
        <v>782968.79651200003</v>
      </c>
      <c r="H867" s="52">
        <f>$K$3*D867</f>
        <v>12281749.297800394</v>
      </c>
    </row>
    <row r="868" spans="1:8" ht="13.8" x14ac:dyDescent="0.25">
      <c r="A868" s="40">
        <v>0.19423791821561337</v>
      </c>
      <c r="B868" s="40">
        <v>9851.5833038000001</v>
      </c>
      <c r="C868" s="41">
        <f>C867+(((A868+A867)/2)*(B868-B867))</f>
        <v>5620.6578307052505</v>
      </c>
      <c r="D868" s="51">
        <f t="shared" si="39"/>
        <v>49236962.596977994</v>
      </c>
      <c r="E868" s="54">
        <f t="shared" si="40"/>
        <v>4427974.0062044999</v>
      </c>
      <c r="F868" s="53">
        <f>$K$4*B868</f>
        <v>78812666.430399999</v>
      </c>
      <c r="G868" s="51">
        <f t="shared" si="41"/>
        <v>788126.66430399998</v>
      </c>
      <c r="H868" s="52">
        <f>$K$3*D868</f>
        <v>12309240.649244498</v>
      </c>
    </row>
    <row r="869" spans="1:8" ht="13.8" x14ac:dyDescent="0.25">
      <c r="A869" s="41">
        <v>0.19330855018587362</v>
      </c>
      <c r="B869" s="41">
        <v>9896.7385703</v>
      </c>
      <c r="C869" s="41">
        <f>C868+(((A869+A868)/2)*(B869-B868))</f>
        <v>5629.4077127361516</v>
      </c>
      <c r="D869" s="51">
        <f t="shared" si="39"/>
        <v>49313611.563568681</v>
      </c>
      <c r="E869" s="54">
        <f t="shared" si="40"/>
        <v>4411012.0346521707</v>
      </c>
      <c r="F869" s="53">
        <f>$K$4*B869</f>
        <v>79173908.562399998</v>
      </c>
      <c r="G869" s="51">
        <f t="shared" si="41"/>
        <v>791739.08562400006</v>
      </c>
      <c r="H869" s="52">
        <f>$K$3*D869</f>
        <v>12328402.89089217</v>
      </c>
    </row>
    <row r="870" spans="1:8" ht="13.8" x14ac:dyDescent="0.25">
      <c r="A870" s="40">
        <v>0.19237918215613384</v>
      </c>
      <c r="B870" s="40">
        <v>9902.3206783000005</v>
      </c>
      <c r="C870" s="41">
        <f>C869+(((A870+A869)/2)*(B870-B869))</f>
        <v>5630.4841880242557</v>
      </c>
      <c r="D870" s="51">
        <f t="shared" si="39"/>
        <v>49323041.48709248</v>
      </c>
      <c r="E870" s="54">
        <f t="shared" si="40"/>
        <v>4408903.8291331204</v>
      </c>
      <c r="F870" s="53">
        <f>$K$4*B870</f>
        <v>79218565.426400006</v>
      </c>
      <c r="G870" s="51">
        <f t="shared" si="41"/>
        <v>792185.65426400013</v>
      </c>
      <c r="H870" s="52">
        <f>$K$3*D870</f>
        <v>12330760.37177312</v>
      </c>
    </row>
    <row r="871" spans="1:8" ht="13.8" x14ac:dyDescent="0.25">
      <c r="A871" s="41">
        <v>0.19144981412639406</v>
      </c>
      <c r="B871" s="41">
        <v>9947.8547307000008</v>
      </c>
      <c r="C871" s="41">
        <f>C870+(((A871+A870)/2)*(B871-B870))</f>
        <v>5639.2228328389401</v>
      </c>
      <c r="D871" s="51">
        <f t="shared" si="39"/>
        <v>49399592.015669115</v>
      </c>
      <c r="E871" s="54">
        <f t="shared" si="40"/>
        <v>4391614.2193572782</v>
      </c>
      <c r="F871" s="53">
        <f>$K$4*B871</f>
        <v>79582837.845600009</v>
      </c>
      <c r="G871" s="51">
        <f t="shared" si="41"/>
        <v>795828.37845600012</v>
      </c>
      <c r="H871" s="52">
        <f>$K$3*D871</f>
        <v>12349898.003917279</v>
      </c>
    </row>
    <row r="872" spans="1:8" ht="13.8" x14ac:dyDescent="0.25">
      <c r="A872" s="40">
        <v>0.19052044609665428</v>
      </c>
      <c r="B872" s="40">
        <v>9965.5579874999985</v>
      </c>
      <c r="C872" s="41">
        <f>C871+(((A872+A871)/2)*(B872-B871))</f>
        <v>5642.6038916422858</v>
      </c>
      <c r="D872" s="51">
        <f t="shared" si="39"/>
        <v>49429210.090786427</v>
      </c>
      <c r="E872" s="54">
        <f t="shared" si="40"/>
        <v>4384856.1326966072</v>
      </c>
      <c r="F872" s="53">
        <f>$K$4*B872</f>
        <v>79724463.899999991</v>
      </c>
      <c r="G872" s="51">
        <f t="shared" si="41"/>
        <v>797244.63899999997</v>
      </c>
      <c r="H872" s="52">
        <f>$K$3*D872</f>
        <v>12357302.522696607</v>
      </c>
    </row>
    <row r="873" spans="1:8" ht="13.8" x14ac:dyDescent="0.25">
      <c r="A873" s="41">
        <v>0.1895910780669145</v>
      </c>
      <c r="B873" s="41">
        <v>9976.3035454000019</v>
      </c>
      <c r="C873" s="41">
        <f>C872+(((A873+A872)/2)*(B873-B872))</f>
        <v>5644.6461468379648</v>
      </c>
      <c r="D873" s="51">
        <f t="shared" si="39"/>
        <v>49447100.246300571</v>
      </c>
      <c r="E873" s="54">
        <f t="shared" si="40"/>
        <v>4380732.225255141</v>
      </c>
      <c r="F873" s="53">
        <f>$K$4*B873</f>
        <v>79810428.363200009</v>
      </c>
      <c r="G873" s="51">
        <f t="shared" si="41"/>
        <v>798104.28363200009</v>
      </c>
      <c r="H873" s="52">
        <f>$K$3*D873</f>
        <v>12361775.061575143</v>
      </c>
    </row>
    <row r="874" spans="1:8" ht="13.8" x14ac:dyDescent="0.25">
      <c r="A874" s="40">
        <v>0.18866171003717472</v>
      </c>
      <c r="B874" s="40">
        <v>9986.690253499999</v>
      </c>
      <c r="C874" s="41">
        <f>C873+(((A874+A873)/2)*(B874-B873))</f>
        <v>5646.6105474869883</v>
      </c>
      <c r="D874" s="51">
        <f t="shared" si="39"/>
        <v>49464308.395986021</v>
      </c>
      <c r="E874" s="54">
        <f t="shared" si="40"/>
        <v>4376724.8961965069</v>
      </c>
      <c r="F874" s="53">
        <f>$K$4*B874</f>
        <v>79893522.027999997</v>
      </c>
      <c r="G874" s="51">
        <f t="shared" si="41"/>
        <v>798935.22028000001</v>
      </c>
      <c r="H874" s="52">
        <f>$K$3*D874</f>
        <v>12366077.098996505</v>
      </c>
    </row>
    <row r="875" spans="1:8" ht="13.8" x14ac:dyDescent="0.25">
      <c r="A875" s="41">
        <v>0.18773234200743494</v>
      </c>
      <c r="B875" s="41">
        <v>10013.364755300001</v>
      </c>
      <c r="C875" s="41">
        <f>C874+(((A875+A874)/2)*(B875-B874))</f>
        <v>5651.6306093963749</v>
      </c>
      <c r="D875" s="51">
        <f t="shared" si="39"/>
        <v>49508284.138312243</v>
      </c>
      <c r="E875" s="54">
        <f t="shared" si="40"/>
        <v>4366379.2303380612</v>
      </c>
      <c r="F875" s="53">
        <f>$K$4*B875</f>
        <v>80106918.042400002</v>
      </c>
      <c r="G875" s="51">
        <f t="shared" si="41"/>
        <v>801069.18042400002</v>
      </c>
      <c r="H875" s="52">
        <f>$K$3*D875</f>
        <v>12377071.034578061</v>
      </c>
    </row>
    <row r="876" spans="1:8" ht="13.8" x14ac:dyDescent="0.25">
      <c r="A876" s="40">
        <v>0.18680297397769516</v>
      </c>
      <c r="B876" s="40">
        <v>10017.890249999999</v>
      </c>
      <c r="C876" s="41">
        <f>C875+(((A876+A875)/2)*(B876-B875))</f>
        <v>5652.4780881901015</v>
      </c>
      <c r="D876" s="51">
        <f t="shared" si="39"/>
        <v>49515708.052545287</v>
      </c>
      <c r="E876" s="54">
        <f t="shared" si="40"/>
        <v>4364614.8131363224</v>
      </c>
      <c r="F876" s="53">
        <f>$K$4*B876</f>
        <v>80143121.999999985</v>
      </c>
      <c r="G876" s="51">
        <f t="shared" si="41"/>
        <v>801431.21999999986</v>
      </c>
      <c r="H876" s="52">
        <f>$K$3*D876</f>
        <v>12378927.013136322</v>
      </c>
    </row>
    <row r="877" spans="1:8" ht="13.8" x14ac:dyDescent="0.25">
      <c r="A877" s="41">
        <v>0.18587360594795538</v>
      </c>
      <c r="B877" s="41">
        <v>10044.684368400001</v>
      </c>
      <c r="C877" s="41">
        <f>C876+(((A877+A876)/2)*(B877-B876))</f>
        <v>5657.4708583938191</v>
      </c>
      <c r="D877" s="51">
        <f t="shared" si="39"/>
        <v>49559444.719529852</v>
      </c>
      <c r="E877" s="54">
        <f t="shared" si="40"/>
        <v>4354113.6851624623</v>
      </c>
      <c r="F877" s="53">
        <f>$K$4*B877</f>
        <v>80357474.947200015</v>
      </c>
      <c r="G877" s="51">
        <f t="shared" si="41"/>
        <v>803574.74947200017</v>
      </c>
      <c r="H877" s="52">
        <f>$K$3*D877</f>
        <v>12389861.179882463</v>
      </c>
    </row>
    <row r="878" spans="1:8" ht="13.8" x14ac:dyDescent="0.25">
      <c r="A878" s="40">
        <v>0.18494423791821563</v>
      </c>
      <c r="B878" s="40">
        <v>10063.763216100002</v>
      </c>
      <c r="C878" s="41">
        <f>C877+(((A878+A877)/2)*(B878-B877))</f>
        <v>5661.0082469776016</v>
      </c>
      <c r="D878" s="51">
        <f t="shared" si="39"/>
        <v>49590432.243523784</v>
      </c>
      <c r="E878" s="54">
        <f t="shared" si="40"/>
        <v>4346597.4880009443</v>
      </c>
      <c r="F878" s="53">
        <f>$K$4*B878</f>
        <v>80510105.728800014</v>
      </c>
      <c r="G878" s="51">
        <f t="shared" si="41"/>
        <v>805101.05728800013</v>
      </c>
      <c r="H878" s="52">
        <f>$K$3*D878</f>
        <v>12397608.060880946</v>
      </c>
    </row>
    <row r="879" spans="1:8" ht="13.8" x14ac:dyDescent="0.25">
      <c r="A879" s="41">
        <v>0.18401486988847585</v>
      </c>
      <c r="B879" s="41">
        <v>10186.330358900001</v>
      </c>
      <c r="C879" s="41">
        <f>C878+(((A879+A878)/2)*(B879-B878))</f>
        <v>5683.619378804553</v>
      </c>
      <c r="D879" s="51">
        <f t="shared" si="39"/>
        <v>49788505.758327886</v>
      </c>
      <c r="E879" s="54">
        <f t="shared" si="40"/>
        <v>4298062.1524619721</v>
      </c>
      <c r="F879" s="53">
        <f>$K$4*B879</f>
        <v>81490642.87120001</v>
      </c>
      <c r="G879" s="51">
        <f t="shared" si="41"/>
        <v>814906.42871200014</v>
      </c>
      <c r="H879" s="52">
        <f>$K$3*D879</f>
        <v>12447126.439581972</v>
      </c>
    </row>
    <row r="880" spans="1:8" ht="13.8" x14ac:dyDescent="0.25">
      <c r="A880" s="40">
        <v>0.18308550185873607</v>
      </c>
      <c r="B880" s="40">
        <v>10206.984158500003</v>
      </c>
      <c r="C880" s="41">
        <f>C879+(((A880+A879)/2)*(B880-B879))</f>
        <v>5687.4103875601295</v>
      </c>
      <c r="D880" s="51">
        <f t="shared" si="39"/>
        <v>49821714.995026737</v>
      </c>
      <c r="E880" s="54">
        <f t="shared" si="40"/>
        <v>4289841.4219566826</v>
      </c>
      <c r="F880" s="53">
        <f>$K$4*B880</f>
        <v>81655873.268000022</v>
      </c>
      <c r="G880" s="51">
        <f t="shared" si="41"/>
        <v>816558.73268000025</v>
      </c>
      <c r="H880" s="52">
        <f>$K$3*D880</f>
        <v>12455428.748756684</v>
      </c>
    </row>
    <row r="881" spans="1:8" ht="13.8" x14ac:dyDescent="0.25">
      <c r="A881" s="41">
        <v>0.18215613382899629</v>
      </c>
      <c r="B881" s="41">
        <v>10222.554252600001</v>
      </c>
      <c r="C881" s="41">
        <f>C880+(((A881+A880)/2)*(B881-B880))</f>
        <v>5690.2538108785766</v>
      </c>
      <c r="D881" s="51">
        <f t="shared" si="39"/>
        <v>49846623.383296326</v>
      </c>
      <c r="E881" s="54">
        <f t="shared" si="40"/>
        <v>4283612.4437440811</v>
      </c>
      <c r="F881" s="53">
        <f>$K$4*B881</f>
        <v>81780434.020800009</v>
      </c>
      <c r="G881" s="51">
        <f t="shared" si="41"/>
        <v>817804.34020800015</v>
      </c>
      <c r="H881" s="52">
        <f>$K$3*D881</f>
        <v>12461655.845824081</v>
      </c>
    </row>
    <row r="882" spans="1:8" ht="13.8" x14ac:dyDescent="0.25">
      <c r="A882" s="40">
        <v>0.18122676579925651</v>
      </c>
      <c r="B882" s="40">
        <v>10253.734313000001</v>
      </c>
      <c r="C882" s="41">
        <f>C881+(((A882+A881)/2)*(B882-B881))</f>
        <v>5695.9189612579448</v>
      </c>
      <c r="D882" s="51">
        <f t="shared" si="39"/>
        <v>49896250.100619599</v>
      </c>
      <c r="E882" s="54">
        <f t="shared" si="40"/>
        <v>4271075.0747549003</v>
      </c>
      <c r="F882" s="53">
        <f>$K$4*B882</f>
        <v>82029874.504000008</v>
      </c>
      <c r="G882" s="51">
        <f t="shared" si="41"/>
        <v>820298.74504000007</v>
      </c>
      <c r="H882" s="52">
        <f>$K$3*D882</f>
        <v>12474062.5251549</v>
      </c>
    </row>
    <row r="883" spans="1:8" ht="13.8" x14ac:dyDescent="0.25">
      <c r="A883" s="41">
        <v>0.18029739776951673</v>
      </c>
      <c r="B883" s="41">
        <v>10257.8810218</v>
      </c>
      <c r="C883" s="41">
        <f>C882+(((A883+A882)/2)*(B883-B882))</f>
        <v>5696.6685289731859</v>
      </c>
      <c r="D883" s="51">
        <f t="shared" si="39"/>
        <v>49902816.313805103</v>
      </c>
      <c r="E883" s="54">
        <f t="shared" si="40"/>
        <v>4269399.2610112755</v>
      </c>
      <c r="F883" s="53">
        <f>$K$4*B883</f>
        <v>82063048.174400002</v>
      </c>
      <c r="G883" s="51">
        <f t="shared" si="41"/>
        <v>820630.48174399999</v>
      </c>
      <c r="H883" s="52">
        <f>$K$3*D883</f>
        <v>12475704.078451276</v>
      </c>
    </row>
    <row r="884" spans="1:8" ht="13.8" x14ac:dyDescent="0.25">
      <c r="A884" s="40">
        <v>0.17936802973977695</v>
      </c>
      <c r="B884" s="40">
        <v>10294.643190199999</v>
      </c>
      <c r="C884" s="41">
        <f>C883+(((A884+A883)/2)*(B884-B883))</f>
        <v>5703.2795694800625</v>
      </c>
      <c r="D884" s="51">
        <f t="shared" si="39"/>
        <v>49960729.028645344</v>
      </c>
      <c r="E884" s="54">
        <f t="shared" si="40"/>
        <v>4254467.7050013375</v>
      </c>
      <c r="F884" s="53">
        <f>$K$4*B884</f>
        <v>82357145.521599993</v>
      </c>
      <c r="G884" s="51">
        <f t="shared" si="41"/>
        <v>823571.45521599997</v>
      </c>
      <c r="H884" s="52">
        <f>$K$3*D884</f>
        <v>12490182.257161336</v>
      </c>
    </row>
    <row r="885" spans="1:8" ht="13.8" x14ac:dyDescent="0.25">
      <c r="A885" s="41">
        <v>0.17843866171003717</v>
      </c>
      <c r="B885" s="41">
        <v>10335.631811800002</v>
      </c>
      <c r="C885" s="41">
        <f>C884+(((A885+A884)/2)*(B885-B884))</f>
        <v>5710.6125710209553</v>
      </c>
      <c r="D885" s="51">
        <f t="shared" si="39"/>
        <v>50024966.122143567</v>
      </c>
      <c r="E885" s="54">
        <f t="shared" si="40"/>
        <v>4237736.081095892</v>
      </c>
      <c r="F885" s="53">
        <f>$K$4*B885</f>
        <v>82685054.49440001</v>
      </c>
      <c r="G885" s="51">
        <f t="shared" si="41"/>
        <v>826850.54494400008</v>
      </c>
      <c r="H885" s="52">
        <f>$K$3*D885</f>
        <v>12506241.530535892</v>
      </c>
    </row>
    <row r="886" spans="1:8" ht="13.8" x14ac:dyDescent="0.25">
      <c r="A886" s="40">
        <v>0.17750929368029739</v>
      </c>
      <c r="B886" s="40">
        <v>10337.685230100002</v>
      </c>
      <c r="C886" s="41">
        <f>C885+(((A886+A885)/2)*(B886-B885))</f>
        <v>5710.9780260436783</v>
      </c>
      <c r="D886" s="51">
        <f t="shared" si="39"/>
        <v>50028167.50814262</v>
      </c>
      <c r="E886" s="54">
        <f t="shared" si="40"/>
        <v>4236893.6929556541</v>
      </c>
      <c r="F886" s="53">
        <f>$K$4*B886</f>
        <v>82701481.840800017</v>
      </c>
      <c r="G886" s="51">
        <f t="shared" si="41"/>
        <v>827014.81840800017</v>
      </c>
      <c r="H886" s="52">
        <f>$K$3*D886</f>
        <v>12507041.877035655</v>
      </c>
    </row>
    <row r="887" spans="1:8" ht="13.8" x14ac:dyDescent="0.25">
      <c r="A887" s="41">
        <v>0.17657992565055763</v>
      </c>
      <c r="B887" s="41">
        <v>10350.8031839</v>
      </c>
      <c r="C887" s="41">
        <f>C886+(((A887+A886)/2)*(B887-B886))</f>
        <v>5713.3004890538077</v>
      </c>
      <c r="D887" s="51">
        <f t="shared" si="39"/>
        <v>50048512.284111358</v>
      </c>
      <c r="E887" s="54">
        <f t="shared" si="40"/>
        <v>4231485.5239078403</v>
      </c>
      <c r="F887" s="53">
        <f>$K$4*B887</f>
        <v>82806425.471199989</v>
      </c>
      <c r="G887" s="51">
        <f t="shared" si="41"/>
        <v>828064.25471199991</v>
      </c>
      <c r="H887" s="52">
        <f>$K$3*D887</f>
        <v>12512128.07102784</v>
      </c>
    </row>
    <row r="888" spans="1:8" ht="13.8" x14ac:dyDescent="0.25">
      <c r="A888" s="40">
        <v>0.17565055762081785</v>
      </c>
      <c r="B888" s="40">
        <v>10386.0701448</v>
      </c>
      <c r="C888" s="41">
        <f>C887+(((A888+A887)/2)*(B888-B887))</f>
        <v>5719.5115383944676</v>
      </c>
      <c r="D888" s="51">
        <f t="shared" si="39"/>
        <v>50102921.076335534</v>
      </c>
      <c r="E888" s="54">
        <f t="shared" si="40"/>
        <v>4216874.1532438835</v>
      </c>
      <c r="F888" s="53">
        <f>$K$4*B888</f>
        <v>83088561.158399999</v>
      </c>
      <c r="G888" s="51">
        <f t="shared" si="41"/>
        <v>830885.61158400006</v>
      </c>
      <c r="H888" s="52">
        <f>$K$3*D888</f>
        <v>12525730.269083884</v>
      </c>
    </row>
    <row r="889" spans="1:8" ht="13.8" x14ac:dyDescent="0.25">
      <c r="A889" s="41">
        <v>0.17472118959107807</v>
      </c>
      <c r="B889" s="41">
        <v>10421.975060899998</v>
      </c>
      <c r="C889" s="41">
        <f>C888+(((A889+A888)/2)*(B889-B888))</f>
        <v>5725.8015724881943</v>
      </c>
      <c r="D889" s="51">
        <f t="shared" si="39"/>
        <v>50158021.774996579</v>
      </c>
      <c r="E889" s="54">
        <f t="shared" si="40"/>
        <v>4201925.3950291462</v>
      </c>
      <c r="F889" s="53">
        <f>$K$4*B889</f>
        <v>83375800.487199992</v>
      </c>
      <c r="G889" s="51">
        <f t="shared" si="41"/>
        <v>833758.00487199996</v>
      </c>
      <c r="H889" s="52">
        <f>$K$3*D889</f>
        <v>12539505.443749145</v>
      </c>
    </row>
    <row r="890" spans="1:8" ht="13.8" x14ac:dyDescent="0.25">
      <c r="A890" s="40">
        <v>0.17379182156133829</v>
      </c>
      <c r="B890" s="40">
        <v>10438.801129300002</v>
      </c>
      <c r="C890" s="41">
        <f>C889+(((A890+A889)/2)*(B890-B889))</f>
        <v>5728.7336243701648</v>
      </c>
      <c r="D890" s="51">
        <f t="shared" si="39"/>
        <v>50183706.549482644</v>
      </c>
      <c r="E890" s="54">
        <f t="shared" si="40"/>
        <v>4194885.7339306595</v>
      </c>
      <c r="F890" s="53">
        <f>$K$4*B890</f>
        <v>83510409.034400016</v>
      </c>
      <c r="G890" s="51">
        <f t="shared" si="41"/>
        <v>835104.09034400014</v>
      </c>
      <c r="H890" s="52">
        <f>$K$3*D890</f>
        <v>12545926.637370661</v>
      </c>
    </row>
    <row r="891" spans="1:8" ht="13.8" x14ac:dyDescent="0.25">
      <c r="A891" s="41">
        <v>0.17286245353159851</v>
      </c>
      <c r="B891" s="41">
        <v>10438.960618099998</v>
      </c>
      <c r="C891" s="41">
        <f>C890+(((A891+A890)/2)*(B891-B890))</f>
        <v>5728.7612681073388</v>
      </c>
      <c r="D891" s="51">
        <f t="shared" si="39"/>
        <v>50183948.708620295</v>
      </c>
      <c r="E891" s="54">
        <f t="shared" si="40"/>
        <v>4194818.6826750757</v>
      </c>
      <c r="F891" s="53">
        <f>$K$4*B891</f>
        <v>83511684.944799989</v>
      </c>
      <c r="G891" s="51">
        <f t="shared" si="41"/>
        <v>835116.84944799996</v>
      </c>
      <c r="H891" s="52">
        <f>$K$3*D891</f>
        <v>12545987.177155074</v>
      </c>
    </row>
    <row r="892" spans="1:8" ht="13.8" x14ac:dyDescent="0.25">
      <c r="A892" s="40">
        <v>0.17193308550185873</v>
      </c>
      <c r="B892" s="40">
        <v>10459.494801100001</v>
      </c>
      <c r="C892" s="41">
        <f>C891+(((A892+A891)/2)*(B892-B891))</f>
        <v>5732.3013154553873</v>
      </c>
      <c r="D892" s="51">
        <f t="shared" si="39"/>
        <v>50214959.52338919</v>
      </c>
      <c r="E892" s="54">
        <f t="shared" si="40"/>
        <v>4186144.0399672976</v>
      </c>
      <c r="F892" s="53">
        <f>$K$4*B892</f>
        <v>83675958.408800006</v>
      </c>
      <c r="G892" s="51">
        <f t="shared" si="41"/>
        <v>836759.58408800012</v>
      </c>
      <c r="H892" s="52">
        <f>$K$3*D892</f>
        <v>12553739.880847298</v>
      </c>
    </row>
    <row r="893" spans="1:8" ht="13.8" x14ac:dyDescent="0.25">
      <c r="A893" s="41">
        <v>0.17100371747211895</v>
      </c>
      <c r="B893" s="41">
        <v>10595.339386500002</v>
      </c>
      <c r="C893" s="41">
        <f>C892+(((A893+A892)/2)*(B893-B892))</f>
        <v>5755.5943693645877</v>
      </c>
      <c r="D893" s="51">
        <f t="shared" si="39"/>
        <v>50419006.675633781</v>
      </c>
      <c r="E893" s="54">
        <f t="shared" si="40"/>
        <v>4128480.159708445</v>
      </c>
      <c r="F893" s="53">
        <f>$K$4*B893</f>
        <v>84762715.092000008</v>
      </c>
      <c r="G893" s="51">
        <f t="shared" si="41"/>
        <v>847627.15092000004</v>
      </c>
      <c r="H893" s="52">
        <f>$K$3*D893</f>
        <v>12604751.668908445</v>
      </c>
    </row>
    <row r="894" spans="1:8" ht="13.8" x14ac:dyDescent="0.25">
      <c r="A894" s="40">
        <v>0.17007434944237917</v>
      </c>
      <c r="B894" s="40">
        <v>10602.635999100001</v>
      </c>
      <c r="C894" s="41">
        <f>C893+(((A894+A893)/2)*(B894-B893))</f>
        <v>5756.8387266249038</v>
      </c>
      <c r="D894" s="51">
        <f t="shared" si="39"/>
        <v>50429907.245234154</v>
      </c>
      <c r="E894" s="54">
        <f t="shared" si="40"/>
        <v>4125368.0120285377</v>
      </c>
      <c r="F894" s="53">
        <f>$K$4*B894</f>
        <v>84821087.992800012</v>
      </c>
      <c r="G894" s="51">
        <f t="shared" si="41"/>
        <v>848210.87992800015</v>
      </c>
      <c r="H894" s="52">
        <f>$K$3*D894</f>
        <v>12607476.811308539</v>
      </c>
    </row>
    <row r="895" spans="1:8" ht="13.8" x14ac:dyDescent="0.25">
      <c r="A895" s="41">
        <v>0.16914498141263939</v>
      </c>
      <c r="B895" s="41">
        <v>10603.533123600002</v>
      </c>
      <c r="C895" s="41">
        <f>C894+(((A895+A894)/2)*(B895-B894))</f>
        <v>5756.9908876111958</v>
      </c>
      <c r="D895" s="51">
        <f t="shared" si="39"/>
        <v>50431240.175474077</v>
      </c>
      <c r="E895" s="54">
        <f t="shared" si="40"/>
        <v>4124983.5449885186</v>
      </c>
      <c r="F895" s="53">
        <f>$K$4*B895</f>
        <v>84828264.988800019</v>
      </c>
      <c r="G895" s="51">
        <f t="shared" si="41"/>
        <v>848282.64988800022</v>
      </c>
      <c r="H895" s="52">
        <f>$K$3*D895</f>
        <v>12607810.043868519</v>
      </c>
    </row>
    <row r="896" spans="1:8" ht="13.8" x14ac:dyDescent="0.25">
      <c r="A896" s="40">
        <v>0.16821561338289961</v>
      </c>
      <c r="B896" s="40">
        <v>10641.810435600002</v>
      </c>
      <c r="C896" s="41">
        <f>C895+(((A896+A895)/2)*(B896-B895))</f>
        <v>5763.4475159829435</v>
      </c>
      <c r="D896" s="51">
        <f t="shared" si="39"/>
        <v>50487800.240010582</v>
      </c>
      <c r="E896" s="54">
        <f t="shared" si="40"/>
        <v>4108501.7115226453</v>
      </c>
      <c r="F896" s="53">
        <f>$K$4*B896</f>
        <v>85134483.484800011</v>
      </c>
      <c r="G896" s="51">
        <f t="shared" si="41"/>
        <v>851344.83484800009</v>
      </c>
      <c r="H896" s="52">
        <f>$K$3*D896</f>
        <v>12621950.060002645</v>
      </c>
    </row>
    <row r="897" spans="1:8" ht="13.8" x14ac:dyDescent="0.25">
      <c r="A897" s="41">
        <v>0.16728624535315986</v>
      </c>
      <c r="B897" s="41">
        <v>10641.9898605</v>
      </c>
      <c r="C897" s="41">
        <f>C896+(((A897+A896)/2)*(B897-B896))</f>
        <v>5763.4776146766699</v>
      </c>
      <c r="D897" s="51">
        <f t="shared" si="39"/>
        <v>50488063.904567629</v>
      </c>
      <c r="E897" s="54">
        <f t="shared" si="40"/>
        <v>4108424.0877419077</v>
      </c>
      <c r="F897" s="53">
        <f>$K$4*B897</f>
        <v>85135918.884000003</v>
      </c>
      <c r="G897" s="51">
        <f t="shared" si="41"/>
        <v>851359.18884000008</v>
      </c>
      <c r="H897" s="52">
        <f>$K$3*D897</f>
        <v>12622015.976141907</v>
      </c>
    </row>
    <row r="898" spans="1:8" ht="13.8" x14ac:dyDescent="0.25">
      <c r="A898" s="40">
        <v>0.16635687732342008</v>
      </c>
      <c r="B898" s="40">
        <v>10678.492859600001</v>
      </c>
      <c r="C898" s="41">
        <f>C897+(((A898+A897)/2)*(B898-B897))</f>
        <v>5769.567101980062</v>
      </c>
      <c r="D898" s="51">
        <f t="shared" si="39"/>
        <v>50541407.813345343</v>
      </c>
      <c r="E898" s="54">
        <f t="shared" si="40"/>
        <v>4092557.6656563366</v>
      </c>
      <c r="F898" s="53">
        <f>$K$4*B898</f>
        <v>85427942.876800001</v>
      </c>
      <c r="G898" s="51">
        <f t="shared" si="41"/>
        <v>854279.42876799998</v>
      </c>
      <c r="H898" s="52">
        <f>$K$3*D898</f>
        <v>12635351.953336336</v>
      </c>
    </row>
    <row r="899" spans="1:8" ht="13.8" x14ac:dyDescent="0.25">
      <c r="A899" s="41">
        <v>0.1654275092936803</v>
      </c>
      <c r="B899" s="41">
        <v>10682.081357600004</v>
      </c>
      <c r="C899" s="41">
        <f>C898+(((A899+A898)/2)*(B899-B898))</f>
        <v>5770.1624057839663</v>
      </c>
      <c r="D899" s="51">
        <f t="shared" ref="D899:D962" si="42">C899*24*365</f>
        <v>50546622.674667545</v>
      </c>
      <c r="E899" s="54">
        <f t="shared" ref="E899:E962" si="43">H899-G899-(F899*$K$5)</f>
        <v>4090990.5825868836</v>
      </c>
      <c r="F899" s="53">
        <f>$K$4*B899</f>
        <v>85456650.860800028</v>
      </c>
      <c r="G899" s="51">
        <f t="shared" ref="G899:G962" si="44">F899*0.01</f>
        <v>854566.50860800035</v>
      </c>
      <c r="H899" s="52">
        <f>$K$3*D899</f>
        <v>12636655.668666886</v>
      </c>
    </row>
    <row r="900" spans="1:8" ht="13.8" x14ac:dyDescent="0.25">
      <c r="A900" s="40">
        <v>0.16449814126394052</v>
      </c>
      <c r="B900" s="40">
        <v>10743.584226099998</v>
      </c>
      <c r="C900" s="41">
        <f>C899+(((A900+A899)/2)*(B900-B899))</f>
        <v>5780.3080927344763</v>
      </c>
      <c r="D900" s="51">
        <f t="shared" si="42"/>
        <v>50635498.892354004</v>
      </c>
      <c r="E900" s="54">
        <f t="shared" si="43"/>
        <v>4064007.3422085028</v>
      </c>
      <c r="F900" s="53">
        <f>$K$4*B900</f>
        <v>85948673.808799982</v>
      </c>
      <c r="G900" s="51">
        <f t="shared" si="44"/>
        <v>859486.73808799987</v>
      </c>
      <c r="H900" s="52">
        <f>$K$3*D900</f>
        <v>12658874.723088501</v>
      </c>
    </row>
    <row r="901" spans="1:8" ht="13.8" x14ac:dyDescent="0.25">
      <c r="A901" s="41">
        <v>0.16356877323420074</v>
      </c>
      <c r="B901" s="41">
        <v>10769.580900500001</v>
      </c>
      <c r="C901" s="41">
        <f>C900+(((A901+A900)/2)*(B901-B900))</f>
        <v>5784.572417113287</v>
      </c>
      <c r="D901" s="51">
        <f t="shared" si="42"/>
        <v>50672854.373912394</v>
      </c>
      <c r="E901" s="54">
        <f t="shared" si="43"/>
        <v>4052548.8730780985</v>
      </c>
      <c r="F901" s="53">
        <f>$K$4*B901</f>
        <v>86156647.204000011</v>
      </c>
      <c r="G901" s="51">
        <f t="shared" si="44"/>
        <v>861566.47204000014</v>
      </c>
      <c r="H901" s="52">
        <f>$K$3*D901</f>
        <v>12668213.593478099</v>
      </c>
    </row>
    <row r="902" spans="1:8" ht="13.8" x14ac:dyDescent="0.25">
      <c r="A902" s="40">
        <v>0.16263940520446096</v>
      </c>
      <c r="B902" s="40">
        <v>10793.962750799999</v>
      </c>
      <c r="C902" s="41">
        <f>C901+(((A902+A901)/2)*(B902-B901))</f>
        <v>5788.5491965999499</v>
      </c>
      <c r="D902" s="51">
        <f t="shared" si="42"/>
        <v>50707690.962215565</v>
      </c>
      <c r="E902" s="54">
        <f t="shared" si="43"/>
        <v>4041752.5399138927</v>
      </c>
      <c r="F902" s="53">
        <f>$K$4*B902</f>
        <v>86351702.006399989</v>
      </c>
      <c r="G902" s="51">
        <f t="shared" si="44"/>
        <v>863517.02006399992</v>
      </c>
      <c r="H902" s="52">
        <f>$K$3*D902</f>
        <v>12676922.740553891</v>
      </c>
    </row>
    <row r="903" spans="1:8" ht="13.8" x14ac:dyDescent="0.25">
      <c r="A903" s="41">
        <v>0.16171003717472118</v>
      </c>
      <c r="B903" s="41">
        <v>10811.984985200001</v>
      </c>
      <c r="C903" s="41">
        <f>C902+(((A903+A902)/2)*(B903-B902))</f>
        <v>5791.471947438984</v>
      </c>
      <c r="D903" s="51">
        <f t="shared" si="42"/>
        <v>50733294.259565495</v>
      </c>
      <c r="E903" s="54">
        <f t="shared" si="43"/>
        <v>4033735.5767313726</v>
      </c>
      <c r="F903" s="53">
        <f>$K$4*B903</f>
        <v>86495879.881600007</v>
      </c>
      <c r="G903" s="51">
        <f t="shared" si="44"/>
        <v>864958.79881600011</v>
      </c>
      <c r="H903" s="52">
        <f>$K$3*D903</f>
        <v>12683323.564891374</v>
      </c>
    </row>
    <row r="904" spans="1:8" ht="13.8" x14ac:dyDescent="0.25">
      <c r="A904" s="40">
        <v>0.1607806691449814</v>
      </c>
      <c r="B904" s="40">
        <v>10815.7927803</v>
      </c>
      <c r="C904" s="41">
        <f>C903+(((A904+A903)/2)*(B904-B903))</f>
        <v>5792.0859367046442</v>
      </c>
      <c r="D904" s="51">
        <f t="shared" si="42"/>
        <v>50738672.805532686</v>
      </c>
      <c r="E904" s="54">
        <f t="shared" si="43"/>
        <v>4032033.9771431712</v>
      </c>
      <c r="F904" s="53">
        <f>$K$4*B904</f>
        <v>86526342.242400005</v>
      </c>
      <c r="G904" s="51">
        <f t="shared" si="44"/>
        <v>865263.42242400011</v>
      </c>
      <c r="H904" s="52">
        <f>$K$3*D904</f>
        <v>12684668.201383172</v>
      </c>
    </row>
    <row r="905" spans="1:8" ht="13.8" x14ac:dyDescent="0.25">
      <c r="A905" s="41">
        <v>0.15985130111524162</v>
      </c>
      <c r="B905" s="41">
        <v>10858.077248399999</v>
      </c>
      <c r="C905" s="41">
        <f>C904+(((A905+A904)/2)*(B905-B904))</f>
        <v>5798.8648128637979</v>
      </c>
      <c r="D905" s="51">
        <f t="shared" si="42"/>
        <v>50798055.760686867</v>
      </c>
      <c r="E905" s="54">
        <f t="shared" si="43"/>
        <v>4013052.1414517174</v>
      </c>
      <c r="F905" s="53">
        <f>$K$4*B905</f>
        <v>86864617.987199992</v>
      </c>
      <c r="G905" s="51">
        <f t="shared" si="44"/>
        <v>868646.17987199989</v>
      </c>
      <c r="H905" s="52">
        <f>$K$3*D905</f>
        <v>12699513.940171717</v>
      </c>
    </row>
    <row r="906" spans="1:8" ht="13.8" x14ac:dyDescent="0.25">
      <c r="A906" s="40">
        <v>0.15892193308550187</v>
      </c>
      <c r="B906" s="40">
        <v>10868.244659399999</v>
      </c>
      <c r="C906" s="41">
        <f>C905+(((A906+A905)/2)*(B906-B905))</f>
        <v>5800.4853621077573</v>
      </c>
      <c r="D906" s="51">
        <f t="shared" si="42"/>
        <v>50812251.772063956</v>
      </c>
      <c r="E906" s="54">
        <f t="shared" si="43"/>
        <v>4008467.2154959887</v>
      </c>
      <c r="F906" s="53">
        <f>$K$4*B906</f>
        <v>86945957.275199994</v>
      </c>
      <c r="G906" s="51">
        <f t="shared" si="44"/>
        <v>869459.57275199995</v>
      </c>
      <c r="H906" s="52">
        <f>$K$3*D906</f>
        <v>12703062.943015989</v>
      </c>
    </row>
    <row r="907" spans="1:8" ht="13.8" x14ac:dyDescent="0.25">
      <c r="A907" s="41">
        <v>0.15799256505576209</v>
      </c>
      <c r="B907" s="41">
        <v>10890.413602600001</v>
      </c>
      <c r="C907" s="41">
        <f>C906+(((A907+A906)/2)*(B907-B906))</f>
        <v>5803.9981918620324</v>
      </c>
      <c r="D907" s="51">
        <f t="shared" si="42"/>
        <v>50843024.1607114</v>
      </c>
      <c r="E907" s="54">
        <f t="shared" si="43"/>
        <v>3998425.1580978502</v>
      </c>
      <c r="F907" s="53">
        <f>$K$4*B907</f>
        <v>87123308.820800006</v>
      </c>
      <c r="G907" s="51">
        <f t="shared" si="44"/>
        <v>871233.08820800006</v>
      </c>
      <c r="H907" s="52">
        <f>$K$3*D907</f>
        <v>12710756.04017785</v>
      </c>
    </row>
    <row r="908" spans="1:8" ht="13.8" x14ac:dyDescent="0.25">
      <c r="A908" s="40">
        <v>0.15706319702602231</v>
      </c>
      <c r="B908" s="40">
        <v>10901.338585400001</v>
      </c>
      <c r="C908" s="41">
        <f>C907+(((A908+A907)/2)*(B908-B907))</f>
        <v>5805.7191812529245</v>
      </c>
      <c r="D908" s="51">
        <f t="shared" si="42"/>
        <v>50858100.027775623</v>
      </c>
      <c r="E908" s="54">
        <f t="shared" si="43"/>
        <v>3993454.1386239063</v>
      </c>
      <c r="F908" s="53">
        <f>$K$4*B908</f>
        <v>87210708.683200002</v>
      </c>
      <c r="G908" s="51">
        <f t="shared" si="44"/>
        <v>872107.08683200006</v>
      </c>
      <c r="H908" s="52">
        <f>$K$3*D908</f>
        <v>12714525.006943906</v>
      </c>
    </row>
    <row r="909" spans="1:8" ht="13.8" x14ac:dyDescent="0.25">
      <c r="A909" s="41">
        <v>0.15613382899628253</v>
      </c>
      <c r="B909" s="41">
        <v>10935.509060800001</v>
      </c>
      <c r="C909" s="41">
        <f>C908+(((A909+A908)/2)*(B909-B908))</f>
        <v>5811.0702268894483</v>
      </c>
      <c r="D909" s="51">
        <f t="shared" si="42"/>
        <v>50904975.187551565</v>
      </c>
      <c r="E909" s="54">
        <f t="shared" si="43"/>
        <v>3977836.5482478905</v>
      </c>
      <c r="F909" s="53">
        <f>$K$4*B909</f>
        <v>87484072.486400008</v>
      </c>
      <c r="G909" s="51">
        <f t="shared" si="44"/>
        <v>874840.72486400011</v>
      </c>
      <c r="H909" s="52">
        <f>$K$3*D909</f>
        <v>12726243.796887891</v>
      </c>
    </row>
    <row r="910" spans="1:8" ht="13.8" x14ac:dyDescent="0.25">
      <c r="A910" s="40">
        <v>0.15520446096654275</v>
      </c>
      <c r="B910" s="40">
        <v>10991.928223800003</v>
      </c>
      <c r="C910" s="41">
        <f>C909+(((A910+A909)/2)*(B910-B909))</f>
        <v>5819.8529497542258</v>
      </c>
      <c r="D910" s="51">
        <f t="shared" si="42"/>
        <v>50981911.839847021</v>
      </c>
      <c r="E910" s="54">
        <f t="shared" si="43"/>
        <v>3951935.3809217522</v>
      </c>
      <c r="F910" s="53">
        <f>$K$4*B910</f>
        <v>87935425.790400028</v>
      </c>
      <c r="G910" s="51">
        <f t="shared" si="44"/>
        <v>879354.25790400035</v>
      </c>
      <c r="H910" s="52">
        <f>$K$3*D910</f>
        <v>12745477.959961755</v>
      </c>
    </row>
    <row r="911" spans="1:8" ht="13.8" x14ac:dyDescent="0.25">
      <c r="A911" s="41">
        <v>0.15427509293680297</v>
      </c>
      <c r="B911" s="41">
        <v>10993.343686900002</v>
      </c>
      <c r="C911" s="41">
        <f>C910+(((A911+A910)/2)*(B911-B910))</f>
        <v>5820.0719781986027</v>
      </c>
      <c r="D911" s="51">
        <f t="shared" si="42"/>
        <v>50983830.529019751</v>
      </c>
      <c r="E911" s="54">
        <f t="shared" si="43"/>
        <v>3951282.6827349365</v>
      </c>
      <c r="F911" s="53">
        <f>$K$4*B911</f>
        <v>87946749.495200008</v>
      </c>
      <c r="G911" s="51">
        <f t="shared" si="44"/>
        <v>879467.4949520001</v>
      </c>
      <c r="H911" s="52">
        <f>$K$3*D911</f>
        <v>12745957.632254938</v>
      </c>
    </row>
    <row r="912" spans="1:8" ht="13.8" x14ac:dyDescent="0.25">
      <c r="A912" s="40">
        <v>0.15334572490706319</v>
      </c>
      <c r="B912" s="40">
        <v>11028.112245300001</v>
      </c>
      <c r="C912" s="41">
        <f>C911+(((A912+A911)/2)*(B912-B911))</f>
        <v>5825.4197443837329</v>
      </c>
      <c r="D912" s="51">
        <f t="shared" si="42"/>
        <v>51030676.960801497</v>
      </c>
      <c r="E912" s="54">
        <f t="shared" si="43"/>
        <v>3935179.4439603752</v>
      </c>
      <c r="F912" s="53">
        <f>$K$4*B912</f>
        <v>88224897.962400004</v>
      </c>
      <c r="G912" s="51">
        <f t="shared" si="44"/>
        <v>882248.97962400003</v>
      </c>
      <c r="H912" s="52">
        <f>$K$3*D912</f>
        <v>12757669.240200374</v>
      </c>
    </row>
    <row r="913" spans="1:8" ht="13.8" x14ac:dyDescent="0.25">
      <c r="A913" s="41">
        <v>0.15241635687732341</v>
      </c>
      <c r="B913" s="41">
        <v>11067.984445300002</v>
      </c>
      <c r="C913" s="41">
        <f>C912+(((A913+A912)/2)*(B913-B912))</f>
        <v>5831.5154478223949</v>
      </c>
      <c r="D913" s="51">
        <f t="shared" si="42"/>
        <v>51084075.322924174</v>
      </c>
      <c r="E913" s="54">
        <f t="shared" si="43"/>
        <v>3916631.2744910428</v>
      </c>
      <c r="F913" s="53">
        <f>$K$4*B913</f>
        <v>88543875.562400013</v>
      </c>
      <c r="G913" s="51">
        <f t="shared" si="44"/>
        <v>885438.7556240001</v>
      </c>
      <c r="H913" s="52">
        <f>$K$3*D913</f>
        <v>12771018.830731044</v>
      </c>
    </row>
    <row r="914" spans="1:8" ht="13.8" x14ac:dyDescent="0.25">
      <c r="A914" s="40">
        <v>0.15148698884758363</v>
      </c>
      <c r="B914" s="40">
        <v>11141.1100601</v>
      </c>
      <c r="C914" s="41">
        <f>C913+(((A914+A913)/2)*(B914-B913))</f>
        <v>5842.6270073203495</v>
      </c>
      <c r="D914" s="51">
        <f t="shared" si="42"/>
        <v>51181412.584126264</v>
      </c>
      <c r="E914" s="54">
        <f t="shared" si="43"/>
        <v>3882465.0979515659</v>
      </c>
      <c r="F914" s="53">
        <f>$K$4*B914</f>
        <v>89128880.480800003</v>
      </c>
      <c r="G914" s="51">
        <f t="shared" si="44"/>
        <v>891288.8048080001</v>
      </c>
      <c r="H914" s="52">
        <f>$K$3*D914</f>
        <v>12795353.146031566</v>
      </c>
    </row>
    <row r="915" spans="1:8" ht="13.8" x14ac:dyDescent="0.25">
      <c r="A915" s="41">
        <v>0.15055762081784388</v>
      </c>
      <c r="B915" s="41">
        <v>11144.519133200001</v>
      </c>
      <c r="C915" s="41">
        <f>C914+(((A915+A914)/2)*(B915-B914))</f>
        <v>5843.1418533972546</v>
      </c>
      <c r="D915" s="51">
        <f t="shared" si="42"/>
        <v>51185922.63575995</v>
      </c>
      <c r="E915" s="54">
        <f t="shared" si="43"/>
        <v>3880865.3523799861</v>
      </c>
      <c r="F915" s="53">
        <f>$K$4*B915</f>
        <v>89156153.065600008</v>
      </c>
      <c r="G915" s="51">
        <f t="shared" si="44"/>
        <v>891561.53065600013</v>
      </c>
      <c r="H915" s="52">
        <f>$K$3*D915</f>
        <v>12796480.658939987</v>
      </c>
    </row>
    <row r="916" spans="1:8" ht="13.8" x14ac:dyDescent="0.25">
      <c r="A916" s="40">
        <v>0.1496282527881041</v>
      </c>
      <c r="B916" s="40">
        <v>11151.237598899999</v>
      </c>
      <c r="C916" s="41">
        <f>C915+(((A916+A915)/2)*(B916-B915))</f>
        <v>5844.1502476449778</v>
      </c>
      <c r="D916" s="51">
        <f t="shared" si="42"/>
        <v>51194756.169370003</v>
      </c>
      <c r="E916" s="54">
        <f t="shared" si="43"/>
        <v>3877698.9632225009</v>
      </c>
      <c r="F916" s="53">
        <f>$K$4*B916</f>
        <v>89209900.791199997</v>
      </c>
      <c r="G916" s="51">
        <f t="shared" si="44"/>
        <v>892099.00791199994</v>
      </c>
      <c r="H916" s="52">
        <f>$K$3*D916</f>
        <v>12798689.042342501</v>
      </c>
    </row>
    <row r="917" spans="1:8" ht="13.8" x14ac:dyDescent="0.25">
      <c r="A917" s="41">
        <v>0.14869888475836432</v>
      </c>
      <c r="B917" s="41">
        <v>11165.192868900001</v>
      </c>
      <c r="C917" s="41">
        <f>C916+(((A917+A916)/2)*(B917-B916))</f>
        <v>5846.2318655213721</v>
      </c>
      <c r="D917" s="51">
        <f t="shared" si="42"/>
        <v>51212991.141967222</v>
      </c>
      <c r="E917" s="54">
        <f t="shared" si="43"/>
        <v>3871093.4903718056</v>
      </c>
      <c r="F917" s="53">
        <f>$K$4*B917</f>
        <v>89321542.951200008</v>
      </c>
      <c r="G917" s="51">
        <f t="shared" si="44"/>
        <v>893215.42951200006</v>
      </c>
      <c r="H917" s="52">
        <f>$K$3*D917</f>
        <v>12803247.785491806</v>
      </c>
    </row>
    <row r="918" spans="1:8" ht="13.8" x14ac:dyDescent="0.25">
      <c r="A918" s="40">
        <v>0.14776951672862454</v>
      </c>
      <c r="B918" s="40">
        <v>11180.583538099998</v>
      </c>
      <c r="C918" s="41">
        <f>C917+(((A918+A917)/2)*(B918-B917))</f>
        <v>5848.5132890691411</v>
      </c>
      <c r="D918" s="51">
        <f t="shared" si="42"/>
        <v>51232976.412245676</v>
      </c>
      <c r="E918" s="54">
        <f t="shared" si="43"/>
        <v>3863777.2725814199</v>
      </c>
      <c r="F918" s="53">
        <f>$K$4*B918</f>
        <v>89444668.304799989</v>
      </c>
      <c r="G918" s="51">
        <f t="shared" si="44"/>
        <v>894446.68304799986</v>
      </c>
      <c r="H918" s="52">
        <f>$K$3*D918</f>
        <v>12808244.103061419</v>
      </c>
    </row>
    <row r="919" spans="1:8" ht="13.8" x14ac:dyDescent="0.25">
      <c r="A919" s="41">
        <v>0.14684014869888476</v>
      </c>
      <c r="B919" s="41">
        <v>11261.7234651</v>
      </c>
      <c r="C919" s="41">
        <f>C918+(((A919+A918)/2)*(B919-B918))</f>
        <v>5860.4655924422823</v>
      </c>
      <c r="D919" s="51">
        <f t="shared" si="42"/>
        <v>51337678.58979439</v>
      </c>
      <c r="E919" s="54">
        <f t="shared" si="43"/>
        <v>3825040.8753685979</v>
      </c>
      <c r="F919" s="53">
        <f>$K$4*B919</f>
        <v>90093787.720799997</v>
      </c>
      <c r="G919" s="51">
        <f t="shared" si="44"/>
        <v>900937.87720800005</v>
      </c>
      <c r="H919" s="52">
        <f>$K$3*D919</f>
        <v>12834419.647448597</v>
      </c>
    </row>
    <row r="920" spans="1:8" ht="13.8" x14ac:dyDescent="0.25">
      <c r="A920" s="40">
        <v>0.14591078066914498</v>
      </c>
      <c r="B920" s="40">
        <v>11263.896500000001</v>
      </c>
      <c r="C920" s="41">
        <f>C919+(((A920+A919)/2)*(B920-B919))</f>
        <v>5860.7836714355444</v>
      </c>
      <c r="D920" s="51">
        <f t="shared" si="42"/>
        <v>51340464.96177537</v>
      </c>
      <c r="E920" s="54">
        <f t="shared" si="43"/>
        <v>3823999.0404438423</v>
      </c>
      <c r="F920" s="53">
        <f>$K$4*B920</f>
        <v>90111172</v>
      </c>
      <c r="G920" s="51">
        <f t="shared" si="44"/>
        <v>901111.72</v>
      </c>
      <c r="H920" s="52">
        <f>$K$3*D920</f>
        <v>12835116.240443842</v>
      </c>
    </row>
    <row r="921" spans="1:8" ht="13.8" x14ac:dyDescent="0.25">
      <c r="A921" s="41">
        <v>0.1449814126394052</v>
      </c>
      <c r="B921" s="41">
        <v>11294.2193081</v>
      </c>
      <c r="C921" s="41">
        <f>C920+(((A921+A920)/2)*(B921-B920))</f>
        <v>5865.1940055132864</v>
      </c>
      <c r="D921" s="51">
        <f t="shared" si="42"/>
        <v>51379099.488296382</v>
      </c>
      <c r="E921" s="54">
        <f t="shared" si="43"/>
        <v>3809399.4255940951</v>
      </c>
      <c r="F921" s="53">
        <f>$K$4*B921</f>
        <v>90353754.4648</v>
      </c>
      <c r="G921" s="51">
        <f t="shared" si="44"/>
        <v>903537.54464800004</v>
      </c>
      <c r="H921" s="52">
        <f>$K$3*D921</f>
        <v>12844774.872074096</v>
      </c>
    </row>
    <row r="922" spans="1:8" ht="13.8" x14ac:dyDescent="0.25">
      <c r="A922" s="40">
        <v>0.14405204460966542</v>
      </c>
      <c r="B922" s="40">
        <v>11327.3730424</v>
      </c>
      <c r="C922" s="41">
        <f>C921+(((A922+A921)/2)*(B922-B921))</f>
        <v>5869.9852747360092</v>
      </c>
      <c r="D922" s="51">
        <f t="shared" si="42"/>
        <v>51421071.00668744</v>
      </c>
      <c r="E922" s="54">
        <f t="shared" si="43"/>
        <v>3793369.3177518602</v>
      </c>
      <c r="F922" s="53">
        <f>$K$4*B922</f>
        <v>90618984.339200005</v>
      </c>
      <c r="G922" s="51">
        <f t="shared" si="44"/>
        <v>906189.84339200007</v>
      </c>
      <c r="H922" s="52">
        <f>$K$3*D922</f>
        <v>12855267.75167186</v>
      </c>
    </row>
    <row r="923" spans="1:8" ht="13.8" x14ac:dyDescent="0.25">
      <c r="A923" s="41">
        <v>0.14312267657992564</v>
      </c>
      <c r="B923" s="41">
        <v>11329.067610900001</v>
      </c>
      <c r="C923" s="41">
        <f>C922+(((A923+A922)/2)*(B923-B922))</f>
        <v>5870.2285933542717</v>
      </c>
      <c r="D923" s="51">
        <f t="shared" si="42"/>
        <v>51423202.477783412</v>
      </c>
      <c r="E923" s="54">
        <f t="shared" si="43"/>
        <v>3792546.5307258517</v>
      </c>
      <c r="F923" s="53">
        <f>$K$4*B923</f>
        <v>90632540.887200013</v>
      </c>
      <c r="G923" s="51">
        <f t="shared" si="44"/>
        <v>906325.40887200017</v>
      </c>
      <c r="H923" s="52">
        <f>$K$3*D923</f>
        <v>12855800.619445853</v>
      </c>
    </row>
    <row r="924" spans="1:8" ht="13.8" x14ac:dyDescent="0.25">
      <c r="A924" s="40">
        <v>0.14219330855018589</v>
      </c>
      <c r="B924" s="40">
        <v>11355.363326799999</v>
      </c>
      <c r="C924" s="41">
        <f>C923+(((A924+A923)/2)*(B924-B923))</f>
        <v>5873.979887397626</v>
      </c>
      <c r="D924" s="51">
        <f t="shared" si="42"/>
        <v>51456063.813603207</v>
      </c>
      <c r="E924" s="54">
        <f t="shared" si="43"/>
        <v>3779725.2919608019</v>
      </c>
      <c r="F924" s="53">
        <f>$K$4*B924</f>
        <v>90842906.614399999</v>
      </c>
      <c r="G924" s="51">
        <f t="shared" si="44"/>
        <v>908429.06614400004</v>
      </c>
      <c r="H924" s="52">
        <f>$K$3*D924</f>
        <v>12864015.953400802</v>
      </c>
    </row>
    <row r="925" spans="1:8" ht="13.8" x14ac:dyDescent="0.25">
      <c r="A925" s="41">
        <v>0.14126394052044611</v>
      </c>
      <c r="B925" s="41">
        <v>11358.792336</v>
      </c>
      <c r="C925" s="41">
        <f>C924+(((A925+A924)/2)*(B925-B924))</f>
        <v>5874.4658761550609</v>
      </c>
      <c r="D925" s="51">
        <f t="shared" si="42"/>
        <v>51460321.075118333</v>
      </c>
      <c r="E925" s="54">
        <f t="shared" si="43"/>
        <v>3778046.3999795839</v>
      </c>
      <c r="F925" s="53">
        <f>$K$4*B925</f>
        <v>90870338.688000008</v>
      </c>
      <c r="G925" s="51">
        <f t="shared" si="44"/>
        <v>908703.38688000012</v>
      </c>
      <c r="H925" s="52">
        <f>$K$3*D925</f>
        <v>12865080.268779583</v>
      </c>
    </row>
    <row r="926" spans="1:8" ht="13.8" x14ac:dyDescent="0.25">
      <c r="A926" s="40">
        <v>0.14033457249070633</v>
      </c>
      <c r="B926" s="40">
        <v>11425.837440300002</v>
      </c>
      <c r="C926" s="41">
        <f>C925+(((A926+A925)/2)*(B926-B925))</f>
        <v>5883.9057769928395</v>
      </c>
      <c r="D926" s="51">
        <f t="shared" si="42"/>
        <v>51543014.606457271</v>
      </c>
      <c r="E926" s="54">
        <f t="shared" si="43"/>
        <v>3745083.6993743163</v>
      </c>
      <c r="F926" s="53">
        <f>$K$4*B926</f>
        <v>91406699.522400007</v>
      </c>
      <c r="G926" s="51">
        <f t="shared" si="44"/>
        <v>914066.99522400007</v>
      </c>
      <c r="H926" s="52">
        <f>$K$3*D926</f>
        <v>12885753.651614318</v>
      </c>
    </row>
    <row r="927" spans="1:8" ht="13.8" x14ac:dyDescent="0.25">
      <c r="A927" s="41">
        <v>0.13940520446096655</v>
      </c>
      <c r="B927" s="41">
        <v>11430.921145800001</v>
      </c>
      <c r="C927" s="41">
        <f>C926+(((A927+A926)/2)*(B927-B926))</f>
        <v>5884.616834314168</v>
      </c>
      <c r="D927" s="51">
        <f t="shared" si="42"/>
        <v>51549243.468592107</v>
      </c>
      <c r="E927" s="54">
        <f t="shared" si="43"/>
        <v>3742573.9505080283</v>
      </c>
      <c r="F927" s="53">
        <f>$K$4*B927</f>
        <v>91447369.1664</v>
      </c>
      <c r="G927" s="51">
        <f t="shared" si="44"/>
        <v>914473.69166400004</v>
      </c>
      <c r="H927" s="52">
        <f>$K$3*D927</f>
        <v>12887310.867148027</v>
      </c>
    </row>
    <row r="928" spans="1:8" ht="13.8" x14ac:dyDescent="0.25">
      <c r="A928" s="40">
        <v>0.13847583643122677</v>
      </c>
      <c r="B928" s="40">
        <v>11438.7959053</v>
      </c>
      <c r="C928" s="41">
        <f>C927+(((A928+A927)/2)*(B928-B927))</f>
        <v>5885.7109574974857</v>
      </c>
      <c r="D928" s="51">
        <f t="shared" si="42"/>
        <v>51558827.987677976</v>
      </c>
      <c r="E928" s="54">
        <f t="shared" si="43"/>
        <v>3738670.2726794956</v>
      </c>
      <c r="F928" s="53">
        <f>$K$4*B928</f>
        <v>91510367.242399991</v>
      </c>
      <c r="G928" s="51">
        <f t="shared" si="44"/>
        <v>915103.67242399987</v>
      </c>
      <c r="H928" s="52">
        <f>$K$3*D928</f>
        <v>12889706.996919494</v>
      </c>
    </row>
    <row r="929" spans="1:8" ht="13.8" x14ac:dyDescent="0.25">
      <c r="A929" s="41">
        <v>0.13754646840148699</v>
      </c>
      <c r="B929" s="41">
        <v>11513.855321800002</v>
      </c>
      <c r="C929" s="41">
        <f>C928+(((A929+A928)/2)*(B929-B928))</f>
        <v>5896.0699940683498</v>
      </c>
      <c r="D929" s="51">
        <f t="shared" si="42"/>
        <v>51649573.148038752</v>
      </c>
      <c r="E929" s="54">
        <f t="shared" si="43"/>
        <v>3701309.0295696873</v>
      </c>
      <c r="F929" s="53">
        <f>$K$4*B929</f>
        <v>92110842.574400008</v>
      </c>
      <c r="G929" s="51">
        <f t="shared" si="44"/>
        <v>921108.42574400012</v>
      </c>
      <c r="H929" s="52">
        <f>$K$3*D929</f>
        <v>12912393.287009688</v>
      </c>
    </row>
    <row r="930" spans="1:8" ht="13.8" x14ac:dyDescent="0.25">
      <c r="A930" s="40">
        <v>0.13661710037174721</v>
      </c>
      <c r="B930" s="40">
        <v>11521.470912000001</v>
      </c>
      <c r="C930" s="41">
        <f>C929+(((A930+A929)/2)*(B930-B929))</f>
        <v>5897.1139527621226</v>
      </c>
      <c r="D930" s="51">
        <f t="shared" si="42"/>
        <v>51658718.226196192</v>
      </c>
      <c r="E930" s="54">
        <f t="shared" si="43"/>
        <v>3697502.8269490479</v>
      </c>
      <c r="F930" s="53">
        <f>$K$4*B930</f>
        <v>92171767.296000004</v>
      </c>
      <c r="G930" s="51">
        <f t="shared" si="44"/>
        <v>921717.67296000011</v>
      </c>
      <c r="H930" s="52">
        <f>$K$3*D930</f>
        <v>12914679.556549048</v>
      </c>
    </row>
    <row r="931" spans="1:8" ht="13.8" x14ac:dyDescent="0.25">
      <c r="A931" s="41">
        <v>0.13568773234200743</v>
      </c>
      <c r="B931" s="41">
        <v>11538.516277500003</v>
      </c>
      <c r="C931" s="41">
        <f>C930+(((A931+A930)/2)*(B931-B930))</f>
        <v>5899.4347204626338</v>
      </c>
      <c r="D931" s="51">
        <f t="shared" si="42"/>
        <v>51679048.15125268</v>
      </c>
      <c r="E931" s="54">
        <f t="shared" si="43"/>
        <v>3688949.0158131681</v>
      </c>
      <c r="F931" s="53">
        <f>$K$4*B931</f>
        <v>92308130.220000014</v>
      </c>
      <c r="G931" s="51">
        <f t="shared" si="44"/>
        <v>923081.30220000015</v>
      </c>
      <c r="H931" s="52">
        <f>$K$3*D931</f>
        <v>12919762.03781317</v>
      </c>
    </row>
    <row r="932" spans="1:8" ht="13.8" x14ac:dyDescent="0.25">
      <c r="A932" s="40">
        <v>0.13475836431226765</v>
      </c>
      <c r="B932" s="40">
        <v>11585.047134899998</v>
      </c>
      <c r="C932" s="41">
        <f>C931+(((A932+A931)/2)*(B932-B931))</f>
        <v>5905.7267648415364</v>
      </c>
      <c r="D932" s="51">
        <f t="shared" si="42"/>
        <v>51734166.460011855</v>
      </c>
      <c r="E932" s="54">
        <f t="shared" si="43"/>
        <v>3665503.9070829656</v>
      </c>
      <c r="F932" s="53">
        <f>$K$4*B932</f>
        <v>92680377.079199985</v>
      </c>
      <c r="G932" s="51">
        <f t="shared" si="44"/>
        <v>926803.77079199988</v>
      </c>
      <c r="H932" s="52">
        <f>$K$3*D932</f>
        <v>12933541.615002964</v>
      </c>
    </row>
    <row r="933" spans="1:8" ht="13.8" x14ac:dyDescent="0.25">
      <c r="A933" s="41">
        <v>0.13382899628252787</v>
      </c>
      <c r="B933" s="41">
        <v>11601.913075500002</v>
      </c>
      <c r="C933" s="41">
        <f>C932+(((A933+A932)/2)*(B933-B932))</f>
        <v>5907.9917540763881</v>
      </c>
      <c r="D933" s="51">
        <f t="shared" si="42"/>
        <v>51754007.765709154</v>
      </c>
      <c r="E933" s="54">
        <f t="shared" si="43"/>
        <v>3656971.4810272865</v>
      </c>
      <c r="F933" s="53">
        <f>$K$4*B933</f>
        <v>92815304.604000017</v>
      </c>
      <c r="G933" s="51">
        <f t="shared" si="44"/>
        <v>928153.04604000016</v>
      </c>
      <c r="H933" s="52">
        <f>$K$3*D933</f>
        <v>12938501.941427289</v>
      </c>
    </row>
    <row r="934" spans="1:8" ht="13.8" x14ac:dyDescent="0.25">
      <c r="A934" s="40">
        <v>0.13289962825278812</v>
      </c>
      <c r="B934" s="40">
        <v>11605.561381800002</v>
      </c>
      <c r="C934" s="41">
        <f>C933+(((A934+A933)/2)*(B934-B933))</f>
        <v>5908.4783079370291</v>
      </c>
      <c r="D934" s="51">
        <f t="shared" si="42"/>
        <v>51758269.977528378</v>
      </c>
      <c r="E934" s="54">
        <f t="shared" si="43"/>
        <v>3655118.3889420936</v>
      </c>
      <c r="F934" s="53">
        <f>$K$4*B934</f>
        <v>92844491.054400012</v>
      </c>
      <c r="G934" s="51">
        <f t="shared" si="44"/>
        <v>928444.9105440001</v>
      </c>
      <c r="H934" s="52">
        <f>$K$3*D934</f>
        <v>12939567.494382095</v>
      </c>
    </row>
    <row r="935" spans="1:8" ht="13.8" x14ac:dyDescent="0.25">
      <c r="A935" s="41">
        <v>0.13197026022304834</v>
      </c>
      <c r="B935" s="41">
        <v>11618.320485799999</v>
      </c>
      <c r="C935" s="41">
        <f>C934+(((A935+A934)/2)*(B935-B934))</f>
        <v>5910.1680591637942</v>
      </c>
      <c r="D935" s="51">
        <f t="shared" si="42"/>
        <v>51773072.198274843</v>
      </c>
      <c r="E935" s="54">
        <f t="shared" si="43"/>
        <v>3648611.6609287122</v>
      </c>
      <c r="F935" s="53">
        <f>$K$4*B935</f>
        <v>92946563.886399999</v>
      </c>
      <c r="G935" s="51">
        <f t="shared" si="44"/>
        <v>929465.63886399998</v>
      </c>
      <c r="H935" s="52">
        <f>$K$3*D935</f>
        <v>12943268.049568711</v>
      </c>
    </row>
    <row r="936" spans="1:8" ht="13.8" x14ac:dyDescent="0.25">
      <c r="A936" s="40">
        <v>0.13104089219330856</v>
      </c>
      <c r="B936" s="40">
        <v>11627.7701972</v>
      </c>
      <c r="C936" s="41">
        <f>C935+(((A936+A935)/2)*(B936-B935))</f>
        <v>5911.4107489064527</v>
      </c>
      <c r="D936" s="51">
        <f t="shared" si="42"/>
        <v>51783958.16042053</v>
      </c>
      <c r="E936" s="54">
        <f t="shared" si="43"/>
        <v>3643773.3823451316</v>
      </c>
      <c r="F936" s="53">
        <f>$K$4*B936</f>
        <v>93022161.577600002</v>
      </c>
      <c r="G936" s="51">
        <f t="shared" si="44"/>
        <v>930221.61577600008</v>
      </c>
      <c r="H936" s="52">
        <f>$K$3*D936</f>
        <v>12945989.540105132</v>
      </c>
    </row>
    <row r="937" spans="1:8" ht="13.8" x14ac:dyDescent="0.25">
      <c r="A937" s="41">
        <v>0.13011152416356878</v>
      </c>
      <c r="B937" s="41">
        <v>11691.525845</v>
      </c>
      <c r="C937" s="41">
        <f>C936+(((A937+A936)/2)*(B937-B936))</f>
        <v>5919.7357196461371</v>
      </c>
      <c r="D937" s="51">
        <f t="shared" si="42"/>
        <v>51856884.904100157</v>
      </c>
      <c r="E937" s="54">
        <f t="shared" si="43"/>
        <v>3611000.5500250384</v>
      </c>
      <c r="F937" s="53">
        <f>$K$4*B937</f>
        <v>93532206.760000005</v>
      </c>
      <c r="G937" s="51">
        <f t="shared" si="44"/>
        <v>935322.06760000007</v>
      </c>
      <c r="H937" s="52">
        <f>$K$3*D937</f>
        <v>12964221.226025039</v>
      </c>
    </row>
    <row r="938" spans="1:8" ht="13.8" x14ac:dyDescent="0.25">
      <c r="A938" s="40">
        <v>0.129182156133829</v>
      </c>
      <c r="B938" s="40">
        <v>11697.406994499999</v>
      </c>
      <c r="C938" s="41">
        <f>C937+(((A938+A937)/2)*(B938-B937))</f>
        <v>5920.4981920952541</v>
      </c>
      <c r="D938" s="51">
        <f t="shared" si="42"/>
        <v>51863564.162754424</v>
      </c>
      <c r="E938" s="54">
        <f t="shared" si="43"/>
        <v>3607965.4450886063</v>
      </c>
      <c r="F938" s="53">
        <f>$K$4*B938</f>
        <v>93579255.956</v>
      </c>
      <c r="G938" s="51">
        <f t="shared" si="44"/>
        <v>935792.55955999997</v>
      </c>
      <c r="H938" s="52">
        <f>$K$3*D938</f>
        <v>12965891.040688606</v>
      </c>
    </row>
    <row r="939" spans="1:8" ht="13.8" x14ac:dyDescent="0.25">
      <c r="A939" s="41">
        <v>0.12825278810408922</v>
      </c>
      <c r="B939" s="41">
        <v>11736.242517300001</v>
      </c>
      <c r="C939" s="41">
        <f>C938+(((A939+A938)/2)*(B939-B938))</f>
        <v>5925.4970024184886</v>
      </c>
      <c r="D939" s="51">
        <f t="shared" si="42"/>
        <v>51907353.741185963</v>
      </c>
      <c r="E939" s="54">
        <f t="shared" si="43"/>
        <v>3587844.4214564916</v>
      </c>
      <c r="F939" s="53">
        <f>$K$4*B939</f>
        <v>93889940.138400003</v>
      </c>
      <c r="G939" s="51">
        <f t="shared" si="44"/>
        <v>938899.40138400008</v>
      </c>
      <c r="H939" s="52">
        <f>$K$3*D939</f>
        <v>12976838.435296491</v>
      </c>
    </row>
    <row r="940" spans="1:8" ht="13.8" x14ac:dyDescent="0.25">
      <c r="A940" s="40">
        <v>0.12732342007434944</v>
      </c>
      <c r="B940" s="40">
        <v>11883.231382600001</v>
      </c>
      <c r="C940" s="41">
        <f>C939+(((A940+A939)/2)*(B940-B939))</f>
        <v>5944.2804308374016</v>
      </c>
      <c r="D940" s="51">
        <f t="shared" si="42"/>
        <v>52071896.574135631</v>
      </c>
      <c r="E940" s="54">
        <f t="shared" si="43"/>
        <v>3511389.0374539066</v>
      </c>
      <c r="F940" s="53">
        <f>$K$4*B940</f>
        <v>95065851.060800001</v>
      </c>
      <c r="G940" s="51">
        <f t="shared" si="44"/>
        <v>950658.51060799998</v>
      </c>
      <c r="H940" s="52">
        <f>$K$3*D940</f>
        <v>13017974.143533908</v>
      </c>
    </row>
    <row r="941" spans="1:8" ht="13.8" x14ac:dyDescent="0.25">
      <c r="A941" s="41">
        <v>0.12639405204460966</v>
      </c>
      <c r="B941" s="41">
        <v>11901.572594600002</v>
      </c>
      <c r="C941" s="41">
        <f>C940+(((A941+A940)/2)*(B941-B940))</f>
        <v>5946.6071738095206</v>
      </c>
      <c r="D941" s="51">
        <f t="shared" si="42"/>
        <v>52092278.8425714</v>
      </c>
      <c r="E941" s="54">
        <f t="shared" si="43"/>
        <v>3501811.6349628493</v>
      </c>
      <c r="F941" s="53">
        <f>$K$4*B941</f>
        <v>95212580.756800011</v>
      </c>
      <c r="G941" s="51">
        <f t="shared" si="44"/>
        <v>952125.80756800016</v>
      </c>
      <c r="H941" s="52">
        <f>$K$3*D941</f>
        <v>13023069.71064285</v>
      </c>
    </row>
    <row r="942" spans="1:8" ht="13.8" x14ac:dyDescent="0.25">
      <c r="A942" s="40">
        <v>0.12546468401486988</v>
      </c>
      <c r="B942" s="40">
        <v>11927.7088217</v>
      </c>
      <c r="C942" s="41">
        <f>C941+(((A942+A941)/2)*(B942-B941))</f>
        <v>5949.8984923709049</v>
      </c>
      <c r="D942" s="51">
        <f t="shared" si="42"/>
        <v>52121110.793169118</v>
      </c>
      <c r="E942" s="54">
        <f t="shared" si="43"/>
        <v>3488110.6409322806</v>
      </c>
      <c r="F942" s="53">
        <f>$K$4*B942</f>
        <v>95421670.573599994</v>
      </c>
      <c r="G942" s="51">
        <f t="shared" si="44"/>
        <v>954216.70573599997</v>
      </c>
      <c r="H942" s="52">
        <f>$K$3*D942</f>
        <v>13030277.69829228</v>
      </c>
    </row>
    <row r="943" spans="1:8" ht="13.8" x14ac:dyDescent="0.25">
      <c r="A943" s="41">
        <v>0.12453531598513011</v>
      </c>
      <c r="B943" s="41">
        <v>12014.291304000002</v>
      </c>
      <c r="C943" s="41">
        <f>C942+(((A943+A942)/2)*(B943-B942))</f>
        <v>5960.721302658405</v>
      </c>
      <c r="D943" s="51">
        <f t="shared" si="42"/>
        <v>52215918.611287624</v>
      </c>
      <c r="E943" s="54">
        <f t="shared" si="43"/>
        <v>3442546.6096219048</v>
      </c>
      <c r="F943" s="53">
        <f>$K$4*B943</f>
        <v>96114330.432000011</v>
      </c>
      <c r="G943" s="51">
        <f t="shared" si="44"/>
        <v>961143.30432000011</v>
      </c>
      <c r="H943" s="52">
        <f>$K$3*D943</f>
        <v>13053979.652821906</v>
      </c>
    </row>
    <row r="944" spans="1:8" ht="13.8" x14ac:dyDescent="0.25">
      <c r="A944" s="40">
        <v>0.12360594795539033</v>
      </c>
      <c r="B944" s="40">
        <v>12039.091812400002</v>
      </c>
      <c r="C944" s="41">
        <f>C943+(((A944+A943)/2)*(B944-B943))</f>
        <v>5963.7983174087767</v>
      </c>
      <c r="D944" s="51">
        <f t="shared" si="42"/>
        <v>52242873.260500878</v>
      </c>
      <c r="E944" s="54">
        <f t="shared" si="43"/>
        <v>3429444.8652052172</v>
      </c>
      <c r="F944" s="53">
        <f>$K$4*B944</f>
        <v>96312734.499200016</v>
      </c>
      <c r="G944" s="51">
        <f t="shared" si="44"/>
        <v>963127.34499200014</v>
      </c>
      <c r="H944" s="52">
        <f>$K$3*D944</f>
        <v>13060718.31512522</v>
      </c>
    </row>
    <row r="945" spans="1:8" ht="13.8" x14ac:dyDescent="0.25">
      <c r="A945" s="41">
        <v>0.12267657992565056</v>
      </c>
      <c r="B945" s="41">
        <v>12063.194557299999</v>
      </c>
      <c r="C945" s="41">
        <f>C944+(((A945+A944)/2)*(B945-B944))</f>
        <v>5966.7663598801983</v>
      </c>
      <c r="D945" s="51">
        <f t="shared" si="42"/>
        <v>52268873.312550537</v>
      </c>
      <c r="E945" s="54">
        <f t="shared" si="43"/>
        <v>3416662.6822976358</v>
      </c>
      <c r="F945" s="53">
        <f>$K$4*B945</f>
        <v>96505556.458399996</v>
      </c>
      <c r="G945" s="51">
        <f t="shared" si="44"/>
        <v>965055.56458400004</v>
      </c>
      <c r="H945" s="52">
        <f>$K$3*D945</f>
        <v>13067218.328137634</v>
      </c>
    </row>
    <row r="946" spans="1:8" ht="13.8" x14ac:dyDescent="0.25">
      <c r="A946" s="40">
        <v>0.12174721189591078</v>
      </c>
      <c r="B946" s="40">
        <v>12098.321965499999</v>
      </c>
      <c r="C946" s="41">
        <f>C945+(((A946+A945)/2)*(B946-B945))</f>
        <v>5971.0593470347521</v>
      </c>
      <c r="D946" s="51">
        <f t="shared" si="42"/>
        <v>52306479.880024426</v>
      </c>
      <c r="E946" s="54">
        <f t="shared" si="43"/>
        <v>3397962.3976061083</v>
      </c>
      <c r="F946" s="53">
        <f>$K$4*B946</f>
        <v>96786575.723999992</v>
      </c>
      <c r="G946" s="51">
        <f t="shared" si="44"/>
        <v>967865.75723999995</v>
      </c>
      <c r="H946" s="52">
        <f>$K$3*D946</f>
        <v>13076619.970006106</v>
      </c>
    </row>
    <row r="947" spans="1:8" ht="13.8" x14ac:dyDescent="0.25">
      <c r="A947" s="41">
        <v>0.120817843866171</v>
      </c>
      <c r="B947" s="41">
        <v>12131.4358276</v>
      </c>
      <c r="C947" s="41">
        <f>C946+(((A947+A946)/2)*(B947-B946))</f>
        <v>5975.0754799381448</v>
      </c>
      <c r="D947" s="51">
        <f t="shared" si="42"/>
        <v>52341661.204258144</v>
      </c>
      <c r="E947" s="54">
        <f t="shared" si="43"/>
        <v>3380266.6389845368</v>
      </c>
      <c r="F947" s="53">
        <f>$K$4*B947</f>
        <v>97051486.620800003</v>
      </c>
      <c r="G947" s="51">
        <f t="shared" si="44"/>
        <v>970514.86620800011</v>
      </c>
      <c r="H947" s="52">
        <f>$K$3*D947</f>
        <v>13085415.301064536</v>
      </c>
    </row>
    <row r="948" spans="1:8" ht="13.8" x14ac:dyDescent="0.25">
      <c r="A948" s="40">
        <v>0.11988847583643122</v>
      </c>
      <c r="B948" s="40">
        <v>12166.583171900002</v>
      </c>
      <c r="C948" s="41">
        <f>C947+(((A948+A947)/2)*(B948-B947))</f>
        <v>5979.3055738850317</v>
      </c>
      <c r="D948" s="51">
        <f t="shared" si="42"/>
        <v>52378716.827232882</v>
      </c>
      <c r="E948" s="54">
        <f t="shared" si="43"/>
        <v>3361412.669288218</v>
      </c>
      <c r="F948" s="53">
        <f>$K$4*B948</f>
        <v>97332665.375200018</v>
      </c>
      <c r="G948" s="51">
        <f t="shared" si="44"/>
        <v>973326.65375200019</v>
      </c>
      <c r="H948" s="52">
        <f>$K$3*D948</f>
        <v>13094679.206808221</v>
      </c>
    </row>
    <row r="949" spans="1:8" ht="13.8" x14ac:dyDescent="0.25">
      <c r="A949" s="41">
        <v>0.11895910780669144</v>
      </c>
      <c r="B949" s="41">
        <v>12171.766557900002</v>
      </c>
      <c r="C949" s="41">
        <f>C948+(((A949+A948)/2)*(B949-B948))</f>
        <v>5979.9245934956261</v>
      </c>
      <c r="D949" s="51">
        <f t="shared" si="42"/>
        <v>52384139.439021684</v>
      </c>
      <c r="E949" s="54">
        <f t="shared" si="43"/>
        <v>3358621.6134354193</v>
      </c>
      <c r="F949" s="53">
        <f>$K$4*B949</f>
        <v>97374132.463200018</v>
      </c>
      <c r="G949" s="51">
        <f t="shared" si="44"/>
        <v>973741.32463200018</v>
      </c>
      <c r="H949" s="52">
        <f>$K$3*D949</f>
        <v>13096034.859755421</v>
      </c>
    </row>
    <row r="950" spans="1:8" ht="13.8" x14ac:dyDescent="0.25">
      <c r="A950" s="40">
        <v>0.11802973977695168</v>
      </c>
      <c r="B950" s="40">
        <v>12215.785466700001</v>
      </c>
      <c r="C950" s="41">
        <f>C949+(((A950+A949)/2)*(B950-B949))</f>
        <v>5985.140588729827</v>
      </c>
      <c r="D950" s="51">
        <f t="shared" si="42"/>
        <v>52429831.557273284</v>
      </c>
      <c r="E950" s="54">
        <f t="shared" si="43"/>
        <v>3334829.5159583203</v>
      </c>
      <c r="F950" s="53">
        <f>$K$4*B950</f>
        <v>97726283.733600006</v>
      </c>
      <c r="G950" s="51">
        <f t="shared" si="44"/>
        <v>977262.83733600006</v>
      </c>
      <c r="H950" s="52">
        <f>$K$3*D950</f>
        <v>13107457.889318321</v>
      </c>
    </row>
    <row r="951" spans="1:8" ht="13.8" x14ac:dyDescent="0.25">
      <c r="A951" s="41">
        <v>0.1171003717472119</v>
      </c>
      <c r="B951" s="41">
        <v>12240.566039000001</v>
      </c>
      <c r="C951" s="41">
        <f>C950+(((A951+A950)/2)*(B951-B950))</f>
        <v>5988.0539180940932</v>
      </c>
      <c r="D951" s="51">
        <f t="shared" si="42"/>
        <v>52455352.322504252</v>
      </c>
      <c r="E951" s="54">
        <f t="shared" si="43"/>
        <v>3321385.2494260613</v>
      </c>
      <c r="F951" s="53">
        <f>$K$4*B951</f>
        <v>97924528.312000006</v>
      </c>
      <c r="G951" s="51">
        <f t="shared" si="44"/>
        <v>979245.28312000004</v>
      </c>
      <c r="H951" s="52">
        <f>$K$3*D951</f>
        <v>13113838.080626063</v>
      </c>
    </row>
    <row r="952" spans="1:8" ht="13.8" x14ac:dyDescent="0.25">
      <c r="A952" s="40">
        <v>0.11617100371747212</v>
      </c>
      <c r="B952" s="40">
        <v>12262.914407100001</v>
      </c>
      <c r="C952" s="41">
        <f>C951+(((A952+A951)/2)*(B952-B951))</f>
        <v>5990.660535377132</v>
      </c>
      <c r="D952" s="51">
        <f t="shared" si="42"/>
        <v>52478186.289903678</v>
      </c>
      <c r="E952" s="54">
        <f t="shared" si="43"/>
        <v>3309215.0467959195</v>
      </c>
      <c r="F952" s="53">
        <f>$K$4*B952</f>
        <v>98103315.256800011</v>
      </c>
      <c r="G952" s="51">
        <f t="shared" si="44"/>
        <v>981033.15256800014</v>
      </c>
      <c r="H952" s="52">
        <f>$K$3*D952</f>
        <v>13119546.572475919</v>
      </c>
    </row>
    <row r="953" spans="1:8" ht="13.8" x14ac:dyDescent="0.25">
      <c r="A953" s="41">
        <v>0.11524163568773234</v>
      </c>
      <c r="B953" s="41">
        <v>12291.642327200001</v>
      </c>
      <c r="C953" s="41">
        <f>C952+(((A953+A952)/2)*(B953-B952))</f>
        <v>5993.984537284613</v>
      </c>
      <c r="D953" s="51">
        <f t="shared" si="42"/>
        <v>52507304.546613209</v>
      </c>
      <c r="E953" s="54">
        <f t="shared" si="43"/>
        <v>3293512.2748933025</v>
      </c>
      <c r="F953" s="53">
        <f>$K$4*B953</f>
        <v>98333138.617600009</v>
      </c>
      <c r="G953" s="51">
        <f t="shared" si="44"/>
        <v>983331.38617600012</v>
      </c>
      <c r="H953" s="52">
        <f>$K$3*D953</f>
        <v>13126826.136653302</v>
      </c>
    </row>
    <row r="954" spans="1:8" ht="13.8" x14ac:dyDescent="0.25">
      <c r="A954" s="40">
        <v>0.11431226765799256</v>
      </c>
      <c r="B954" s="40">
        <v>12345.1109474</v>
      </c>
      <c r="C954" s="41">
        <f>C953+(((A954+A953)/2)*(B954-B953))</f>
        <v>6000.1215025213232</v>
      </c>
      <c r="D954" s="51">
        <f t="shared" si="42"/>
        <v>52561064.362086788</v>
      </c>
      <c r="E954" s="54">
        <f t="shared" si="43"/>
        <v>3264177.3326016963</v>
      </c>
      <c r="F954" s="53">
        <f>$K$4*B954</f>
        <v>98760887.5792</v>
      </c>
      <c r="G954" s="51">
        <f t="shared" si="44"/>
        <v>987608.87579199998</v>
      </c>
      <c r="H954" s="52">
        <f>$K$3*D954</f>
        <v>13140266.090521697</v>
      </c>
    </row>
    <row r="955" spans="1:8" ht="13.8" x14ac:dyDescent="0.25">
      <c r="A955" s="41">
        <v>0.11338289962825279</v>
      </c>
      <c r="B955" s="41">
        <v>12464.0696561</v>
      </c>
      <c r="C955" s="41">
        <f>C954+(((A955+A954)/2)*(B955-B954))</f>
        <v>6013.6646640601248</v>
      </c>
      <c r="D955" s="51">
        <f t="shared" si="42"/>
        <v>52679702.457166694</v>
      </c>
      <c r="E955" s="54">
        <f t="shared" si="43"/>
        <v>3198669.8894116729</v>
      </c>
      <c r="F955" s="53">
        <f>$K$4*B955</f>
        <v>99712557.248800009</v>
      </c>
      <c r="G955" s="51">
        <f t="shared" si="44"/>
        <v>997125.57248800015</v>
      </c>
      <c r="H955" s="52">
        <f>$K$3*D955</f>
        <v>13169925.614291674</v>
      </c>
    </row>
    <row r="956" spans="1:8" ht="13.8" x14ac:dyDescent="0.25">
      <c r="A956" s="40">
        <v>0.11245353159851301</v>
      </c>
      <c r="B956" s="40">
        <v>12469.831188999999</v>
      </c>
      <c r="C956" s="41">
        <f>C955+(((A956+A955)/2)*(B956-B955))</f>
        <v>6014.3152460743904</v>
      </c>
      <c r="D956" s="51">
        <f t="shared" si="42"/>
        <v>52685401.555611655</v>
      </c>
      <c r="E956" s="54">
        <f t="shared" si="43"/>
        <v>3195485.4377029147</v>
      </c>
      <c r="F956" s="53">
        <f>$K$4*B956</f>
        <v>99758649.511999995</v>
      </c>
      <c r="G956" s="51">
        <f t="shared" si="44"/>
        <v>997586.49511999998</v>
      </c>
      <c r="H956" s="52">
        <f>$K$3*D956</f>
        <v>13171350.388902914</v>
      </c>
    </row>
    <row r="957" spans="1:8" ht="13.8" x14ac:dyDescent="0.25">
      <c r="A957" s="41">
        <v>0.11152416356877323</v>
      </c>
      <c r="B957" s="41">
        <v>12507.530354100001</v>
      </c>
      <c r="C957" s="41">
        <f>C956+(((A957+A956)/2)*(B957-B956))</f>
        <v>6018.5371321288048</v>
      </c>
      <c r="D957" s="51">
        <f t="shared" si="42"/>
        <v>52722385.277448334</v>
      </c>
      <c r="E957" s="54">
        <f t="shared" si="43"/>
        <v>3174572.0360820815</v>
      </c>
      <c r="F957" s="53">
        <f>$K$4*B957</f>
        <v>100060242.83280002</v>
      </c>
      <c r="G957" s="51">
        <f t="shared" si="44"/>
        <v>1000602.4283280001</v>
      </c>
      <c r="H957" s="52">
        <f>$K$3*D957</f>
        <v>13180596.319362083</v>
      </c>
    </row>
    <row r="958" spans="1:8" ht="13.8" x14ac:dyDescent="0.25">
      <c r="A958" s="40">
        <v>0.11059479553903345</v>
      </c>
      <c r="B958" s="40">
        <v>12635.799221500001</v>
      </c>
      <c r="C958" s="41">
        <f>C957+(((A958+A957)/2)*(B958-B957))</f>
        <v>6032.7826057852171</v>
      </c>
      <c r="D958" s="51">
        <f t="shared" si="42"/>
        <v>52847175.626678497</v>
      </c>
      <c r="E958" s="54">
        <f t="shared" si="43"/>
        <v>3103154.5294696223</v>
      </c>
      <c r="F958" s="53">
        <f>$K$4*B958</f>
        <v>101086393.77200001</v>
      </c>
      <c r="G958" s="51">
        <f t="shared" si="44"/>
        <v>1010863.9377200002</v>
      </c>
      <c r="H958" s="52">
        <f>$K$3*D958</f>
        <v>13211793.906669624</v>
      </c>
    </row>
    <row r="959" spans="1:8" ht="13.8" x14ac:dyDescent="0.25">
      <c r="A959" s="41">
        <v>0.10966542750929369</v>
      </c>
      <c r="B959" s="41">
        <v>12659.224139</v>
      </c>
      <c r="C959" s="41">
        <f>C958+(((A959+A958)/2)*(B959-B958))</f>
        <v>6035.3623945619365</v>
      </c>
      <c r="D959" s="51">
        <f t="shared" si="42"/>
        <v>52869774.576362565</v>
      </c>
      <c r="E959" s="54">
        <f t="shared" si="43"/>
        <v>3090064.3328906409</v>
      </c>
      <c r="F959" s="53">
        <f>$K$4*B959</f>
        <v>101273793.112</v>
      </c>
      <c r="G959" s="51">
        <f t="shared" si="44"/>
        <v>1012737.9311200001</v>
      </c>
      <c r="H959" s="52">
        <f>$K$3*D959</f>
        <v>13217443.644090641</v>
      </c>
    </row>
    <row r="960" spans="1:8" ht="13.8" x14ac:dyDescent="0.25">
      <c r="A960" s="40">
        <v>0.10873605947955391</v>
      </c>
      <c r="B960" s="40">
        <v>12823.776708400002</v>
      </c>
      <c r="C960" s="41">
        <f>C959+(((A960+A959)/2)*(B960-B959))</f>
        <v>6053.3316574843348</v>
      </c>
      <c r="D960" s="51">
        <f t="shared" si="42"/>
        <v>53027185.319562778</v>
      </c>
      <c r="E960" s="54">
        <f t="shared" si="43"/>
        <v>2997774.9631706942</v>
      </c>
      <c r="F960" s="53">
        <f>$K$4*B960</f>
        <v>102590213.66720001</v>
      </c>
      <c r="G960" s="51">
        <f t="shared" si="44"/>
        <v>1025902.1366720002</v>
      </c>
      <c r="H960" s="52">
        <f>$K$3*D960</f>
        <v>13256796.329890694</v>
      </c>
    </row>
    <row r="961" spans="1:8" ht="13.8" x14ac:dyDescent="0.25">
      <c r="A961" s="41">
        <v>0.10780669144981413</v>
      </c>
      <c r="B961" s="41">
        <v>12847.201625900003</v>
      </c>
      <c r="C961" s="41">
        <f>C960+(((A961+A960)/2)*(B961-B960))</f>
        <v>6055.8679055222065</v>
      </c>
      <c r="D961" s="51">
        <f t="shared" si="42"/>
        <v>53049402.852374531</v>
      </c>
      <c r="E961" s="54">
        <f t="shared" si="43"/>
        <v>2984589.4123736322</v>
      </c>
      <c r="F961" s="53">
        <f>$K$4*B961</f>
        <v>102777613.00720002</v>
      </c>
      <c r="G961" s="51">
        <f t="shared" si="44"/>
        <v>1027776.1300720002</v>
      </c>
      <c r="H961" s="52">
        <f>$K$3*D961</f>
        <v>13262350.713093633</v>
      </c>
    </row>
    <row r="962" spans="1:8" ht="13.8" x14ac:dyDescent="0.25">
      <c r="A962" s="40">
        <v>0.10687732342007435</v>
      </c>
      <c r="B962" s="40">
        <v>12855.694404500002</v>
      </c>
      <c r="C962" s="41">
        <f>C961+(((A962+A961)/2)*(B962-B961))</f>
        <v>6056.7795374258312</v>
      </c>
      <c r="D962" s="51">
        <f t="shared" si="42"/>
        <v>53057388.747850284</v>
      </c>
      <c r="E962" s="54">
        <f t="shared" si="43"/>
        <v>2979791.6633625701</v>
      </c>
      <c r="F962" s="53">
        <f>$K$4*B962</f>
        <v>102845555.23600002</v>
      </c>
      <c r="G962" s="51">
        <f t="shared" si="44"/>
        <v>1028455.5523600002</v>
      </c>
      <c r="H962" s="52">
        <f>$K$3*D962</f>
        <v>13264347.186962571</v>
      </c>
    </row>
    <row r="963" spans="1:8" ht="13.8" x14ac:dyDescent="0.25">
      <c r="A963" s="41">
        <v>0.10594795539033457</v>
      </c>
      <c r="B963" s="41">
        <v>12879.896829900004</v>
      </c>
      <c r="C963" s="41">
        <f>C962+(((A963+A962)/2)*(B963-B962))</f>
        <v>6059.3549813926529</v>
      </c>
      <c r="D963" s="51">
        <f t="shared" ref="D963:D1026" si="45">C963*24*365</f>
        <v>53079949.636999644</v>
      </c>
      <c r="E963" s="54">
        <f t="shared" ref="E963:E1026" si="46">H963-G963-(F963*$K$5)</f>
        <v>2966069.9453299083</v>
      </c>
      <c r="F963" s="53">
        <f>$K$4*B963</f>
        <v>103039174.63920003</v>
      </c>
      <c r="G963" s="51">
        <f t="shared" ref="G963:G1026" si="47">F963*0.01</f>
        <v>1030391.7463920004</v>
      </c>
      <c r="H963" s="52">
        <f>$K$3*D963</f>
        <v>13269987.409249911</v>
      </c>
    </row>
    <row r="964" spans="1:8" ht="13.8" x14ac:dyDescent="0.25">
      <c r="A964" s="40">
        <v>0.1050185873605948</v>
      </c>
      <c r="B964" s="40">
        <v>12900.590501700002</v>
      </c>
      <c r="C964" s="41">
        <f>C963+(((A964+A963)/2)*(B964-B963))</f>
        <v>6061.5378175908872</v>
      </c>
      <c r="D964" s="51">
        <f t="shared" si="45"/>
        <v>53099071.28209617</v>
      </c>
      <c r="E964" s="54">
        <f t="shared" si="46"/>
        <v>2954295.4191640411</v>
      </c>
      <c r="F964" s="53">
        <f>$K$4*B964</f>
        <v>103204724.01360002</v>
      </c>
      <c r="G964" s="51">
        <f t="shared" si="47"/>
        <v>1032047.2401360002</v>
      </c>
      <c r="H964" s="52">
        <f>$K$3*D964</f>
        <v>13274767.820524042</v>
      </c>
    </row>
    <row r="965" spans="1:8" ht="13.8" x14ac:dyDescent="0.25">
      <c r="A965" s="41">
        <v>0.10408921933085502</v>
      </c>
      <c r="B965" s="41">
        <v>12929.0193803</v>
      </c>
      <c r="C965" s="41">
        <f>C964+(((A965+A964)/2)*(B965-B964))</f>
        <v>6064.5101678162591</v>
      </c>
      <c r="D965" s="51">
        <f t="shared" si="45"/>
        <v>53125109.070070423</v>
      </c>
      <c r="E965" s="54">
        <f t="shared" si="46"/>
        <v>2938061.7632776052</v>
      </c>
      <c r="F965" s="53">
        <f>$K$4*B965</f>
        <v>103432155.0424</v>
      </c>
      <c r="G965" s="51">
        <f t="shared" si="47"/>
        <v>1034321.550424</v>
      </c>
      <c r="H965" s="52">
        <f>$K$3*D965</f>
        <v>13281277.267517606</v>
      </c>
    </row>
    <row r="966" spans="1:8" ht="13.8" x14ac:dyDescent="0.25">
      <c r="A966" s="40">
        <v>0.10315985130111524</v>
      </c>
      <c r="B966" s="40">
        <v>12943.253755699996</v>
      </c>
      <c r="C966" s="41">
        <f>C965+(((A966+A965)/2)*(B966-B965))</f>
        <v>6065.9851983525969</v>
      </c>
      <c r="D966" s="51">
        <f t="shared" si="45"/>
        <v>53138030.337568752</v>
      </c>
      <c r="E966" s="54">
        <f t="shared" si="46"/>
        <v>2929904.5798321906</v>
      </c>
      <c r="F966" s="53">
        <f>$K$4*B966</f>
        <v>103546030.04559997</v>
      </c>
      <c r="G966" s="51">
        <f t="shared" si="47"/>
        <v>1035460.3004559997</v>
      </c>
      <c r="H966" s="52">
        <f>$K$3*D966</f>
        <v>13284507.584392188</v>
      </c>
    </row>
    <row r="967" spans="1:8" ht="13.8" x14ac:dyDescent="0.25">
      <c r="A967" s="41">
        <v>0.10223048327137546</v>
      </c>
      <c r="B967" s="41">
        <v>12972.500014400001</v>
      </c>
      <c r="C967" s="41">
        <f>C966+(((A967+A966)/2)*(B967-B966))</f>
        <v>6068.9886477822911</v>
      </c>
      <c r="D967" s="51">
        <f t="shared" si="45"/>
        <v>53164340.554572873</v>
      </c>
      <c r="E967" s="54">
        <f t="shared" si="46"/>
        <v>2913085.1271232199</v>
      </c>
      <c r="F967" s="53">
        <f>$K$4*B967</f>
        <v>103780000.1152</v>
      </c>
      <c r="G967" s="51">
        <f t="shared" si="47"/>
        <v>1037800.001152</v>
      </c>
      <c r="H967" s="52">
        <f>$K$3*D967</f>
        <v>13291085.138643218</v>
      </c>
    </row>
    <row r="968" spans="1:8" ht="13.8" x14ac:dyDescent="0.25">
      <c r="A968" s="40">
        <v>0.10130111524163568</v>
      </c>
      <c r="B968" s="40">
        <v>13076.486712</v>
      </c>
      <c r="C968" s="41">
        <f>C967+(((A968+A967)/2)*(B968-B967))</f>
        <v>6079.5709371755993</v>
      </c>
      <c r="D968" s="51">
        <f t="shared" si="45"/>
        <v>53257041.409658253</v>
      </c>
      <c r="E968" s="54">
        <f t="shared" si="46"/>
        <v>2853070.9828145634</v>
      </c>
      <c r="F968" s="53">
        <f>$K$4*B968</f>
        <v>104611893.69599999</v>
      </c>
      <c r="G968" s="51">
        <f t="shared" si="47"/>
        <v>1046118.93696</v>
      </c>
      <c r="H968" s="52">
        <f>$K$3*D968</f>
        <v>13314260.352414563</v>
      </c>
    </row>
    <row r="969" spans="1:8" ht="13.8" x14ac:dyDescent="0.25">
      <c r="A969" s="41">
        <v>0.10037174721189591</v>
      </c>
      <c r="B969" s="41">
        <v>13136.354820300003</v>
      </c>
      <c r="C969" s="41">
        <f>C968+(((A969+A968)/2)*(B969-B968))</f>
        <v>6085.6078235608693</v>
      </c>
      <c r="D969" s="51">
        <f t="shared" si="45"/>
        <v>53309924.534393214</v>
      </c>
      <c r="E969" s="54">
        <f t="shared" si="46"/>
        <v>2818397.277358301</v>
      </c>
      <c r="F969" s="53">
        <f>$K$4*B969</f>
        <v>105090838.56240003</v>
      </c>
      <c r="G969" s="51">
        <f t="shared" si="47"/>
        <v>1050908.3856240003</v>
      </c>
      <c r="H969" s="52">
        <f>$K$3*D969</f>
        <v>13327481.133598303</v>
      </c>
    </row>
    <row r="970" spans="1:8" ht="13.8" x14ac:dyDescent="0.25">
      <c r="A970" s="40">
        <v>9.9442379182156135E-2</v>
      </c>
      <c r="B970" s="40">
        <v>13228.240305199999</v>
      </c>
      <c r="C970" s="41">
        <f>C969+(((A970+A969)/2)*(B970-B969))</f>
        <v>6094.7878325076626</v>
      </c>
      <c r="D970" s="51">
        <f t="shared" si="45"/>
        <v>53390341.41276712</v>
      </c>
      <c r="E970" s="54">
        <f t="shared" si="46"/>
        <v>2764993.1090317797</v>
      </c>
      <c r="F970" s="53">
        <f>$K$4*B970</f>
        <v>105825922.44159999</v>
      </c>
      <c r="G970" s="51">
        <f t="shared" si="47"/>
        <v>1058259.2244160001</v>
      </c>
      <c r="H970" s="52">
        <f>$K$3*D970</f>
        <v>13347585.35319178</v>
      </c>
    </row>
    <row r="971" spans="1:8" ht="13.8" x14ac:dyDescent="0.25">
      <c r="A971" s="41">
        <v>9.8513011152416355E-2</v>
      </c>
      <c r="B971" s="41">
        <v>13233.862285399999</v>
      </c>
      <c r="C971" s="41">
        <f>C970+(((A971+A970)/2)*(B971-B970))</f>
        <v>6095.3442831501343</v>
      </c>
      <c r="D971" s="51">
        <f t="shared" si="45"/>
        <v>53395215.920395173</v>
      </c>
      <c r="E971" s="54">
        <f t="shared" si="46"/>
        <v>2761714.1517787948</v>
      </c>
      <c r="F971" s="53">
        <f>$K$4*B971</f>
        <v>105870898.2832</v>
      </c>
      <c r="G971" s="51">
        <f t="shared" si="47"/>
        <v>1058708.9828319999</v>
      </c>
      <c r="H971" s="52">
        <f>$K$3*D971</f>
        <v>13348803.980098793</v>
      </c>
    </row>
    <row r="972" spans="1:8" ht="13.8" x14ac:dyDescent="0.25">
      <c r="A972" s="40">
        <v>9.7583643122676575E-2</v>
      </c>
      <c r="B972" s="40">
        <v>13367.793005200001</v>
      </c>
      <c r="C972" s="41">
        <f>C971+(((A972+A971)/2)*(B972-B971))</f>
        <v>6108.4759661788521</v>
      </c>
      <c r="D972" s="51">
        <f t="shared" si="45"/>
        <v>53510249.463726744</v>
      </c>
      <c r="E972" s="54">
        <f t="shared" si="46"/>
        <v>2683327.9617716856</v>
      </c>
      <c r="F972" s="53">
        <f>$K$4*B972</f>
        <v>106942344.0416</v>
      </c>
      <c r="G972" s="51">
        <f t="shared" si="47"/>
        <v>1069423.4404160001</v>
      </c>
      <c r="H972" s="52">
        <f>$K$3*D972</f>
        <v>13377562.365931686</v>
      </c>
    </row>
    <row r="973" spans="1:8" ht="13.8" x14ac:dyDescent="0.25">
      <c r="A973" s="41">
        <v>9.6654275092936809E-2</v>
      </c>
      <c r="B973" s="41">
        <v>13372.3184999</v>
      </c>
      <c r="C973" s="41">
        <f>C972+(((A973+A972)/2)*(B973-B972))</f>
        <v>6108.9154775135639</v>
      </c>
      <c r="D973" s="51">
        <f t="shared" si="45"/>
        <v>53514099.583018817</v>
      </c>
      <c r="E973" s="54">
        <f t="shared" si="46"/>
        <v>2680670.0958347041</v>
      </c>
      <c r="F973" s="53">
        <f>$K$4*B973</f>
        <v>106978547.9992</v>
      </c>
      <c r="G973" s="51">
        <f t="shared" si="47"/>
        <v>1069785.4799919999</v>
      </c>
      <c r="H973" s="52">
        <f>$K$3*D973</f>
        <v>13378524.895754704</v>
      </c>
    </row>
    <row r="974" spans="1:8" ht="13.8" x14ac:dyDescent="0.25">
      <c r="A974" s="40">
        <v>9.5724907063197029E-2</v>
      </c>
      <c r="B974" s="40">
        <v>13390.779328500001</v>
      </c>
      <c r="C974" s="41">
        <f>C973+(((A974+A973)/2)*(B974-B973))</f>
        <v>6110.6912170675605</v>
      </c>
      <c r="D974" s="51">
        <f t="shared" si="45"/>
        <v>53529655.061511829</v>
      </c>
      <c r="E974" s="54">
        <f t="shared" si="46"/>
        <v>2669790.3025779556</v>
      </c>
      <c r="F974" s="53">
        <f>$K$4*B974</f>
        <v>107126234.62800001</v>
      </c>
      <c r="G974" s="51">
        <f t="shared" si="47"/>
        <v>1071262.3462800002</v>
      </c>
      <c r="H974" s="52">
        <f>$K$3*D974</f>
        <v>13382413.765377957</v>
      </c>
    </row>
    <row r="975" spans="1:8" ht="13.8" x14ac:dyDescent="0.25">
      <c r="A975" s="41">
        <v>9.4795539033457249E-2</v>
      </c>
      <c r="B975" s="41">
        <v>13424.969739999999</v>
      </c>
      <c r="C975" s="41">
        <f>C974+(((A975+A974)/2)*(B975-B974))</f>
        <v>6113.9482032931646</v>
      </c>
      <c r="D975" s="51">
        <f t="shared" si="45"/>
        <v>53558186.260848127</v>
      </c>
      <c r="E975" s="54">
        <f t="shared" si="46"/>
        <v>2649570.7732120343</v>
      </c>
      <c r="F975" s="53">
        <f>$K$4*B975</f>
        <v>107399757.91999999</v>
      </c>
      <c r="G975" s="51">
        <f t="shared" si="47"/>
        <v>1073997.5791999998</v>
      </c>
      <c r="H975" s="52">
        <f>$K$3*D975</f>
        <v>13389546.565212032</v>
      </c>
    </row>
    <row r="976" spans="1:8" ht="13.8" x14ac:dyDescent="0.25">
      <c r="A976" s="40">
        <v>9.3866171003717469E-2</v>
      </c>
      <c r="B976" s="40">
        <v>13430.850889500003</v>
      </c>
      <c r="C976" s="41">
        <f>C975+(((A976+A975)/2)*(B976-B975))</f>
        <v>6114.5029771539921</v>
      </c>
      <c r="D976" s="51">
        <f t="shared" si="45"/>
        <v>53563046.079868972</v>
      </c>
      <c r="E976" s="54">
        <f t="shared" si="46"/>
        <v>2646080.8083672412</v>
      </c>
      <c r="F976" s="53">
        <f>$K$4*B976</f>
        <v>107446807.11600003</v>
      </c>
      <c r="G976" s="51">
        <f t="shared" si="47"/>
        <v>1074468.0711600003</v>
      </c>
      <c r="H976" s="52">
        <f>$K$3*D976</f>
        <v>13390761.519967243</v>
      </c>
    </row>
    <row r="977" spans="1:8" ht="13.8" x14ac:dyDescent="0.25">
      <c r="A977" s="41">
        <v>9.2936802973977689E-2</v>
      </c>
      <c r="B977" s="41">
        <v>13456.0102477</v>
      </c>
      <c r="C977" s="41">
        <f>C976+(((A977+A976)/2)*(B977-B976))</f>
        <v>6116.852898621557</v>
      </c>
      <c r="D977" s="51">
        <f t="shared" si="45"/>
        <v>53583631.391924836</v>
      </c>
      <c r="E977" s="54">
        <f t="shared" si="46"/>
        <v>2631099.6498212088</v>
      </c>
      <c r="F977" s="53">
        <f>$K$4*B977</f>
        <v>107648081.9816</v>
      </c>
      <c r="G977" s="51">
        <f t="shared" si="47"/>
        <v>1076480.8198160001</v>
      </c>
      <c r="H977" s="52">
        <f>$K$3*D977</f>
        <v>13395907.847981209</v>
      </c>
    </row>
    <row r="978" spans="1:8" ht="13.8" x14ac:dyDescent="0.25">
      <c r="A978" s="40">
        <v>9.2007434944237923E-2</v>
      </c>
      <c r="B978" s="40">
        <v>13484.478998500001</v>
      </c>
      <c r="C978" s="41">
        <f>C977+(((A978+A977)/2)*(B978-B977))</f>
        <v>6119.4854643321514</v>
      </c>
      <c r="D978" s="51">
        <f t="shared" si="45"/>
        <v>53606692.667549647</v>
      </c>
      <c r="E978" s="54">
        <f t="shared" si="46"/>
        <v>2614089.9680874124</v>
      </c>
      <c r="F978" s="53">
        <f>$K$4*B978</f>
        <v>107875831.98800001</v>
      </c>
      <c r="G978" s="51">
        <f t="shared" si="47"/>
        <v>1078758.3198800001</v>
      </c>
      <c r="H978" s="52">
        <f>$K$3*D978</f>
        <v>13401673.166887412</v>
      </c>
    </row>
    <row r="979" spans="1:8" ht="13.8" x14ac:dyDescent="0.25">
      <c r="A979" s="41">
        <v>9.1078066914498143E-2</v>
      </c>
      <c r="B979" s="41">
        <v>13497.716568900003</v>
      </c>
      <c r="C979" s="41">
        <f>C978+(((A979+A978)/2)*(B979-B978))</f>
        <v>6120.6972679421888</v>
      </c>
      <c r="D979" s="51">
        <f t="shared" si="45"/>
        <v>53617308.06717357</v>
      </c>
      <c r="E979" s="54">
        <f t="shared" si="46"/>
        <v>2606153.7616733927</v>
      </c>
      <c r="F979" s="53">
        <f>$K$4*B979</f>
        <v>107981732.55120002</v>
      </c>
      <c r="G979" s="51">
        <f t="shared" si="47"/>
        <v>1079817.3255120001</v>
      </c>
      <c r="H979" s="52">
        <f>$K$3*D979</f>
        <v>13404327.016793393</v>
      </c>
    </row>
    <row r="980" spans="1:8" ht="13.8" x14ac:dyDescent="0.25">
      <c r="A980" s="40">
        <v>9.0148698884758363E-2</v>
      </c>
      <c r="B980" s="40">
        <v>13516.336886299998</v>
      </c>
      <c r="C980" s="41">
        <f>C979+(((A980+A979)/2)*(B980-B979))</f>
        <v>6122.3845178924676</v>
      </c>
      <c r="D980" s="51">
        <f t="shared" si="45"/>
        <v>53632088.376738019</v>
      </c>
      <c r="E980" s="54">
        <f t="shared" si="46"/>
        <v>2594952.5851445068</v>
      </c>
      <c r="F980" s="53">
        <f>$K$4*B980</f>
        <v>108130695.09039998</v>
      </c>
      <c r="G980" s="51">
        <f t="shared" si="47"/>
        <v>1081306.9509039999</v>
      </c>
      <c r="H980" s="52">
        <f>$K$3*D980</f>
        <v>13408022.094184505</v>
      </c>
    </row>
    <row r="981" spans="1:8" ht="13.8" x14ac:dyDescent="0.25">
      <c r="A981" s="41">
        <v>8.9219330855018583E-2</v>
      </c>
      <c r="B981" s="41">
        <v>13539.024168100001</v>
      </c>
      <c r="C981" s="41">
        <f>C980+(((A981+A980)/2)*(B981-B980))</f>
        <v>6124.4192044107767</v>
      </c>
      <c r="D981" s="51">
        <f t="shared" si="45"/>
        <v>53649912.230638407</v>
      </c>
      <c r="E981" s="54">
        <f t="shared" si="46"/>
        <v>2581258.7231796011</v>
      </c>
      <c r="F981" s="53">
        <f>$K$4*B981</f>
        <v>108312193.34480001</v>
      </c>
      <c r="G981" s="51">
        <f t="shared" si="47"/>
        <v>1083121.9334480001</v>
      </c>
      <c r="H981" s="52">
        <f>$K$3*D981</f>
        <v>13412478.057659602</v>
      </c>
    </row>
    <row r="982" spans="1:8" ht="13.8" x14ac:dyDescent="0.25">
      <c r="A982" s="40">
        <v>8.8289962825278817E-2</v>
      </c>
      <c r="B982" s="40">
        <v>13577.381224499999</v>
      </c>
      <c r="C982" s="41">
        <f>C981+(((A982+A981)/2)*(B982-B981))</f>
        <v>6127.8235714053862</v>
      </c>
      <c r="D982" s="51">
        <f t="shared" si="45"/>
        <v>53679734.485511176</v>
      </c>
      <c r="E982" s="54">
        <f t="shared" si="46"/>
        <v>2558028.6417777967</v>
      </c>
      <c r="F982" s="53">
        <f>$K$4*B982</f>
        <v>108619049.79599999</v>
      </c>
      <c r="G982" s="51">
        <f t="shared" si="47"/>
        <v>1086190.4979599998</v>
      </c>
      <c r="H982" s="52">
        <f>$K$3*D982</f>
        <v>13419933.621377794</v>
      </c>
    </row>
    <row r="983" spans="1:8" ht="13.8" x14ac:dyDescent="0.25">
      <c r="A983" s="41">
        <v>8.7360594795539037E-2</v>
      </c>
      <c r="B983" s="41">
        <v>13596.798985899997</v>
      </c>
      <c r="C983" s="41">
        <f>C982+(((A983+A982)/2)*(B983-B982))</f>
        <v>6129.5289417142149</v>
      </c>
      <c r="D983" s="51">
        <f t="shared" si="45"/>
        <v>53694673.529416516</v>
      </c>
      <c r="E983" s="54">
        <f t="shared" si="46"/>
        <v>2546229.1936341301</v>
      </c>
      <c r="F983" s="53">
        <f>$K$4*B983</f>
        <v>108774391.88719998</v>
      </c>
      <c r="G983" s="51">
        <f t="shared" si="47"/>
        <v>1087743.918872</v>
      </c>
      <c r="H983" s="52">
        <f>$K$3*D983</f>
        <v>13423668.382354129</v>
      </c>
    </row>
    <row r="984" spans="1:8" ht="13.8" x14ac:dyDescent="0.25">
      <c r="A984" s="40">
        <v>8.6431226765799257E-2</v>
      </c>
      <c r="B984" s="40">
        <v>13684.677314700002</v>
      </c>
      <c r="C984" s="41">
        <f>C983+(((A984+A983)/2)*(B984-B983))</f>
        <v>6137.1652091331744</v>
      </c>
      <c r="D984" s="51">
        <f t="shared" si="45"/>
        <v>53761567.232006609</v>
      </c>
      <c r="E984" s="54">
        <f t="shared" si="46"/>
        <v>2492649.9562416505</v>
      </c>
      <c r="F984" s="53">
        <f>$K$4*B984</f>
        <v>109477418.51760001</v>
      </c>
      <c r="G984" s="51">
        <f t="shared" si="47"/>
        <v>1094774.1851760002</v>
      </c>
      <c r="H984" s="52">
        <f>$K$3*D984</f>
        <v>13440391.808001652</v>
      </c>
    </row>
    <row r="985" spans="1:8" ht="13.8" x14ac:dyDescent="0.25">
      <c r="A985" s="41">
        <v>8.5501858736059477E-2</v>
      </c>
      <c r="B985" s="41">
        <v>13720.701847400001</v>
      </c>
      <c r="C985" s="41">
        <f>C984+(((A985+A984)/2)*(B985-B984))</f>
        <v>6140.2621136636108</v>
      </c>
      <c r="D985" s="51">
        <f t="shared" si="45"/>
        <v>53788696.115693226</v>
      </c>
      <c r="E985" s="54">
        <f t="shared" si="46"/>
        <v>2470612.5510033052</v>
      </c>
      <c r="F985" s="53">
        <f>$K$4*B985</f>
        <v>109765614.77920002</v>
      </c>
      <c r="G985" s="51">
        <f t="shared" si="47"/>
        <v>1097656.1477920001</v>
      </c>
      <c r="H985" s="52">
        <f>$K$3*D985</f>
        <v>13447174.028923307</v>
      </c>
    </row>
    <row r="986" spans="1:8" ht="13.8" x14ac:dyDescent="0.25">
      <c r="A986" s="40">
        <v>8.4572490706319697E-2</v>
      </c>
      <c r="B986" s="40">
        <v>13833.540173400001</v>
      </c>
      <c r="C986" s="41">
        <f>C985+(((A986+A985)/2)*(B986-B985))</f>
        <v>6149.857566106919</v>
      </c>
      <c r="D986" s="51">
        <f t="shared" si="45"/>
        <v>53872752.279096611</v>
      </c>
      <c r="E986" s="54">
        <f t="shared" si="46"/>
        <v>2401355.9310541525</v>
      </c>
      <c r="F986" s="53">
        <f>$K$4*B986</f>
        <v>110668321.3872</v>
      </c>
      <c r="G986" s="51">
        <f t="shared" si="47"/>
        <v>1106683.2138720001</v>
      </c>
      <c r="H986" s="52">
        <f>$K$3*D986</f>
        <v>13468188.069774153</v>
      </c>
    </row>
    <row r="987" spans="1:8" ht="13.8" x14ac:dyDescent="0.25">
      <c r="A987" s="41">
        <v>8.3643122676579931E-2</v>
      </c>
      <c r="B987" s="41">
        <v>13851.941193699999</v>
      </c>
      <c r="C987" s="41">
        <f>C986+(((A987+A986)/2)*(B987-B986))</f>
        <v>6151.4052355652366</v>
      </c>
      <c r="D987" s="51">
        <f t="shared" si="45"/>
        <v>53886309.863551468</v>
      </c>
      <c r="E987" s="54">
        <f t="shared" si="46"/>
        <v>2390024.510927869</v>
      </c>
      <c r="F987" s="53">
        <f>$K$4*B987</f>
        <v>110815529.54959999</v>
      </c>
      <c r="G987" s="51">
        <f t="shared" si="47"/>
        <v>1108155.295496</v>
      </c>
      <c r="H987" s="52">
        <f>$K$3*D987</f>
        <v>13471577.465887867</v>
      </c>
    </row>
    <row r="988" spans="1:8" ht="13.8" x14ac:dyDescent="0.25">
      <c r="A988" s="40">
        <v>8.2713754646840151E-2</v>
      </c>
      <c r="B988" s="40">
        <v>13960.453385999999</v>
      </c>
      <c r="C988" s="41">
        <f>C987+(((A988+A987)/2)*(B988-B987))</f>
        <v>6160.4311102965103</v>
      </c>
      <c r="D988" s="51">
        <f t="shared" si="45"/>
        <v>53965376.526197426</v>
      </c>
      <c r="E988" s="54">
        <f t="shared" si="46"/>
        <v>2322981.4227493554</v>
      </c>
      <c r="F988" s="53">
        <f>$K$4*B988</f>
        <v>111683627.088</v>
      </c>
      <c r="G988" s="51">
        <f t="shared" si="47"/>
        <v>1116836.27088</v>
      </c>
      <c r="H988" s="52">
        <f>$K$3*D988</f>
        <v>13491344.131549357</v>
      </c>
    </row>
    <row r="989" spans="1:8" ht="13.8" x14ac:dyDescent="0.25">
      <c r="A989" s="41">
        <v>8.1784386617100371E-2</v>
      </c>
      <c r="B989" s="41">
        <v>13991.473957599999</v>
      </c>
      <c r="C989" s="41">
        <f>C988+(((A989+A988)/2)*(B989-B988))</f>
        <v>6162.9825234810824</v>
      </c>
      <c r="D989" s="51">
        <f t="shared" si="45"/>
        <v>53987726.905694284</v>
      </c>
      <c r="E989" s="54">
        <f t="shared" si="46"/>
        <v>2303752.560343571</v>
      </c>
      <c r="F989" s="53">
        <f>$K$4*B989</f>
        <v>111931791.6608</v>
      </c>
      <c r="G989" s="51">
        <f t="shared" si="47"/>
        <v>1119317.9166079999</v>
      </c>
      <c r="H989" s="52">
        <f>$K$3*D989</f>
        <v>13496931.726423571</v>
      </c>
    </row>
    <row r="990" spans="1:8" ht="13.8" x14ac:dyDescent="0.25">
      <c r="A990" s="40">
        <v>8.0855018587360591E-2</v>
      </c>
      <c r="B990" s="40">
        <v>14136.409404599999</v>
      </c>
      <c r="C990" s="41">
        <f>C989+(((A990+A989)/2)*(B990-B989))</f>
        <v>6174.7686309276432</v>
      </c>
      <c r="D990" s="51">
        <f t="shared" si="45"/>
        <v>54090973.206926152</v>
      </c>
      <c r="E990" s="54">
        <f t="shared" si="46"/>
        <v>2213615.7780515384</v>
      </c>
      <c r="F990" s="53">
        <f>$K$4*B990</f>
        <v>113091275.2368</v>
      </c>
      <c r="G990" s="51">
        <f t="shared" si="47"/>
        <v>1130912.7523680001</v>
      </c>
      <c r="H990" s="52">
        <f>$K$3*D990</f>
        <v>13522743.301731538</v>
      </c>
    </row>
    <row r="991" spans="1:8" ht="13.8" x14ac:dyDescent="0.25">
      <c r="A991" s="41">
        <v>7.9925650557620811E-2</v>
      </c>
      <c r="B991" s="41">
        <v>14213.841217000001</v>
      </c>
      <c r="C991" s="41">
        <f>C990+(((A991+A990)/2)*(B991-B990))</f>
        <v>6180.9934002330338</v>
      </c>
      <c r="D991" s="51">
        <f t="shared" si="45"/>
        <v>54145502.186041377</v>
      </c>
      <c r="E991" s="54">
        <f t="shared" si="46"/>
        <v>2165302.5729103461</v>
      </c>
      <c r="F991" s="53">
        <f>$K$4*B991</f>
        <v>113710729.736</v>
      </c>
      <c r="G991" s="51">
        <f t="shared" si="47"/>
        <v>1137107.29736</v>
      </c>
      <c r="H991" s="52">
        <f>$K$3*D991</f>
        <v>13536375.546510344</v>
      </c>
    </row>
    <row r="992" spans="1:8" ht="13.8" x14ac:dyDescent="0.25">
      <c r="A992" s="40">
        <v>7.8996282527881045E-2</v>
      </c>
      <c r="B992" s="40">
        <v>14239.3793611</v>
      </c>
      <c r="C992" s="41">
        <f>C991+(((A992+A991)/2)*(B992-B991))</f>
        <v>6183.0226858469277</v>
      </c>
      <c r="D992" s="51">
        <f t="shared" si="45"/>
        <v>54163278.728019081</v>
      </c>
      <c r="E992" s="54">
        <f t="shared" si="46"/>
        <v>2149316.1931247711</v>
      </c>
      <c r="F992" s="53">
        <f>$K$4*B992</f>
        <v>113915034.8888</v>
      </c>
      <c r="G992" s="51">
        <f t="shared" si="47"/>
        <v>1139150.348888</v>
      </c>
      <c r="H992" s="52">
        <f>$K$3*D992</f>
        <v>13540819.68200477</v>
      </c>
    </row>
    <row r="993" spans="1:8" ht="13.8" x14ac:dyDescent="0.25">
      <c r="A993" s="41">
        <v>7.8066914498141265E-2</v>
      </c>
      <c r="B993" s="41">
        <v>14376.141007099999</v>
      </c>
      <c r="C993" s="41">
        <f>C992+(((A993+A992)/2)*(B993-B992))</f>
        <v>6193.7627965225784</v>
      </c>
      <c r="D993" s="51">
        <f t="shared" si="45"/>
        <v>54257362.097537793</v>
      </c>
      <c r="E993" s="54">
        <f t="shared" si="46"/>
        <v>2063427.718704449</v>
      </c>
      <c r="F993" s="53">
        <f>$K$4*B993</f>
        <v>115009128.05679999</v>
      </c>
      <c r="G993" s="51">
        <f t="shared" si="47"/>
        <v>1150091.2805679999</v>
      </c>
      <c r="H993" s="52">
        <f>$K$3*D993</f>
        <v>13564340.524384448</v>
      </c>
    </row>
    <row r="994" spans="1:8" ht="13.8" x14ac:dyDescent="0.25">
      <c r="A994" s="40">
        <v>7.7137546468401486E-2</v>
      </c>
      <c r="B994" s="40">
        <v>14514.397860599998</v>
      </c>
      <c r="C994" s="41">
        <f>C993+(((A994+A993)/2)*(B994-B993))</f>
        <v>6204.4918367337768</v>
      </c>
      <c r="D994" s="51">
        <f t="shared" si="45"/>
        <v>54351348.489787884</v>
      </c>
      <c r="E994" s="54">
        <f t="shared" si="46"/>
        <v>1976318.8339669723</v>
      </c>
      <c r="F994" s="53">
        <f>$K$4*B994</f>
        <v>116115182.88479999</v>
      </c>
      <c r="G994" s="51">
        <f t="shared" si="47"/>
        <v>1161151.8288479999</v>
      </c>
      <c r="H994" s="52">
        <f>$K$3*D994</f>
        <v>13587837.122446971</v>
      </c>
    </row>
    <row r="995" spans="1:8" ht="13.8" x14ac:dyDescent="0.25">
      <c r="A995" s="41">
        <v>7.6208178438661706E-2</v>
      </c>
      <c r="B995" s="41">
        <v>14563.081816800002</v>
      </c>
      <c r="C995" s="41">
        <f>C994+(((A995+A994)/2)*(B995-B994))</f>
        <v>6208.2245750111933</v>
      </c>
      <c r="D995" s="51">
        <f t="shared" si="45"/>
        <v>54384047.277098052</v>
      </c>
      <c r="E995" s="54">
        <f t="shared" si="46"/>
        <v>1945546.3658345118</v>
      </c>
      <c r="F995" s="53">
        <f>$K$4*B995</f>
        <v>116504654.53440002</v>
      </c>
      <c r="G995" s="51">
        <f t="shared" si="47"/>
        <v>1165046.5453440002</v>
      </c>
      <c r="H995" s="52">
        <f>$K$3*D995</f>
        <v>13596011.819274513</v>
      </c>
    </row>
    <row r="996" spans="1:8" ht="13.8" x14ac:dyDescent="0.25">
      <c r="A996" s="40">
        <v>7.527881040892194E-2</v>
      </c>
      <c r="B996" s="40">
        <v>14575.8209847</v>
      </c>
      <c r="C996" s="41">
        <f>C995+(((A996+A995)/2)*(B996-B995))</f>
        <v>6209.1894841039903</v>
      </c>
      <c r="D996" s="51">
        <f t="shared" si="45"/>
        <v>54392499.880750954</v>
      </c>
      <c r="E996" s="54">
        <f t="shared" si="46"/>
        <v>1937468.1824277397</v>
      </c>
      <c r="F996" s="53">
        <f>$K$4*B996</f>
        <v>116606567.8776</v>
      </c>
      <c r="G996" s="51">
        <f t="shared" si="47"/>
        <v>1166065.6787759999</v>
      </c>
      <c r="H996" s="52">
        <f>$K$3*D996</f>
        <v>13598124.970187739</v>
      </c>
    </row>
    <row r="997" spans="1:8" ht="13.8" x14ac:dyDescent="0.25">
      <c r="A997" s="41">
        <v>7.434944237918216E-2</v>
      </c>
      <c r="B997" s="41">
        <v>14585.190951700002</v>
      </c>
      <c r="C997" s="41">
        <f>C996+(((A997+A996)/2)*(B997-B996))</f>
        <v>6209.8904899994368</v>
      </c>
      <c r="D997" s="51">
        <f t="shared" si="45"/>
        <v>54398640.692395061</v>
      </c>
      <c r="E997" s="54">
        <f t="shared" si="46"/>
        <v>1931507.4117387645</v>
      </c>
      <c r="F997" s="53">
        <f>$K$4*B997</f>
        <v>116681527.61360002</v>
      </c>
      <c r="G997" s="51">
        <f t="shared" si="47"/>
        <v>1166815.2761360002</v>
      </c>
      <c r="H997" s="52">
        <f>$K$3*D997</f>
        <v>13599660.173098765</v>
      </c>
    </row>
    <row r="998" spans="1:8" ht="13.8" x14ac:dyDescent="0.25">
      <c r="A998" s="40">
        <v>7.342007434944238E-2</v>
      </c>
      <c r="B998" s="40">
        <v>14593.723602499998</v>
      </c>
      <c r="C998" s="41">
        <f>C997+(((A998+A997)/2)*(B998-B997))</f>
        <v>6210.5209228420017</v>
      </c>
      <c r="D998" s="51">
        <f t="shared" si="45"/>
        <v>54404163.284095936</v>
      </c>
      <c r="E998" s="54">
        <f t="shared" si="46"/>
        <v>1926061.9390239846</v>
      </c>
      <c r="F998" s="53">
        <f>$K$4*B998</f>
        <v>116749788.81999999</v>
      </c>
      <c r="G998" s="51">
        <f t="shared" si="47"/>
        <v>1167497.8881999999</v>
      </c>
      <c r="H998" s="52">
        <f>$K$3*D998</f>
        <v>13601040.821023984</v>
      </c>
    </row>
    <row r="999" spans="1:8" ht="13.8" x14ac:dyDescent="0.25">
      <c r="A999" s="41">
        <v>7.24907063197026E-2</v>
      </c>
      <c r="B999" s="41">
        <v>14603.671716400002</v>
      </c>
      <c r="C999" s="41">
        <f>C998+(((A999+A998)/2)*(B999-B998))</f>
        <v>6211.2466913746694</v>
      </c>
      <c r="D999" s="51">
        <f t="shared" si="45"/>
        <v>54410521.016442105</v>
      </c>
      <c r="E999" s="54">
        <f t="shared" si="46"/>
        <v>1919692.8809905257</v>
      </c>
      <c r="F999" s="53">
        <f>$K$4*B999</f>
        <v>116829373.73120001</v>
      </c>
      <c r="G999" s="51">
        <f t="shared" si="47"/>
        <v>1168293.737312</v>
      </c>
      <c r="H999" s="52">
        <f>$K$3*D999</f>
        <v>13602630.254110526</v>
      </c>
    </row>
    <row r="1000" spans="1:8" ht="13.8" x14ac:dyDescent="0.25">
      <c r="A1000" s="40">
        <v>7.156133828996282E-2</v>
      </c>
      <c r="B1000" s="40">
        <v>14614.357466000001</v>
      </c>
      <c r="C1000" s="41">
        <f>C999+(((A1000+A999)/2)*(B1000-B999))</f>
        <v>6212.016343413703</v>
      </c>
      <c r="D1000" s="51">
        <f t="shared" si="45"/>
        <v>54417263.168304041</v>
      </c>
      <c r="E1000" s="54">
        <f t="shared" si="46"/>
        <v>1912829.8192760106</v>
      </c>
      <c r="F1000" s="53">
        <f>$K$4*B1000</f>
        <v>116914859.72800002</v>
      </c>
      <c r="G1000" s="51">
        <f t="shared" si="47"/>
        <v>1169148.5972800001</v>
      </c>
      <c r="H1000" s="52">
        <f>$K$3*D1000</f>
        <v>13604315.79207601</v>
      </c>
    </row>
    <row r="1001" spans="1:8" ht="13.8" x14ac:dyDescent="0.25">
      <c r="A1001" s="41">
        <v>7.0631970260223054E-2</v>
      </c>
      <c r="B1001" s="41">
        <v>14649.9234684</v>
      </c>
      <c r="C1001" s="41">
        <f>C1000+(((A1001+A1000)/2)*(B1001-B1000))</f>
        <v>6214.5449671902825</v>
      </c>
      <c r="D1001" s="51">
        <f t="shared" si="45"/>
        <v>54439413.912586875</v>
      </c>
      <c r="E1001" s="54">
        <f t="shared" si="46"/>
        <v>1889914.7034267187</v>
      </c>
      <c r="F1001" s="53">
        <f>$K$4*B1001</f>
        <v>117199387.7472</v>
      </c>
      <c r="G1001" s="51">
        <f t="shared" si="47"/>
        <v>1171993.877472</v>
      </c>
      <c r="H1001" s="52">
        <f>$K$3*D1001</f>
        <v>13609853.478146719</v>
      </c>
    </row>
    <row r="1002" spans="1:8" ht="13.8" x14ac:dyDescent="0.25">
      <c r="A1002" s="40">
        <v>6.9702602230483274E-2</v>
      </c>
      <c r="B1002" s="40">
        <v>14693.025316600002</v>
      </c>
      <c r="C1002" s="41">
        <f>C1001+(((A1002+A1001)/2)*(B1002-B1001))</f>
        <v>6217.5693069106355</v>
      </c>
      <c r="D1002" s="51">
        <f t="shared" si="45"/>
        <v>54465907.128537171</v>
      </c>
      <c r="E1002" s="54">
        <f t="shared" si="46"/>
        <v>1862056.52885429</v>
      </c>
      <c r="F1002" s="53">
        <f>$K$4*B1002</f>
        <v>117544202.53280002</v>
      </c>
      <c r="G1002" s="51">
        <f t="shared" si="47"/>
        <v>1175442.0253280003</v>
      </c>
      <c r="H1002" s="52">
        <f>$K$3*D1002</f>
        <v>13616476.782134293</v>
      </c>
    </row>
    <row r="1003" spans="1:8" ht="13.8" x14ac:dyDescent="0.25">
      <c r="A1003" s="41">
        <v>6.8773234200743494E-2</v>
      </c>
      <c r="B1003" s="41">
        <v>14823.806132600002</v>
      </c>
      <c r="C1003" s="41">
        <f>C1002+(((A1003+A1002)/2)*(B1003-B1002))</f>
        <v>6226.6242983530146</v>
      </c>
      <c r="D1003" s="51">
        <f t="shared" si="45"/>
        <v>54545228.853572413</v>
      </c>
      <c r="E1003" s="54">
        <f t="shared" si="46"/>
        <v>1777262.3073131032</v>
      </c>
      <c r="F1003" s="53">
        <f>$K$4*B1003</f>
        <v>118590449.06080002</v>
      </c>
      <c r="G1003" s="51">
        <f t="shared" si="47"/>
        <v>1185904.4906080002</v>
      </c>
      <c r="H1003" s="52">
        <f>$K$3*D1003</f>
        <v>13636307.213393103</v>
      </c>
    </row>
    <row r="1004" spans="1:8" ht="13.8" x14ac:dyDescent="0.25">
      <c r="A1004" s="40">
        <v>6.7843866171003714E-2</v>
      </c>
      <c r="B1004" s="40">
        <v>14836.5453005</v>
      </c>
      <c r="C1004" s="41">
        <f>C1003+(((A1004+A1003)/2)*(B1004-B1003))</f>
        <v>6227.4944924428382</v>
      </c>
      <c r="D1004" s="51">
        <f t="shared" si="45"/>
        <v>54552851.75379926</v>
      </c>
      <c r="E1004" s="54">
        <f t="shared" si="46"/>
        <v>1768976.6980498154</v>
      </c>
      <c r="F1004" s="53">
        <f>$K$4*B1004</f>
        <v>118692362.404</v>
      </c>
      <c r="G1004" s="51">
        <f t="shared" si="47"/>
        <v>1186923.6240399999</v>
      </c>
      <c r="H1004" s="52">
        <f>$K$3*D1004</f>
        <v>13638212.938449815</v>
      </c>
    </row>
    <row r="1005" spans="1:8" ht="13.8" x14ac:dyDescent="0.25">
      <c r="A1005" s="41">
        <v>6.6914498141263934E-2</v>
      </c>
      <c r="B1005" s="41">
        <v>14848.506960500001</v>
      </c>
      <c r="C1005" s="41">
        <f>C1004+(((A1005+A1004)/2)*(B1005-B1004))</f>
        <v>6228.3004593108681</v>
      </c>
      <c r="D1005" s="51">
        <f t="shared" si="45"/>
        <v>54559912.023563206</v>
      </c>
      <c r="E1005" s="54">
        <f t="shared" si="46"/>
        <v>1761172.4374908004</v>
      </c>
      <c r="F1005" s="53">
        <f>$K$4*B1005</f>
        <v>118788055.684</v>
      </c>
      <c r="G1005" s="51">
        <f t="shared" si="47"/>
        <v>1187880.55684</v>
      </c>
      <c r="H1005" s="52">
        <f>$K$3*D1005</f>
        <v>13639978.005890802</v>
      </c>
    </row>
    <row r="1006" spans="1:8" ht="13.8" x14ac:dyDescent="0.25">
      <c r="A1006" s="40">
        <v>6.5985130111524168E-2</v>
      </c>
      <c r="B1006" s="40">
        <v>14951.437044799999</v>
      </c>
      <c r="C1006" s="41">
        <f>C1005+(((A1006+A1005)/2)*(B1006-B1005))</f>
        <v>6235.1401442806173</v>
      </c>
      <c r="D1006" s="51">
        <f t="shared" si="45"/>
        <v>54619827.663898207</v>
      </c>
      <c r="E1006" s="54">
        <f t="shared" si="46"/>
        <v>1693807.2801345531</v>
      </c>
      <c r="F1006" s="53">
        <f>$K$4*B1006</f>
        <v>119611496.35839999</v>
      </c>
      <c r="G1006" s="51">
        <f t="shared" si="47"/>
        <v>1196114.963584</v>
      </c>
      <c r="H1006" s="52">
        <f>$K$3*D1006</f>
        <v>13654956.915974552</v>
      </c>
    </row>
    <row r="1007" spans="1:8" ht="13.8" x14ac:dyDescent="0.25">
      <c r="A1007" s="41">
        <v>6.5055762081784388E-2</v>
      </c>
      <c r="B1007" s="41">
        <v>14979.108351600002</v>
      </c>
      <c r="C1007" s="41">
        <f>C1006+(((A1007+A1006)/2)*(B1007-B1006))</f>
        <v>6236.953180646231</v>
      </c>
      <c r="D1007" s="51">
        <f t="shared" si="45"/>
        <v>54635709.862460978</v>
      </c>
      <c r="E1007" s="54">
        <f t="shared" si="46"/>
        <v>1675640.7843352426</v>
      </c>
      <c r="F1007" s="53">
        <f>$K$4*B1007</f>
        <v>119832866.81280002</v>
      </c>
      <c r="G1007" s="51">
        <f t="shared" si="47"/>
        <v>1198328.6681280003</v>
      </c>
      <c r="H1007" s="52">
        <f>$K$3*D1007</f>
        <v>13658927.465615245</v>
      </c>
    </row>
    <row r="1008" spans="1:8" ht="13.8" x14ac:dyDescent="0.25">
      <c r="A1008" s="40">
        <v>6.4126394052044608E-2</v>
      </c>
      <c r="B1008" s="40">
        <v>15005.424003600003</v>
      </c>
      <c r="C1008" s="41">
        <f>C1007+(((A1008+A1007)/2)*(B1008-B1007))</f>
        <v>6238.652936978945</v>
      </c>
      <c r="D1008" s="51">
        <f t="shared" si="45"/>
        <v>54650599.727935553</v>
      </c>
      <c r="E1008" s="54">
        <f t="shared" si="46"/>
        <v>1658310.7291038856</v>
      </c>
      <c r="F1008" s="53">
        <f>$K$4*B1008</f>
        <v>120043392.02880003</v>
      </c>
      <c r="G1008" s="51">
        <f t="shared" si="47"/>
        <v>1200433.9202880003</v>
      </c>
      <c r="H1008" s="52">
        <f>$K$3*D1008</f>
        <v>13662649.931983888</v>
      </c>
    </row>
    <row r="1009" spans="1:8" ht="13.8" x14ac:dyDescent="0.25">
      <c r="A1009" s="41">
        <v>6.3197026022304828E-2</v>
      </c>
      <c r="B1009" s="41">
        <v>15139.354723400002</v>
      </c>
      <c r="C1009" s="41">
        <f>C1008+(((A1009+A1008)/2)*(B1009-B1008))</f>
        <v>6247.179195627923</v>
      </c>
      <c r="D1009" s="51">
        <f t="shared" si="45"/>
        <v>54725289.753700607</v>
      </c>
      <c r="E1009" s="54">
        <f t="shared" si="46"/>
        <v>1569838.6597051509</v>
      </c>
      <c r="F1009" s="53">
        <f>$K$4*B1009</f>
        <v>121114837.78720002</v>
      </c>
      <c r="G1009" s="51">
        <f t="shared" si="47"/>
        <v>1211148.3778720002</v>
      </c>
      <c r="H1009" s="52">
        <f>$K$3*D1009</f>
        <v>13681322.438425152</v>
      </c>
    </row>
    <row r="1010" spans="1:8" ht="13.8" x14ac:dyDescent="0.25">
      <c r="A1010" s="40">
        <v>6.2267657992565055E-2</v>
      </c>
      <c r="B1010" s="40">
        <v>15239.493753700001</v>
      </c>
      <c r="C1010" s="41">
        <f>C1009+(((A1010+A1009)/2)*(B1010-B1009))</f>
        <v>6253.4611515249953</v>
      </c>
      <c r="D1010" s="51">
        <f t="shared" si="45"/>
        <v>54780319.687358953</v>
      </c>
      <c r="E1010" s="54">
        <f t="shared" si="46"/>
        <v>1503484.9188797381</v>
      </c>
      <c r="F1010" s="53">
        <f>$K$4*B1010</f>
        <v>121915950.02960001</v>
      </c>
      <c r="G1010" s="51">
        <f t="shared" si="47"/>
        <v>1219159.5002960002</v>
      </c>
      <c r="H1010" s="52">
        <f>$K$3*D1010</f>
        <v>13695079.921839738</v>
      </c>
    </row>
    <row r="1011" spans="1:8" ht="13.8" x14ac:dyDescent="0.25">
      <c r="A1011" s="41">
        <v>6.1338289962825282E-2</v>
      </c>
      <c r="B1011" s="41">
        <v>15376.933227100004</v>
      </c>
      <c r="C1011" s="41">
        <f>C1010+(((A1011+A1010)/2)*(B1011-B1010))</f>
        <v>6261.9553197230434</v>
      </c>
      <c r="D1011" s="51">
        <f t="shared" si="45"/>
        <v>54854728.600773863</v>
      </c>
      <c r="E1011" s="54">
        <f t="shared" si="46"/>
        <v>1412135.5685134623</v>
      </c>
      <c r="F1011" s="53">
        <f>$K$4*B1011</f>
        <v>123015465.81680003</v>
      </c>
      <c r="G1011" s="51">
        <f t="shared" si="47"/>
        <v>1230154.6581680004</v>
      </c>
      <c r="H1011" s="52">
        <f>$K$3*D1011</f>
        <v>13713682.150193466</v>
      </c>
    </row>
    <row r="1012" spans="1:8" ht="13.8" x14ac:dyDescent="0.25">
      <c r="A1012" s="40">
        <v>6.0408921933085502E-2</v>
      </c>
      <c r="B1012" s="40">
        <v>15423.523892800002</v>
      </c>
      <c r="C1012" s="41">
        <f>C1011+(((A1012+A1011)/2)*(B1012-B1011))</f>
        <v>6264.7914615477184</v>
      </c>
      <c r="D1012" s="51">
        <f t="shared" si="45"/>
        <v>54879573.203158006</v>
      </c>
      <c r="E1012" s="54">
        <f t="shared" si="46"/>
        <v>1381074.1865495015</v>
      </c>
      <c r="F1012" s="53">
        <f>$K$4*B1012</f>
        <v>123388191.14240001</v>
      </c>
      <c r="G1012" s="51">
        <f t="shared" si="47"/>
        <v>1233881.911424</v>
      </c>
      <c r="H1012" s="52">
        <f>$K$3*D1012</f>
        <v>13719893.300789502</v>
      </c>
    </row>
    <row r="1013" spans="1:8" ht="13.8" x14ac:dyDescent="0.25">
      <c r="A1013" s="41">
        <v>5.9479553903345722E-2</v>
      </c>
      <c r="B1013" s="41">
        <v>15467.981395800001</v>
      </c>
      <c r="C1013" s="41">
        <f>C1012+(((A1013+A1012)/2)*(B1013-B1012))</f>
        <v>6267.4564326848003</v>
      </c>
      <c r="D1013" s="51">
        <f t="shared" si="45"/>
        <v>54902918.350318849</v>
      </c>
      <c r="E1013" s="54">
        <f t="shared" si="46"/>
        <v>1351344.4709397126</v>
      </c>
      <c r="F1013" s="53">
        <f>$K$4*B1013</f>
        <v>123743851.16640002</v>
      </c>
      <c r="G1013" s="51">
        <f t="shared" si="47"/>
        <v>1237438.5116640001</v>
      </c>
      <c r="H1013" s="52">
        <f>$K$3*D1013</f>
        <v>13725729.587579712</v>
      </c>
    </row>
    <row r="1014" spans="1:8" ht="13.8" x14ac:dyDescent="0.25">
      <c r="A1014" s="40">
        <v>5.8550185873605949E-2</v>
      </c>
      <c r="B1014" s="40">
        <v>15564.392375399999</v>
      </c>
      <c r="C1014" s="41">
        <f>C1013+(((A1014+A1013)/2)*(B1014-B1013))</f>
        <v>6273.1461141017144</v>
      </c>
      <c r="D1014" s="51">
        <f t="shared" si="45"/>
        <v>54952759.959531024</v>
      </c>
      <c r="E1014" s="54">
        <f t="shared" si="46"/>
        <v>1286676.0895627569</v>
      </c>
      <c r="F1014" s="53">
        <f>$K$4*B1014</f>
        <v>124515139.00319999</v>
      </c>
      <c r="G1014" s="51">
        <f t="shared" si="47"/>
        <v>1245151.3900319999</v>
      </c>
      <c r="H1014" s="52">
        <f>$K$3*D1014</f>
        <v>13738189.989882756</v>
      </c>
    </row>
    <row r="1015" spans="1:8" ht="13.8" x14ac:dyDescent="0.25">
      <c r="A1015" s="41">
        <v>5.7620817843866169E-2</v>
      </c>
      <c r="B1015" s="41">
        <v>15822.604742599997</v>
      </c>
      <c r="C1015" s="41">
        <f>C1014+(((A1015+A1014)/2)*(B1015-B1014))</f>
        <v>6288.1445090366587</v>
      </c>
      <c r="D1015" s="51">
        <f t="shared" si="45"/>
        <v>55084145.89916113</v>
      </c>
      <c r="E1015" s="54">
        <f t="shared" si="46"/>
        <v>1112952.680710284</v>
      </c>
      <c r="F1015" s="53">
        <f>$K$4*B1015</f>
        <v>126580837.94079998</v>
      </c>
      <c r="G1015" s="51">
        <f t="shared" si="47"/>
        <v>1265808.3794079998</v>
      </c>
      <c r="H1015" s="52">
        <f>$K$3*D1015</f>
        <v>13771036.474790283</v>
      </c>
    </row>
    <row r="1016" spans="1:8" ht="13.8" x14ac:dyDescent="0.25">
      <c r="A1016" s="40">
        <v>5.6691449814126396E-2</v>
      </c>
      <c r="B1016" s="40">
        <v>15861.041543400001</v>
      </c>
      <c r="C1016" s="41">
        <f>C1015+(((A1016+A1015)/2)*(B1016-B1015))</f>
        <v>6290.341407967142</v>
      </c>
      <c r="D1016" s="51">
        <f t="shared" si="45"/>
        <v>55103390.733792163</v>
      </c>
      <c r="E1016" s="54">
        <f t="shared" si="46"/>
        <v>1087014.4487280399</v>
      </c>
      <c r="F1016" s="53">
        <f>$K$4*B1016</f>
        <v>126888332.34720001</v>
      </c>
      <c r="G1016" s="51">
        <f t="shared" si="47"/>
        <v>1268883.3234720002</v>
      </c>
      <c r="H1016" s="52">
        <f>$K$3*D1016</f>
        <v>13775847.683448041</v>
      </c>
    </row>
    <row r="1017" spans="1:8" ht="13.8" x14ac:dyDescent="0.25">
      <c r="A1017" s="41">
        <v>5.5762081784386616E-2</v>
      </c>
      <c r="B1017" s="41">
        <v>15864.889210699999</v>
      </c>
      <c r="C1017" s="41">
        <f>C1016+(((A1017+A1016)/2)*(B1017-B1016))</f>
        <v>6290.5577498552921</v>
      </c>
      <c r="D1017" s="51">
        <f t="shared" si="45"/>
        <v>55105285.888732359</v>
      </c>
      <c r="E1017" s="54">
        <f t="shared" si="46"/>
        <v>1084410.1036230903</v>
      </c>
      <c r="F1017" s="53">
        <f>$K$4*B1017</f>
        <v>126919113.6856</v>
      </c>
      <c r="G1017" s="51">
        <f t="shared" si="47"/>
        <v>1269191.1368559999</v>
      </c>
      <c r="H1017" s="52">
        <f>$K$3*D1017</f>
        <v>13776321.47218309</v>
      </c>
    </row>
    <row r="1018" spans="1:8" ht="13.8" x14ac:dyDescent="0.25">
      <c r="A1018" s="40">
        <v>5.4832713754646843E-2</v>
      </c>
      <c r="B1018" s="40">
        <v>15905.379429799999</v>
      </c>
      <c r="C1018" s="41">
        <f>C1017+(((A1018+A1017)/2)*(B1018-B1017))</f>
        <v>6292.7967536066399</v>
      </c>
      <c r="D1018" s="51">
        <f t="shared" si="45"/>
        <v>55124899.561594166</v>
      </c>
      <c r="E1018" s="54">
        <f t="shared" si="46"/>
        <v>1056921.3465585429</v>
      </c>
      <c r="F1018" s="53">
        <f>$K$4*B1018</f>
        <v>127243035.4384</v>
      </c>
      <c r="G1018" s="51">
        <f t="shared" si="47"/>
        <v>1272430.3543839999</v>
      </c>
      <c r="H1018" s="52">
        <f>$K$3*D1018</f>
        <v>13781224.890398541</v>
      </c>
    </row>
    <row r="1019" spans="1:8" ht="13.8" x14ac:dyDescent="0.25">
      <c r="A1019" s="41">
        <v>5.3903345724907063E-2</v>
      </c>
      <c r="B1019" s="41">
        <v>16016.443442900001</v>
      </c>
      <c r="C1019" s="41">
        <f>C1018+(((A1019+A1018)/2)*(B1019-B1018))</f>
        <v>6298.8350851738796</v>
      </c>
      <c r="D1019" s="51">
        <f t="shared" si="45"/>
        <v>55177795.346123189</v>
      </c>
      <c r="E1019" s="54">
        <f t="shared" si="46"/>
        <v>981294.08221079595</v>
      </c>
      <c r="F1019" s="53">
        <f>$K$4*B1019</f>
        <v>128131547.54320002</v>
      </c>
      <c r="G1019" s="51">
        <f t="shared" si="47"/>
        <v>1281315.4754320001</v>
      </c>
      <c r="H1019" s="52">
        <f>$K$3*D1019</f>
        <v>13794448.836530797</v>
      </c>
    </row>
    <row r="1020" spans="1:8" ht="13.8" x14ac:dyDescent="0.25">
      <c r="A1020" s="40">
        <v>5.2973977695167283E-2</v>
      </c>
      <c r="B1020" s="40">
        <v>16085.641646000004</v>
      </c>
      <c r="C1020" s="41">
        <f>C1019+(((A1020+A1019)/2)*(B1020-B1019))</f>
        <v>6302.5329445402831</v>
      </c>
      <c r="D1020" s="51">
        <f t="shared" si="45"/>
        <v>55210188.59417288</v>
      </c>
      <c r="E1020" s="54">
        <f t="shared" si="46"/>
        <v>934033.831743218</v>
      </c>
      <c r="F1020" s="53">
        <f>$K$4*B1020</f>
        <v>128685133.16800003</v>
      </c>
      <c r="G1020" s="51">
        <f t="shared" si="47"/>
        <v>1286851.3316800003</v>
      </c>
      <c r="H1020" s="52">
        <f>$K$3*D1020</f>
        <v>13802547.14854322</v>
      </c>
    </row>
    <row r="1021" spans="1:8" ht="13.8" x14ac:dyDescent="0.25">
      <c r="A1021" s="41">
        <v>5.204460966542751E-2</v>
      </c>
      <c r="B1021" s="41">
        <v>16090.246885100001</v>
      </c>
      <c r="C1021" s="41">
        <f>C1020+(((A1021+A1020)/2)*(B1021-B1020))</f>
        <v>6302.7747623926525</v>
      </c>
      <c r="D1021" s="51">
        <f t="shared" si="45"/>
        <v>55212306.918559641</v>
      </c>
      <c r="E1021" s="54">
        <f t="shared" si="46"/>
        <v>930879.22155990824</v>
      </c>
      <c r="F1021" s="53">
        <f>$K$4*B1021</f>
        <v>128721975.08080001</v>
      </c>
      <c r="G1021" s="51">
        <f t="shared" si="47"/>
        <v>1287219.7508080001</v>
      </c>
      <c r="H1021" s="52">
        <f>$K$3*D1021</f>
        <v>13803076.72963991</v>
      </c>
    </row>
    <row r="1022" spans="1:8" ht="13.8" x14ac:dyDescent="0.25">
      <c r="A1022" s="40">
        <v>5.111524163568773E-2</v>
      </c>
      <c r="B1022" s="40">
        <v>16183.747194100002</v>
      </c>
      <c r="C1022" s="41">
        <f>C1021+(((A1022+A1021)/2)*(B1022-B1021))</f>
        <v>6307.5975013791767</v>
      </c>
      <c r="D1022" s="51">
        <f t="shared" si="45"/>
        <v>55254554.112081587</v>
      </c>
      <c r="E1022" s="54">
        <f t="shared" si="46"/>
        <v>866640.77274039574</v>
      </c>
      <c r="F1022" s="53">
        <f>$K$4*B1022</f>
        <v>129469977.55280001</v>
      </c>
      <c r="G1022" s="51">
        <f t="shared" si="47"/>
        <v>1294699.7755280002</v>
      </c>
      <c r="H1022" s="52">
        <f>$K$3*D1022</f>
        <v>13813638.528020397</v>
      </c>
    </row>
    <row r="1023" spans="1:8" ht="13.8" x14ac:dyDescent="0.25">
      <c r="A1023" s="41">
        <v>5.0185873605947957E-2</v>
      </c>
      <c r="B1023" s="41">
        <v>16191.781442400001</v>
      </c>
      <c r="C1023" s="41">
        <f>C1022+(((A1023+A1022)/2)*(B1023-B1022))</f>
        <v>6308.0044405356357</v>
      </c>
      <c r="D1023" s="51">
        <f t="shared" si="45"/>
        <v>55258118.899092168</v>
      </c>
      <c r="E1023" s="54">
        <f t="shared" si="46"/>
        <v>861104.57085304148</v>
      </c>
      <c r="F1023" s="53">
        <f>$K$4*B1023</f>
        <v>129534251.53920001</v>
      </c>
      <c r="G1023" s="51">
        <f t="shared" si="47"/>
        <v>1295342.5153920001</v>
      </c>
      <c r="H1023" s="52">
        <f>$K$3*D1023</f>
        <v>13814529.724773042</v>
      </c>
    </row>
    <row r="1024" spans="1:8" ht="13.8" x14ac:dyDescent="0.25">
      <c r="A1024" s="40">
        <v>4.9256505576208177E-2</v>
      </c>
      <c r="B1024" s="40">
        <v>16221.665656300002</v>
      </c>
      <c r="C1024" s="41">
        <f>C1023+(((A1024+A1023)/2)*(B1024-B1023))</f>
        <v>6309.4903192007378</v>
      </c>
      <c r="D1024" s="51">
        <f t="shared" si="45"/>
        <v>55271135.196198463</v>
      </c>
      <c r="E1024" s="54">
        <f t="shared" si="46"/>
        <v>840451.27400961518</v>
      </c>
      <c r="F1024" s="53">
        <f>$K$4*B1024</f>
        <v>129773325.25040001</v>
      </c>
      <c r="G1024" s="51">
        <f t="shared" si="47"/>
        <v>1297733.2525040002</v>
      </c>
      <c r="H1024" s="52">
        <f>$K$3*D1024</f>
        <v>13817783.799049616</v>
      </c>
    </row>
    <row r="1025" spans="1:8" ht="13.8" x14ac:dyDescent="0.25">
      <c r="A1025" s="41">
        <v>4.8327137546468404E-2</v>
      </c>
      <c r="B1025" s="41">
        <v>16233.846613400003</v>
      </c>
      <c r="C1025" s="41">
        <f>C1024+(((A1025+A1024)/2)*(B1025-B1024))</f>
        <v>6310.0846502860077</v>
      </c>
      <c r="D1025" s="51">
        <f t="shared" si="45"/>
        <v>55276341.536505431</v>
      </c>
      <c r="E1025" s="54">
        <f t="shared" si="46"/>
        <v>832008.09340635501</v>
      </c>
      <c r="F1025" s="53">
        <f>$K$4*B1025</f>
        <v>129870772.90720002</v>
      </c>
      <c r="G1025" s="51">
        <f t="shared" si="47"/>
        <v>1298707.7290720004</v>
      </c>
      <c r="H1025" s="52">
        <f>$K$3*D1025</f>
        <v>13819085.384126358</v>
      </c>
    </row>
    <row r="1026" spans="1:8" ht="13.8" x14ac:dyDescent="0.25">
      <c r="A1026" s="40">
        <v>4.7397769516728624E-2</v>
      </c>
      <c r="B1026" s="40">
        <v>16286.278556400001</v>
      </c>
      <c r="C1026" s="41">
        <f>C1025+(((A1026+A1025)/2)*(B1026-B1025))</f>
        <v>6312.5941717214164</v>
      </c>
      <c r="D1026" s="51">
        <f t="shared" si="45"/>
        <v>55298324.944279611</v>
      </c>
      <c r="E1026" s="54">
        <f t="shared" si="46"/>
        <v>795558.39094990306</v>
      </c>
      <c r="F1026" s="53">
        <f>$K$4*B1026</f>
        <v>130290228.45120001</v>
      </c>
      <c r="G1026" s="51">
        <f t="shared" si="47"/>
        <v>1302902.2845120002</v>
      </c>
      <c r="H1026" s="52">
        <f>$K$3*D1026</f>
        <v>13824581.236069903</v>
      </c>
    </row>
    <row r="1027" spans="1:8" ht="13.8" x14ac:dyDescent="0.25">
      <c r="A1027" s="41">
        <v>4.6468401486988845E-2</v>
      </c>
      <c r="B1027" s="41">
        <v>16324.456187900001</v>
      </c>
      <c r="C1027" s="41">
        <f>C1026+(((A1027+A1026)/2)*(B1027-B1026))</f>
        <v>6314.3859657648645</v>
      </c>
      <c r="D1027" s="51">
        <f t="shared" ref="D1027:D1076" si="48">C1027*24*365</f>
        <v>55314021.060100213</v>
      </c>
      <c r="E1027" s="54">
        <f t="shared" ref="E1027:E1076" si="49">H1027-G1027-(F1027*$K$5)</f>
        <v>768940.31470505334</v>
      </c>
      <c r="F1027" s="53">
        <f>$K$4*B1027</f>
        <v>130595649.50320001</v>
      </c>
      <c r="G1027" s="51">
        <f t="shared" ref="G1027:G1076" si="50">F1027*0.01</f>
        <v>1305956.4950320001</v>
      </c>
      <c r="H1027" s="52">
        <f t="shared" ref="H1027:H1076" si="51">$K$3*D1027</f>
        <v>13828505.265025053</v>
      </c>
    </row>
    <row r="1028" spans="1:8" ht="13.8" x14ac:dyDescent="0.25">
      <c r="A1028" s="40">
        <v>4.5539033457249072E-2</v>
      </c>
      <c r="B1028" s="40">
        <v>16328.3835996</v>
      </c>
      <c r="C1028" s="41">
        <f>C1027+(((A1028+A1027)/2)*(B1028-B1027))</f>
        <v>6314.5666413031076</v>
      </c>
      <c r="D1028" s="51">
        <f t="shared" si="48"/>
        <v>55315603.777815223</v>
      </c>
      <c r="E1028" s="54">
        <f t="shared" si="49"/>
        <v>766194.06477380544</v>
      </c>
      <c r="F1028" s="53">
        <f>$K$4*B1028</f>
        <v>130627068.7968</v>
      </c>
      <c r="G1028" s="51">
        <f t="shared" si="50"/>
        <v>1306270.6879680001</v>
      </c>
      <c r="H1028" s="52">
        <f t="shared" si="51"/>
        <v>13828900.944453806</v>
      </c>
    </row>
    <row r="1029" spans="1:8" ht="13.8" x14ac:dyDescent="0.25">
      <c r="A1029" s="41">
        <v>4.4609665427509292E-2</v>
      </c>
      <c r="B1029" s="41">
        <v>16412.474069400007</v>
      </c>
      <c r="C1029" s="41">
        <f>C1028+(((A1029+A1028)/2)*(B1029-B1028))</f>
        <v>6318.3569645236466</v>
      </c>
      <c r="D1029" s="51">
        <f t="shared" si="48"/>
        <v>55348807.009227149</v>
      </c>
      <c r="E1029" s="54">
        <f t="shared" si="49"/>
        <v>707222.49678678066</v>
      </c>
      <c r="F1029" s="53">
        <f>$K$4*B1029</f>
        <v>131299792.55520006</v>
      </c>
      <c r="G1029" s="51">
        <f t="shared" si="50"/>
        <v>1312997.9255520005</v>
      </c>
      <c r="H1029" s="52">
        <f t="shared" si="51"/>
        <v>13837201.752306787</v>
      </c>
    </row>
    <row r="1030" spans="1:8" ht="13.8" x14ac:dyDescent="0.25">
      <c r="A1030" s="40">
        <v>4.3680297397769519E-2</v>
      </c>
      <c r="B1030" s="40">
        <v>16451.449144900005</v>
      </c>
      <c r="C1030" s="41">
        <f>C1029+(((A1030+A1029)/2)*(B1030-B1029))</f>
        <v>6320.0775185071507</v>
      </c>
      <c r="D1030" s="51">
        <f t="shared" si="48"/>
        <v>55363879.062122643</v>
      </c>
      <c r="E1030" s="54">
        <f t="shared" si="49"/>
        <v>679810.44961065613</v>
      </c>
      <c r="F1030" s="53">
        <f>$K$4*B1030</f>
        <v>131611593.15920004</v>
      </c>
      <c r="G1030" s="51">
        <f t="shared" si="50"/>
        <v>1316115.9315920004</v>
      </c>
      <c r="H1030" s="52">
        <f t="shared" si="51"/>
        <v>13840969.765530661</v>
      </c>
    </row>
    <row r="1031" spans="1:8" ht="13.8" x14ac:dyDescent="0.25">
      <c r="A1031" s="41">
        <v>4.2750929368029739E-2</v>
      </c>
      <c r="B1031" s="41">
        <v>16482.6292053</v>
      </c>
      <c r="C1031" s="41">
        <f>C1030+(((A1031+A1030)/2)*(B1031-B1030))</f>
        <v>6321.424983942652</v>
      </c>
      <c r="D1031" s="51">
        <f t="shared" si="48"/>
        <v>55375682.859337635</v>
      </c>
      <c r="E1031" s="54">
        <f t="shared" si="49"/>
        <v>657817.35059440881</v>
      </c>
      <c r="F1031" s="53">
        <f>$K$4*B1031</f>
        <v>131861033.6424</v>
      </c>
      <c r="G1031" s="51">
        <f t="shared" si="50"/>
        <v>1318610.3364240001</v>
      </c>
      <c r="H1031" s="52">
        <f t="shared" si="51"/>
        <v>13843920.714834409</v>
      </c>
    </row>
    <row r="1032" spans="1:8" ht="13.8" x14ac:dyDescent="0.25">
      <c r="A1032" s="40">
        <v>4.1821561338289966E-2</v>
      </c>
      <c r="B1032" s="40">
        <v>16545.288367600002</v>
      </c>
      <c r="C1032" s="41">
        <f>C1031+(((A1032+A1031)/2)*(B1032-B1031))</f>
        <v>6324.0746046532931</v>
      </c>
      <c r="D1032" s="51">
        <f t="shared" si="48"/>
        <v>55398893.536762841</v>
      </c>
      <c r="E1032" s="54">
        <f t="shared" si="49"/>
        <v>613492.69011070952</v>
      </c>
      <c r="F1032" s="53">
        <f>$K$4*B1032</f>
        <v>132362306.94080001</v>
      </c>
      <c r="G1032" s="51">
        <f t="shared" si="50"/>
        <v>1323623.0694080002</v>
      </c>
      <c r="H1032" s="52">
        <f t="shared" si="51"/>
        <v>13849723.38419071</v>
      </c>
    </row>
    <row r="1033" spans="1:8" ht="13.8" x14ac:dyDescent="0.25">
      <c r="A1033" s="41">
        <v>4.0892193308550186E-2</v>
      </c>
      <c r="B1033" s="41">
        <v>16736.296141700004</v>
      </c>
      <c r="C1033" s="41">
        <f>C1032+(((A1033+A1032)/2)*(B1033-B1032))</f>
        <v>6331.9740897345664</v>
      </c>
      <c r="D1033" s="51">
        <f t="shared" si="48"/>
        <v>55468093.026074804</v>
      </c>
      <c r="E1033" s="54">
        <f t="shared" si="49"/>
        <v>477986.34315869957</v>
      </c>
      <c r="F1033" s="53">
        <f>$K$4*B1033</f>
        <v>133890369.13360003</v>
      </c>
      <c r="G1033" s="51">
        <f t="shared" si="50"/>
        <v>1338903.6913360003</v>
      </c>
      <c r="H1033" s="52">
        <f t="shared" si="51"/>
        <v>13867023.256518701</v>
      </c>
    </row>
    <row r="1034" spans="1:8" ht="13.8" x14ac:dyDescent="0.25">
      <c r="A1034" s="40">
        <v>3.9962825278810406E-2</v>
      </c>
      <c r="B1034" s="40">
        <v>16815.821244600003</v>
      </c>
      <c r="C1034" s="41">
        <f>C1033+(((A1034+A1033)/2)*(B1034-B1033))</f>
        <v>6335.1890915711374</v>
      </c>
      <c r="D1034" s="51">
        <f t="shared" si="48"/>
        <v>55496256.442163162</v>
      </c>
      <c r="E1034" s="54">
        <f t="shared" si="49"/>
        <v>421407.11486078985</v>
      </c>
      <c r="F1034" s="53">
        <f>$K$4*B1034</f>
        <v>134526569.95680001</v>
      </c>
      <c r="G1034" s="51">
        <f t="shared" si="50"/>
        <v>1345265.6995680002</v>
      </c>
      <c r="H1034" s="52">
        <f t="shared" si="51"/>
        <v>13874064.11054079</v>
      </c>
    </row>
    <row r="1035" spans="1:8" ht="13.8" x14ac:dyDescent="0.25">
      <c r="A1035" s="41">
        <v>3.9033457249070633E-2</v>
      </c>
      <c r="B1035" s="41">
        <v>16833.404884800002</v>
      </c>
      <c r="C1035" s="41">
        <f>C1034+(((A1035+A1034)/2)*(B1035-B1034))</f>
        <v>6335.8836126756914</v>
      </c>
      <c r="D1035" s="51">
        <f t="shared" si="48"/>
        <v>55502340.44703906</v>
      </c>
      <c r="E1035" s="54">
        <f t="shared" si="49"/>
        <v>408861.20391976275</v>
      </c>
      <c r="F1035" s="53">
        <f>$K$4*B1035</f>
        <v>134667239.07840002</v>
      </c>
      <c r="G1035" s="51">
        <f t="shared" si="50"/>
        <v>1346672.3907840003</v>
      </c>
      <c r="H1035" s="52">
        <f t="shared" si="51"/>
        <v>13875585.111759765</v>
      </c>
    </row>
    <row r="1036" spans="1:8" ht="13.8" x14ac:dyDescent="0.25">
      <c r="A1036" s="40">
        <v>3.8104089219330853E-2</v>
      </c>
      <c r="B1036" s="40">
        <v>16947.3795685</v>
      </c>
      <c r="C1036" s="41">
        <f>C1035+(((A1036+A1035)/2)*(B1036-B1035))</f>
        <v>6340.2794764057562</v>
      </c>
      <c r="D1036" s="51">
        <f t="shared" si="48"/>
        <v>55540848.213314429</v>
      </c>
      <c r="E1036" s="54">
        <f t="shared" si="49"/>
        <v>327308.39852860756</v>
      </c>
      <c r="F1036" s="53">
        <f>$K$4*B1036</f>
        <v>135579036.54800001</v>
      </c>
      <c r="G1036" s="51">
        <f t="shared" si="50"/>
        <v>1355790.3654800002</v>
      </c>
      <c r="H1036" s="52">
        <f t="shared" si="51"/>
        <v>13885212.053328607</v>
      </c>
    </row>
    <row r="1037" spans="1:8" ht="13.8" x14ac:dyDescent="0.25">
      <c r="A1037" s="41">
        <v>3.717472118959108E-2</v>
      </c>
      <c r="B1037" s="41">
        <v>16957.686532200001</v>
      </c>
      <c r="C1037" s="41">
        <f>C1036+(((A1037+A1036)/2)*(B1037-B1036))</f>
        <v>6340.6674243888883</v>
      </c>
      <c r="D1037" s="51">
        <f t="shared" si="48"/>
        <v>55544246.63764666</v>
      </c>
      <c r="E1037" s="54">
        <f t="shared" si="49"/>
        <v>319912.43365166336</v>
      </c>
      <c r="F1037" s="53">
        <f>$K$4*B1037</f>
        <v>135661492.25760001</v>
      </c>
      <c r="G1037" s="51">
        <f t="shared" si="50"/>
        <v>1356614.9225760002</v>
      </c>
      <c r="H1037" s="52">
        <f t="shared" si="51"/>
        <v>13886061.659411665</v>
      </c>
    </row>
    <row r="1038" spans="1:8" ht="13.8" x14ac:dyDescent="0.25">
      <c r="A1038" s="40">
        <v>3.62453531598513E-2</v>
      </c>
      <c r="B1038" s="40">
        <v>17159.220567100001</v>
      </c>
      <c r="C1038" s="41">
        <f>C1037+(((A1038+A1037)/2)*(B1038-B1037))</f>
        <v>6348.0657463020389</v>
      </c>
      <c r="D1038" s="51">
        <f t="shared" si="48"/>
        <v>55609055.937605858</v>
      </c>
      <c r="E1038" s="54">
        <f t="shared" si="49"/>
        <v>174887.53072146513</v>
      </c>
      <c r="F1038" s="53">
        <f>$K$4*B1038</f>
        <v>137273764.5368</v>
      </c>
      <c r="G1038" s="51">
        <f t="shared" si="50"/>
        <v>1372737.645368</v>
      </c>
      <c r="H1038" s="52">
        <f t="shared" si="51"/>
        <v>13902263.984401464</v>
      </c>
    </row>
    <row r="1039" spans="1:8" ht="13.8" x14ac:dyDescent="0.25">
      <c r="A1039" s="41">
        <v>3.5315985130111527E-2</v>
      </c>
      <c r="B1039" s="41">
        <v>17439.262963800003</v>
      </c>
      <c r="C1039" s="41">
        <f>C1038+(((A1039+A1038)/2)*(B1039-B1038))</f>
        <v>6358.0858506449295</v>
      </c>
      <c r="D1039" s="51">
        <f t="shared" si="48"/>
        <v>55696832.051649585</v>
      </c>
      <c r="E1039" s="54">
        <f t="shared" si="49"/>
        <v>-27202.358127603307</v>
      </c>
      <c r="F1039" s="53">
        <f>$K$4*B1039</f>
        <v>139514103.71040002</v>
      </c>
      <c r="G1039" s="51">
        <f t="shared" si="50"/>
        <v>1395141.0371040001</v>
      </c>
      <c r="H1039" s="52">
        <f t="shared" si="51"/>
        <v>13924208.012912396</v>
      </c>
    </row>
    <row r="1040" spans="1:8" ht="13.8" x14ac:dyDescent="0.25">
      <c r="A1040" s="40">
        <v>3.4386617100371747E-2</v>
      </c>
      <c r="B1040" s="40">
        <v>17555.311001900001</v>
      </c>
      <c r="C1040" s="41">
        <f>C1039+(((A1040+A1039)/2)*(B1040-B1039))</f>
        <v>6362.1302757645853</v>
      </c>
      <c r="D1040" s="51">
        <f t="shared" si="48"/>
        <v>55732261.215697765</v>
      </c>
      <c r="E1040" s="54">
        <f t="shared" si="49"/>
        <v>-111183.49759555981</v>
      </c>
      <c r="F1040" s="53">
        <f>$K$4*B1040</f>
        <v>140442488.01520002</v>
      </c>
      <c r="G1040" s="51">
        <f t="shared" si="50"/>
        <v>1404424.8801520001</v>
      </c>
      <c r="H1040" s="52">
        <f t="shared" si="51"/>
        <v>13933065.303924441</v>
      </c>
    </row>
    <row r="1041" spans="1:8" ht="13.8" x14ac:dyDescent="0.25">
      <c r="A1041" s="41">
        <v>3.3457249070631967E-2</v>
      </c>
      <c r="B1041" s="41">
        <v>17590.877004299997</v>
      </c>
      <c r="C1041" s="41">
        <f>C1040+(((A1041+A1040)/2)*(B1041-B1040))</f>
        <v>6363.3367433181165</v>
      </c>
      <c r="D1041" s="51">
        <f t="shared" si="48"/>
        <v>55742829.871466704</v>
      </c>
      <c r="E1041" s="54">
        <f t="shared" si="49"/>
        <v>-136994.13557332195</v>
      </c>
      <c r="F1041" s="53">
        <f>$K$4*B1041</f>
        <v>140727016.03439999</v>
      </c>
      <c r="G1041" s="51">
        <f t="shared" si="50"/>
        <v>1407270.160344</v>
      </c>
      <c r="H1041" s="52">
        <f t="shared" si="51"/>
        <v>13935707.467866676</v>
      </c>
    </row>
    <row r="1042" spans="1:8" ht="13.8" x14ac:dyDescent="0.25">
      <c r="A1042" s="40">
        <v>3.2527881040892194E-2</v>
      </c>
      <c r="B1042" s="40">
        <v>17704.991240700001</v>
      </c>
      <c r="C1042" s="41">
        <f>C1041+(((A1042+A1041)/2)*(B1042-B1041))</f>
        <v>6367.1016646863327</v>
      </c>
      <c r="D1042" s="51">
        <f t="shared" si="48"/>
        <v>55775810.582652278</v>
      </c>
      <c r="E1042" s="54">
        <f t="shared" si="49"/>
        <v>-220040.34689693339</v>
      </c>
      <c r="F1042" s="53">
        <f>$K$4*B1042</f>
        <v>141639929.92560002</v>
      </c>
      <c r="G1042" s="51">
        <f t="shared" si="50"/>
        <v>1416399.2992560002</v>
      </c>
      <c r="H1042" s="52">
        <f t="shared" si="51"/>
        <v>13943952.64566307</v>
      </c>
    </row>
    <row r="1043" spans="1:8" ht="13.8" x14ac:dyDescent="0.25">
      <c r="A1043" s="41">
        <v>3.1598513011152414E-2</v>
      </c>
      <c r="B1043" s="41">
        <v>17730.9081707</v>
      </c>
      <c r="C1043" s="41">
        <f>C1042+(((A1043+A1042)/2)*(B1043-B1042))</f>
        <v>6367.9326443192322</v>
      </c>
      <c r="D1043" s="51">
        <f t="shared" si="48"/>
        <v>55783089.964236468</v>
      </c>
      <c r="E1043" s="54">
        <f t="shared" si="49"/>
        <v>-238954.04550088197</v>
      </c>
      <c r="F1043" s="53">
        <f>$K$4*B1043</f>
        <v>141847265.36559999</v>
      </c>
      <c r="G1043" s="51">
        <f t="shared" si="50"/>
        <v>1418472.653656</v>
      </c>
      <c r="H1043" s="52">
        <f t="shared" si="51"/>
        <v>13945772.491059117</v>
      </c>
    </row>
    <row r="1044" spans="1:8" ht="13.8" x14ac:dyDescent="0.25">
      <c r="A1044" s="40">
        <v>3.0669144981412641E-2</v>
      </c>
      <c r="B1044" s="40">
        <v>17930.3090429</v>
      </c>
      <c r="C1044" s="41">
        <f>C1043+(((A1044+A1043)/2)*(B1044-B1043))</f>
        <v>6374.1407569760167</v>
      </c>
      <c r="D1044" s="51">
        <f t="shared" si="48"/>
        <v>55837473.031109907</v>
      </c>
      <c r="E1044" s="54">
        <f t="shared" si="49"/>
        <v>-384878.97654252313</v>
      </c>
      <c r="F1044" s="53">
        <f>$K$4*B1044</f>
        <v>143442472.3432</v>
      </c>
      <c r="G1044" s="51">
        <f t="shared" si="50"/>
        <v>1434424.723432</v>
      </c>
      <c r="H1044" s="52">
        <f t="shared" si="51"/>
        <v>13959368.257777477</v>
      </c>
    </row>
    <row r="1045" spans="1:8" ht="13.8" x14ac:dyDescent="0.25">
      <c r="A1045" s="41">
        <v>2.9739776951672861E-2</v>
      </c>
      <c r="B1045" s="41">
        <v>18505.545272300002</v>
      </c>
      <c r="C1045" s="41">
        <f>C1044+(((A1045+A1044)/2)*(B1045-B1044))</f>
        <v>6391.5154572134707</v>
      </c>
      <c r="D1045" s="51">
        <f t="shared" si="48"/>
        <v>55989675.405190006</v>
      </c>
      <c r="E1045" s="54">
        <f t="shared" si="49"/>
        <v>-807017.36654249951</v>
      </c>
      <c r="F1045" s="53">
        <f>$K$4*B1045</f>
        <v>148044362.17840001</v>
      </c>
      <c r="G1045" s="51">
        <f t="shared" si="50"/>
        <v>1480443.6217840002</v>
      </c>
      <c r="H1045" s="52">
        <f t="shared" si="51"/>
        <v>13997418.851297501</v>
      </c>
    </row>
    <row r="1046" spans="1:8" ht="13.8" x14ac:dyDescent="0.25">
      <c r="A1046" s="40">
        <v>2.8810408921933085E-2</v>
      </c>
      <c r="B1046" s="40">
        <v>19032.057673300002</v>
      </c>
      <c r="C1046" s="41">
        <f>C1045+(((A1046+A1045)/2)*(B1046-B1045))</f>
        <v>6406.9291566851252</v>
      </c>
      <c r="D1046" s="51">
        <f t="shared" si="48"/>
        <v>56124699.4125617</v>
      </c>
      <c r="E1046" s="54">
        <f t="shared" si="49"/>
        <v>-1194471.2854995765</v>
      </c>
      <c r="F1046" s="53">
        <f>$K$4*B1046</f>
        <v>152256461.38640001</v>
      </c>
      <c r="G1046" s="51">
        <f t="shared" si="50"/>
        <v>1522564.6138640002</v>
      </c>
      <c r="H1046" s="52">
        <f t="shared" si="51"/>
        <v>14031174.853140425</v>
      </c>
    </row>
    <row r="1047" spans="1:8" ht="13.8" x14ac:dyDescent="0.25">
      <c r="A1047" s="41">
        <v>2.7881040892193308E-2</v>
      </c>
      <c r="B1047" s="41">
        <v>19032.99467</v>
      </c>
      <c r="C1047" s="41">
        <f>C1046+(((A1047+A1046)/2)*(B1047-B1046))</f>
        <v>6406.9557165358219</v>
      </c>
      <c r="D1047" s="51">
        <f t="shared" si="48"/>
        <v>56124932.076853804</v>
      </c>
      <c r="E1047" s="54">
        <f t="shared" si="49"/>
        <v>-1195162.7167865504</v>
      </c>
      <c r="F1047" s="53">
        <f>$K$4*B1047</f>
        <v>152263957.36000001</v>
      </c>
      <c r="G1047" s="51">
        <f t="shared" si="50"/>
        <v>1522639.5736000002</v>
      </c>
      <c r="H1047" s="52">
        <f t="shared" si="51"/>
        <v>14031233.019213451</v>
      </c>
    </row>
    <row r="1048" spans="1:8" ht="13.8" x14ac:dyDescent="0.25">
      <c r="A1048" s="40">
        <v>2.6951672862453532E-2</v>
      </c>
      <c r="B1048" s="40">
        <v>19204.485002199999</v>
      </c>
      <c r="C1048" s="41">
        <f>C1047+(((A1048+A1047)/2)*(B1048-B1047))</f>
        <v>6411.6573566844281</v>
      </c>
      <c r="D1048" s="51">
        <f t="shared" si="48"/>
        <v>56166118.444555596</v>
      </c>
      <c r="E1048" s="54">
        <f t="shared" si="49"/>
        <v>-1322058.3906211015</v>
      </c>
      <c r="F1048" s="53">
        <f>$K$4*B1048</f>
        <v>153635880.0176</v>
      </c>
      <c r="G1048" s="51">
        <f t="shared" si="50"/>
        <v>1536358.800176</v>
      </c>
      <c r="H1048" s="52">
        <f t="shared" si="51"/>
        <v>14041529.611138899</v>
      </c>
    </row>
    <row r="1049" spans="1:8" ht="13.8" x14ac:dyDescent="0.25">
      <c r="A1049" s="41">
        <v>2.6022304832713755E-2</v>
      </c>
      <c r="B1049" s="41">
        <v>19248.783016400004</v>
      </c>
      <c r="C1049" s="41">
        <f>C1048+(((A1049+A1048)/2)*(B1049-B1048))</f>
        <v>6412.8306776925137</v>
      </c>
      <c r="D1049" s="51">
        <f t="shared" si="48"/>
        <v>56176396.736586422</v>
      </c>
      <c r="E1049" s="54">
        <f t="shared" si="49"/>
        <v>-1354927.2289733998</v>
      </c>
      <c r="F1049" s="53">
        <f>$K$4*B1049</f>
        <v>153990264.13120005</v>
      </c>
      <c r="G1049" s="51">
        <f t="shared" si="50"/>
        <v>1539902.6413120006</v>
      </c>
      <c r="H1049" s="52">
        <f t="shared" si="51"/>
        <v>14044099.184146605</v>
      </c>
    </row>
    <row r="1050" spans="1:8" ht="13.8" x14ac:dyDescent="0.25">
      <c r="A1050" s="40">
        <v>2.5092936802973979E-2</v>
      </c>
      <c r="B1050" s="40">
        <v>19289.990935099999</v>
      </c>
      <c r="C1050" s="41">
        <f>C1049+(((A1050+A1049)/2)*(B1050-B1049))</f>
        <v>6413.8838540533407</v>
      </c>
      <c r="D1050" s="51">
        <f t="shared" si="48"/>
        <v>56185622.56150727</v>
      </c>
      <c r="E1050" s="54">
        <f t="shared" si="49"/>
        <v>-1385587.1077031828</v>
      </c>
      <c r="F1050" s="53">
        <f>$K$4*B1050</f>
        <v>154319927.4808</v>
      </c>
      <c r="G1050" s="51">
        <f t="shared" si="50"/>
        <v>1543199.2748080001</v>
      </c>
      <c r="H1050" s="52">
        <f t="shared" si="51"/>
        <v>14046405.640376817</v>
      </c>
    </row>
    <row r="1051" spans="1:8" ht="13.8" x14ac:dyDescent="0.25">
      <c r="A1051" s="41">
        <v>2.4163568773234202E-2</v>
      </c>
      <c r="B1051" s="41">
        <v>19672.425141400003</v>
      </c>
      <c r="C1051" s="41">
        <f>C1050+(((A1051+A1050)/2)*(B1051-B1050))</f>
        <v>6423.3025403609154</v>
      </c>
      <c r="D1051" s="51">
        <f t="shared" si="48"/>
        <v>56268130.253561623</v>
      </c>
      <c r="E1051" s="54">
        <f t="shared" si="49"/>
        <v>-1670907.549729595</v>
      </c>
      <c r="F1051" s="53">
        <f>$K$4*B1051</f>
        <v>157379401.13120002</v>
      </c>
      <c r="G1051" s="51">
        <f t="shared" si="50"/>
        <v>1573794.0113120002</v>
      </c>
      <c r="H1051" s="52">
        <f t="shared" si="51"/>
        <v>14067032.563390406</v>
      </c>
    </row>
    <row r="1052" spans="1:8" ht="13.8" x14ac:dyDescent="0.25">
      <c r="A1052" s="40">
        <v>2.3234200743494422E-2</v>
      </c>
      <c r="B1052" s="40">
        <v>19856.574897100003</v>
      </c>
      <c r="C1052" s="41">
        <f>C1051+(((A1052+A1051)/2)*(B1052-B1051))</f>
        <v>6427.6666841995302</v>
      </c>
      <c r="D1052" s="51">
        <f t="shared" si="48"/>
        <v>56306360.153587878</v>
      </c>
      <c r="E1052" s="54">
        <f t="shared" si="49"/>
        <v>-1808669.8792830314</v>
      </c>
      <c r="F1052" s="53">
        <f>$K$4*B1052</f>
        <v>158852599.17680001</v>
      </c>
      <c r="G1052" s="51">
        <f t="shared" si="50"/>
        <v>1588525.9917680002</v>
      </c>
      <c r="H1052" s="52">
        <f t="shared" si="51"/>
        <v>14076590.038396969</v>
      </c>
    </row>
    <row r="1053" spans="1:8" ht="13.8" x14ac:dyDescent="0.25">
      <c r="A1053" s="41">
        <v>2.2304832713754646E-2</v>
      </c>
      <c r="B1053" s="41">
        <v>19860.861158599997</v>
      </c>
      <c r="C1053" s="41">
        <f>C1052+(((A1053+A1052)/2)*(B1053-B1052))</f>
        <v>6427.7642803024573</v>
      </c>
      <c r="D1053" s="51">
        <f t="shared" si="48"/>
        <v>56307215.09544953</v>
      </c>
      <c r="E1053" s="54">
        <f t="shared" si="49"/>
        <v>-1811885.1530176159</v>
      </c>
      <c r="F1053" s="53">
        <f>$K$4*B1053</f>
        <v>158886889.26879999</v>
      </c>
      <c r="G1053" s="51">
        <f t="shared" si="50"/>
        <v>1588868.8926879999</v>
      </c>
      <c r="H1053" s="52">
        <f t="shared" si="51"/>
        <v>14076803.773862382</v>
      </c>
    </row>
    <row r="1054" spans="1:8" ht="13.8" x14ac:dyDescent="0.25">
      <c r="A1054" s="40">
        <v>2.1375464684014869E-2</v>
      </c>
      <c r="B1054" s="40">
        <v>19891.502944300002</v>
      </c>
      <c r="C1054" s="41">
        <f>C1053+(((A1054+A1053)/2)*(B1054-B1053))</f>
        <v>6428.4335014585449</v>
      </c>
      <c r="D1054" s="51">
        <f t="shared" si="48"/>
        <v>56313077.472776853</v>
      </c>
      <c r="E1054" s="54">
        <f t="shared" si="49"/>
        <v>-1834932.9872457888</v>
      </c>
      <c r="F1054" s="53">
        <f>$K$4*B1054</f>
        <v>159132023.55440003</v>
      </c>
      <c r="G1054" s="51">
        <f t="shared" si="50"/>
        <v>1591320.2355440003</v>
      </c>
      <c r="H1054" s="52">
        <f t="shared" si="51"/>
        <v>14078269.368194213</v>
      </c>
    </row>
    <row r="1055" spans="1:8" ht="13.8" x14ac:dyDescent="0.25">
      <c r="A1055" s="41">
        <v>2.0446096654275093E-2</v>
      </c>
      <c r="B1055" s="41">
        <v>20087.414999000001</v>
      </c>
      <c r="C1055" s="41">
        <f>C1054+(((A1055+A1054)/2)*(B1055-B1054))</f>
        <v>6432.5301754648181</v>
      </c>
      <c r="D1055" s="51">
        <f t="shared" si="48"/>
        <v>56348964.337071806</v>
      </c>
      <c r="E1055" s="54">
        <f t="shared" si="49"/>
        <v>-1982690.9149320498</v>
      </c>
      <c r="F1055" s="53">
        <f>$K$4*B1055</f>
        <v>160699319.99200001</v>
      </c>
      <c r="G1055" s="51">
        <f t="shared" si="50"/>
        <v>1606993.1999200003</v>
      </c>
      <c r="H1055" s="52">
        <f t="shared" si="51"/>
        <v>14087241.084267952</v>
      </c>
    </row>
    <row r="1056" spans="1:8" ht="13.8" x14ac:dyDescent="0.25">
      <c r="A1056" s="40">
        <v>1.9516728624535316E-2</v>
      </c>
      <c r="B1056" s="40">
        <v>20281.2138271</v>
      </c>
      <c r="C1056" s="41">
        <f>C1055+(((A1056+A1055)/2)*(B1056-B1055))</f>
        <v>6436.4025498181172</v>
      </c>
      <c r="D1056" s="51">
        <f t="shared" si="48"/>
        <v>56382886.336406708</v>
      </c>
      <c r="E1056" s="54">
        <f t="shared" si="49"/>
        <v>-2129249.4775783233</v>
      </c>
      <c r="F1056" s="53">
        <f>$K$4*B1056</f>
        <v>162249710.61680001</v>
      </c>
      <c r="G1056" s="51">
        <f t="shared" si="50"/>
        <v>1622497.106168</v>
      </c>
      <c r="H1056" s="52">
        <f t="shared" si="51"/>
        <v>14095721.584101677</v>
      </c>
    </row>
    <row r="1057" spans="1:8" ht="13.8" x14ac:dyDescent="0.25">
      <c r="A1057" s="41">
        <v>1.858736059479554E-2</v>
      </c>
      <c r="B1057" s="41">
        <v>20378.1431453</v>
      </c>
      <c r="C1057" s="41">
        <f>C1056+(((A1057+A1056)/2)*(B1057-B1056))</f>
        <v>6438.2492515124477</v>
      </c>
      <c r="D1057" s="51">
        <f t="shared" si="48"/>
        <v>56399063.443249047</v>
      </c>
      <c r="E1057" s="54">
        <f t="shared" si="49"/>
        <v>-2202748.655427739</v>
      </c>
      <c r="F1057" s="53">
        <f>$K$4*B1057</f>
        <v>163025145.16240001</v>
      </c>
      <c r="G1057" s="51">
        <f t="shared" si="50"/>
        <v>1630251.4516240002</v>
      </c>
      <c r="H1057" s="52">
        <f t="shared" si="51"/>
        <v>14099765.860812262</v>
      </c>
    </row>
    <row r="1058" spans="1:8" ht="13.8" x14ac:dyDescent="0.25">
      <c r="A1058" s="40">
        <v>1.7657992565055763E-2</v>
      </c>
      <c r="B1058" s="40">
        <v>20444.789527600002</v>
      </c>
      <c r="C1058" s="41">
        <f>C1057+(((A1058+A1057)/2)*(B1058-B1057))</f>
        <v>6439.4570623440923</v>
      </c>
      <c r="D1058" s="51">
        <f t="shared" si="48"/>
        <v>56409643.866134249</v>
      </c>
      <c r="E1058" s="54">
        <f t="shared" si="49"/>
        <v>-2253420.6555464379</v>
      </c>
      <c r="F1058" s="53">
        <f>$K$4*B1058</f>
        <v>163558316.22080001</v>
      </c>
      <c r="G1058" s="51">
        <f t="shared" si="50"/>
        <v>1635583.1622080002</v>
      </c>
      <c r="H1058" s="52">
        <f t="shared" si="51"/>
        <v>14102410.966533562</v>
      </c>
    </row>
    <row r="1059" spans="1:8" ht="13.8" x14ac:dyDescent="0.25">
      <c r="A1059" s="41">
        <v>1.6728624535315983E-2</v>
      </c>
      <c r="B1059" s="41">
        <v>20602.444206400003</v>
      </c>
      <c r="C1059" s="41">
        <f>C1058+(((A1059+A1058)/2)*(B1059-B1058))</f>
        <v>6442.1676678810809</v>
      </c>
      <c r="D1059" s="51">
        <f t="shared" si="48"/>
        <v>56433388.770638272</v>
      </c>
      <c r="E1059" s="54">
        <f t="shared" si="49"/>
        <v>-2373608.172460435</v>
      </c>
      <c r="F1059" s="53">
        <f>$K$4*B1059</f>
        <v>164819553.65120003</v>
      </c>
      <c r="G1059" s="51">
        <f t="shared" si="50"/>
        <v>1648195.5365120003</v>
      </c>
      <c r="H1059" s="52">
        <f t="shared" si="51"/>
        <v>14108347.192659568</v>
      </c>
    </row>
    <row r="1060" spans="1:8" ht="13.8" x14ac:dyDescent="0.25">
      <c r="A1060" s="40">
        <v>1.5799256505576207E-2</v>
      </c>
      <c r="B1060" s="40">
        <v>21127.361719399996</v>
      </c>
      <c r="C1060" s="41">
        <f>C1059+(((A1060+A1059)/2)*(B1060-B1059))</f>
        <v>6450.7048950906528</v>
      </c>
      <c r="D1060" s="51">
        <f t="shared" si="48"/>
        <v>56508174.880994119</v>
      </c>
      <c r="E1060" s="54">
        <f t="shared" si="49"/>
        <v>-2774845.6552714668</v>
      </c>
      <c r="F1060" s="53">
        <f>$K$4*B1060</f>
        <v>169018893.75519997</v>
      </c>
      <c r="G1060" s="51">
        <f t="shared" si="50"/>
        <v>1690188.9375519997</v>
      </c>
      <c r="H1060" s="52">
        <f t="shared" si="51"/>
        <v>14127043.72024853</v>
      </c>
    </row>
    <row r="1061" spans="1:8" ht="13.8" x14ac:dyDescent="0.25">
      <c r="A1061" s="41">
        <v>1.4869888475836431E-2</v>
      </c>
      <c r="B1061" s="41">
        <v>21681.844468699994</v>
      </c>
      <c r="C1061" s="41">
        <f>C1060+(((A1061+A1060)/2)*(B1061-B1060))</f>
        <v>6459.20765100464</v>
      </c>
      <c r="D1061" s="51">
        <f t="shared" si="48"/>
        <v>56582659.022800647</v>
      </c>
      <c r="E1061" s="54">
        <f t="shared" si="49"/>
        <v>-3199810.8192598354</v>
      </c>
      <c r="F1061" s="53">
        <f>$K$4*B1061</f>
        <v>173454755.74959996</v>
      </c>
      <c r="G1061" s="51">
        <f t="shared" si="50"/>
        <v>1734547.5574959996</v>
      </c>
      <c r="H1061" s="52">
        <f t="shared" si="51"/>
        <v>14145664.755700162</v>
      </c>
    </row>
    <row r="1062" spans="1:8" ht="13.8" x14ac:dyDescent="0.25">
      <c r="A1062" s="40">
        <v>1.3940520446096654E-2</v>
      </c>
      <c r="B1062" s="40">
        <v>21977.197790200004</v>
      </c>
      <c r="C1062" s="41">
        <f>C1061+(((A1062+A1061)/2)*(B1062-B1061))</f>
        <v>6463.4622759890735</v>
      </c>
      <c r="D1062" s="51">
        <f t="shared" si="48"/>
        <v>56619929.537664287</v>
      </c>
      <c r="E1062" s="54">
        <f t="shared" si="49"/>
        <v>-3426775.8477439303</v>
      </c>
      <c r="F1062" s="53">
        <f>$K$4*B1062</f>
        <v>175817582.32160002</v>
      </c>
      <c r="G1062" s="51">
        <f t="shared" si="50"/>
        <v>1758175.8232160003</v>
      </c>
      <c r="H1062" s="52">
        <f t="shared" si="51"/>
        <v>14154982.384416072</v>
      </c>
    </row>
    <row r="1063" spans="1:8" ht="13.8" x14ac:dyDescent="0.25">
      <c r="A1063" s="41">
        <v>1.3011152416356878E-2</v>
      </c>
      <c r="B1063" s="41">
        <v>22566.508906200001</v>
      </c>
      <c r="C1063" s="41">
        <f>C1062+(((A1063+A1062)/2)*(B1063-B1062))</f>
        <v>6471.4037361953933</v>
      </c>
      <c r="D1063" s="51">
        <f t="shared" si="48"/>
        <v>56689496.729071647</v>
      </c>
      <c r="E1063" s="54">
        <f t="shared" si="49"/>
        <v>-3880832.9426920861</v>
      </c>
      <c r="F1063" s="53">
        <f>$K$4*B1063</f>
        <v>180532071.24959999</v>
      </c>
      <c r="G1063" s="51">
        <f t="shared" si="50"/>
        <v>1805320.7124959999</v>
      </c>
      <c r="H1063" s="52">
        <f t="shared" si="51"/>
        <v>14172374.182267912</v>
      </c>
    </row>
    <row r="1064" spans="1:8" ht="13.8" x14ac:dyDescent="0.25">
      <c r="A1064" s="40">
        <v>1.2081784386617101E-2</v>
      </c>
      <c r="B1064" s="40">
        <v>22759.5501625</v>
      </c>
      <c r="C1064" s="41">
        <f>C1063+(((A1064+A1063)/2)*(B1064-B1063))</f>
        <v>6473.8257222177444</v>
      </c>
      <c r="D1064" s="51">
        <f t="shared" si="48"/>
        <v>56710713.326627441</v>
      </c>
      <c r="E1064" s="54">
        <f t="shared" si="49"/>
        <v>-4029961.7983431406</v>
      </c>
      <c r="F1064" s="53">
        <f>$K$4*B1064</f>
        <v>182076401.30000001</v>
      </c>
      <c r="G1064" s="51">
        <f t="shared" si="50"/>
        <v>1820764.0130000003</v>
      </c>
      <c r="H1064" s="52">
        <f t="shared" si="51"/>
        <v>14177678.33165686</v>
      </c>
    </row>
    <row r="1065" spans="1:8" ht="13.8" x14ac:dyDescent="0.25">
      <c r="A1065" s="41">
        <v>1.1152416356877323E-2</v>
      </c>
      <c r="B1065" s="41">
        <v>22969.317806699997</v>
      </c>
      <c r="C1065" s="41">
        <f>C1064+(((A1065+A1064)/2)*(B1065-B1064))</f>
        <v>6476.2626139951608</v>
      </c>
      <c r="D1065" s="51">
        <f t="shared" si="48"/>
        <v>56732060.498597607</v>
      </c>
      <c r="E1065" s="54">
        <f t="shared" si="49"/>
        <v>-4192439.1207105983</v>
      </c>
      <c r="F1065" s="53">
        <f>$K$4*B1065</f>
        <v>183754542.45359999</v>
      </c>
      <c r="G1065" s="51">
        <f t="shared" si="50"/>
        <v>1837545.424536</v>
      </c>
      <c r="H1065" s="52">
        <f t="shared" si="51"/>
        <v>14183015.124649402</v>
      </c>
    </row>
    <row r="1066" spans="1:8" ht="13.8" x14ac:dyDescent="0.25">
      <c r="A1066" s="40">
        <v>1.0223048327137546E-2</v>
      </c>
      <c r="B1066" s="40">
        <v>23063.336454300003</v>
      </c>
      <c r="C1066" s="41">
        <f>C1065+(((A1066+A1065)/2)*(B1066-B1065))</f>
        <v>6477.2674601358667</v>
      </c>
      <c r="D1066" s="51">
        <f t="shared" si="48"/>
        <v>56740862.950790189</v>
      </c>
      <c r="E1066" s="54">
        <f t="shared" si="49"/>
        <v>-4265453.425742453</v>
      </c>
      <c r="F1066" s="53">
        <f>$K$4*B1066</f>
        <v>184506691.63440001</v>
      </c>
      <c r="G1066" s="51">
        <f t="shared" si="50"/>
        <v>1845066.916344</v>
      </c>
      <c r="H1066" s="52">
        <f t="shared" si="51"/>
        <v>14185215.737697547</v>
      </c>
    </row>
    <row r="1067" spans="1:8" ht="13.8" x14ac:dyDescent="0.25">
      <c r="A1067" s="41">
        <v>9.2936802973977699E-3</v>
      </c>
      <c r="B1067" s="41">
        <v>24114.846112700005</v>
      </c>
      <c r="C1067" s="41">
        <f>C1066+(((A1067+A1066)/2)*(B1067-B1066))</f>
        <v>6487.5284744604023</v>
      </c>
      <c r="D1067" s="51">
        <f t="shared" si="48"/>
        <v>56830749.43627312</v>
      </c>
      <c r="E1067" s="54">
        <f t="shared" si="49"/>
        <v>-5084189.5310917236</v>
      </c>
      <c r="F1067" s="53">
        <f>$K$4*B1067</f>
        <v>192918768.90160003</v>
      </c>
      <c r="G1067" s="51">
        <f t="shared" si="50"/>
        <v>1929187.6890160004</v>
      </c>
      <c r="H1067" s="52">
        <f t="shared" si="51"/>
        <v>14207687.35906828</v>
      </c>
    </row>
    <row r="1068" spans="1:8" ht="13.8" x14ac:dyDescent="0.25">
      <c r="A1068" s="40">
        <v>8.3643122676579917E-3</v>
      </c>
      <c r="B1068" s="40">
        <v>25060.196038600003</v>
      </c>
      <c r="C1068" s="41">
        <f>C1067+(((A1068+A1067)/2)*(B1068-B1067))</f>
        <v>6495.8749654418616</v>
      </c>
      <c r="D1068" s="51">
        <f t="shared" si="48"/>
        <v>56903864.697270714</v>
      </c>
      <c r="E1068" s="54">
        <f t="shared" si="49"/>
        <v>-5822190.6565623228</v>
      </c>
      <c r="F1068" s="53">
        <f>$K$4*B1068</f>
        <v>200481568.30880001</v>
      </c>
      <c r="G1068" s="51">
        <f t="shared" si="50"/>
        <v>2004815.6830880002</v>
      </c>
      <c r="H1068" s="52">
        <f t="shared" si="51"/>
        <v>14225966.174317678</v>
      </c>
    </row>
    <row r="1069" spans="1:8" ht="13.8" x14ac:dyDescent="0.25">
      <c r="A1069" s="41">
        <v>7.4349442379182153E-3</v>
      </c>
      <c r="B1069" s="41">
        <v>25760.491423300002</v>
      </c>
      <c r="C1069" s="41">
        <f>C1068+(((A1069+A1068)/2)*(B1069-B1068))</f>
        <v>6501.4070386481344</v>
      </c>
      <c r="D1069" s="51">
        <f t="shared" si="48"/>
        <v>56952325.658557661</v>
      </c>
      <c r="E1069" s="54">
        <f t="shared" si="49"/>
        <v>-6370311.7240005862</v>
      </c>
      <c r="F1069" s="53">
        <f>$K$4*B1069</f>
        <v>206083931.38640001</v>
      </c>
      <c r="G1069" s="51">
        <f t="shared" si="50"/>
        <v>2060839.3138640001</v>
      </c>
      <c r="H1069" s="52">
        <f t="shared" si="51"/>
        <v>14238081.414639415</v>
      </c>
    </row>
    <row r="1070" spans="1:8" ht="13.8" x14ac:dyDescent="0.25">
      <c r="A1070" s="40">
        <v>6.5055762081784388E-3</v>
      </c>
      <c r="B1070" s="40">
        <v>26126.259050000004</v>
      </c>
      <c r="C1070" s="41">
        <f>C1069+(((A1070+A1069)/2)*(B1070-B1069))</f>
        <v>6503.9565341874004</v>
      </c>
      <c r="D1070" s="51">
        <f t="shared" si="48"/>
        <v>56974659.239481628</v>
      </c>
      <c r="E1070" s="54">
        <f t="shared" si="49"/>
        <v>-6657342.4301295951</v>
      </c>
      <c r="F1070" s="53">
        <f>$K$4*B1070</f>
        <v>209010072.40000004</v>
      </c>
      <c r="G1070" s="51">
        <f t="shared" si="50"/>
        <v>2090100.7240000004</v>
      </c>
      <c r="H1070" s="52">
        <f t="shared" si="51"/>
        <v>14243664.809870407</v>
      </c>
    </row>
    <row r="1071" spans="1:8" ht="13.8" x14ac:dyDescent="0.25">
      <c r="A1071" s="41">
        <v>5.5762081784386614E-3</v>
      </c>
      <c r="B1071" s="41">
        <v>26724.322113900009</v>
      </c>
      <c r="C1071" s="41">
        <f>C1070+(((A1071+A1070)/2)*(B1071-B1070))</f>
        <v>6507.5693686812201</v>
      </c>
      <c r="D1071" s="51">
        <f t="shared" si="48"/>
        <v>57006307.669647492</v>
      </c>
      <c r="E1071" s="54">
        <f t="shared" si="49"/>
        <v>-7127880.7737081349</v>
      </c>
      <c r="F1071" s="53">
        <f>$K$4*B1071</f>
        <v>213794576.91120008</v>
      </c>
      <c r="G1071" s="51">
        <f t="shared" si="50"/>
        <v>2137945.7691120007</v>
      </c>
      <c r="H1071" s="52">
        <f t="shared" si="51"/>
        <v>14251576.917411873</v>
      </c>
    </row>
    <row r="1072" spans="1:8" ht="13.8" x14ac:dyDescent="0.25">
      <c r="A1072" s="40">
        <v>4.646840148698885E-3</v>
      </c>
      <c r="B1072" s="40">
        <v>27179.403468600005</v>
      </c>
      <c r="C1072" s="41">
        <f>C1071+(((A1072+A1071)/2)*(B1072-B1071))</f>
        <v>6509.8955280221589</v>
      </c>
      <c r="D1072" s="51">
        <f t="shared" si="48"/>
        <v>57026684.825474113</v>
      </c>
      <c r="E1072" s="54">
        <f t="shared" si="49"/>
        <v>-7486851.5685114749</v>
      </c>
      <c r="F1072" s="53">
        <f>$K$4*B1072</f>
        <v>217435227.74880004</v>
      </c>
      <c r="G1072" s="51">
        <f t="shared" si="50"/>
        <v>2174352.2774880002</v>
      </c>
      <c r="H1072" s="52">
        <f t="shared" si="51"/>
        <v>14256671.206368528</v>
      </c>
    </row>
    <row r="1073" spans="1:8" ht="13.8" x14ac:dyDescent="0.25">
      <c r="A1073" s="41">
        <v>3.7174721189591076E-3</v>
      </c>
      <c r="B1073" s="41">
        <v>27333.469649399995</v>
      </c>
      <c r="C1073" s="41">
        <f>C1072+(((A1073+A1072)/2)*(B1073-B1072))</f>
        <v>6510.5398568452074</v>
      </c>
      <c r="D1073" s="51">
        <f t="shared" si="48"/>
        <v>57032329.145964019</v>
      </c>
      <c r="E1073" s="54">
        <f t="shared" si="49"/>
        <v>-7608693.4330289904</v>
      </c>
      <c r="F1073" s="53">
        <f>$K$4*B1073</f>
        <v>218667757.19519997</v>
      </c>
      <c r="G1073" s="51">
        <f t="shared" si="50"/>
        <v>2186677.5719519998</v>
      </c>
      <c r="H1073" s="52">
        <f t="shared" si="51"/>
        <v>14258082.286491005</v>
      </c>
    </row>
    <row r="1074" spans="1:8" ht="13.8" x14ac:dyDescent="0.25">
      <c r="A1074" s="40">
        <v>2.7881040892193307E-3</v>
      </c>
      <c r="B1074" s="40">
        <v>27583.568023900007</v>
      </c>
      <c r="C1074" s="41">
        <f>C1073+(((A1074+A1073)/2)*(B1074-B1073))</f>
        <v>6511.3533738626329</v>
      </c>
      <c r="D1074" s="51">
        <f t="shared" si="48"/>
        <v>57039455.555036664</v>
      </c>
      <c r="E1074" s="54">
        <f t="shared" si="49"/>
        <v>-7806990.5303608384</v>
      </c>
      <c r="F1074" s="53">
        <f>$K$4*B1074</f>
        <v>220668544.19120005</v>
      </c>
      <c r="G1074" s="51">
        <f t="shared" si="50"/>
        <v>2206685.4419120005</v>
      </c>
      <c r="H1074" s="52">
        <f t="shared" si="51"/>
        <v>14259863.888759166</v>
      </c>
    </row>
    <row r="1075" spans="1:8" ht="13.8" x14ac:dyDescent="0.25">
      <c r="A1075" s="41">
        <v>1.8587360594795538E-3</v>
      </c>
      <c r="B1075" s="41">
        <v>27782.889151700001</v>
      </c>
      <c r="C1075" s="41">
        <f>C1074+(((A1075+A1074)/2)*(B1075-B1074))</f>
        <v>6511.8164805722054</v>
      </c>
      <c r="D1075" s="51">
        <f t="shared" si="48"/>
        <v>57043512.369812518</v>
      </c>
      <c r="E1075" s="54">
        <f t="shared" si="49"/>
        <v>-7965433.2289068718</v>
      </c>
      <c r="F1075" s="53">
        <f>$K$4*B1075</f>
        <v>222263113.21360001</v>
      </c>
      <c r="G1075" s="51">
        <f t="shared" si="50"/>
        <v>2222631.1321360003</v>
      </c>
      <c r="H1075" s="52">
        <f t="shared" si="51"/>
        <v>14260878.09245313</v>
      </c>
    </row>
    <row r="1076" spans="1:8" ht="13.8" x14ac:dyDescent="0.25">
      <c r="A1076" s="40">
        <v>9.2936802973977691E-4</v>
      </c>
      <c r="B1076" s="40">
        <v>28530.7121988</v>
      </c>
      <c r="C1076" s="41">
        <f>C1075+(((A1076+A1075)/2)*(B1076-B1075))</f>
        <v>6512.8589848200218</v>
      </c>
      <c r="D1076" s="51">
        <f t="shared" si="48"/>
        <v>57052644.70702339</v>
      </c>
      <c r="E1076" s="54">
        <f t="shared" si="49"/>
        <v>-8561408.5822841525</v>
      </c>
      <c r="F1076" s="53">
        <f>$K$4*B1076</f>
        <v>228245697.59040001</v>
      </c>
      <c r="G1076" s="51">
        <f t="shared" si="50"/>
        <v>2282456.975904</v>
      </c>
      <c r="H1076" s="52">
        <f t="shared" si="51"/>
        <v>14263161.176755847</v>
      </c>
    </row>
    <row r="1078" spans="1:8" x14ac:dyDescent="0.25">
      <c r="E1078" s="45">
        <f>MAX(E2:E1076)</f>
        <v>5145605.7915037395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FF6-4D2E-4594-B5B0-2F0369BA211B}">
  <dimension ref="A1:G1076"/>
  <sheetViews>
    <sheetView showGridLines="0" workbookViewId="0">
      <selection activeCell="G4" sqref="G4"/>
    </sheetView>
  </sheetViews>
  <sheetFormatPr defaultColWidth="13.21875" defaultRowHeight="13.2" x14ac:dyDescent="0.25"/>
  <cols>
    <col min="1" max="1" width="13.33203125" bestFit="1" customWidth="1"/>
    <col min="2" max="2" width="13.5546875" bestFit="1" customWidth="1"/>
    <col min="3" max="3" width="32.77734375" bestFit="1" customWidth="1"/>
    <col min="4" max="4" width="21.33203125" bestFit="1" customWidth="1"/>
    <col min="6" max="6" width="22.6640625" bestFit="1" customWidth="1"/>
    <col min="7" max="7" width="18.5546875" bestFit="1" customWidth="1"/>
  </cols>
  <sheetData>
    <row r="1" spans="1:7" ht="19.95" customHeight="1" x14ac:dyDescent="0.25">
      <c r="A1" s="39" t="s">
        <v>9</v>
      </c>
      <c r="B1" s="49" t="s">
        <v>45</v>
      </c>
      <c r="C1" s="62" t="s">
        <v>12</v>
      </c>
      <c r="D1" s="63" t="s">
        <v>1</v>
      </c>
      <c r="E1" s="2"/>
      <c r="F1" s="68" t="s">
        <v>36</v>
      </c>
      <c r="G1" s="68"/>
    </row>
    <row r="2" spans="1:7" ht="13.8" x14ac:dyDescent="0.25">
      <c r="A2" s="64">
        <v>652.88733890000003</v>
      </c>
      <c r="B2" s="86">
        <f>A2*24*365</f>
        <v>5719293.0887640007</v>
      </c>
      <c r="C2" s="65">
        <v>801722.59480964777</v>
      </c>
      <c r="D2" s="66">
        <v>43.020620277777788</v>
      </c>
      <c r="F2" s="67" t="s">
        <v>32</v>
      </c>
      <c r="G2" s="69" t="s">
        <v>37</v>
      </c>
    </row>
    <row r="3" spans="1:7" ht="13.8" x14ac:dyDescent="0.25">
      <c r="A3" s="41">
        <v>819.75249590000021</v>
      </c>
      <c r="B3" s="86">
        <f t="shared" ref="B3:B66" si="0">A3*24*365</f>
        <v>7181031.8640840016</v>
      </c>
      <c r="C3" s="54">
        <v>1137617.7022815433</v>
      </c>
      <c r="D3" s="20">
        <v>18.661795055555558</v>
      </c>
      <c r="F3" s="67" t="s">
        <v>33</v>
      </c>
      <c r="G3" s="69" t="s">
        <v>38</v>
      </c>
    </row>
    <row r="4" spans="1:7" ht="13.8" x14ac:dyDescent="0.25">
      <c r="A4" s="40">
        <v>916.7216863000001</v>
      </c>
      <c r="B4" s="86">
        <f t="shared" si="0"/>
        <v>8030481.971988</v>
      </c>
      <c r="C4" s="54">
        <v>1271911.4695793279</v>
      </c>
      <c r="D4" s="20">
        <v>16.923838611111112</v>
      </c>
      <c r="F4" s="67" t="s">
        <v>34</v>
      </c>
      <c r="G4" s="69" t="s">
        <v>46</v>
      </c>
    </row>
    <row r="5" spans="1:7" ht="13.8" x14ac:dyDescent="0.25">
      <c r="A5" s="41">
        <v>921.58609469999988</v>
      </c>
      <c r="B5" s="86">
        <f t="shared" si="0"/>
        <v>8073094.1895719981</v>
      </c>
      <c r="C5" s="54">
        <v>1278638.3451267157</v>
      </c>
      <c r="D5" s="20">
        <v>13.473430111111112</v>
      </c>
      <c r="F5" s="67" t="s">
        <v>35</v>
      </c>
      <c r="G5" s="69" t="s">
        <v>31</v>
      </c>
    </row>
    <row r="6" spans="1:7" ht="13.8" x14ac:dyDescent="0.25">
      <c r="A6" s="40">
        <v>1018.73471</v>
      </c>
      <c r="B6" s="86">
        <f t="shared" si="0"/>
        <v>8924116.0595999993</v>
      </c>
      <c r="C6" s="54">
        <v>1412785.1438102755</v>
      </c>
      <c r="D6" s="20">
        <v>15.448445277777779</v>
      </c>
    </row>
    <row r="7" spans="1:7" ht="13.8" x14ac:dyDescent="0.25">
      <c r="A7" s="41">
        <v>1030.9754754000001</v>
      </c>
      <c r="B7" s="86">
        <f t="shared" si="0"/>
        <v>9031345.1645040009</v>
      </c>
      <c r="C7" s="54">
        <v>1429662.7816760875</v>
      </c>
      <c r="D7" s="20">
        <v>17.809887500000002</v>
      </c>
    </row>
    <row r="8" spans="1:7" ht="13.8" x14ac:dyDescent="0.25">
      <c r="A8" s="40">
        <v>1048.0407770000002</v>
      </c>
      <c r="B8" s="86">
        <f t="shared" si="0"/>
        <v>9180837.2065200023</v>
      </c>
      <c r="C8" s="54">
        <v>1453157.7845726938</v>
      </c>
      <c r="D8" s="20">
        <v>21.603233500000002</v>
      </c>
    </row>
    <row r="9" spans="1:7" ht="13.8" x14ac:dyDescent="0.25">
      <c r="A9" s="41">
        <v>1119.2325900999999</v>
      </c>
      <c r="B9" s="86">
        <f t="shared" si="0"/>
        <v>9804477.4892759994</v>
      </c>
      <c r="C9" s="54">
        <v>1551027.671017597</v>
      </c>
      <c r="D9" s="20">
        <v>27.234622888888893</v>
      </c>
    </row>
    <row r="10" spans="1:7" ht="13.8" x14ac:dyDescent="0.25">
      <c r="A10" s="40">
        <v>1158.1677934000004</v>
      </c>
      <c r="B10" s="86">
        <f t="shared" si="0"/>
        <v>10145549.870184004</v>
      </c>
      <c r="C10" s="54">
        <v>1604474.0173504809</v>
      </c>
      <c r="D10" s="20">
        <v>36.025609777777781</v>
      </c>
    </row>
    <row r="11" spans="1:7" ht="13.8" x14ac:dyDescent="0.25">
      <c r="A11" s="41">
        <v>1188.19156</v>
      </c>
      <c r="B11" s="86">
        <f t="shared" si="0"/>
        <v>10408558.065599998</v>
      </c>
      <c r="C11" s="54">
        <v>1645626.5283295796</v>
      </c>
      <c r="D11" s="20">
        <v>53.205711611111113</v>
      </c>
    </row>
    <row r="12" spans="1:7" ht="13.8" x14ac:dyDescent="0.25">
      <c r="A12" s="40">
        <v>1230.8149418</v>
      </c>
      <c r="B12" s="86">
        <f t="shared" si="0"/>
        <v>10781938.890168</v>
      </c>
      <c r="C12" s="54">
        <v>1703962.1325032418</v>
      </c>
      <c r="D12" s="20">
        <v>64.402646388888897</v>
      </c>
    </row>
    <row r="13" spans="1:7" ht="13.8" x14ac:dyDescent="0.25">
      <c r="A13" s="41">
        <v>1261.0779416</v>
      </c>
      <c r="B13" s="86">
        <f t="shared" si="0"/>
        <v>11047042.768416001</v>
      </c>
      <c r="C13" s="54">
        <v>1745319.362401857</v>
      </c>
      <c r="D13" s="20">
        <v>103.86413427777778</v>
      </c>
    </row>
    <row r="14" spans="1:7" ht="13.8" x14ac:dyDescent="0.25">
      <c r="A14" s="40">
        <v>1283.8848400000002</v>
      </c>
      <c r="B14" s="86">
        <f t="shared" si="0"/>
        <v>11246831.198400002</v>
      </c>
      <c r="C14" s="54">
        <v>1776440.7106167974</v>
      </c>
      <c r="D14" s="20">
        <v>43.020620277777788</v>
      </c>
    </row>
    <row r="15" spans="1:7" ht="13.8" x14ac:dyDescent="0.25">
      <c r="A15" s="41">
        <v>1306.1933359</v>
      </c>
      <c r="B15" s="86">
        <f t="shared" si="0"/>
        <v>11442253.622484</v>
      </c>
      <c r="C15" s="54">
        <v>1806836.554600619</v>
      </c>
      <c r="D15" s="20">
        <v>19.190172833333335</v>
      </c>
    </row>
    <row r="16" spans="1:7" ht="13.8" x14ac:dyDescent="0.25">
      <c r="A16" s="40">
        <v>1309.3033674999999</v>
      </c>
      <c r="B16" s="86">
        <f t="shared" si="0"/>
        <v>11469497.499299999</v>
      </c>
      <c r="C16" s="54">
        <v>1811067.7150176875</v>
      </c>
      <c r="D16" s="20">
        <v>17.56896755555556</v>
      </c>
    </row>
    <row r="17" spans="1:4" ht="13.8" x14ac:dyDescent="0.25">
      <c r="A17" s="41">
        <v>1342.4371656999999</v>
      </c>
      <c r="B17" s="86">
        <f t="shared" si="0"/>
        <v>11759749.571531998</v>
      </c>
      <c r="C17" s="54">
        <v>1856078.4094042578</v>
      </c>
      <c r="D17" s="20">
        <v>12.165491888888889</v>
      </c>
    </row>
    <row r="18" spans="1:4" ht="13.8" x14ac:dyDescent="0.25">
      <c r="A18" s="40">
        <v>1348.2784430000002</v>
      </c>
      <c r="B18" s="86">
        <f t="shared" si="0"/>
        <v>11810919.160680002</v>
      </c>
      <c r="C18" s="54">
        <v>1864001.6189077306</v>
      </c>
      <c r="D18" s="20">
        <v>11.430945166666667</v>
      </c>
    </row>
    <row r="19" spans="1:4" ht="13.8" x14ac:dyDescent="0.25">
      <c r="A19" s="41">
        <v>1387.5126878000001</v>
      </c>
      <c r="B19" s="86">
        <f t="shared" si="0"/>
        <v>12154611.145128001</v>
      </c>
      <c r="C19" s="54">
        <v>1917139.772681627</v>
      </c>
      <c r="D19" s="20">
        <v>12.723743333333335</v>
      </c>
    </row>
    <row r="20" spans="1:4" ht="13.8" x14ac:dyDescent="0.25">
      <c r="A20" s="40">
        <v>1399.0955619000001</v>
      </c>
      <c r="B20" s="86">
        <f t="shared" si="0"/>
        <v>12256077.122244002</v>
      </c>
      <c r="C20" s="54">
        <v>1932803.8337176512</v>
      </c>
      <c r="D20" s="20">
        <v>15.238618333333335</v>
      </c>
    </row>
    <row r="21" spans="1:4" ht="13.8" x14ac:dyDescent="0.25">
      <c r="A21" s="41">
        <v>1407.48866</v>
      </c>
      <c r="B21" s="86">
        <f t="shared" si="0"/>
        <v>12329600.661599999</v>
      </c>
      <c r="C21" s="54">
        <v>1944137.1292454612</v>
      </c>
      <c r="D21" s="20">
        <v>18.002440555555555</v>
      </c>
    </row>
    <row r="22" spans="1:4" ht="13.8" x14ac:dyDescent="0.25">
      <c r="A22" s="40">
        <v>1429.8769003</v>
      </c>
      <c r="B22" s="86">
        <f t="shared" si="0"/>
        <v>12525721.646628</v>
      </c>
      <c r="C22" s="54">
        <v>1974322.6568235494</v>
      </c>
      <c r="D22" s="20">
        <v>27.826914055555559</v>
      </c>
    </row>
    <row r="23" spans="1:4" ht="13.8" x14ac:dyDescent="0.25">
      <c r="A23" s="41">
        <v>1438.9478257999999</v>
      </c>
      <c r="B23" s="86">
        <f t="shared" si="0"/>
        <v>12605182.954008</v>
      </c>
      <c r="C23" s="54">
        <v>1986534.3059756435</v>
      </c>
      <c r="D23" s="20">
        <v>30.656377055555559</v>
      </c>
    </row>
    <row r="24" spans="1:4" ht="13.8" x14ac:dyDescent="0.25">
      <c r="A24" s="40">
        <v>1452.2252684</v>
      </c>
      <c r="B24" s="86">
        <f t="shared" si="0"/>
        <v>12721493.351184001</v>
      </c>
      <c r="C24" s="54">
        <v>2004381.9158884212</v>
      </c>
      <c r="D24" s="20">
        <v>73.977563000000004</v>
      </c>
    </row>
    <row r="25" spans="1:4" ht="13.8" x14ac:dyDescent="0.25">
      <c r="A25" s="41">
        <v>1460.5186860000001</v>
      </c>
      <c r="B25" s="86">
        <f t="shared" si="0"/>
        <v>12794143.68936</v>
      </c>
      <c r="C25" s="54">
        <v>2015513.0928052235</v>
      </c>
      <c r="D25" s="20">
        <v>67.450878111111109</v>
      </c>
    </row>
    <row r="26" spans="1:4" ht="13.8" x14ac:dyDescent="0.25">
      <c r="A26" s="40">
        <v>1461.4756188000001</v>
      </c>
      <c r="B26" s="86">
        <f t="shared" si="0"/>
        <v>12802526.420688001</v>
      </c>
      <c r="C26" s="54">
        <v>2016795.5117119227</v>
      </c>
      <c r="D26" s="20">
        <v>24.29541988888889</v>
      </c>
    </row>
    <row r="27" spans="1:4" ht="13.8" x14ac:dyDescent="0.25">
      <c r="A27" s="41">
        <v>1464.1071840000004</v>
      </c>
      <c r="B27" s="86">
        <f t="shared" si="0"/>
        <v>12825578.931840004</v>
      </c>
      <c r="C27" s="54">
        <v>2020316.8076386279</v>
      </c>
      <c r="D27" s="20">
        <v>19.282232500000003</v>
      </c>
    </row>
    <row r="28" spans="1:4" ht="13.8" x14ac:dyDescent="0.25">
      <c r="A28" s="40">
        <v>1491.1604716999998</v>
      </c>
      <c r="B28" s="86">
        <f t="shared" si="0"/>
        <v>13062565.732091997</v>
      </c>
      <c r="C28" s="54">
        <v>2056461.734835614</v>
      </c>
      <c r="D28" s="20">
        <v>17.741096777777781</v>
      </c>
    </row>
    <row r="29" spans="1:4" ht="13.8" x14ac:dyDescent="0.25">
      <c r="A29" s="41">
        <v>1501.1883300000002</v>
      </c>
      <c r="B29" s="86">
        <f t="shared" si="0"/>
        <v>13150409.770800002</v>
      </c>
      <c r="C29" s="54">
        <v>2069839.1867145132</v>
      </c>
      <c r="D29" s="20">
        <v>10.652096</v>
      </c>
    </row>
    <row r="30" spans="1:4" ht="13.8" x14ac:dyDescent="0.25">
      <c r="A30" s="40">
        <v>1518.7520340999997</v>
      </c>
      <c r="B30" s="86">
        <f t="shared" si="0"/>
        <v>13304267.818715997</v>
      </c>
      <c r="C30" s="54">
        <v>2093233.9263136967</v>
      </c>
      <c r="D30" s="20">
        <v>10.634314055555556</v>
      </c>
    </row>
    <row r="31" spans="1:4" ht="13.8" x14ac:dyDescent="0.25">
      <c r="A31" s="41">
        <v>1565.9208467000001</v>
      </c>
      <c r="B31" s="86">
        <f t="shared" si="0"/>
        <v>13717466.617092002</v>
      </c>
      <c r="C31" s="54">
        <v>2155966.4743983075</v>
      </c>
      <c r="D31" s="20">
        <v>12.217516777777778</v>
      </c>
    </row>
    <row r="32" spans="1:4" ht="13.8" x14ac:dyDescent="0.25">
      <c r="A32" s="40">
        <v>1578.9391200000005</v>
      </c>
      <c r="B32" s="86">
        <f t="shared" si="0"/>
        <v>13831506.691200003</v>
      </c>
      <c r="C32" s="54">
        <v>2173253.7371430462</v>
      </c>
      <c r="D32" s="20">
        <v>15.093314444444445</v>
      </c>
    </row>
    <row r="33" spans="1:4" ht="13.8" x14ac:dyDescent="0.25">
      <c r="A33" s="41">
        <v>1612.8504260999998</v>
      </c>
      <c r="B33" s="86">
        <f t="shared" si="0"/>
        <v>14128569.732635999</v>
      </c>
      <c r="C33" s="54">
        <v>2218216.3155855131</v>
      </c>
      <c r="D33" s="20">
        <v>15.388291500000001</v>
      </c>
    </row>
    <row r="34" spans="1:4" ht="13.8" x14ac:dyDescent="0.25">
      <c r="A34" s="40">
        <v>1615.3424385999999</v>
      </c>
      <c r="B34" s="86">
        <f t="shared" si="0"/>
        <v>14150399.762135999</v>
      </c>
      <c r="C34" s="54">
        <v>2221515.3718920304</v>
      </c>
      <c r="D34" s="20">
        <v>19.222180333333334</v>
      </c>
    </row>
    <row r="35" spans="1:4" ht="13.8" x14ac:dyDescent="0.25">
      <c r="A35" s="41">
        <v>1616.8974544000005</v>
      </c>
      <c r="B35" s="86">
        <f t="shared" si="0"/>
        <v>14164021.700544005</v>
      </c>
      <c r="C35" s="54">
        <v>2223570.8180787838</v>
      </c>
      <c r="D35" s="20">
        <v>34.568100000000008</v>
      </c>
    </row>
    <row r="36" spans="1:4" ht="13.8" x14ac:dyDescent="0.25">
      <c r="A36" s="40">
        <v>1618.8511922000002</v>
      </c>
      <c r="B36" s="86">
        <f t="shared" si="0"/>
        <v>14181136.443672003</v>
      </c>
      <c r="C36" s="54">
        <v>2226149.3252755427</v>
      </c>
      <c r="D36" s="20">
        <v>51.059583333333336</v>
      </c>
    </row>
    <row r="37" spans="1:4" ht="13.8" x14ac:dyDescent="0.25">
      <c r="A37" s="41">
        <v>1621.7419267000002</v>
      </c>
      <c r="B37" s="86">
        <f t="shared" si="0"/>
        <v>14206459.277892001</v>
      </c>
      <c r="C37" s="54">
        <v>2229958.5799166923</v>
      </c>
      <c r="D37" s="20">
        <v>38.46244744444445</v>
      </c>
    </row>
    <row r="38" spans="1:4" ht="13.8" x14ac:dyDescent="0.25">
      <c r="A38" s="40">
        <v>1628.7793700000002</v>
      </c>
      <c r="B38" s="86">
        <f t="shared" si="0"/>
        <v>14268107.281200001</v>
      </c>
      <c r="C38" s="54">
        <v>2239217.8212429252</v>
      </c>
      <c r="D38" s="20">
        <v>36.815331333333333</v>
      </c>
    </row>
    <row r="39" spans="1:4" ht="13.8" x14ac:dyDescent="0.25">
      <c r="A39" s="41">
        <v>1634.6605195</v>
      </c>
      <c r="B39" s="86">
        <f t="shared" si="0"/>
        <v>14319626.150819998</v>
      </c>
      <c r="C39" s="54">
        <v>2246943.7441383637</v>
      </c>
      <c r="D39" s="20">
        <v>14.317005555555557</v>
      </c>
    </row>
    <row r="40" spans="1:4" ht="13.8" x14ac:dyDescent="0.25">
      <c r="A40" s="40">
        <v>1657.1285042000004</v>
      </c>
      <c r="B40" s="86">
        <f t="shared" si="0"/>
        <v>14516445.696792005</v>
      </c>
      <c r="C40" s="54">
        <v>2276413.659107442</v>
      </c>
      <c r="D40" s="20">
        <v>7.1737444444444449</v>
      </c>
    </row>
    <row r="41" spans="1:4" ht="13.8" x14ac:dyDescent="0.25">
      <c r="A41" s="41">
        <v>1667.2959152000003</v>
      </c>
      <c r="B41" s="86">
        <f t="shared" si="0"/>
        <v>14605512.217152003</v>
      </c>
      <c r="C41" s="54">
        <v>2289728.9515790818</v>
      </c>
      <c r="D41" s="20">
        <v>8.047600000000001</v>
      </c>
    </row>
    <row r="42" spans="1:4" ht="13.8" x14ac:dyDescent="0.25">
      <c r="A42" s="40">
        <v>1672.9976398000001</v>
      </c>
      <c r="B42" s="86">
        <f t="shared" si="0"/>
        <v>14655459.324648002</v>
      </c>
      <c r="C42" s="54">
        <v>2297184.3539186232</v>
      </c>
      <c r="D42" s="20">
        <v>9.841544166666667</v>
      </c>
    </row>
    <row r="43" spans="1:4" ht="13.8" x14ac:dyDescent="0.25">
      <c r="A43" s="41">
        <v>1686.8532292999998</v>
      </c>
      <c r="B43" s="86">
        <f t="shared" si="0"/>
        <v>14776834.288667999</v>
      </c>
      <c r="C43" s="54">
        <v>2315273.3024577238</v>
      </c>
      <c r="D43" s="20">
        <v>11.396092555555557</v>
      </c>
    </row>
    <row r="44" spans="1:4" ht="13.8" x14ac:dyDescent="0.25">
      <c r="A44" s="40">
        <v>1687.7304176999999</v>
      </c>
      <c r="B44" s="86">
        <f t="shared" si="0"/>
        <v>14784518.459052</v>
      </c>
      <c r="C44" s="54">
        <v>2316416.7167218933</v>
      </c>
      <c r="D44" s="20">
        <v>14.314871722222223</v>
      </c>
    </row>
    <row r="45" spans="1:4" ht="13.8" x14ac:dyDescent="0.25">
      <c r="A45" s="41">
        <v>1732.6464510000003</v>
      </c>
      <c r="B45" s="86">
        <f t="shared" si="0"/>
        <v>15177982.910760002</v>
      </c>
      <c r="C45" s="54">
        <v>2374873.3060643533</v>
      </c>
      <c r="D45" s="20">
        <v>17.053291166666668</v>
      </c>
    </row>
    <row r="46" spans="1:4" ht="13.8" x14ac:dyDescent="0.25">
      <c r="A46" s="40">
        <v>1738.2883673000001</v>
      </c>
      <c r="B46" s="86">
        <f t="shared" si="0"/>
        <v>15227406.097548002</v>
      </c>
      <c r="C46" s="54">
        <v>2382204.5725531229</v>
      </c>
      <c r="D46" s="20">
        <v>24.218398666666666</v>
      </c>
    </row>
    <row r="47" spans="1:4" ht="13.8" x14ac:dyDescent="0.25">
      <c r="A47" s="41">
        <v>1759.5601860000002</v>
      </c>
      <c r="B47" s="86">
        <f t="shared" si="0"/>
        <v>15413747.229359999</v>
      </c>
      <c r="C47" s="54">
        <v>2409802.4838413261</v>
      </c>
      <c r="D47" s="20">
        <v>45.998029055555563</v>
      </c>
    </row>
    <row r="48" spans="1:4" ht="13.8" x14ac:dyDescent="0.25">
      <c r="A48" s="40">
        <v>1759.8791635999999</v>
      </c>
      <c r="B48" s="86">
        <f t="shared" si="0"/>
        <v>15416541.473136</v>
      </c>
      <c r="C48" s="54">
        <v>2410215.6739656455</v>
      </c>
      <c r="D48" s="20">
        <v>68.156567277777782</v>
      </c>
    </row>
    <row r="49" spans="1:4" ht="13.8" x14ac:dyDescent="0.25">
      <c r="A49" s="41">
        <v>1794.1493195</v>
      </c>
      <c r="B49" s="86">
        <f t="shared" si="0"/>
        <v>15716748.03882</v>
      </c>
      <c r="C49" s="54">
        <v>2454538.0373511277</v>
      </c>
      <c r="D49" s="20">
        <v>30.4574225</v>
      </c>
    </row>
    <row r="50" spans="1:4" ht="13.8" x14ac:dyDescent="0.25">
      <c r="A50" s="40">
        <v>1817.8334063000002</v>
      </c>
      <c r="B50" s="86">
        <f t="shared" si="0"/>
        <v>15924220.639188001</v>
      </c>
      <c r="C50" s="54">
        <v>2485120.9948809515</v>
      </c>
      <c r="D50" s="20">
        <v>22.831305388888889</v>
      </c>
    </row>
    <row r="51" spans="1:4" ht="13.8" x14ac:dyDescent="0.25">
      <c r="A51" s="41">
        <v>1824.751233</v>
      </c>
      <c r="B51" s="86">
        <f t="shared" si="0"/>
        <v>15984820.80108</v>
      </c>
      <c r="C51" s="54">
        <v>2494039.8158123391</v>
      </c>
      <c r="D51" s="20">
        <v>14.306844444444446</v>
      </c>
    </row>
    <row r="52" spans="1:4" ht="13.8" x14ac:dyDescent="0.25">
      <c r="A52" s="40">
        <v>1856.8084818000004</v>
      </c>
      <c r="B52" s="86">
        <f t="shared" si="0"/>
        <v>16265642.300568003</v>
      </c>
      <c r="C52" s="54">
        <v>2535304.4367827829</v>
      </c>
      <c r="D52" s="20">
        <v>10.638683333333335</v>
      </c>
    </row>
    <row r="53" spans="1:4" ht="13.8" x14ac:dyDescent="0.25">
      <c r="A53" s="41">
        <v>1871.9001095000001</v>
      </c>
      <c r="B53" s="86">
        <f t="shared" si="0"/>
        <v>16397844.95922</v>
      </c>
      <c r="C53" s="54">
        <v>2554699.913384161</v>
      </c>
      <c r="D53" s="20">
        <v>10.242400000000002</v>
      </c>
    </row>
    <row r="54" spans="1:4" ht="13.8" x14ac:dyDescent="0.25">
      <c r="A54" s="40">
        <v>1874.3123776000002</v>
      </c>
      <c r="B54" s="86">
        <f t="shared" si="0"/>
        <v>16418976.427776001</v>
      </c>
      <c r="C54" s="54">
        <v>2557795.2053323817</v>
      </c>
      <c r="D54" s="20">
        <v>8.2657590555555558</v>
      </c>
    </row>
    <row r="55" spans="1:4" ht="13.8" x14ac:dyDescent="0.25">
      <c r="A55" s="41">
        <v>1876.2860515</v>
      </c>
      <c r="B55" s="86">
        <f t="shared" si="0"/>
        <v>16436265.811139999</v>
      </c>
      <c r="C55" s="54">
        <v>2560323.6998763429</v>
      </c>
      <c r="D55" s="20">
        <v>9.876091944444445</v>
      </c>
    </row>
    <row r="56" spans="1:4" ht="13.8" x14ac:dyDescent="0.25">
      <c r="A56" s="40">
        <v>1911.4333958</v>
      </c>
      <c r="B56" s="86">
        <f t="shared" si="0"/>
        <v>16744156.547208</v>
      </c>
      <c r="C56" s="54">
        <v>2605279.7990863109</v>
      </c>
      <c r="D56" s="20">
        <v>11.908619</v>
      </c>
    </row>
    <row r="57" spans="1:4" ht="13.8" x14ac:dyDescent="0.25">
      <c r="A57" s="41">
        <v>1913.7061112000004</v>
      </c>
      <c r="B57" s="86">
        <f t="shared" si="0"/>
        <v>16764065.534112005</v>
      </c>
      <c r="C57" s="54">
        <v>2608182.1474762391</v>
      </c>
      <c r="D57" s="20">
        <v>15.072992222222222</v>
      </c>
    </row>
    <row r="58" spans="1:4" ht="13.8" x14ac:dyDescent="0.25">
      <c r="A58" s="40">
        <v>1930.9109654999997</v>
      </c>
      <c r="B58" s="86">
        <f t="shared" si="0"/>
        <v>16914780.057779998</v>
      </c>
      <c r="C58" s="54">
        <v>2630118.4166569468</v>
      </c>
      <c r="D58" s="20">
        <v>21.833585888888891</v>
      </c>
    </row>
    <row r="59" spans="1:4" ht="13.8" x14ac:dyDescent="0.25">
      <c r="A59" s="41">
        <v>1931.3894319000001</v>
      </c>
      <c r="B59" s="86">
        <f t="shared" si="0"/>
        <v>16918971.423443999</v>
      </c>
      <c r="C59" s="54">
        <v>2630727.4897099915</v>
      </c>
      <c r="D59" s="20">
        <v>45.124986388888892</v>
      </c>
    </row>
    <row r="60" spans="1:4" ht="13.8" x14ac:dyDescent="0.25">
      <c r="A60" s="40">
        <v>1933.2833614000006</v>
      </c>
      <c r="B60" s="86">
        <f t="shared" si="0"/>
        <v>16935562.245864004</v>
      </c>
      <c r="C60" s="54">
        <v>2633134.5491333078</v>
      </c>
      <c r="D60" s="20">
        <v>27.917652777777782</v>
      </c>
    </row>
    <row r="61" spans="1:4" ht="13.8" x14ac:dyDescent="0.25">
      <c r="A61" s="41">
        <v>1937.6892395000002</v>
      </c>
      <c r="B61" s="86">
        <f t="shared" si="0"/>
        <v>16974157.738020003</v>
      </c>
      <c r="C61" s="54">
        <v>2638725.1621218426</v>
      </c>
      <c r="D61" s="20">
        <v>24.849403666666671</v>
      </c>
    </row>
    <row r="62" spans="1:4" ht="13.8" x14ac:dyDescent="0.25">
      <c r="A62" s="40">
        <v>1945.2051492000003</v>
      </c>
      <c r="B62" s="86">
        <f t="shared" si="0"/>
        <v>17039997.106992003</v>
      </c>
      <c r="C62" s="54">
        <v>2648246.7929099528</v>
      </c>
      <c r="D62" s="20">
        <v>34.802821666666667</v>
      </c>
    </row>
    <row r="63" spans="1:4" ht="13.8" x14ac:dyDescent="0.25">
      <c r="A63" s="41">
        <v>1946.6206123000002</v>
      </c>
      <c r="B63" s="86">
        <f t="shared" si="0"/>
        <v>17052396.563748002</v>
      </c>
      <c r="C63" s="54">
        <v>2650037.110366514</v>
      </c>
      <c r="D63" s="20">
        <v>23.124859888888889</v>
      </c>
    </row>
    <row r="64" spans="1:4" ht="13.8" x14ac:dyDescent="0.25">
      <c r="A64" s="40">
        <v>1979.9338354000004</v>
      </c>
      <c r="B64" s="86">
        <f t="shared" si="0"/>
        <v>17344220.398104005</v>
      </c>
      <c r="C64" s="54">
        <v>2692104.8070072867</v>
      </c>
      <c r="D64" s="20">
        <v>12.624469277777779</v>
      </c>
    </row>
    <row r="65" spans="1:4" ht="13.8" x14ac:dyDescent="0.25">
      <c r="A65" s="41">
        <v>1984.2998413000003</v>
      </c>
      <c r="B65" s="86">
        <f t="shared" si="0"/>
        <v>17382466.609788001</v>
      </c>
      <c r="C65" s="54">
        <v>2697609.281406723</v>
      </c>
      <c r="D65" s="20">
        <v>7.462320000000001</v>
      </c>
    </row>
    <row r="66" spans="1:4" ht="13.8" x14ac:dyDescent="0.25">
      <c r="A66" s="40">
        <v>1993.6299361000001</v>
      </c>
      <c r="B66" s="86">
        <f t="shared" si="0"/>
        <v>17464198.240235999</v>
      </c>
      <c r="C66" s="54">
        <v>2709353.278103468</v>
      </c>
      <c r="D66" s="20">
        <v>8.5270012222222231</v>
      </c>
    </row>
    <row r="67" spans="1:4" ht="13.8" x14ac:dyDescent="0.25">
      <c r="A67" s="41">
        <v>2001.9632259</v>
      </c>
      <c r="B67" s="86">
        <f t="shared" ref="B67:B130" si="1">A67*24*365</f>
        <v>17537197.858883999</v>
      </c>
      <c r="C67" s="54">
        <v>2719825.6134204855</v>
      </c>
      <c r="D67" s="20">
        <v>6.2732667777777786</v>
      </c>
    </row>
    <row r="68" spans="1:4" ht="13.8" x14ac:dyDescent="0.25">
      <c r="A68" s="40">
        <v>2009.55888</v>
      </c>
      <c r="B68" s="86">
        <f t="shared" si="1"/>
        <v>17603735.788799997</v>
      </c>
      <c r="C68" s="54">
        <v>2729355.5121317022</v>
      </c>
      <c r="D68" s="20">
        <v>7.9812479444444451</v>
      </c>
    </row>
    <row r="69" spans="1:4" ht="13.8" x14ac:dyDescent="0.25">
      <c r="A69" s="41">
        <v>2014.8818187000002</v>
      </c>
      <c r="B69" s="86">
        <f t="shared" si="1"/>
        <v>17650364.731812004</v>
      </c>
      <c r="C69" s="54">
        <v>2736023.1112245852</v>
      </c>
      <c r="D69" s="20">
        <v>8.6020918333333345</v>
      </c>
    </row>
    <row r="70" spans="1:4" ht="13.8" x14ac:dyDescent="0.25">
      <c r="A70" s="40">
        <v>2022.9160670000001</v>
      </c>
      <c r="B70" s="86">
        <f t="shared" si="1"/>
        <v>17720744.746920001</v>
      </c>
      <c r="C70" s="54">
        <v>2746070.5883330302</v>
      </c>
      <c r="D70" s="20">
        <v>11.396499</v>
      </c>
    </row>
    <row r="71" spans="1:4" ht="13.8" x14ac:dyDescent="0.25">
      <c r="A71" s="41">
        <v>2026.4646928</v>
      </c>
      <c r="B71" s="86">
        <f t="shared" si="1"/>
        <v>17751830.708928</v>
      </c>
      <c r="C71" s="54">
        <v>2750501.209245319</v>
      </c>
      <c r="D71" s="20">
        <v>21.224528888888891</v>
      </c>
    </row>
    <row r="72" spans="1:4" ht="13.8" x14ac:dyDescent="0.25">
      <c r="A72" s="40">
        <v>2047.9358725000006</v>
      </c>
      <c r="B72" s="86">
        <f t="shared" si="1"/>
        <v>17939918.243100006</v>
      </c>
      <c r="C72" s="54">
        <v>2777265.2542422768</v>
      </c>
      <c r="D72" s="20">
        <v>20.535300722222225</v>
      </c>
    </row>
    <row r="73" spans="1:4" ht="13.8" x14ac:dyDescent="0.25">
      <c r="A73" s="41">
        <v>2048.2947223000001</v>
      </c>
      <c r="B73" s="86">
        <f t="shared" si="1"/>
        <v>17943061.767348003</v>
      </c>
      <c r="C73" s="54">
        <v>2777711.8338137828</v>
      </c>
      <c r="D73" s="20">
        <v>34.158099166666673</v>
      </c>
    </row>
    <row r="74" spans="1:4" ht="13.8" x14ac:dyDescent="0.25">
      <c r="A74" s="40">
        <v>2054.3353606000001</v>
      </c>
      <c r="B74" s="86">
        <f t="shared" si="1"/>
        <v>17995977.758856002</v>
      </c>
      <c r="C74" s="54">
        <v>2785216.9619930852</v>
      </c>
      <c r="D74" s="20">
        <v>15.007961111111111</v>
      </c>
    </row>
    <row r="75" spans="1:4" ht="13.8" x14ac:dyDescent="0.25">
      <c r="A75" s="41">
        <v>2076.2850067000004</v>
      </c>
      <c r="B75" s="86">
        <f t="shared" si="1"/>
        <v>18188256.658692006</v>
      </c>
      <c r="C75" s="54">
        <v>2812443.3968523014</v>
      </c>
      <c r="D75" s="20">
        <v>14.429184222222224</v>
      </c>
    </row>
    <row r="76" spans="1:4" ht="13.8" x14ac:dyDescent="0.25">
      <c r="A76" s="40">
        <v>2082.2060284000004</v>
      </c>
      <c r="B76" s="86">
        <f t="shared" si="1"/>
        <v>18240124.808784004</v>
      </c>
      <c r="C76" s="54">
        <v>2819775.8063317854</v>
      </c>
      <c r="D76" s="20">
        <v>11.271314111111112</v>
      </c>
    </row>
    <row r="77" spans="1:4" ht="13.8" x14ac:dyDescent="0.25">
      <c r="A77" s="41">
        <v>2085.4954848999996</v>
      </c>
      <c r="B77" s="86">
        <f t="shared" si="1"/>
        <v>18268940.447723996</v>
      </c>
      <c r="C77" s="54">
        <v>2823842.6720703226</v>
      </c>
      <c r="D77" s="20">
        <v>7.0719301111111124</v>
      </c>
    </row>
    <row r="78" spans="1:4" ht="13.8" x14ac:dyDescent="0.25">
      <c r="A78" s="40">
        <v>2086.4524177000003</v>
      </c>
      <c r="B78" s="86">
        <f t="shared" si="1"/>
        <v>18277323.179052003</v>
      </c>
      <c r="C78" s="54">
        <v>2825023.8126245458</v>
      </c>
      <c r="D78" s="20">
        <v>8.9681966666666675</v>
      </c>
    </row>
    <row r="79" spans="1:4" ht="13.8" x14ac:dyDescent="0.25">
      <c r="A79" s="41">
        <v>2087.3096700000006</v>
      </c>
      <c r="B79" s="86">
        <f t="shared" si="1"/>
        <v>18284832.709200006</v>
      </c>
      <c r="C79" s="54">
        <v>2826080.1729250625</v>
      </c>
      <c r="D79" s="20">
        <v>10.113658722222224</v>
      </c>
    </row>
    <row r="80" spans="1:4" ht="13.8" x14ac:dyDescent="0.25">
      <c r="A80" s="40">
        <v>2089.9412351999999</v>
      </c>
      <c r="B80" s="86">
        <f t="shared" si="1"/>
        <v>18307885.220351998</v>
      </c>
      <c r="C80" s="54">
        <v>2829317.5973157398</v>
      </c>
      <c r="D80" s="20">
        <v>12.629549833333334</v>
      </c>
    </row>
    <row r="81" spans="1:4" ht="13.8" x14ac:dyDescent="0.25">
      <c r="A81" s="41">
        <v>2101.9028952000003</v>
      </c>
      <c r="B81" s="86">
        <f t="shared" si="1"/>
        <v>18412669.361952003</v>
      </c>
      <c r="C81" s="54">
        <v>2844008.8169701081</v>
      </c>
      <c r="D81" s="20">
        <v>15.607060222222223</v>
      </c>
    </row>
    <row r="82" spans="1:4" ht="13.8" x14ac:dyDescent="0.25">
      <c r="A82" s="40">
        <v>2107.0065368</v>
      </c>
      <c r="B82" s="86">
        <f t="shared" si="1"/>
        <v>18457377.262368001</v>
      </c>
      <c r="C82" s="54">
        <v>2850266.6831659744</v>
      </c>
      <c r="D82" s="20">
        <v>15.670262333333334</v>
      </c>
    </row>
    <row r="83" spans="1:4" ht="13.8" x14ac:dyDescent="0.25">
      <c r="A83" s="41">
        <v>2111.5918397999999</v>
      </c>
      <c r="B83" s="86">
        <f t="shared" si="1"/>
        <v>18497544.516648002</v>
      </c>
      <c r="C83" s="54">
        <v>2855879.6522858297</v>
      </c>
      <c r="D83" s="20">
        <v>20.826010111111113</v>
      </c>
    </row>
    <row r="84" spans="1:4" ht="13.8" x14ac:dyDescent="0.25">
      <c r="A84" s="40">
        <v>2116.2170150000002</v>
      </c>
      <c r="B84" s="86">
        <f t="shared" si="1"/>
        <v>18538061.051400002</v>
      </c>
      <c r="C84" s="54">
        <v>2861532.0161397965</v>
      </c>
      <c r="D84" s="20">
        <v>22.913305555555556</v>
      </c>
    </row>
    <row r="85" spans="1:4" ht="13.8" x14ac:dyDescent="0.25">
      <c r="A85" s="41">
        <v>2130.0726045000001</v>
      </c>
      <c r="B85" s="86">
        <f t="shared" si="1"/>
        <v>18659436.015420001</v>
      </c>
      <c r="C85" s="54">
        <v>2878436.5435616025</v>
      </c>
      <c r="D85" s="20">
        <v>38.51061111111111</v>
      </c>
    </row>
    <row r="86" spans="1:4" ht="13.8" x14ac:dyDescent="0.25">
      <c r="A86" s="40">
        <v>2136.4322204000005</v>
      </c>
      <c r="B86" s="86">
        <f t="shared" si="1"/>
        <v>18715146.250704005</v>
      </c>
      <c r="C86" s="54">
        <v>2886182.6562050059</v>
      </c>
      <c r="D86" s="20">
        <v>28.390144444444449</v>
      </c>
    </row>
    <row r="87" spans="1:4" ht="13.8" x14ac:dyDescent="0.25">
      <c r="A87" s="41">
        <v>2148.9520911999998</v>
      </c>
      <c r="B87" s="86">
        <f t="shared" si="1"/>
        <v>18824820.318911999</v>
      </c>
      <c r="C87" s="54">
        <v>2901406.574750884</v>
      </c>
      <c r="D87" s="20">
        <v>26.226945500000003</v>
      </c>
    </row>
    <row r="88" spans="1:4" ht="13.8" x14ac:dyDescent="0.25">
      <c r="A88" s="40">
        <v>2152.2814198999999</v>
      </c>
      <c r="B88" s="86">
        <f t="shared" si="1"/>
        <v>18853985.238323998</v>
      </c>
      <c r="C88" s="54">
        <v>2905448.1972365566</v>
      </c>
      <c r="D88" s="20">
        <v>14.910312833333334</v>
      </c>
    </row>
    <row r="89" spans="1:4" ht="13.8" x14ac:dyDescent="0.25">
      <c r="A89" s="41">
        <v>2178.8562412000001</v>
      </c>
      <c r="B89" s="86">
        <f t="shared" si="1"/>
        <v>19086780.672912002</v>
      </c>
      <c r="C89" s="54">
        <v>2937654.4849665938</v>
      </c>
      <c r="D89" s="20">
        <v>9.742270111111111</v>
      </c>
    </row>
    <row r="90" spans="1:4" ht="13.8" x14ac:dyDescent="0.25">
      <c r="A90" s="40">
        <v>2183.0428222000005</v>
      </c>
      <c r="B90" s="86">
        <f t="shared" si="1"/>
        <v>19123455.122472003</v>
      </c>
      <c r="C90" s="54">
        <v>2942719.7227085317</v>
      </c>
      <c r="D90" s="20">
        <v>11.385829833333334</v>
      </c>
    </row>
    <row r="91" spans="1:4" ht="13.8" x14ac:dyDescent="0.25">
      <c r="A91" s="41">
        <v>2211.4318286000002</v>
      </c>
      <c r="B91" s="86">
        <f t="shared" si="1"/>
        <v>19372142.818536002</v>
      </c>
      <c r="C91" s="54">
        <v>2977009.0780362859</v>
      </c>
      <c r="D91" s="20">
        <v>12.60435027777778</v>
      </c>
    </row>
    <row r="92" spans="1:4" ht="13.8" x14ac:dyDescent="0.25">
      <c r="A92" s="40">
        <v>2212.3488892</v>
      </c>
      <c r="B92" s="86">
        <f t="shared" si="1"/>
        <v>19380176.269391999</v>
      </c>
      <c r="C92" s="54">
        <v>2978114.8732873695</v>
      </c>
      <c r="D92" s="20">
        <v>19.071999111111111</v>
      </c>
    </row>
    <row r="93" spans="1:4" ht="13.8" x14ac:dyDescent="0.25">
      <c r="A93" s="41">
        <v>2219.1271632000003</v>
      </c>
      <c r="B93" s="86">
        <f t="shared" si="1"/>
        <v>19439553.949632</v>
      </c>
      <c r="C93" s="54">
        <v>2986274.3466050932</v>
      </c>
      <c r="D93" s="20">
        <v>15.527092277777779</v>
      </c>
    </row>
    <row r="94" spans="1:4" ht="13.8" x14ac:dyDescent="0.25">
      <c r="A94" s="40">
        <v>2219.3464603000002</v>
      </c>
      <c r="B94" s="86">
        <f t="shared" si="1"/>
        <v>19441474.992228001</v>
      </c>
      <c r="C94" s="54">
        <v>2986537.8832264799</v>
      </c>
      <c r="D94" s="20">
        <v>19.811524777777777</v>
      </c>
    </row>
    <row r="95" spans="1:4" ht="13.8" x14ac:dyDescent="0.25">
      <c r="A95" s="41">
        <v>2232.7235834000003</v>
      </c>
      <c r="B95" s="86">
        <f t="shared" si="1"/>
        <v>19558658.590584002</v>
      </c>
      <c r="C95" s="54">
        <v>3002586.390458554</v>
      </c>
      <c r="D95" s="20">
        <v>34.36711322222223</v>
      </c>
    </row>
    <row r="96" spans="1:4" ht="13.8" x14ac:dyDescent="0.25">
      <c r="A96" s="40">
        <v>2233.8998133</v>
      </c>
      <c r="B96" s="86">
        <f t="shared" si="1"/>
        <v>19568962.364507999</v>
      </c>
      <c r="C96" s="54">
        <v>3003995.1170651345</v>
      </c>
      <c r="D96" s="20">
        <v>37.928785888888889</v>
      </c>
    </row>
    <row r="97" spans="1:4" ht="13.8" x14ac:dyDescent="0.25">
      <c r="A97" s="41">
        <v>2235.9133594</v>
      </c>
      <c r="B97" s="86">
        <f t="shared" si="1"/>
        <v>19586601.028344002</v>
      </c>
      <c r="C97" s="54">
        <v>3006402.5677992599</v>
      </c>
      <c r="D97" s="20">
        <v>59.133094166666673</v>
      </c>
    </row>
    <row r="98" spans="1:4" ht="13.8" x14ac:dyDescent="0.25">
      <c r="A98" s="40">
        <v>2235.9931037999995</v>
      </c>
      <c r="B98" s="86">
        <f t="shared" si="1"/>
        <v>19587299.589287996</v>
      </c>
      <c r="C98" s="54">
        <v>3006497.7500777366</v>
      </c>
      <c r="D98" s="20">
        <v>33.538779444444444</v>
      </c>
    </row>
    <row r="99" spans="1:4" ht="13.8" x14ac:dyDescent="0.25">
      <c r="A99" s="41">
        <v>2238.6246690000003</v>
      </c>
      <c r="B99" s="86">
        <f t="shared" si="1"/>
        <v>19610352.100439999</v>
      </c>
      <c r="C99" s="54">
        <v>3009633.4092007843</v>
      </c>
      <c r="D99" s="20">
        <v>24.919108888888893</v>
      </c>
    </row>
    <row r="100" spans="1:4" ht="13.8" x14ac:dyDescent="0.25">
      <c r="A100" s="40">
        <v>2242.7514417000007</v>
      </c>
      <c r="B100" s="86">
        <f t="shared" si="1"/>
        <v>19646502.629292008</v>
      </c>
      <c r="C100" s="54">
        <v>3014542.293539119</v>
      </c>
      <c r="D100" s="20">
        <v>6.8421873888888891</v>
      </c>
    </row>
    <row r="101" spans="1:4" ht="13.8" x14ac:dyDescent="0.25">
      <c r="A101" s="41">
        <v>2248.3534857999998</v>
      </c>
      <c r="B101" s="86">
        <f t="shared" si="1"/>
        <v>19695576.535607997</v>
      </c>
      <c r="C101" s="54">
        <v>3021194.6428124579</v>
      </c>
      <c r="D101" s="20">
        <v>11.275988222222225</v>
      </c>
    </row>
    <row r="102" spans="1:4" ht="13.8" x14ac:dyDescent="0.25">
      <c r="A102" s="40">
        <v>2248.9715049000006</v>
      </c>
      <c r="B102" s="86">
        <f t="shared" si="1"/>
        <v>19700990.382924005</v>
      </c>
      <c r="C102" s="54">
        <v>3021927.2740140483</v>
      </c>
      <c r="D102" s="20">
        <v>7.130966166666667</v>
      </c>
    </row>
    <row r="103" spans="1:4" ht="13.8" x14ac:dyDescent="0.25">
      <c r="A103" s="41">
        <v>2263.1460720000005</v>
      </c>
      <c r="B103" s="86">
        <f t="shared" si="1"/>
        <v>19825159.590720005</v>
      </c>
      <c r="C103" s="54">
        <v>3038701.6753984527</v>
      </c>
      <c r="D103" s="20">
        <v>8.5976209444444454</v>
      </c>
    </row>
    <row r="104" spans="1:4" ht="13.8" x14ac:dyDescent="0.25">
      <c r="A104" s="40">
        <v>2273.2138025000008</v>
      </c>
      <c r="B104" s="86">
        <f t="shared" si="1"/>
        <v>19913352.90990001</v>
      </c>
      <c r="C104" s="54">
        <v>3050595.4919793392</v>
      </c>
      <c r="D104" s="20">
        <v>10.438001388888891</v>
      </c>
    </row>
    <row r="105" spans="1:4" ht="13.8" x14ac:dyDescent="0.25">
      <c r="A105" s="41">
        <v>2283.0422998000004</v>
      </c>
      <c r="B105" s="86">
        <f t="shared" si="1"/>
        <v>19999450.546248004</v>
      </c>
      <c r="C105" s="54">
        <v>3062186.6791180624</v>
      </c>
      <c r="D105" s="20">
        <v>12.998296555555555</v>
      </c>
    </row>
    <row r="106" spans="1:4" ht="13.8" x14ac:dyDescent="0.25">
      <c r="A106" s="40">
        <v>2296.8380810000003</v>
      </c>
      <c r="B106" s="86">
        <f t="shared" si="1"/>
        <v>20120301.589560006</v>
      </c>
      <c r="C106" s="54">
        <v>3078428.5831026742</v>
      </c>
      <c r="D106" s="20">
        <v>17.101556444444448</v>
      </c>
    </row>
    <row r="107" spans="1:4" ht="13.8" x14ac:dyDescent="0.25">
      <c r="A107" s="41">
        <v>2300.6458761000004</v>
      </c>
      <c r="B107" s="86">
        <f t="shared" si="1"/>
        <v>20153657.874636002</v>
      </c>
      <c r="C107" s="54">
        <v>3082903.786303869</v>
      </c>
      <c r="D107" s="20">
        <v>25.058519333333336</v>
      </c>
    </row>
    <row r="108" spans="1:4" ht="13.8" x14ac:dyDescent="0.25">
      <c r="A108" s="40">
        <v>2300.8253010000003</v>
      </c>
      <c r="B108" s="86">
        <f t="shared" si="1"/>
        <v>20155229.63676</v>
      </c>
      <c r="C108" s="54">
        <v>3083114.2945667719</v>
      </c>
      <c r="D108" s="20">
        <v>19.793031555555554</v>
      </c>
    </row>
    <row r="109" spans="1:4" ht="13.8" x14ac:dyDescent="0.25">
      <c r="A109" s="41">
        <v>2302.4401250999999</v>
      </c>
      <c r="B109" s="86">
        <f t="shared" si="1"/>
        <v>20169375.495875999</v>
      </c>
      <c r="C109" s="54">
        <v>3085005.5822556014</v>
      </c>
      <c r="D109" s="20">
        <v>11.726938333333335</v>
      </c>
    </row>
    <row r="110" spans="1:4" ht="13.8" x14ac:dyDescent="0.25">
      <c r="A110" s="40">
        <v>2318.5484939000003</v>
      </c>
      <c r="B110" s="86">
        <f t="shared" si="1"/>
        <v>20310484.806564003</v>
      </c>
      <c r="C110" s="54">
        <v>3103838.975061941</v>
      </c>
      <c r="D110" s="20">
        <v>6.5437555555555562</v>
      </c>
    </row>
    <row r="111" spans="1:4" ht="13.8" x14ac:dyDescent="0.25">
      <c r="A111" s="41">
        <v>2327.2007613000001</v>
      </c>
      <c r="B111" s="86">
        <f t="shared" si="1"/>
        <v>20386278.668988001</v>
      </c>
      <c r="C111" s="54">
        <v>3113937.321000861</v>
      </c>
      <c r="D111" s="20">
        <v>5.1923277777777788</v>
      </c>
    </row>
    <row r="112" spans="1:4" ht="13.8" x14ac:dyDescent="0.25">
      <c r="A112" s="40">
        <v>2333.5005689000004</v>
      </c>
      <c r="B112" s="86">
        <f t="shared" si="1"/>
        <v>20441464.983564001</v>
      </c>
      <c r="C112" s="54">
        <v>3121277.2116130376</v>
      </c>
      <c r="D112" s="20">
        <v>7.6513166666666672</v>
      </c>
    </row>
    <row r="113" spans="1:4" ht="13.8" x14ac:dyDescent="0.25">
      <c r="A113" s="41">
        <v>2336.4710477999997</v>
      </c>
      <c r="B113" s="86">
        <f t="shared" si="1"/>
        <v>20467486.378727999</v>
      </c>
      <c r="C113" s="54">
        <v>3124732.063538501</v>
      </c>
      <c r="D113" s="20">
        <v>8.301627777777778</v>
      </c>
    </row>
    <row r="114" spans="1:4" ht="13.8" x14ac:dyDescent="0.25">
      <c r="A114" s="40">
        <v>2338.1456801999998</v>
      </c>
      <c r="B114" s="86">
        <f t="shared" si="1"/>
        <v>20482156.158551998</v>
      </c>
      <c r="C114" s="54">
        <v>3126676.3568890467</v>
      </c>
      <c r="D114" s="20">
        <v>6.0560222222222224</v>
      </c>
    </row>
    <row r="115" spans="1:4" ht="13.8" x14ac:dyDescent="0.25">
      <c r="A115" s="41">
        <v>2338.4646577999997</v>
      </c>
      <c r="B115" s="86">
        <f t="shared" si="1"/>
        <v>20484950.402327999</v>
      </c>
      <c r="C115" s="54">
        <v>3127046.0492594168</v>
      </c>
      <c r="D115" s="20">
        <v>8.9698224444444463</v>
      </c>
    </row>
    <row r="116" spans="1:4" ht="13.8" x14ac:dyDescent="0.25">
      <c r="A116" s="40">
        <v>2352.8385859000005</v>
      </c>
      <c r="B116" s="86">
        <f t="shared" si="1"/>
        <v>20610866.012484003</v>
      </c>
      <c r="C116" s="54">
        <v>3143676.056213663</v>
      </c>
      <c r="D116" s="20">
        <v>12.995248222222223</v>
      </c>
    </row>
    <row r="117" spans="1:4" ht="13.8" x14ac:dyDescent="0.25">
      <c r="A117" s="41">
        <v>2357.1447834999999</v>
      </c>
      <c r="B117" s="86">
        <f t="shared" si="1"/>
        <v>20648588.303459998</v>
      </c>
      <c r="C117" s="54">
        <v>3148649.3742680606</v>
      </c>
      <c r="D117" s="20">
        <v>13.062718000000002</v>
      </c>
    </row>
    <row r="118" spans="1:4" ht="13.8" x14ac:dyDescent="0.25">
      <c r="A118" s="40">
        <v>2367.4118749999998</v>
      </c>
      <c r="B118" s="86">
        <f t="shared" si="1"/>
        <v>20738528.024999999</v>
      </c>
      <c r="C118" s="54">
        <v>3160486.1571130482</v>
      </c>
      <c r="D118" s="20">
        <v>15.438893833333335</v>
      </c>
    </row>
    <row r="119" spans="1:4" ht="13.8" x14ac:dyDescent="0.25">
      <c r="A119" s="41">
        <v>2373.6319382000001</v>
      </c>
      <c r="B119" s="86">
        <f t="shared" si="1"/>
        <v>20793015.778632</v>
      </c>
      <c r="C119" s="54">
        <v>3167644.51915906</v>
      </c>
      <c r="D119" s="20">
        <v>21.348900888888892</v>
      </c>
    </row>
    <row r="120" spans="1:4" ht="13.8" x14ac:dyDescent="0.25">
      <c r="A120" s="40">
        <v>2386.8695086000002</v>
      </c>
      <c r="B120" s="86">
        <f t="shared" si="1"/>
        <v>20908976.895336002</v>
      </c>
      <c r="C120" s="54">
        <v>3182852.0393362907</v>
      </c>
      <c r="D120" s="20">
        <v>40.87977577777778</v>
      </c>
    </row>
    <row r="121" spans="1:4" ht="13.8" x14ac:dyDescent="0.25">
      <c r="A121" s="41">
        <v>2394.3854182999999</v>
      </c>
      <c r="B121" s="86">
        <f t="shared" si="1"/>
        <v>20974816.264307998</v>
      </c>
      <c r="C121" s="54">
        <v>3191471.1323062433</v>
      </c>
      <c r="D121" s="20">
        <v>22.7390425</v>
      </c>
    </row>
    <row r="122" spans="1:4" ht="13.8" x14ac:dyDescent="0.25">
      <c r="A122" s="40">
        <v>2395.9803062999999</v>
      </c>
      <c r="B122" s="86">
        <f t="shared" si="1"/>
        <v>20988787.483188</v>
      </c>
      <c r="C122" s="54">
        <v>3193296.8714508163</v>
      </c>
      <c r="D122" s="20">
        <v>20.563243777777782</v>
      </c>
    </row>
    <row r="123" spans="1:4" ht="13.8" x14ac:dyDescent="0.25">
      <c r="A123" s="41">
        <v>2397.0767918000001</v>
      </c>
      <c r="B123" s="86">
        <f t="shared" si="1"/>
        <v>20998392.696168002</v>
      </c>
      <c r="C123" s="54">
        <v>3194549.8354182439</v>
      </c>
      <c r="D123" s="20">
        <v>14.673762166666668</v>
      </c>
    </row>
    <row r="124" spans="1:4" ht="13.8" x14ac:dyDescent="0.25">
      <c r="A124" s="40">
        <v>2400.7250981000002</v>
      </c>
      <c r="B124" s="86">
        <f t="shared" si="1"/>
        <v>21030351.859356005</v>
      </c>
      <c r="C124" s="54">
        <v>3198711.3627991914</v>
      </c>
      <c r="D124" s="20">
        <v>15.598931333333335</v>
      </c>
    </row>
    <row r="125" spans="1:4" ht="13.8" x14ac:dyDescent="0.25">
      <c r="A125" s="41">
        <v>2401.8415196999999</v>
      </c>
      <c r="B125" s="86">
        <f t="shared" si="1"/>
        <v>21040131.712572001</v>
      </c>
      <c r="C125" s="54">
        <v>3199982.563388207</v>
      </c>
      <c r="D125" s="20">
        <v>20.936563000000003</v>
      </c>
    </row>
    <row r="126" spans="1:4" ht="13.8" x14ac:dyDescent="0.25">
      <c r="A126" s="40">
        <v>2405.1708484000001</v>
      </c>
      <c r="B126" s="86">
        <f t="shared" si="1"/>
        <v>21069296.631983999</v>
      </c>
      <c r="C126" s="54">
        <v>3203766.6889088117</v>
      </c>
      <c r="D126" s="20">
        <v>23.949129222222226</v>
      </c>
    </row>
    <row r="127" spans="1:4" ht="13.8" x14ac:dyDescent="0.25">
      <c r="A127" s="41">
        <v>2407.8622219000003</v>
      </c>
      <c r="B127" s="86">
        <f t="shared" si="1"/>
        <v>21092873.063844003</v>
      </c>
      <c r="C127" s="54">
        <v>3206820.2347377446</v>
      </c>
      <c r="D127" s="20">
        <v>25.950868111111113</v>
      </c>
    </row>
    <row r="128" spans="1:4" ht="13.8" x14ac:dyDescent="0.25">
      <c r="A128" s="40">
        <v>2413.3446494</v>
      </c>
      <c r="B128" s="86">
        <f t="shared" si="1"/>
        <v>21140899.128743999</v>
      </c>
      <c r="C128" s="54">
        <v>3213029.2622132418</v>
      </c>
      <c r="D128" s="20">
        <v>37.021297055555557</v>
      </c>
    </row>
    <row r="129" spans="1:4" ht="13.8" x14ac:dyDescent="0.25">
      <c r="A129" s="41">
        <v>2437.9856689999997</v>
      </c>
      <c r="B129" s="86">
        <f t="shared" si="1"/>
        <v>21356754.460439999</v>
      </c>
      <c r="C129" s="54">
        <v>3240885.8661693148</v>
      </c>
      <c r="D129" s="20">
        <v>44.695069777777782</v>
      </c>
    </row>
    <row r="130" spans="1:4" ht="13.8" x14ac:dyDescent="0.25">
      <c r="A130" s="40">
        <v>2442.0326973000001</v>
      </c>
      <c r="B130" s="86">
        <f t="shared" si="1"/>
        <v>21392206.428348001</v>
      </c>
      <c r="C130" s="54">
        <v>3245452.7833975395</v>
      </c>
      <c r="D130" s="20">
        <v>68.454897500000001</v>
      </c>
    </row>
    <row r="131" spans="1:4" ht="13.8" x14ac:dyDescent="0.25">
      <c r="A131" s="41">
        <v>2449.4090543000002</v>
      </c>
      <c r="B131" s="86">
        <f t="shared" ref="B131:B194" si="2">A131*24*365</f>
        <v>21456823.315668002</v>
      </c>
      <c r="C131" s="54">
        <v>3253761.7079853583</v>
      </c>
      <c r="D131" s="20">
        <v>98.107966444444457</v>
      </c>
    </row>
    <row r="132" spans="1:4" ht="13.8" x14ac:dyDescent="0.25">
      <c r="A132" s="40">
        <v>2449.8675846000001</v>
      </c>
      <c r="B132" s="86">
        <f t="shared" si="2"/>
        <v>21460840.041095998</v>
      </c>
      <c r="C132" s="54">
        <v>3254277.2754489309</v>
      </c>
      <c r="D132" s="20">
        <v>27.642794722222224</v>
      </c>
    </row>
    <row r="133" spans="1:4" ht="13.8" x14ac:dyDescent="0.25">
      <c r="A133" s="41">
        <v>2453.8747407000001</v>
      </c>
      <c r="B133" s="86">
        <f t="shared" si="2"/>
        <v>21495942.728532001</v>
      </c>
      <c r="C133" s="54">
        <v>3258774.7309321519</v>
      </c>
      <c r="D133" s="20">
        <v>21.251557444444447</v>
      </c>
    </row>
    <row r="134" spans="1:4" ht="13.8" x14ac:dyDescent="0.25">
      <c r="A134" s="40">
        <v>2458.3404271000004</v>
      </c>
      <c r="B134" s="86">
        <f t="shared" si="2"/>
        <v>21535062.141396005</v>
      </c>
      <c r="C134" s="54">
        <v>3263777.731541981</v>
      </c>
      <c r="D134" s="20">
        <v>13.170324166666667</v>
      </c>
    </row>
    <row r="135" spans="1:4" ht="13.8" x14ac:dyDescent="0.25">
      <c r="A135" s="41">
        <v>2461.8890529</v>
      </c>
      <c r="B135" s="86">
        <f t="shared" si="2"/>
        <v>21566148.103404</v>
      </c>
      <c r="C135" s="54">
        <v>3267746.1076660459</v>
      </c>
      <c r="D135" s="20">
        <v>13.628285444444446</v>
      </c>
    </row>
    <row r="136" spans="1:4" ht="13.8" x14ac:dyDescent="0.25">
      <c r="A136" s="40">
        <v>2462.3675193000004</v>
      </c>
      <c r="B136" s="86">
        <f t="shared" si="2"/>
        <v>21570339.469068006</v>
      </c>
      <c r="C136" s="54">
        <v>3268280.1957850466</v>
      </c>
      <c r="D136" s="20">
        <v>16.877503944444445</v>
      </c>
    </row>
    <row r="137" spans="1:4" ht="13.8" x14ac:dyDescent="0.25">
      <c r="A137" s="41">
        <v>2472.9735245000002</v>
      </c>
      <c r="B137" s="86">
        <f t="shared" si="2"/>
        <v>21663248.074620001</v>
      </c>
      <c r="C137" s="54">
        <v>3280097.5625176234</v>
      </c>
      <c r="D137" s="20">
        <v>21.789893111111116</v>
      </c>
    </row>
    <row r="138" spans="1:4" ht="13.8" x14ac:dyDescent="0.25">
      <c r="A138" s="40">
        <v>2476.9208723000006</v>
      </c>
      <c r="B138" s="86">
        <f t="shared" si="2"/>
        <v>21697826.841348004</v>
      </c>
      <c r="C138" s="54">
        <v>3284487.7212992217</v>
      </c>
      <c r="D138" s="20">
        <v>27.773263388888889</v>
      </c>
    </row>
    <row r="139" spans="1:4" ht="13.8" x14ac:dyDescent="0.25">
      <c r="A139" s="41">
        <v>2477.9176772999999</v>
      </c>
      <c r="B139" s="86">
        <f t="shared" si="2"/>
        <v>21706558.853147998</v>
      </c>
      <c r="C139" s="54">
        <v>3285594.3184410185</v>
      </c>
      <c r="D139" s="20">
        <v>28.579445944444448</v>
      </c>
    </row>
    <row r="140" spans="1:4" ht="13.8" x14ac:dyDescent="0.25">
      <c r="A140" s="40">
        <v>2480.4296259000002</v>
      </c>
      <c r="B140" s="86">
        <f t="shared" si="2"/>
        <v>21728563.522884004</v>
      </c>
      <c r="C140" s="54">
        <v>3288377.8306292119</v>
      </c>
      <c r="D140" s="20">
        <v>31.697789333333336</v>
      </c>
    </row>
    <row r="141" spans="1:4" ht="13.8" x14ac:dyDescent="0.25">
      <c r="A141" s="41">
        <v>2496.3984420000002</v>
      </c>
      <c r="B141" s="86">
        <f t="shared" si="2"/>
        <v>21868450.351920001</v>
      </c>
      <c r="C141" s="54">
        <v>3306040.5136674773</v>
      </c>
      <c r="D141" s="20">
        <v>43.704971111111114</v>
      </c>
    </row>
    <row r="142" spans="1:4" ht="13.8" x14ac:dyDescent="0.25">
      <c r="A142" s="40">
        <v>2497.2556943</v>
      </c>
      <c r="B142" s="86">
        <f t="shared" si="2"/>
        <v>21875959.882068001</v>
      </c>
      <c r="C142" s="54">
        <v>3306986.9528714949</v>
      </c>
      <c r="D142" s="20">
        <v>53.119138944444444</v>
      </c>
    </row>
    <row r="143" spans="1:4" ht="13.8" x14ac:dyDescent="0.25">
      <c r="A143" s="41">
        <v>2528.8145405999994</v>
      </c>
      <c r="B143" s="86">
        <f t="shared" si="2"/>
        <v>22152415.375655994</v>
      </c>
      <c r="C143" s="54">
        <v>3341764.8894834425</v>
      </c>
      <c r="D143" s="20">
        <v>89.657884833333341</v>
      </c>
    </row>
    <row r="144" spans="1:4" ht="13.8" x14ac:dyDescent="0.25">
      <c r="A144" s="40">
        <v>2549.6677011999996</v>
      </c>
      <c r="B144" s="86">
        <f t="shared" si="2"/>
        <v>22335089.062511995</v>
      </c>
      <c r="C144" s="54">
        <v>3364702.6878343155</v>
      </c>
      <c r="D144" s="20">
        <v>65.752245166666668</v>
      </c>
    </row>
    <row r="145" spans="1:4" ht="13.8" x14ac:dyDescent="0.25">
      <c r="A145" s="41">
        <v>2550.2657842000003</v>
      </c>
      <c r="B145" s="86">
        <f t="shared" si="2"/>
        <v>22340328.269592002</v>
      </c>
      <c r="C145" s="54">
        <v>3365359.3423920525</v>
      </c>
      <c r="D145" s="20">
        <v>18.910234222222222</v>
      </c>
    </row>
    <row r="146" spans="1:4" ht="13.8" x14ac:dyDescent="0.25">
      <c r="A146" s="40">
        <v>2552.0999053999999</v>
      </c>
      <c r="B146" s="86">
        <f t="shared" si="2"/>
        <v>22356395.171303999</v>
      </c>
      <c r="C146" s="54">
        <v>3367369.3500195816</v>
      </c>
      <c r="D146" s="20">
        <v>17.663872333333334</v>
      </c>
    </row>
    <row r="147" spans="1:4" ht="13.8" x14ac:dyDescent="0.25">
      <c r="A147" s="41">
        <v>2562.9052716000006</v>
      </c>
      <c r="B147" s="86">
        <f t="shared" si="2"/>
        <v>22451050.179216005</v>
      </c>
      <c r="C147" s="54">
        <v>3379188.9243602613</v>
      </c>
      <c r="D147" s="20">
        <v>13.815249888888889</v>
      </c>
    </row>
    <row r="148" spans="1:4" ht="13.8" x14ac:dyDescent="0.25">
      <c r="A148" s="40">
        <v>2566.9921721000001</v>
      </c>
      <c r="B148" s="86">
        <f t="shared" si="2"/>
        <v>22486851.427595999</v>
      </c>
      <c r="C148" s="54">
        <v>3383651.1094363779</v>
      </c>
      <c r="D148" s="20">
        <v>17.747599888888892</v>
      </c>
    </row>
    <row r="149" spans="1:4" ht="13.8" x14ac:dyDescent="0.25">
      <c r="A149" s="41">
        <v>2572.8932577</v>
      </c>
      <c r="B149" s="86">
        <f t="shared" si="2"/>
        <v>22538544.937452003</v>
      </c>
      <c r="C149" s="54">
        <v>3390082.0587773109</v>
      </c>
      <c r="D149" s="20">
        <v>21.117329166666668</v>
      </c>
    </row>
    <row r="150" spans="1:4" ht="13.8" x14ac:dyDescent="0.25">
      <c r="A150" s="40">
        <v>2573.7106378000008</v>
      </c>
      <c r="B150" s="86">
        <f t="shared" si="2"/>
        <v>22545705.187128007</v>
      </c>
      <c r="C150" s="54">
        <v>3390971.1685389681</v>
      </c>
      <c r="D150" s="20">
        <v>26.370826833333336</v>
      </c>
    </row>
    <row r="151" spans="1:4" ht="13.8" x14ac:dyDescent="0.25">
      <c r="A151" s="41">
        <v>2575.5048868000003</v>
      </c>
      <c r="B151" s="86">
        <f t="shared" si="2"/>
        <v>22561422.808368005</v>
      </c>
      <c r="C151" s="54">
        <v>3392919.2210301524</v>
      </c>
      <c r="D151" s="20">
        <v>25.47207655555556</v>
      </c>
    </row>
    <row r="152" spans="1:4" ht="13.8" x14ac:dyDescent="0.25">
      <c r="A152" s="40">
        <v>2584.0176014999993</v>
      </c>
      <c r="B152" s="86">
        <f t="shared" si="2"/>
        <v>22635994.189139992</v>
      </c>
      <c r="C152" s="54">
        <v>3402144.3217851343</v>
      </c>
      <c r="D152" s="20">
        <v>40.318374388888891</v>
      </c>
    </row>
    <row r="153" spans="1:4" ht="13.8" x14ac:dyDescent="0.25">
      <c r="A153" s="41">
        <v>2587.6060994999998</v>
      </c>
      <c r="B153" s="86">
        <f t="shared" si="2"/>
        <v>22667429.431619998</v>
      </c>
      <c r="C153" s="54">
        <v>3406025.8193128202</v>
      </c>
      <c r="D153" s="20">
        <v>56.907201166666667</v>
      </c>
    </row>
    <row r="154" spans="1:4" ht="13.8" x14ac:dyDescent="0.25">
      <c r="A154" s="40">
        <v>2600.2256508</v>
      </c>
      <c r="B154" s="86">
        <f t="shared" si="2"/>
        <v>22777976.701007999</v>
      </c>
      <c r="C154" s="54">
        <v>3419650.0675106961</v>
      </c>
      <c r="D154" s="20">
        <v>48.167426277777786</v>
      </c>
    </row>
    <row r="155" spans="1:4" ht="13.8" x14ac:dyDescent="0.25">
      <c r="A155" s="41">
        <v>2608.6785572000003</v>
      </c>
      <c r="B155" s="86">
        <f t="shared" si="2"/>
        <v>22852024.161072001</v>
      </c>
      <c r="C155" s="54">
        <v>3428758.7419048781</v>
      </c>
      <c r="D155" s="20">
        <v>138.52906966666669</v>
      </c>
    </row>
    <row r="156" spans="1:4" ht="13.8" x14ac:dyDescent="0.25">
      <c r="A156" s="40">
        <v>2611.4696112000001</v>
      </c>
      <c r="B156" s="86">
        <f t="shared" si="2"/>
        <v>22876473.794112001</v>
      </c>
      <c r="C156" s="54">
        <v>3431760.6423959467</v>
      </c>
      <c r="D156" s="20">
        <v>54.002749166666675</v>
      </c>
    </row>
    <row r="157" spans="1:4" ht="13.8" x14ac:dyDescent="0.25">
      <c r="A157" s="41">
        <v>2617.1115274999997</v>
      </c>
      <c r="B157" s="86">
        <f t="shared" si="2"/>
        <v>22925896.980900001</v>
      </c>
      <c r="C157" s="54">
        <v>3437817.2867347468</v>
      </c>
      <c r="D157" s="20">
        <v>38.62746388888889</v>
      </c>
    </row>
    <row r="158" spans="1:4" ht="13.8" x14ac:dyDescent="0.25">
      <c r="A158" s="40">
        <v>2624.4480122999998</v>
      </c>
      <c r="B158" s="86">
        <f t="shared" si="2"/>
        <v>22990164.587747999</v>
      </c>
      <c r="C158" s="54">
        <v>3445678.1324674087</v>
      </c>
      <c r="D158" s="20">
        <v>20.811784555555558</v>
      </c>
    </row>
    <row r="159" spans="1:4" ht="13.8" x14ac:dyDescent="0.25">
      <c r="A159" s="41">
        <v>2640.2972118000002</v>
      </c>
      <c r="B159" s="86">
        <f t="shared" si="2"/>
        <v>23129003.575368002</v>
      </c>
      <c r="C159" s="54">
        <v>3462627.864440124</v>
      </c>
      <c r="D159" s="20">
        <v>13.637227222222222</v>
      </c>
    </row>
    <row r="160" spans="1:4" ht="13.8" x14ac:dyDescent="0.25">
      <c r="A160" s="40">
        <v>2643.4869878000004</v>
      </c>
      <c r="B160" s="86">
        <f t="shared" si="2"/>
        <v>23156946.013128001</v>
      </c>
      <c r="C160" s="54">
        <v>3466032.6390501624</v>
      </c>
      <c r="D160" s="20">
        <v>14.775678111111112</v>
      </c>
    </row>
    <row r="161" spans="1:4" ht="13.8" x14ac:dyDescent="0.25">
      <c r="A161" s="41">
        <v>2655.1496063000004</v>
      </c>
      <c r="B161" s="86">
        <f t="shared" si="2"/>
        <v>23259110.551188003</v>
      </c>
      <c r="C161" s="54">
        <v>3478457.6091042487</v>
      </c>
      <c r="D161" s="20">
        <v>19.237015555555555</v>
      </c>
    </row>
    <row r="162" spans="1:4" ht="13.8" x14ac:dyDescent="0.25">
      <c r="A162" s="40">
        <v>2668.446985000001</v>
      </c>
      <c r="B162" s="86">
        <f t="shared" si="2"/>
        <v>23375595.58860001</v>
      </c>
      <c r="C162" s="54">
        <v>3492597.1345249852</v>
      </c>
      <c r="D162" s="20">
        <v>25.981961111111115</v>
      </c>
    </row>
    <row r="163" spans="1:4" ht="13.8" x14ac:dyDescent="0.25">
      <c r="A163" s="41">
        <v>2673.869604200001</v>
      </c>
      <c r="B163" s="86">
        <f t="shared" si="2"/>
        <v>23423097.732792009</v>
      </c>
      <c r="C163" s="54">
        <v>3498352.1411314318</v>
      </c>
      <c r="D163" s="20">
        <v>27.079462722222221</v>
      </c>
    </row>
    <row r="164" spans="1:4" ht="13.8" x14ac:dyDescent="0.25">
      <c r="A164" s="40">
        <v>2675.6239809999997</v>
      </c>
      <c r="B164" s="86">
        <f t="shared" si="2"/>
        <v>23438466.073559999</v>
      </c>
      <c r="C164" s="54">
        <v>3500210.484322371</v>
      </c>
      <c r="D164" s="20">
        <v>36.008335888888887</v>
      </c>
    </row>
    <row r="165" spans="1:4" ht="13.8" x14ac:dyDescent="0.25">
      <c r="A165" s="41">
        <v>2676.620786</v>
      </c>
      <c r="B165" s="86">
        <f t="shared" si="2"/>
        <v>23447198.085360002</v>
      </c>
      <c r="C165" s="54">
        <v>3501264.3323222552</v>
      </c>
      <c r="D165" s="20">
        <v>52.47014877777778</v>
      </c>
    </row>
    <row r="166" spans="1:4" ht="13.8" x14ac:dyDescent="0.25">
      <c r="A166" s="40">
        <v>2687.2267912000007</v>
      </c>
      <c r="B166" s="86">
        <f t="shared" si="2"/>
        <v>23540106.690912005</v>
      </c>
      <c r="C166" s="54">
        <v>3512455.688469097</v>
      </c>
      <c r="D166" s="20">
        <v>41.203102333333334</v>
      </c>
    </row>
    <row r="167" spans="1:4" ht="13.8" x14ac:dyDescent="0.25">
      <c r="A167" s="41">
        <v>2688.2435323</v>
      </c>
      <c r="B167" s="86">
        <f t="shared" si="2"/>
        <v>23549013.342948001</v>
      </c>
      <c r="C167" s="54">
        <v>3513526.4746501506</v>
      </c>
      <c r="D167" s="20">
        <v>76.346118000000004</v>
      </c>
    </row>
    <row r="168" spans="1:4" ht="13.8" x14ac:dyDescent="0.25">
      <c r="A168" s="40">
        <v>2690.0776535</v>
      </c>
      <c r="B168" s="86">
        <f t="shared" si="2"/>
        <v>23565080.244659998</v>
      </c>
      <c r="C168" s="54">
        <v>3515454.3559213462</v>
      </c>
      <c r="D168" s="20">
        <v>81.633248944444446</v>
      </c>
    </row>
    <row r="169" spans="1:4" ht="13.8" x14ac:dyDescent="0.25">
      <c r="A169" s="41">
        <v>2690.9349058000003</v>
      </c>
      <c r="B169" s="86">
        <f t="shared" si="2"/>
        <v>23572589.774808001</v>
      </c>
      <c r="C169" s="54">
        <v>3516353.6860840074</v>
      </c>
      <c r="D169" s="20">
        <v>31.595060500000002</v>
      </c>
    </row>
    <row r="170" spans="1:4" ht="13.8" x14ac:dyDescent="0.25">
      <c r="A170" s="40">
        <v>2692.5896020999999</v>
      </c>
      <c r="B170" s="86">
        <f t="shared" si="2"/>
        <v>23587084.914395999</v>
      </c>
      <c r="C170" s="54">
        <v>3518086.2346146647</v>
      </c>
      <c r="D170" s="20">
        <v>35.92349061111112</v>
      </c>
    </row>
    <row r="171" spans="1:4" ht="13.8" x14ac:dyDescent="0.25">
      <c r="A171" s="41">
        <v>2701.0225724000002</v>
      </c>
      <c r="B171" s="86">
        <f t="shared" si="2"/>
        <v>23660957.734224003</v>
      </c>
      <c r="C171" s="54">
        <v>3526898.8061381602</v>
      </c>
      <c r="D171" s="20">
        <v>28.133678000000003</v>
      </c>
    </row>
    <row r="172" spans="1:4" ht="13.8" x14ac:dyDescent="0.25">
      <c r="A172" s="40">
        <v>2704.9699202000002</v>
      </c>
      <c r="B172" s="86">
        <f t="shared" si="2"/>
        <v>23695536.500952002</v>
      </c>
      <c r="C172" s="54">
        <v>3531015.8055171669</v>
      </c>
      <c r="D172" s="20">
        <v>20.557451944444445</v>
      </c>
    </row>
    <row r="173" spans="1:4" ht="13.8" x14ac:dyDescent="0.25">
      <c r="A173" s="41">
        <v>2706.3255749999998</v>
      </c>
      <c r="B173" s="86">
        <f t="shared" si="2"/>
        <v>23707412.037</v>
      </c>
      <c r="C173" s="54">
        <v>3532426.96530993</v>
      </c>
      <c r="D173" s="20">
        <v>25.769085833333335</v>
      </c>
    </row>
    <row r="174" spans="1:4" ht="13.8" x14ac:dyDescent="0.25">
      <c r="A174" s="40">
        <v>2709.8143924999999</v>
      </c>
      <c r="B174" s="86">
        <f t="shared" si="2"/>
        <v>23737974.078299999</v>
      </c>
      <c r="C174" s="54">
        <v>3536051.525695282</v>
      </c>
      <c r="D174" s="20">
        <v>29.180272444444448</v>
      </c>
    </row>
    <row r="175" spans="1:4" ht="13.8" x14ac:dyDescent="0.25">
      <c r="A175" s="41">
        <v>2710.5520282000002</v>
      </c>
      <c r="B175" s="86">
        <f t="shared" si="2"/>
        <v>23744435.767032005</v>
      </c>
      <c r="C175" s="54">
        <v>3536816.359997882</v>
      </c>
      <c r="D175" s="20">
        <v>35.304882166666673</v>
      </c>
    </row>
    <row r="176" spans="1:4" ht="13.8" x14ac:dyDescent="0.25">
      <c r="A176" s="40">
        <v>2713.3829544000005</v>
      </c>
      <c r="B176" s="86">
        <f t="shared" si="2"/>
        <v>23769234.680544004</v>
      </c>
      <c r="C176" s="54">
        <v>3539745.9081947282</v>
      </c>
      <c r="D176" s="20">
        <v>62.648533777777786</v>
      </c>
    </row>
    <row r="177" spans="1:4" ht="13.8" x14ac:dyDescent="0.25">
      <c r="A177" s="41">
        <v>2715.6955419999999</v>
      </c>
      <c r="B177" s="86">
        <f t="shared" si="2"/>
        <v>23789492.947920002</v>
      </c>
      <c r="C177" s="54">
        <v>3542134.3533963459</v>
      </c>
      <c r="D177" s="20">
        <v>66.953898166666676</v>
      </c>
    </row>
    <row r="178" spans="1:4" ht="13.8" x14ac:dyDescent="0.25">
      <c r="A178" s="40">
        <v>2717.5695353999999</v>
      </c>
      <c r="B178" s="86">
        <f t="shared" si="2"/>
        <v>23805909.130103998</v>
      </c>
      <c r="C178" s="54">
        <v>3544066.0034427284</v>
      </c>
      <c r="D178" s="20">
        <v>90.239506833333337</v>
      </c>
    </row>
    <row r="179" spans="1:4" ht="13.8" x14ac:dyDescent="0.25">
      <c r="A179" s="41">
        <v>2717.7290241999999</v>
      </c>
      <c r="B179" s="86">
        <f t="shared" si="2"/>
        <v>23807306.251991998</v>
      </c>
      <c r="C179" s="54">
        <v>3544230.0745812519</v>
      </c>
      <c r="D179" s="20">
        <v>74.668315333333339</v>
      </c>
    </row>
    <row r="180" spans="1:4" ht="13.8" x14ac:dyDescent="0.25">
      <c r="A180" s="40">
        <v>2721.4371388000004</v>
      </c>
      <c r="B180" s="86">
        <f t="shared" si="2"/>
        <v>23839789.335888006</v>
      </c>
      <c r="C180" s="54">
        <v>3548037.1813670197</v>
      </c>
      <c r="D180" s="20">
        <v>56.836073388888892</v>
      </c>
    </row>
    <row r="181" spans="1:4" ht="13.8" x14ac:dyDescent="0.25">
      <c r="A181" s="41">
        <v>2729.9897256999998</v>
      </c>
      <c r="B181" s="86">
        <f t="shared" si="2"/>
        <v>23914709.997132</v>
      </c>
      <c r="C181" s="54">
        <v>3556800.6817367142</v>
      </c>
      <c r="D181" s="20">
        <v>39.802697999999999</v>
      </c>
    </row>
    <row r="182" spans="1:4" ht="13.8" x14ac:dyDescent="0.25">
      <c r="A182" s="40">
        <v>2742.5893408999996</v>
      </c>
      <c r="B182" s="86">
        <f t="shared" si="2"/>
        <v>24025082.626283996</v>
      </c>
      <c r="C182" s="54">
        <v>3569685.3690854535</v>
      </c>
      <c r="D182" s="20">
        <v>20.094105277777782</v>
      </c>
    </row>
    <row r="183" spans="1:4" ht="13.8" x14ac:dyDescent="0.25">
      <c r="A183" s="41">
        <v>2756.1259528000005</v>
      </c>
      <c r="B183" s="86">
        <f t="shared" si="2"/>
        <v>24143663.346528005</v>
      </c>
      <c r="C183" s="54">
        <v>3583500.7018373548</v>
      </c>
      <c r="D183" s="20">
        <v>17.711324722222223</v>
      </c>
    </row>
    <row r="184" spans="1:4" ht="13.8" x14ac:dyDescent="0.25">
      <c r="A184" s="40">
        <v>2762.8045462999999</v>
      </c>
      <c r="B184" s="86">
        <f t="shared" si="2"/>
        <v>24202167.825587999</v>
      </c>
      <c r="C184" s="54">
        <v>3590303.2155225109</v>
      </c>
      <c r="D184" s="20">
        <v>16.18380488888889</v>
      </c>
    </row>
    <row r="185" spans="1:4" ht="13.8" x14ac:dyDescent="0.25">
      <c r="A185" s="41">
        <v>2767.8284435</v>
      </c>
      <c r="B185" s="86">
        <f t="shared" si="2"/>
        <v>24246177.165059999</v>
      </c>
      <c r="C185" s="54">
        <v>3595410.1050763493</v>
      </c>
      <c r="D185" s="20">
        <v>18.371390500000004</v>
      </c>
    </row>
    <row r="186" spans="1:4" ht="13.8" x14ac:dyDescent="0.25">
      <c r="A186" s="40">
        <v>2774.8060784999998</v>
      </c>
      <c r="B186" s="86">
        <f t="shared" si="2"/>
        <v>24307301.24766</v>
      </c>
      <c r="C186" s="54">
        <v>3602488.8055424048</v>
      </c>
      <c r="D186" s="20">
        <v>22.306077555555557</v>
      </c>
    </row>
    <row r="187" spans="1:4" ht="13.8" x14ac:dyDescent="0.25">
      <c r="A187" s="41">
        <v>2780.2685698999999</v>
      </c>
      <c r="B187" s="86">
        <f t="shared" si="2"/>
        <v>24355152.672324002</v>
      </c>
      <c r="C187" s="54">
        <v>3608019.2988683358</v>
      </c>
      <c r="D187" s="20">
        <v>31.422728055555556</v>
      </c>
    </row>
    <row r="188" spans="1:4" ht="13.8" x14ac:dyDescent="0.25">
      <c r="A188" s="40">
        <v>2790.9343834000001</v>
      </c>
      <c r="B188" s="86">
        <f t="shared" si="2"/>
        <v>24448585.198584005</v>
      </c>
      <c r="C188" s="54">
        <v>3618796.1815507407</v>
      </c>
      <c r="D188" s="20">
        <v>50.470543722222224</v>
      </c>
    </row>
    <row r="189" spans="1:4" ht="13.8" x14ac:dyDescent="0.25">
      <c r="A189" s="41">
        <v>2801.6201330000004</v>
      </c>
      <c r="B189" s="86">
        <f t="shared" si="2"/>
        <v>24542192.365080003</v>
      </c>
      <c r="C189" s="54">
        <v>3629571.4590621209</v>
      </c>
      <c r="D189" s="20">
        <v>65.480130611111122</v>
      </c>
    </row>
    <row r="190" spans="1:4" ht="13.8" x14ac:dyDescent="0.25">
      <c r="A190" s="40">
        <v>2807.00288</v>
      </c>
      <c r="B190" s="86">
        <f t="shared" si="2"/>
        <v>24589345.228799999</v>
      </c>
      <c r="C190" s="54">
        <v>3634988.3484861683</v>
      </c>
      <c r="D190" s="20">
        <v>56.024099000000007</v>
      </c>
    </row>
    <row r="191" spans="1:4" ht="13.8" x14ac:dyDescent="0.25">
      <c r="A191" s="41">
        <v>2808.5778319000001</v>
      </c>
      <c r="B191" s="86">
        <f t="shared" si="2"/>
        <v>24603141.807444002</v>
      </c>
      <c r="C191" s="54">
        <v>3636570.0846817591</v>
      </c>
      <c r="D191" s="20">
        <v>42.979975833333334</v>
      </c>
    </row>
    <row r="192" spans="1:4" ht="13.8" x14ac:dyDescent="0.25">
      <c r="A192" s="40">
        <v>2808.7373207000001</v>
      </c>
      <c r="B192" s="86">
        <f t="shared" si="2"/>
        <v>24604538.929331999</v>
      </c>
      <c r="C192" s="54">
        <v>3636729.9358889307</v>
      </c>
      <c r="D192" s="20">
        <v>27.444856277777777</v>
      </c>
    </row>
    <row r="193" spans="1:4" ht="13.8" x14ac:dyDescent="0.25">
      <c r="A193" s="41">
        <v>2808.9964900000004</v>
      </c>
      <c r="B193" s="86">
        <f t="shared" si="2"/>
        <v>24606809.2524</v>
      </c>
      <c r="C193" s="54">
        <v>3636989.1666091648</v>
      </c>
      <c r="D193" s="20">
        <v>20.698488166666667</v>
      </c>
    </row>
    <row r="194" spans="1:4" ht="13.8" x14ac:dyDescent="0.25">
      <c r="A194" s="40">
        <v>2809.8736784000007</v>
      </c>
      <c r="B194" s="86">
        <f t="shared" si="2"/>
        <v>24614493.422784004</v>
      </c>
      <c r="C194" s="54">
        <v>3637864.7775374614</v>
      </c>
      <c r="D194" s="20">
        <v>12.27248838888889</v>
      </c>
    </row>
    <row r="195" spans="1:4" ht="13.8" x14ac:dyDescent="0.25">
      <c r="A195" s="41">
        <v>2824.0482455000006</v>
      </c>
      <c r="B195" s="86">
        <f t="shared" ref="B195:B258" si="3">A195*24*365</f>
        <v>24738662.630580008</v>
      </c>
      <c r="C195" s="54">
        <v>3651985.0044057788</v>
      </c>
      <c r="D195" s="20">
        <v>9.9143993333333338</v>
      </c>
    </row>
    <row r="196" spans="1:4" ht="13.8" x14ac:dyDescent="0.25">
      <c r="A196" s="40">
        <v>2831.0059443999999</v>
      </c>
      <c r="B196" s="86">
        <f t="shared" si="3"/>
        <v>24799612.072944</v>
      </c>
      <c r="C196" s="54">
        <v>3658901.8688554503</v>
      </c>
      <c r="D196" s="20">
        <v>13.338998611111112</v>
      </c>
    </row>
    <row r="197" spans="1:4" ht="13.8" x14ac:dyDescent="0.25">
      <c r="A197" s="41">
        <v>2832.7603211999999</v>
      </c>
      <c r="B197" s="86">
        <f t="shared" si="3"/>
        <v>24814980.413712002</v>
      </c>
      <c r="C197" s="54">
        <v>3660642.3785786079</v>
      </c>
      <c r="D197" s="20">
        <v>16.33632316666667</v>
      </c>
    </row>
    <row r="198" spans="1:4" ht="13.8" x14ac:dyDescent="0.25">
      <c r="A198" s="40">
        <v>2856.8032578000002</v>
      </c>
      <c r="B198" s="86">
        <f t="shared" si="3"/>
        <v>25025596.538328003</v>
      </c>
      <c r="C198" s="54">
        <v>3684446.3382204892</v>
      </c>
      <c r="D198" s="20">
        <v>20.099795499999999</v>
      </c>
    </row>
    <row r="199" spans="1:4" ht="13.8" x14ac:dyDescent="0.25">
      <c r="A199" s="41">
        <v>2856.8830022000002</v>
      </c>
      <c r="B199" s="86">
        <f t="shared" si="3"/>
        <v>25026295.099272002</v>
      </c>
      <c r="C199" s="54">
        <v>3684525.1276887096</v>
      </c>
      <c r="D199" s="20">
        <v>23.557520000000004</v>
      </c>
    </row>
    <row r="200" spans="1:4" ht="13.8" x14ac:dyDescent="0.25">
      <c r="A200" s="40">
        <v>2861.6277940000004</v>
      </c>
      <c r="B200" s="86">
        <f t="shared" si="3"/>
        <v>25067859.475440007</v>
      </c>
      <c r="C200" s="54">
        <v>3689203.4438972739</v>
      </c>
      <c r="D200" s="20">
        <v>29.787195611111116</v>
      </c>
    </row>
    <row r="201" spans="1:4" ht="13.8" x14ac:dyDescent="0.25">
      <c r="A201" s="41">
        <v>2877.4769935000004</v>
      </c>
      <c r="B201" s="86">
        <f t="shared" si="3"/>
        <v>25206698.463060003</v>
      </c>
      <c r="C201" s="54">
        <v>3704798.3344480479</v>
      </c>
      <c r="D201" s="20">
        <v>38.744215055555557</v>
      </c>
    </row>
    <row r="202" spans="1:4" ht="13.8" x14ac:dyDescent="0.25">
      <c r="A202" s="40">
        <v>2878.9921371</v>
      </c>
      <c r="B202" s="86">
        <f t="shared" si="3"/>
        <v>25219971.120996002</v>
      </c>
      <c r="C202" s="54">
        <v>3706286.0829562829</v>
      </c>
      <c r="D202" s="20">
        <v>72.575837722222232</v>
      </c>
    </row>
    <row r="203" spans="1:4" ht="13.8" x14ac:dyDescent="0.25">
      <c r="A203" s="41">
        <v>2897.4729017999998</v>
      </c>
      <c r="B203" s="86">
        <f t="shared" si="3"/>
        <v>25381862.619767997</v>
      </c>
      <c r="C203" s="54">
        <v>3724395.0854332987</v>
      </c>
      <c r="D203" s="20">
        <v>122.9095112777778</v>
      </c>
    </row>
    <row r="204" spans="1:4" ht="13.8" x14ac:dyDescent="0.25">
      <c r="A204" s="40">
        <v>2898.9880454000004</v>
      </c>
      <c r="B204" s="86">
        <f t="shared" si="3"/>
        <v>25395135.277704</v>
      </c>
      <c r="C204" s="54">
        <v>3725876.6663495568</v>
      </c>
      <c r="D204" s="20">
        <v>66.64876000000001</v>
      </c>
    </row>
    <row r="205" spans="1:4" ht="13.8" x14ac:dyDescent="0.25">
      <c r="A205" s="41">
        <v>2899.3867674000003</v>
      </c>
      <c r="B205" s="86">
        <f t="shared" si="3"/>
        <v>25398628.082424004</v>
      </c>
      <c r="C205" s="54">
        <v>3726265.7445391007</v>
      </c>
      <c r="D205" s="20">
        <v>31.411550833333333</v>
      </c>
    </row>
    <row r="206" spans="1:4" ht="13.8" x14ac:dyDescent="0.25">
      <c r="A206" s="40">
        <v>2904.7695144000004</v>
      </c>
      <c r="B206" s="86">
        <f t="shared" si="3"/>
        <v>25445780.946144003</v>
      </c>
      <c r="C206" s="54">
        <v>3731507.3445069417</v>
      </c>
      <c r="D206" s="20">
        <v>16.807697111111111</v>
      </c>
    </row>
    <row r="207" spans="1:4" ht="13.8" x14ac:dyDescent="0.25">
      <c r="A207" s="41">
        <v>2910.9297693000003</v>
      </c>
      <c r="B207" s="86">
        <f t="shared" si="3"/>
        <v>25499744.779068001</v>
      </c>
      <c r="C207" s="54">
        <v>3737493.5264048628</v>
      </c>
      <c r="D207" s="20">
        <v>12.888963</v>
      </c>
    </row>
    <row r="208" spans="1:4" ht="13.8" x14ac:dyDescent="0.25">
      <c r="A208" s="40">
        <v>2925.1840808000002</v>
      </c>
      <c r="B208" s="86">
        <f t="shared" si="3"/>
        <v>25624612.547808003</v>
      </c>
      <c r="C208" s="54">
        <v>3751316.0355969248</v>
      </c>
      <c r="D208" s="20">
        <v>10.889053111111112</v>
      </c>
    </row>
    <row r="209" spans="1:4" ht="13.8" x14ac:dyDescent="0.25">
      <c r="A209" s="41">
        <v>2925.4033779000001</v>
      </c>
      <c r="B209" s="86">
        <f t="shared" si="3"/>
        <v>25626533.590404</v>
      </c>
      <c r="C209" s="54">
        <v>3751528.2432456003</v>
      </c>
      <c r="D209" s="20">
        <v>12.728112611111113</v>
      </c>
    </row>
    <row r="210" spans="1:4" ht="13.8" x14ac:dyDescent="0.25">
      <c r="A210" s="40">
        <v>2927.7558377</v>
      </c>
      <c r="B210" s="86">
        <f t="shared" si="3"/>
        <v>25647141.138251998</v>
      </c>
      <c r="C210" s="54">
        <v>3753799.8645687373</v>
      </c>
      <c r="D210" s="20">
        <v>15.176737166666667</v>
      </c>
    </row>
    <row r="211" spans="1:4" ht="13.8" x14ac:dyDescent="0.25">
      <c r="A211" s="41">
        <v>2942.3889351000003</v>
      </c>
      <c r="B211" s="86">
        <f t="shared" si="3"/>
        <v>25775327.071476005</v>
      </c>
      <c r="C211" s="54">
        <v>3767900.3362627253</v>
      </c>
      <c r="D211" s="20">
        <v>19.490128833333337</v>
      </c>
    </row>
    <row r="212" spans="1:4" ht="13.8" x14ac:dyDescent="0.25">
      <c r="A212" s="40">
        <v>2944.5619699999997</v>
      </c>
      <c r="B212" s="86">
        <f t="shared" si="3"/>
        <v>25794362.8572</v>
      </c>
      <c r="C212" s="54">
        <v>3769989.8527070642</v>
      </c>
      <c r="D212" s="20">
        <v>25.337645055555559</v>
      </c>
    </row>
    <row r="213" spans="1:4" ht="13.8" x14ac:dyDescent="0.25">
      <c r="A213" s="41">
        <v>2957.3210739999995</v>
      </c>
      <c r="B213" s="86">
        <f t="shared" si="3"/>
        <v>25906132.608239997</v>
      </c>
      <c r="C213" s="54">
        <v>3782232.6043058755</v>
      </c>
      <c r="D213" s="20">
        <v>49.293887055555565</v>
      </c>
    </row>
    <row r="214" spans="1:4" ht="13.8" x14ac:dyDescent="0.25">
      <c r="A214" s="40">
        <v>2961.3082940000004</v>
      </c>
      <c r="B214" s="86">
        <f t="shared" si="3"/>
        <v>25941060.655440003</v>
      </c>
      <c r="C214" s="54">
        <v>3786050.3489279016</v>
      </c>
      <c r="D214" s="20">
        <v>35.260173277777774</v>
      </c>
    </row>
    <row r="215" spans="1:4" ht="13.8" x14ac:dyDescent="0.25">
      <c r="A215" s="41">
        <v>2963.7604343000007</v>
      </c>
      <c r="B215" s="86">
        <f t="shared" si="3"/>
        <v>25962541.404468007</v>
      </c>
      <c r="C215" s="54">
        <v>3788393.2709900974</v>
      </c>
      <c r="D215" s="20">
        <v>35.806536222222221</v>
      </c>
    </row>
    <row r="216" spans="1:4" ht="13.8" x14ac:dyDescent="0.25">
      <c r="A216" s="40">
        <v>2963.8003064999998</v>
      </c>
      <c r="B216" s="86">
        <f t="shared" si="3"/>
        <v>25962890.684939999</v>
      </c>
      <c r="C216" s="54">
        <v>3788431.2861312642</v>
      </c>
      <c r="D216" s="20">
        <v>47.889723111111117</v>
      </c>
    </row>
    <row r="217" spans="1:4" ht="13.8" x14ac:dyDescent="0.25">
      <c r="A217" s="41">
        <v>2968.8042676000005</v>
      </c>
      <c r="B217" s="86">
        <f t="shared" si="3"/>
        <v>26006725.384176005</v>
      </c>
      <c r="C217" s="54">
        <v>3793192.0017058607</v>
      </c>
      <c r="D217" s="20">
        <v>21.798428444444447</v>
      </c>
    </row>
    <row r="218" spans="1:4" ht="13.8" x14ac:dyDescent="0.25">
      <c r="A218" s="40">
        <v>2969.7811365000002</v>
      </c>
      <c r="B218" s="86">
        <f t="shared" si="3"/>
        <v>26015282.755740002</v>
      </c>
      <c r="C218" s="54">
        <v>3794119.3961907057</v>
      </c>
      <c r="D218" s="20">
        <v>13.701547055555556</v>
      </c>
    </row>
    <row r="219" spans="1:4" ht="13.8" x14ac:dyDescent="0.25">
      <c r="A219" s="41">
        <v>2971.2962800999999</v>
      </c>
      <c r="B219" s="86">
        <f t="shared" si="3"/>
        <v>26028555.413676001</v>
      </c>
      <c r="C219" s="54">
        <v>3795554.7201671312</v>
      </c>
      <c r="D219" s="20">
        <v>15.819325833333334</v>
      </c>
    </row>
    <row r="220" spans="1:4" ht="13.8" x14ac:dyDescent="0.25">
      <c r="A220" s="40">
        <v>2971.6551299000002</v>
      </c>
      <c r="B220" s="86">
        <f t="shared" si="3"/>
        <v>26031698.937924001</v>
      </c>
      <c r="C220" s="54">
        <v>3795893.9349467098</v>
      </c>
      <c r="D220" s="20">
        <v>16.278303222222224</v>
      </c>
    </row>
    <row r="221" spans="1:4" ht="13.8" x14ac:dyDescent="0.25">
      <c r="A221" s="41">
        <v>2977.6758320999998</v>
      </c>
      <c r="B221" s="86">
        <f t="shared" si="3"/>
        <v>26084440.289196</v>
      </c>
      <c r="C221" s="54">
        <v>3801572.951105962</v>
      </c>
      <c r="D221" s="20">
        <v>20.902523277777782</v>
      </c>
    </row>
    <row r="222" spans="1:4" ht="13.8" x14ac:dyDescent="0.25">
      <c r="A222" s="40">
        <v>2980.8656081000004</v>
      </c>
      <c r="B222" s="86">
        <f t="shared" si="3"/>
        <v>26112382.726956002</v>
      </c>
      <c r="C222" s="54">
        <v>3804575.2091869297</v>
      </c>
      <c r="D222" s="20">
        <v>25.217743944444447</v>
      </c>
    </row>
    <row r="223" spans="1:4" ht="13.8" x14ac:dyDescent="0.25">
      <c r="A223" s="41">
        <v>2987.3448406000002</v>
      </c>
      <c r="B223" s="86">
        <f t="shared" si="3"/>
        <v>26169140.803656001</v>
      </c>
      <c r="C223" s="54">
        <v>3810660.3586284127</v>
      </c>
      <c r="D223" s="20">
        <v>32.612086111111111</v>
      </c>
    </row>
    <row r="224" spans="1:4" ht="13.8" x14ac:dyDescent="0.25">
      <c r="A224" s="40">
        <v>2989.8169170000001</v>
      </c>
      <c r="B224" s="86">
        <f t="shared" si="3"/>
        <v>26190796.192919999</v>
      </c>
      <c r="C224" s="54">
        <v>3812977.0457279366</v>
      </c>
      <c r="D224" s="20">
        <v>31.932104555555558</v>
      </c>
    </row>
    <row r="225" spans="1:4" ht="13.8" x14ac:dyDescent="0.25">
      <c r="A225" s="41">
        <v>3002.1772989999995</v>
      </c>
      <c r="B225" s="86">
        <f t="shared" si="3"/>
        <v>26299073.139239997</v>
      </c>
      <c r="C225" s="54">
        <v>3824535.3239424797</v>
      </c>
      <c r="D225" s="20">
        <v>45.047355500000002</v>
      </c>
    </row>
    <row r="226" spans="1:4" ht="13.8" x14ac:dyDescent="0.25">
      <c r="A226" s="40">
        <v>3011.7266909</v>
      </c>
      <c r="B226" s="86">
        <f t="shared" si="3"/>
        <v>26382725.812284004</v>
      </c>
      <c r="C226" s="54">
        <v>3833445.5899524447</v>
      </c>
      <c r="D226" s="20">
        <v>65.523416944444449</v>
      </c>
    </row>
    <row r="227" spans="1:4" ht="13.8" x14ac:dyDescent="0.25">
      <c r="A227" s="41">
        <v>3019.1827923000001</v>
      </c>
      <c r="B227" s="86">
        <f t="shared" si="3"/>
        <v>26448041.260547999</v>
      </c>
      <c r="C227" s="54">
        <v>3840387.4906048742</v>
      </c>
      <c r="D227" s="20">
        <v>83.008555333333348</v>
      </c>
    </row>
    <row r="228" spans="1:4" ht="13.8" x14ac:dyDescent="0.25">
      <c r="A228" s="40">
        <v>3021.9937823999999</v>
      </c>
      <c r="B228" s="86">
        <f t="shared" si="3"/>
        <v>26472665.533823997</v>
      </c>
      <c r="C228" s="54">
        <v>3842998.9030202171</v>
      </c>
      <c r="D228" s="20">
        <v>58.261575666666673</v>
      </c>
    </row>
    <row r="229" spans="1:4" ht="13.8" x14ac:dyDescent="0.25">
      <c r="A229" s="41">
        <v>3023.4092455</v>
      </c>
      <c r="B229" s="86">
        <f t="shared" si="3"/>
        <v>26485064.990580004</v>
      </c>
      <c r="C229" s="54">
        <v>3844310.9886409291</v>
      </c>
      <c r="D229" s="20">
        <v>21.39300011111111</v>
      </c>
    </row>
    <row r="230" spans="1:4" ht="13.8" x14ac:dyDescent="0.25">
      <c r="A230" s="40">
        <v>3023.9076479999994</v>
      </c>
      <c r="B230" s="86">
        <f t="shared" si="3"/>
        <v>26489430.996479992</v>
      </c>
      <c r="C230" s="54">
        <v>3844771.9762134776</v>
      </c>
      <c r="D230" s="20">
        <v>16.466487000000001</v>
      </c>
    </row>
    <row r="231" spans="1:4" ht="13.8" x14ac:dyDescent="0.25">
      <c r="A231" s="41">
        <v>3024.9642613000001</v>
      </c>
      <c r="B231" s="86">
        <f t="shared" si="3"/>
        <v>26498686.928988002</v>
      </c>
      <c r="C231" s="54">
        <v>3845747.1193253421</v>
      </c>
      <c r="D231" s="20">
        <v>12.426022777777778</v>
      </c>
    </row>
    <row r="232" spans="1:4" ht="13.8" x14ac:dyDescent="0.25">
      <c r="A232" s="40">
        <v>3029.1109701</v>
      </c>
      <c r="B232" s="86">
        <f t="shared" si="3"/>
        <v>26535012.098076001</v>
      </c>
      <c r="C232" s="54">
        <v>3849565.6562035345</v>
      </c>
      <c r="D232" s="20">
        <v>14.142742500000001</v>
      </c>
    </row>
    <row r="233" spans="1:4" ht="13.8" x14ac:dyDescent="0.25">
      <c r="A233" s="41">
        <v>3030.4666249000002</v>
      </c>
      <c r="B233" s="86">
        <f t="shared" si="3"/>
        <v>26546887.634124003</v>
      </c>
      <c r="C233" s="54">
        <v>3850811.2648432134</v>
      </c>
      <c r="D233" s="20">
        <v>18.996400444444447</v>
      </c>
    </row>
    <row r="234" spans="1:4" ht="13.8" x14ac:dyDescent="0.25">
      <c r="A234" s="40">
        <v>3030.9849635</v>
      </c>
      <c r="B234" s="86">
        <f t="shared" si="3"/>
        <v>26551428.280260004</v>
      </c>
      <c r="C234" s="54">
        <v>3851286.4719873113</v>
      </c>
      <c r="D234" s="20">
        <v>24.150420833333332</v>
      </c>
    </row>
    <row r="235" spans="1:4" ht="13.8" x14ac:dyDescent="0.25">
      <c r="A235" s="41">
        <v>3031.2441328000004</v>
      </c>
      <c r="B235" s="86">
        <f t="shared" si="3"/>
        <v>26553698.603328004</v>
      </c>
      <c r="C235" s="54">
        <v>3851523.5480679399</v>
      </c>
      <c r="D235" s="20">
        <v>28.084295000000001</v>
      </c>
    </row>
    <row r="236" spans="1:4" ht="13.8" x14ac:dyDescent="0.25">
      <c r="A236" s="40">
        <v>3044.6212558999996</v>
      </c>
      <c r="B236" s="86">
        <f t="shared" si="3"/>
        <v>26670882.201683998</v>
      </c>
      <c r="C236" s="54">
        <v>3863733.0944802659</v>
      </c>
      <c r="D236" s="20">
        <v>48.719581055555558</v>
      </c>
    </row>
    <row r="237" spans="1:4" ht="13.8" x14ac:dyDescent="0.25">
      <c r="A237" s="41">
        <v>3046.4155049000005</v>
      </c>
      <c r="B237" s="86">
        <f t="shared" si="3"/>
        <v>26686599.822924007</v>
      </c>
      <c r="C237" s="54">
        <v>3865367.0866957451</v>
      </c>
      <c r="D237" s="20">
        <v>47.314197777777778</v>
      </c>
    </row>
    <row r="238" spans="1:4" ht="13.8" x14ac:dyDescent="0.25">
      <c r="A238" s="40">
        <v>3051.7583797000002</v>
      </c>
      <c r="B238" s="86">
        <f t="shared" si="3"/>
        <v>26733403.406172</v>
      </c>
      <c r="C238" s="54">
        <v>3870221.8779655709</v>
      </c>
      <c r="D238" s="20">
        <v>50.211943444444444</v>
      </c>
    </row>
    <row r="239" spans="1:4" ht="13.8" x14ac:dyDescent="0.25">
      <c r="A239" s="41">
        <v>3054.2902643999996</v>
      </c>
      <c r="B239" s="86">
        <f t="shared" si="3"/>
        <v>26755582.716143999</v>
      </c>
      <c r="C239" s="54">
        <v>3872517.3161654971</v>
      </c>
      <c r="D239" s="20">
        <v>29.723383833333333</v>
      </c>
    </row>
    <row r="240" spans="1:4" ht="13.8" x14ac:dyDescent="0.25">
      <c r="A240" s="40">
        <v>3056.0446412000006</v>
      </c>
      <c r="B240" s="86">
        <f t="shared" si="3"/>
        <v>26770951.056912005</v>
      </c>
      <c r="C240" s="54">
        <v>3874104.28530942</v>
      </c>
      <c r="D240" s="20">
        <v>36.311340222222221</v>
      </c>
    </row>
    <row r="241" spans="1:4" ht="13.8" x14ac:dyDescent="0.25">
      <c r="A241" s="41">
        <v>3058.6562703</v>
      </c>
      <c r="B241" s="86">
        <f t="shared" si="3"/>
        <v>26793828.927827999</v>
      </c>
      <c r="C241" s="54">
        <v>3876461.3897945764</v>
      </c>
      <c r="D241" s="20">
        <v>14.170583944444445</v>
      </c>
    </row>
    <row r="242" spans="1:4" ht="13.8" x14ac:dyDescent="0.25">
      <c r="A242" s="40">
        <v>3059.3540338000003</v>
      </c>
      <c r="B242" s="86">
        <f t="shared" si="3"/>
        <v>26799941.336088002</v>
      </c>
      <c r="C242" s="54">
        <v>3877089.7303656801</v>
      </c>
      <c r="D242" s="20">
        <v>10.43983038888889</v>
      </c>
    </row>
    <row r="243" spans="1:4" ht="13.8" x14ac:dyDescent="0.25">
      <c r="A243" s="41">
        <v>3060.1913500000001</v>
      </c>
      <c r="B243" s="86">
        <f t="shared" si="3"/>
        <v>26807276.225999996</v>
      </c>
      <c r="C243" s="54">
        <v>3877842.0348479571</v>
      </c>
      <c r="D243" s="20">
        <v>9.921613722222224</v>
      </c>
    </row>
    <row r="244" spans="1:4" ht="13.8" x14ac:dyDescent="0.25">
      <c r="A244" s="40">
        <v>3060.5103276000004</v>
      </c>
      <c r="B244" s="86">
        <f t="shared" si="3"/>
        <v>26810070.469776001</v>
      </c>
      <c r="C244" s="54">
        <v>3878127.9778114758</v>
      </c>
      <c r="D244" s="20">
        <v>11.105281555555557</v>
      </c>
    </row>
    <row r="245" spans="1:4" ht="13.8" x14ac:dyDescent="0.25">
      <c r="A245" s="41">
        <v>3062.1052156000001</v>
      </c>
      <c r="B245" s="86">
        <f t="shared" si="3"/>
        <v>26824041.688655999</v>
      </c>
      <c r="C245" s="54">
        <v>3879554.4465280171</v>
      </c>
      <c r="D245" s="20">
        <v>13.715264555555557</v>
      </c>
    </row>
    <row r="246" spans="1:4" ht="13.8" x14ac:dyDescent="0.25">
      <c r="A246" s="40">
        <v>3064.0190812000001</v>
      </c>
      <c r="B246" s="86">
        <f t="shared" si="3"/>
        <v>26840807.151312001</v>
      </c>
      <c r="C246" s="54">
        <v>3881262.3136666212</v>
      </c>
      <c r="D246" s="20">
        <v>15.662844722222223</v>
      </c>
    </row>
    <row r="247" spans="1:4" ht="13.8" x14ac:dyDescent="0.25">
      <c r="A247" s="41">
        <v>3073.0501345000007</v>
      </c>
      <c r="B247" s="86">
        <f t="shared" si="3"/>
        <v>26919919.178220004</v>
      </c>
      <c r="C247" s="54">
        <v>3889302.9306797558</v>
      </c>
      <c r="D247" s="20">
        <v>20.266742555555556</v>
      </c>
    </row>
    <row r="248" spans="1:4" ht="13.8" x14ac:dyDescent="0.25">
      <c r="A248" s="40">
        <v>3074.5054697999999</v>
      </c>
      <c r="B248" s="86">
        <f t="shared" si="3"/>
        <v>26932667.915447999</v>
      </c>
      <c r="C248" s="54">
        <v>3890595.6971820015</v>
      </c>
      <c r="D248" s="20">
        <v>24.844119888888891</v>
      </c>
    </row>
    <row r="249" spans="1:4" ht="13.8" x14ac:dyDescent="0.25">
      <c r="A249" s="41">
        <v>3077.3962043000001</v>
      </c>
      <c r="B249" s="86">
        <f t="shared" si="3"/>
        <v>26957990.749668002</v>
      </c>
      <c r="C249" s="54">
        <v>3893157.6374981883</v>
      </c>
      <c r="D249" s="20">
        <v>38.660081055555558</v>
      </c>
    </row>
    <row r="250" spans="1:4" ht="13.8" x14ac:dyDescent="0.25">
      <c r="A250" s="40">
        <v>3078.8116674000007</v>
      </c>
      <c r="B250" s="86">
        <f t="shared" si="3"/>
        <v>26970390.206424005</v>
      </c>
      <c r="C250" s="54">
        <v>3894409.2239107531</v>
      </c>
      <c r="D250" s="20">
        <v>54.04451133333334</v>
      </c>
    </row>
    <row r="251" spans="1:4" ht="13.8" x14ac:dyDescent="0.25">
      <c r="A251" s="41">
        <v>3080.0477056</v>
      </c>
      <c r="B251" s="86">
        <f t="shared" si="3"/>
        <v>26981217.901055999</v>
      </c>
      <c r="C251" s="54">
        <v>3895499.6427962319</v>
      </c>
      <c r="D251" s="20">
        <v>74.887998555555555</v>
      </c>
    </row>
    <row r="252" spans="1:4" ht="13.8" x14ac:dyDescent="0.25">
      <c r="A252" s="40">
        <v>3101.8976712000003</v>
      </c>
      <c r="B252" s="86">
        <f t="shared" si="3"/>
        <v>27172623.599712003</v>
      </c>
      <c r="C252" s="54">
        <v>3914730.9631230468</v>
      </c>
      <c r="D252" s="20">
        <v>37.348383222222225</v>
      </c>
    </row>
    <row r="253" spans="1:4" ht="13.8" x14ac:dyDescent="0.25">
      <c r="A253" s="41">
        <v>3103.253326</v>
      </c>
      <c r="B253" s="86">
        <f t="shared" si="3"/>
        <v>27184499.135760002</v>
      </c>
      <c r="C253" s="54">
        <v>3915921.3880450302</v>
      </c>
      <c r="D253" s="20">
        <v>20.617504111111113</v>
      </c>
    </row>
    <row r="254" spans="1:4" ht="13.8" x14ac:dyDescent="0.25">
      <c r="A254" s="40">
        <v>3103.7517285000004</v>
      </c>
      <c r="B254" s="86">
        <f t="shared" si="3"/>
        <v>27188865.141660005</v>
      </c>
      <c r="C254" s="54">
        <v>3916358.029859772</v>
      </c>
      <c r="D254" s="20">
        <v>8.8597776111111131</v>
      </c>
    </row>
    <row r="255" spans="1:4" ht="13.8" x14ac:dyDescent="0.25">
      <c r="A255" s="41">
        <v>3106.5427824999997</v>
      </c>
      <c r="B255" s="86">
        <f t="shared" si="3"/>
        <v>27213314.774699993</v>
      </c>
      <c r="C255" s="54">
        <v>3918797.5433455054</v>
      </c>
      <c r="D255" s="20">
        <v>12.25877088888889</v>
      </c>
    </row>
    <row r="256" spans="1:4" ht="13.8" x14ac:dyDescent="0.25">
      <c r="A256" s="40">
        <v>3107.6990763000003</v>
      </c>
      <c r="B256" s="86">
        <f t="shared" si="3"/>
        <v>27223443.908388007</v>
      </c>
      <c r="C256" s="54">
        <v>3919805.845509199</v>
      </c>
      <c r="D256" s="20">
        <v>10.739075111111111</v>
      </c>
    </row>
    <row r="257" spans="1:4" ht="13.8" x14ac:dyDescent="0.25">
      <c r="A257" s="41">
        <v>3109.6926863000008</v>
      </c>
      <c r="B257" s="86">
        <f t="shared" si="3"/>
        <v>27240907.931988008</v>
      </c>
      <c r="C257" s="54">
        <v>3921540.239889265</v>
      </c>
      <c r="D257" s="20">
        <v>13.113625166666667</v>
      </c>
    </row>
    <row r="258" spans="1:4" ht="13.8" x14ac:dyDescent="0.25">
      <c r="A258" s="40">
        <v>3111.0882133</v>
      </c>
      <c r="B258" s="86">
        <f t="shared" si="3"/>
        <v>27253132.748508003</v>
      </c>
      <c r="C258" s="54">
        <v>3922751.4756168984</v>
      </c>
      <c r="D258" s="20">
        <v>15.106015833333334</v>
      </c>
    </row>
    <row r="259" spans="1:4" ht="13.8" x14ac:dyDescent="0.25">
      <c r="A259" s="41">
        <v>3118.8234200999996</v>
      </c>
      <c r="B259" s="86">
        <f t="shared" ref="B259:B322" si="4">A259*24*365</f>
        <v>27320893.160075996</v>
      </c>
      <c r="C259" s="54">
        <v>3929449.4386314536</v>
      </c>
      <c r="D259" s="20">
        <v>19.544795611111113</v>
      </c>
    </row>
    <row r="260" spans="1:4" ht="13.8" x14ac:dyDescent="0.25">
      <c r="A260" s="40">
        <v>3121.8736433999998</v>
      </c>
      <c r="B260" s="86">
        <f t="shared" si="4"/>
        <v>27347613.116183996</v>
      </c>
      <c r="C260" s="54">
        <v>3932084.4375282302</v>
      </c>
      <c r="D260" s="20">
        <v>25.558039555555556</v>
      </c>
    </row>
    <row r="261" spans="1:4" ht="13.8" x14ac:dyDescent="0.25">
      <c r="A261" s="41">
        <v>3123.1495538000004</v>
      </c>
      <c r="B261" s="86">
        <f t="shared" si="4"/>
        <v>27358790.091288004</v>
      </c>
      <c r="C261" s="54">
        <v>3933184.0624081418</v>
      </c>
      <c r="D261" s="20">
        <v>40.966348444444449</v>
      </c>
    </row>
    <row r="262" spans="1:4" ht="13.8" x14ac:dyDescent="0.25">
      <c r="A262" s="40">
        <v>3129.1303837999999</v>
      </c>
      <c r="B262" s="86">
        <f t="shared" si="4"/>
        <v>27411182.162087999</v>
      </c>
      <c r="C262" s="54">
        <v>3938326.3811538192</v>
      </c>
      <c r="D262" s="20">
        <v>77.673260722222224</v>
      </c>
    </row>
    <row r="263" spans="1:4" ht="13.8" x14ac:dyDescent="0.25">
      <c r="A263" s="41">
        <v>3146.0960049000005</v>
      </c>
      <c r="B263" s="86">
        <f t="shared" si="4"/>
        <v>27559801.002924003</v>
      </c>
      <c r="C263" s="54">
        <v>3952878.8949292391</v>
      </c>
      <c r="D263" s="20">
        <v>62.388206111111117</v>
      </c>
    </row>
    <row r="264" spans="1:4" ht="13.8" x14ac:dyDescent="0.25">
      <c r="A264" s="40">
        <v>3147.1326820999993</v>
      </c>
      <c r="B264" s="86">
        <f t="shared" si="4"/>
        <v>27568882.295195993</v>
      </c>
      <c r="C264" s="54">
        <v>3953766.0102471365</v>
      </c>
      <c r="D264" s="20">
        <v>51.293390500000001</v>
      </c>
    </row>
    <row r="265" spans="1:4" ht="13.8" x14ac:dyDescent="0.25">
      <c r="A265" s="41">
        <v>3154.9675693999998</v>
      </c>
      <c r="B265" s="86">
        <f t="shared" si="4"/>
        <v>27637515.907943998</v>
      </c>
      <c r="C265" s="54">
        <v>3960454.6083898856</v>
      </c>
      <c r="D265" s="20">
        <v>20.004484277777781</v>
      </c>
    </row>
    <row r="266" spans="1:4" ht="13.8" x14ac:dyDescent="0.25">
      <c r="A266" s="40">
        <v>3168.5241174000003</v>
      </c>
      <c r="B266" s="86">
        <f t="shared" si="4"/>
        <v>27756271.268424001</v>
      </c>
      <c r="C266" s="54">
        <v>3972000.1634446988</v>
      </c>
      <c r="D266" s="20">
        <v>13.723698277777778</v>
      </c>
    </row>
    <row r="267" spans="1:4" ht="13.8" x14ac:dyDescent="0.25">
      <c r="A267" s="41">
        <v>3175.2625191999996</v>
      </c>
      <c r="B267" s="86">
        <f t="shared" si="4"/>
        <v>27815299.668191995</v>
      </c>
      <c r="C267" s="54">
        <v>3977725.268680342</v>
      </c>
      <c r="D267" s="20">
        <v>8.331603055555556</v>
      </c>
    </row>
    <row r="268" spans="1:4" ht="13.8" x14ac:dyDescent="0.25">
      <c r="A268" s="40">
        <v>3176.1795798000003</v>
      </c>
      <c r="B268" s="86">
        <f t="shared" si="4"/>
        <v>27823333.119048003</v>
      </c>
      <c r="C268" s="54">
        <v>3978502.5585060883</v>
      </c>
      <c r="D268" s="20">
        <v>6.6574583888888892</v>
      </c>
    </row>
    <row r="269" spans="1:4" ht="13.8" x14ac:dyDescent="0.25">
      <c r="A269" s="41">
        <v>3181.2632853000005</v>
      </c>
      <c r="B269" s="86">
        <f t="shared" si="4"/>
        <v>27867866.379228007</v>
      </c>
      <c r="C269" s="54">
        <v>3982801.1008104398</v>
      </c>
      <c r="D269" s="20">
        <v>7.6002062777777786</v>
      </c>
    </row>
    <row r="270" spans="1:4" ht="13.8" x14ac:dyDescent="0.25">
      <c r="A270" s="40">
        <v>3185.7489077999999</v>
      </c>
      <c r="B270" s="86">
        <f t="shared" si="4"/>
        <v>27907160.432328001</v>
      </c>
      <c r="C270" s="54">
        <v>3986584.8025962785</v>
      </c>
      <c r="D270" s="20">
        <v>9.7538537777777776</v>
      </c>
    </row>
    <row r="271" spans="1:4" ht="13.8" x14ac:dyDescent="0.25">
      <c r="A271" s="41">
        <v>3189.0981726</v>
      </c>
      <c r="B271" s="86">
        <f t="shared" si="4"/>
        <v>27936499.991976004</v>
      </c>
      <c r="C271" s="54">
        <v>3989403.1497841855</v>
      </c>
      <c r="D271" s="20">
        <v>12.484245944444446</v>
      </c>
    </row>
    <row r="272" spans="1:4" ht="13.8" x14ac:dyDescent="0.25">
      <c r="A272" s="40">
        <v>3193.8030921999998</v>
      </c>
      <c r="B272" s="86">
        <f t="shared" si="4"/>
        <v>27977715.087671999</v>
      </c>
      <c r="C272" s="54">
        <v>3993352.6805500798</v>
      </c>
      <c r="D272" s="20">
        <v>15.105812611111112</v>
      </c>
    </row>
    <row r="273" spans="1:4" ht="13.8" x14ac:dyDescent="0.25">
      <c r="A273" s="41">
        <v>3199.2855196999994</v>
      </c>
      <c r="B273" s="86">
        <f t="shared" si="4"/>
        <v>28025741.152571995</v>
      </c>
      <c r="C273" s="54">
        <v>3997943.7295380095</v>
      </c>
      <c r="D273" s="20">
        <v>18.861664111111111</v>
      </c>
    </row>
    <row r="274" spans="1:4" ht="13.8" x14ac:dyDescent="0.25">
      <c r="A274" s="40">
        <v>3205.1866052999999</v>
      </c>
      <c r="B274" s="86">
        <f t="shared" si="4"/>
        <v>28077434.662427999</v>
      </c>
      <c r="C274" s="54">
        <v>4002873.3571475302</v>
      </c>
      <c r="D274" s="20">
        <v>23.79315616666667</v>
      </c>
    </row>
    <row r="275" spans="1:4" ht="13.8" x14ac:dyDescent="0.25">
      <c r="A275" s="41">
        <v>3212.5230901</v>
      </c>
      <c r="B275" s="86">
        <f t="shared" si="4"/>
        <v>28141702.269276001</v>
      </c>
      <c r="C275" s="54">
        <v>4008987.1512999842</v>
      </c>
      <c r="D275" s="20">
        <v>29.729886944444448</v>
      </c>
    </row>
    <row r="276" spans="1:4" ht="13.8" x14ac:dyDescent="0.25">
      <c r="A276" s="40">
        <v>3213.4600868000007</v>
      </c>
      <c r="B276" s="86">
        <f t="shared" si="4"/>
        <v>28149910.360368002</v>
      </c>
      <c r="C276" s="54">
        <v>4009766.0820557456</v>
      </c>
      <c r="D276" s="20">
        <v>35.182745611111109</v>
      </c>
    </row>
    <row r="277" spans="1:4" ht="13.8" x14ac:dyDescent="0.25">
      <c r="A277" s="41">
        <v>3230.7247494000003</v>
      </c>
      <c r="B277" s="86">
        <f t="shared" si="4"/>
        <v>28301148.804744001</v>
      </c>
      <c r="C277" s="54">
        <v>4024083.1565117566</v>
      </c>
      <c r="D277" s="20">
        <v>24.800630333333334</v>
      </c>
    </row>
    <row r="278" spans="1:4" ht="13.8" x14ac:dyDescent="0.25">
      <c r="A278" s="40">
        <v>3231.9807237000005</v>
      </c>
      <c r="B278" s="86">
        <f t="shared" si="4"/>
        <v>28312151.139612004</v>
      </c>
      <c r="C278" s="54">
        <v>4025122.1425752328</v>
      </c>
      <c r="D278" s="20">
        <v>13.829678666666668</v>
      </c>
    </row>
    <row r="279" spans="1:4" ht="13.8" x14ac:dyDescent="0.25">
      <c r="A279" s="41">
        <v>3240.7326716000007</v>
      </c>
      <c r="B279" s="86">
        <f t="shared" si="4"/>
        <v>28388818.203216005</v>
      </c>
      <c r="C279" s="54">
        <v>4032344.2483555577</v>
      </c>
      <c r="D279" s="20">
        <v>23.242627166666669</v>
      </c>
    </row>
    <row r="280" spans="1:4" ht="13.8" x14ac:dyDescent="0.25">
      <c r="A280" s="40">
        <v>3247.7900509999999</v>
      </c>
      <c r="B280" s="86">
        <f t="shared" si="4"/>
        <v>28450640.846760001</v>
      </c>
      <c r="C280" s="54">
        <v>4038153.6325275516</v>
      </c>
      <c r="D280" s="20">
        <v>14.279409444444447</v>
      </c>
    </row>
    <row r="281" spans="1:4" ht="13.8" x14ac:dyDescent="0.25">
      <c r="A281" s="41">
        <v>3276.3186101000006</v>
      </c>
      <c r="B281" s="86">
        <f t="shared" si="4"/>
        <v>28700551.024476003</v>
      </c>
      <c r="C281" s="54">
        <v>4061579.2649294268</v>
      </c>
      <c r="D281" s="20">
        <v>16.698871611111112</v>
      </c>
    </row>
    <row r="282" spans="1:4" ht="13.8" x14ac:dyDescent="0.25">
      <c r="A282" s="40">
        <v>3277.4948400000003</v>
      </c>
      <c r="B282" s="86">
        <f t="shared" si="4"/>
        <v>28710854.798400003</v>
      </c>
      <c r="C282" s="54">
        <v>4062542.7076257239</v>
      </c>
      <c r="D282" s="20">
        <v>18.247221722222221</v>
      </c>
    </row>
    <row r="283" spans="1:4" ht="13.8" x14ac:dyDescent="0.25">
      <c r="A283" s="41">
        <v>3278.7707504000005</v>
      </c>
      <c r="B283" s="86">
        <f t="shared" si="4"/>
        <v>28722031.773504004</v>
      </c>
      <c r="C283" s="54">
        <v>4063585.2011273154</v>
      </c>
      <c r="D283" s="20">
        <v>21.96344488888889</v>
      </c>
    </row>
    <row r="284" spans="1:4" ht="13.8" x14ac:dyDescent="0.25">
      <c r="A284" s="40">
        <v>3280.2858939999996</v>
      </c>
      <c r="B284" s="86">
        <f t="shared" si="4"/>
        <v>28735304.431439996</v>
      </c>
      <c r="C284" s="54">
        <v>4064820.0783644654</v>
      </c>
      <c r="D284" s="20">
        <v>30.790605333333335</v>
      </c>
    </row>
    <row r="285" spans="1:4" ht="13.8" x14ac:dyDescent="0.25">
      <c r="A285" s="41">
        <v>3284.5721555</v>
      </c>
      <c r="B285" s="86">
        <f t="shared" si="4"/>
        <v>28772852.082180001</v>
      </c>
      <c r="C285" s="54">
        <v>4068304.7571782782</v>
      </c>
      <c r="D285" s="20">
        <v>47.807519722222224</v>
      </c>
    </row>
    <row r="286" spans="1:4" ht="13.8" x14ac:dyDescent="0.25">
      <c r="A286" s="40">
        <v>3295.6964993000006</v>
      </c>
      <c r="B286" s="86">
        <f t="shared" si="4"/>
        <v>28870301.333868008</v>
      </c>
      <c r="C286" s="54">
        <v>4077326.0727309948</v>
      </c>
      <c r="D286" s="20">
        <v>71.154196666666664</v>
      </c>
    </row>
    <row r="287" spans="1:4" ht="13.8" x14ac:dyDescent="0.25">
      <c r="A287" s="41">
        <v>3297.6701732000001</v>
      </c>
      <c r="B287" s="86">
        <f t="shared" si="4"/>
        <v>28887590.717232</v>
      </c>
      <c r="C287" s="54">
        <v>4078922.6116661159</v>
      </c>
      <c r="D287" s="20">
        <v>85.707549666666679</v>
      </c>
    </row>
    <row r="288" spans="1:4" ht="13.8" x14ac:dyDescent="0.25">
      <c r="A288" s="40">
        <v>3297.9492786000005</v>
      </c>
      <c r="B288" s="86">
        <f t="shared" si="4"/>
        <v>28890035.680536002</v>
      </c>
      <c r="C288" s="54">
        <v>4079147.8167811781</v>
      </c>
      <c r="D288" s="20">
        <v>31.956592833333335</v>
      </c>
    </row>
    <row r="289" spans="1:4" ht="13.8" x14ac:dyDescent="0.25">
      <c r="A289" s="41">
        <v>3311.3662739000001</v>
      </c>
      <c r="B289" s="86">
        <f t="shared" si="4"/>
        <v>29007568.559364002</v>
      </c>
      <c r="C289" s="54">
        <v>4089946.4405588079</v>
      </c>
      <c r="D289" s="20">
        <v>12.241801833333335</v>
      </c>
    </row>
    <row r="290" spans="1:4" ht="13.8" x14ac:dyDescent="0.25">
      <c r="A290" s="40">
        <v>3312.6023121000007</v>
      </c>
      <c r="B290" s="86">
        <f t="shared" si="4"/>
        <v>29018396.253996011</v>
      </c>
      <c r="C290" s="54">
        <v>4090938.7460403279</v>
      </c>
      <c r="D290" s="20">
        <v>9.8536358888888902</v>
      </c>
    </row>
    <row r="291" spans="1:4" ht="13.8" x14ac:dyDescent="0.25">
      <c r="A291" s="41">
        <v>3318.4435893999994</v>
      </c>
      <c r="B291" s="86">
        <f t="shared" si="4"/>
        <v>29069565.843143992</v>
      </c>
      <c r="C291" s="54">
        <v>4095616.3008418009</v>
      </c>
      <c r="D291" s="20">
        <v>10.762445666666666</v>
      </c>
    </row>
    <row r="292" spans="1:4" ht="13.8" x14ac:dyDescent="0.25">
      <c r="A292" s="40">
        <v>3319.141352900001</v>
      </c>
      <c r="B292" s="86">
        <f t="shared" si="4"/>
        <v>29075678.251404006</v>
      </c>
      <c r="C292" s="54">
        <v>4096173.6329526361</v>
      </c>
      <c r="D292" s="20">
        <v>12.507006833333334</v>
      </c>
    </row>
    <row r="293" spans="1:4" ht="13.8" x14ac:dyDescent="0.25">
      <c r="A293" s="41">
        <v>3320.0783495999999</v>
      </c>
      <c r="B293" s="86">
        <f t="shared" si="4"/>
        <v>29083886.342495997</v>
      </c>
      <c r="C293" s="54">
        <v>4096920.1432742509</v>
      </c>
      <c r="D293" s="20">
        <v>15.809876000000001</v>
      </c>
    </row>
    <row r="294" spans="1:4" ht="13.8" x14ac:dyDescent="0.25">
      <c r="A294" s="40">
        <v>3320.4571354999998</v>
      </c>
      <c r="B294" s="86">
        <f t="shared" si="4"/>
        <v>29087204.506979994</v>
      </c>
      <c r="C294" s="54">
        <v>4097221.1530935662</v>
      </c>
      <c r="D294" s="20">
        <v>18.784236444444446</v>
      </c>
    </row>
    <row r="295" spans="1:4" ht="13.8" x14ac:dyDescent="0.25">
      <c r="A295" s="41">
        <v>3321.3741960999992</v>
      </c>
      <c r="B295" s="86">
        <f t="shared" si="4"/>
        <v>29095237.957835991</v>
      </c>
      <c r="C295" s="54">
        <v>4097948.0472006514</v>
      </c>
      <c r="D295" s="20">
        <v>20.794205833333336</v>
      </c>
    </row>
    <row r="296" spans="1:4" ht="13.8" x14ac:dyDescent="0.25">
      <c r="A296" s="40">
        <v>3323.0887007000006</v>
      </c>
      <c r="B296" s="86">
        <f t="shared" si="4"/>
        <v>29110257.018132005</v>
      </c>
      <c r="C296" s="54">
        <v>4099303.5335813696</v>
      </c>
      <c r="D296" s="20">
        <v>29.341732500000003</v>
      </c>
    </row>
    <row r="297" spans="1:4" ht="13.8" x14ac:dyDescent="0.25">
      <c r="A297" s="41">
        <v>3334.4124055000002</v>
      </c>
      <c r="B297" s="86">
        <f t="shared" si="4"/>
        <v>29209452.672180004</v>
      </c>
      <c r="C297" s="54">
        <v>4108233.0009645256</v>
      </c>
      <c r="D297" s="20">
        <v>55.015100666666669</v>
      </c>
    </row>
    <row r="298" spans="1:4" ht="13.8" x14ac:dyDescent="0.25">
      <c r="A298" s="40">
        <v>3334.4522776999993</v>
      </c>
      <c r="B298" s="86">
        <f t="shared" si="4"/>
        <v>29209801.952651996</v>
      </c>
      <c r="C298" s="54">
        <v>4108264.3615985592</v>
      </c>
      <c r="D298" s="20">
        <v>49.313904444444447</v>
      </c>
    </row>
    <row r="299" spans="1:4" ht="13.8" x14ac:dyDescent="0.25">
      <c r="A299" s="41">
        <v>3339.9347052000003</v>
      </c>
      <c r="B299" s="86">
        <f t="shared" si="4"/>
        <v>29257828.017552</v>
      </c>
      <c r="C299" s="54">
        <v>4112565.2903059595</v>
      </c>
      <c r="D299" s="20">
        <v>61.23492000000001</v>
      </c>
    </row>
    <row r="300" spans="1:4" ht="13.8" x14ac:dyDescent="0.25">
      <c r="A300" s="40">
        <v>3345.8557269000007</v>
      </c>
      <c r="B300" s="86">
        <f t="shared" si="4"/>
        <v>29309696.167644005</v>
      </c>
      <c r="C300" s="54">
        <v>4117198.2421598393</v>
      </c>
      <c r="D300" s="20">
        <v>29.56263505555556</v>
      </c>
    </row>
    <row r="301" spans="1:4" ht="13.8" x14ac:dyDescent="0.25">
      <c r="A301" s="41">
        <v>3355.3253744000003</v>
      </c>
      <c r="B301" s="86">
        <f t="shared" si="4"/>
        <v>29392650.279744007</v>
      </c>
      <c r="C301" s="54">
        <v>4124588.5715682129</v>
      </c>
      <c r="D301" s="20">
        <v>21.542774888888889</v>
      </c>
    </row>
    <row r="302" spans="1:4" ht="13.8" x14ac:dyDescent="0.25">
      <c r="A302" s="40">
        <v>3356.4617321000005</v>
      </c>
      <c r="B302" s="86">
        <f t="shared" si="4"/>
        <v>29402604.773196004</v>
      </c>
      <c r="C302" s="54">
        <v>4125473.098250228</v>
      </c>
      <c r="D302" s="20">
        <v>19.918826111111112</v>
      </c>
    </row>
    <row r="303" spans="1:4" ht="13.8" x14ac:dyDescent="0.25">
      <c r="A303" s="41">
        <v>3358.1961728000006</v>
      </c>
      <c r="B303" s="86">
        <f t="shared" si="4"/>
        <v>29417798.473728005</v>
      </c>
      <c r="C303" s="54">
        <v>4126819.635156313</v>
      </c>
      <c r="D303" s="20">
        <v>11.861369833333333</v>
      </c>
    </row>
    <row r="304" spans="1:4" ht="13.8" x14ac:dyDescent="0.25">
      <c r="A304" s="40">
        <v>3361.4856293000007</v>
      </c>
      <c r="B304" s="86">
        <f t="shared" si="4"/>
        <v>29446614.112668004</v>
      </c>
      <c r="C304" s="54">
        <v>4129366.7169637685</v>
      </c>
      <c r="D304" s="20">
        <v>15.412373333333333</v>
      </c>
    </row>
    <row r="305" spans="1:4" ht="13.8" x14ac:dyDescent="0.25">
      <c r="A305" s="41">
        <v>3371.7527208000001</v>
      </c>
      <c r="B305" s="86">
        <f t="shared" si="4"/>
        <v>29536553.834208004</v>
      </c>
      <c r="C305" s="54">
        <v>4137295.8027994675</v>
      </c>
      <c r="D305" s="20">
        <v>16.711369777777779</v>
      </c>
    </row>
    <row r="306" spans="1:4" ht="13.8" x14ac:dyDescent="0.25">
      <c r="A306" s="40">
        <v>3387.3427510000001</v>
      </c>
      <c r="B306" s="86">
        <f t="shared" si="4"/>
        <v>29673122.49876</v>
      </c>
      <c r="C306" s="54">
        <v>4149303.9656055151</v>
      </c>
      <c r="D306" s="20">
        <v>21.990067000000003</v>
      </c>
    </row>
    <row r="307" spans="1:4" ht="13.8" x14ac:dyDescent="0.25">
      <c r="A307" s="41">
        <v>3389.1370000000006</v>
      </c>
      <c r="B307" s="86">
        <f t="shared" si="4"/>
        <v>29688840.120000005</v>
      </c>
      <c r="C307" s="54">
        <v>4150682.3273640242</v>
      </c>
      <c r="D307" s="20">
        <v>26.392876444444447</v>
      </c>
    </row>
    <row r="308" spans="1:4" ht="13.8" x14ac:dyDescent="0.25">
      <c r="A308" s="40">
        <v>3399.2844749000001</v>
      </c>
      <c r="B308" s="86">
        <f t="shared" si="4"/>
        <v>29777732.000124004</v>
      </c>
      <c r="C308" s="54">
        <v>4158457.0755470479</v>
      </c>
      <c r="D308" s="20">
        <v>34.938472500000003</v>
      </c>
    </row>
    <row r="309" spans="1:4" ht="13.8" x14ac:dyDescent="0.25">
      <c r="A309" s="41">
        <v>3414.1169333000003</v>
      </c>
      <c r="B309" s="86">
        <f t="shared" si="4"/>
        <v>29907664.335708003</v>
      </c>
      <c r="C309" s="54">
        <v>4169791.1552713574</v>
      </c>
      <c r="D309" s="20">
        <v>42.737633333333342</v>
      </c>
    </row>
    <row r="310" spans="1:4" ht="13.8" x14ac:dyDescent="0.25">
      <c r="A310" s="40">
        <v>3422.6495840999996</v>
      </c>
      <c r="B310" s="86">
        <f t="shared" si="4"/>
        <v>29982410.356715996</v>
      </c>
      <c r="C310" s="54">
        <v>4176293.9312678901</v>
      </c>
      <c r="D310" s="20">
        <v>49.614571722222223</v>
      </c>
    </row>
    <row r="311" spans="1:4" ht="13.8" x14ac:dyDescent="0.25">
      <c r="A311" s="41">
        <v>3428.271564300001</v>
      </c>
      <c r="B311" s="86">
        <f t="shared" si="4"/>
        <v>30031658.903268009</v>
      </c>
      <c r="C311" s="54">
        <v>4180567.0280865422</v>
      </c>
      <c r="D311" s="20">
        <v>44.870653777777783</v>
      </c>
    </row>
    <row r="312" spans="1:4" ht="13.8" x14ac:dyDescent="0.25">
      <c r="A312" s="40">
        <v>3428.5307336000001</v>
      </c>
      <c r="B312" s="86">
        <f t="shared" si="4"/>
        <v>30033929.226335999</v>
      </c>
      <c r="C312" s="54">
        <v>4180763.4873278947</v>
      </c>
      <c r="D312" s="20">
        <v>44.173093500000007</v>
      </c>
    </row>
    <row r="313" spans="1:4" ht="13.8" x14ac:dyDescent="0.25">
      <c r="A313" s="41">
        <v>3434.5115636</v>
      </c>
      <c r="B313" s="86">
        <f t="shared" si="4"/>
        <v>30086321.297135998</v>
      </c>
      <c r="C313" s="54">
        <v>4185284.9892495032</v>
      </c>
      <c r="D313" s="20">
        <v>32.782081500000004</v>
      </c>
    </row>
    <row r="314" spans="1:4" ht="13.8" x14ac:dyDescent="0.25">
      <c r="A314" s="40">
        <v>3447.0314344000008</v>
      </c>
      <c r="B314" s="86">
        <f t="shared" si="4"/>
        <v>30195995.36534401</v>
      </c>
      <c r="C314" s="54">
        <v>4194724.518045566</v>
      </c>
      <c r="D314" s="20">
        <v>20.832513222222222</v>
      </c>
    </row>
    <row r="315" spans="1:4" ht="13.8" x14ac:dyDescent="0.25">
      <c r="A315" s="41">
        <v>3454.1087499</v>
      </c>
      <c r="B315" s="86">
        <f t="shared" si="4"/>
        <v>30257992.649124</v>
      </c>
      <c r="C315" s="54">
        <v>4200046.1528393961</v>
      </c>
      <c r="D315" s="20">
        <v>18.559472666666668</v>
      </c>
    </row>
    <row r="316" spans="1:4" ht="13.8" x14ac:dyDescent="0.25">
      <c r="A316" s="40">
        <v>3457.0991649000002</v>
      </c>
      <c r="B316" s="86">
        <f t="shared" si="4"/>
        <v>30284188.684524</v>
      </c>
      <c r="C316" s="54">
        <v>4202288.6444818452</v>
      </c>
      <c r="D316" s="20">
        <v>19.279590611111114</v>
      </c>
    </row>
    <row r="317" spans="1:4" ht="13.8" x14ac:dyDescent="0.25">
      <c r="A317" s="41">
        <v>3465.6517518000001</v>
      </c>
      <c r="B317" s="86">
        <f t="shared" si="4"/>
        <v>30359109.345768001</v>
      </c>
      <c r="C317" s="54">
        <v>4208684.763362417</v>
      </c>
      <c r="D317" s="20">
        <v>23.876477277777781</v>
      </c>
    </row>
    <row r="318" spans="1:4" ht="13.8" x14ac:dyDescent="0.25">
      <c r="A318" s="40">
        <v>3472.3702175000003</v>
      </c>
      <c r="B318" s="86">
        <f t="shared" si="4"/>
        <v>30417963.105300006</v>
      </c>
      <c r="C318" s="54">
        <v>4213695.5461845156</v>
      </c>
      <c r="D318" s="20">
        <v>32.535674555555552</v>
      </c>
    </row>
    <row r="319" spans="1:4" ht="13.8" x14ac:dyDescent="0.25">
      <c r="A319" s="41">
        <v>3473.7059362</v>
      </c>
      <c r="B319" s="86">
        <f t="shared" si="4"/>
        <v>30429664.001111999</v>
      </c>
      <c r="C319" s="54">
        <v>4214689.0366226118</v>
      </c>
      <c r="D319" s="20">
        <v>32.35978572222222</v>
      </c>
    </row>
    <row r="320" spans="1:4" ht="13.8" x14ac:dyDescent="0.25">
      <c r="A320" s="40">
        <v>3474.9619105000002</v>
      </c>
      <c r="B320" s="86">
        <f t="shared" si="4"/>
        <v>30440666.335980002</v>
      </c>
      <c r="C320" s="54">
        <v>4215620.6578941606</v>
      </c>
      <c r="D320" s="20">
        <v>40.966958111111111</v>
      </c>
    </row>
    <row r="321" spans="1:4" ht="13.8" x14ac:dyDescent="0.25">
      <c r="A321" s="41">
        <v>3480.8031878000011</v>
      </c>
      <c r="B321" s="86">
        <f t="shared" si="4"/>
        <v>30491835.925128013</v>
      </c>
      <c r="C321" s="54">
        <v>4219941.5473437682</v>
      </c>
      <c r="D321" s="20">
        <v>60.566928555555563</v>
      </c>
    </row>
    <row r="322" spans="1:4" ht="13.8" x14ac:dyDescent="0.25">
      <c r="A322" s="40">
        <v>3482.0790982000003</v>
      </c>
      <c r="B322" s="86">
        <f t="shared" si="4"/>
        <v>30503012.900232006</v>
      </c>
      <c r="C322" s="54">
        <v>4220882.762492883</v>
      </c>
      <c r="D322" s="20">
        <v>69.300708388888893</v>
      </c>
    </row>
    <row r="323" spans="1:4" ht="13.8" x14ac:dyDescent="0.25">
      <c r="A323" s="41">
        <v>3486.9833787999992</v>
      </c>
      <c r="B323" s="86">
        <f t="shared" ref="B323:B386" si="5">A323*24*365</f>
        <v>30545974.398287993</v>
      </c>
      <c r="C323" s="54">
        <v>4224490.5764615927</v>
      </c>
      <c r="D323" s="20">
        <v>117.07093683333333</v>
      </c>
    </row>
    <row r="324" spans="1:4" ht="13.8" x14ac:dyDescent="0.25">
      <c r="A324" s="40">
        <v>3494.2999274999997</v>
      </c>
      <c r="B324" s="86">
        <f t="shared" si="5"/>
        <v>30610067.364899997</v>
      </c>
      <c r="C324" s="54">
        <v>4229858.0741052516</v>
      </c>
      <c r="D324" s="20">
        <v>62.921054777777783</v>
      </c>
    </row>
    <row r="325" spans="1:4" ht="13.8" x14ac:dyDescent="0.25">
      <c r="A325" s="41">
        <v>3498.685869500001</v>
      </c>
      <c r="B325" s="86">
        <f t="shared" si="5"/>
        <v>30648488.216820009</v>
      </c>
      <c r="C325" s="54">
        <v>4233066.7208467489</v>
      </c>
      <c r="D325" s="20">
        <v>65.897142611111121</v>
      </c>
    </row>
    <row r="326" spans="1:4" ht="13.8" x14ac:dyDescent="0.25">
      <c r="A326" s="40">
        <v>3500.7990961</v>
      </c>
      <c r="B326" s="86">
        <f t="shared" si="5"/>
        <v>30667000.081836</v>
      </c>
      <c r="C326" s="54">
        <v>4234608.4041019538</v>
      </c>
      <c r="D326" s="20">
        <v>27.902919166666667</v>
      </c>
    </row>
    <row r="327" spans="1:4" ht="13.8" x14ac:dyDescent="0.25">
      <c r="A327" s="41">
        <v>3501.6962205999994</v>
      </c>
      <c r="B327" s="86">
        <f t="shared" si="5"/>
        <v>30674858.892455995</v>
      </c>
      <c r="C327" s="54">
        <v>4235261.0663444977</v>
      </c>
      <c r="D327" s="20">
        <v>28.620395222222225</v>
      </c>
    </row>
    <row r="328" spans="1:4" ht="13.8" x14ac:dyDescent="0.25">
      <c r="A328" s="40">
        <v>3507.0191593000004</v>
      </c>
      <c r="B328" s="86">
        <f t="shared" si="5"/>
        <v>30721487.835468005</v>
      </c>
      <c r="C328" s="54">
        <v>4239122.6951213693</v>
      </c>
      <c r="D328" s="20">
        <v>14.767955666666667</v>
      </c>
    </row>
    <row r="329" spans="1:4" ht="13.8" x14ac:dyDescent="0.25">
      <c r="A329" s="41">
        <v>3509.0725776000004</v>
      </c>
      <c r="B329" s="86">
        <f t="shared" si="5"/>
        <v>30739475.779776003</v>
      </c>
      <c r="C329" s="54">
        <v>4240608.2077663466</v>
      </c>
      <c r="D329" s="20">
        <v>16.719092222222223</v>
      </c>
    </row>
    <row r="330" spans="1:4" ht="13.8" x14ac:dyDescent="0.25">
      <c r="A330" s="40">
        <v>3524.7224160999995</v>
      </c>
      <c r="B330" s="86">
        <f t="shared" si="5"/>
        <v>30876568.365035996</v>
      </c>
      <c r="C330" s="54">
        <v>4251897.9808980003</v>
      </c>
      <c r="D330" s="20">
        <v>19.078299000000001</v>
      </c>
    </row>
    <row r="331" spans="1:4" ht="13.8" x14ac:dyDescent="0.25">
      <c r="A331" s="41">
        <v>3530.2247797000009</v>
      </c>
      <c r="B331" s="86">
        <f t="shared" si="5"/>
        <v>30924769.070172004</v>
      </c>
      <c r="C331" s="54">
        <v>4255856.1797912437</v>
      </c>
      <c r="D331" s="20">
        <v>23.989875277777781</v>
      </c>
    </row>
    <row r="332" spans="1:4" ht="13.8" x14ac:dyDescent="0.25">
      <c r="A332" s="40">
        <v>3532.078837</v>
      </c>
      <c r="B332" s="86">
        <f t="shared" si="5"/>
        <v>30941010.612119999</v>
      </c>
      <c r="C332" s="54">
        <v>4257186.1471302006</v>
      </c>
      <c r="D332" s="20">
        <v>31.661819000000001</v>
      </c>
    </row>
    <row r="333" spans="1:4" ht="13.8" x14ac:dyDescent="0.25">
      <c r="A333" s="41">
        <v>3532.0987731</v>
      </c>
      <c r="B333" s="86">
        <f t="shared" si="5"/>
        <v>30941185.252356</v>
      </c>
      <c r="C333" s="54">
        <v>4257200.4072780125</v>
      </c>
      <c r="D333" s="20">
        <v>54.426569111111114</v>
      </c>
    </row>
    <row r="334" spans="1:4" ht="13.8" x14ac:dyDescent="0.25">
      <c r="A334" s="40">
        <v>3542.9041393000002</v>
      </c>
      <c r="B334" s="86">
        <f t="shared" si="5"/>
        <v>31035840.260267999</v>
      </c>
      <c r="C334" s="54">
        <v>4264907.4150574543</v>
      </c>
      <c r="D334" s="20">
        <v>56.411745388888889</v>
      </c>
    </row>
    <row r="335" spans="1:4" ht="13.8" x14ac:dyDescent="0.25">
      <c r="A335" s="41">
        <v>3547.5891228</v>
      </c>
      <c r="B335" s="86">
        <f t="shared" si="5"/>
        <v>31076880.715728</v>
      </c>
      <c r="C335" s="54">
        <v>4268239.4789496148</v>
      </c>
      <c r="D335" s="20">
        <v>54.758329388888889</v>
      </c>
    </row>
    <row r="336" spans="1:4" ht="13.8" x14ac:dyDescent="0.25">
      <c r="A336" s="40">
        <v>3552.4535312000007</v>
      </c>
      <c r="B336" s="86">
        <f t="shared" si="5"/>
        <v>31119492.933312006</v>
      </c>
      <c r="C336" s="54">
        <v>4271689.2531911721</v>
      </c>
      <c r="D336" s="20">
        <v>30.311813777777779</v>
      </c>
    </row>
    <row r="337" spans="1:4" ht="13.8" x14ac:dyDescent="0.25">
      <c r="A337" s="41">
        <v>3561.3450318000009</v>
      </c>
      <c r="B337" s="86">
        <f t="shared" si="5"/>
        <v>31197382.478568006</v>
      </c>
      <c r="C337" s="54">
        <v>4277976.8910620222</v>
      </c>
      <c r="D337" s="20">
        <v>22.674519444444446</v>
      </c>
    </row>
    <row r="338" spans="1:4" ht="13.8" x14ac:dyDescent="0.25">
      <c r="A338" s="40">
        <v>3566.0100791999998</v>
      </c>
      <c r="B338" s="86">
        <f t="shared" si="5"/>
        <v>31238248.293791998</v>
      </c>
      <c r="C338" s="54">
        <v>4281266.2914222609</v>
      </c>
      <c r="D338" s="20">
        <v>18.381754833333336</v>
      </c>
    </row>
    <row r="339" spans="1:4" ht="13.8" x14ac:dyDescent="0.25">
      <c r="A339" s="41">
        <v>3574.881643700001</v>
      </c>
      <c r="B339" s="86">
        <f t="shared" si="5"/>
        <v>31315963.198812008</v>
      </c>
      <c r="C339" s="54">
        <v>4287503.7185762748</v>
      </c>
      <c r="D339" s="20">
        <v>12.300431444444445</v>
      </c>
    </row>
    <row r="340" spans="1:4" ht="13.8" x14ac:dyDescent="0.25">
      <c r="A340" s="40">
        <v>3577.0746147</v>
      </c>
      <c r="B340" s="86">
        <f t="shared" si="5"/>
        <v>31335173.624772001</v>
      </c>
      <c r="C340" s="54">
        <v>4289041.0911130542</v>
      </c>
      <c r="D340" s="20">
        <v>12.550293166666668</v>
      </c>
    </row>
    <row r="341" spans="1:4" ht="13.8" x14ac:dyDescent="0.25">
      <c r="A341" s="41">
        <v>3580.1049018999997</v>
      </c>
      <c r="B341" s="86">
        <f t="shared" si="5"/>
        <v>31361718.940643996</v>
      </c>
      <c r="C341" s="54">
        <v>4291159.2928446271</v>
      </c>
      <c r="D341" s="20">
        <v>16.254323000000003</v>
      </c>
    </row>
    <row r="342" spans="1:4" ht="13.8" x14ac:dyDescent="0.25">
      <c r="A342" s="40">
        <v>3604.4668161000013</v>
      </c>
      <c r="B342" s="86">
        <f t="shared" si="5"/>
        <v>31575129.309036013</v>
      </c>
      <c r="C342" s="54">
        <v>4308138.9357300531</v>
      </c>
      <c r="D342" s="20">
        <v>19.12575138888889</v>
      </c>
    </row>
    <row r="343" spans="1:4" ht="13.8" x14ac:dyDescent="0.25">
      <c r="A343" s="41">
        <v>3606.5002983000004</v>
      </c>
      <c r="B343" s="86">
        <f t="shared" si="5"/>
        <v>31592942.613108002</v>
      </c>
      <c r="C343" s="54">
        <v>4309552.083018587</v>
      </c>
      <c r="D343" s="20">
        <v>25.150680611111113</v>
      </c>
    </row>
    <row r="344" spans="1:4" ht="13.8" x14ac:dyDescent="0.25">
      <c r="A344" s="40">
        <v>3611.0457290999993</v>
      </c>
      <c r="B344" s="86">
        <f t="shared" si="5"/>
        <v>31632760.586915996</v>
      </c>
      <c r="C344" s="54">
        <v>4312701.6314520454</v>
      </c>
      <c r="D344" s="20">
        <v>30.799445500000001</v>
      </c>
    </row>
    <row r="345" spans="1:4" ht="13.8" x14ac:dyDescent="0.25">
      <c r="A345" s="41">
        <v>3641.3685372</v>
      </c>
      <c r="B345" s="86">
        <f t="shared" si="5"/>
        <v>31898388.385871999</v>
      </c>
      <c r="C345" s="54">
        <v>4333650.7183213197</v>
      </c>
      <c r="D345" s="20">
        <v>39.630467166666669</v>
      </c>
    </row>
    <row r="346" spans="1:4" ht="13.8" x14ac:dyDescent="0.25">
      <c r="A346" s="40">
        <v>3649.6818909000003</v>
      </c>
      <c r="B346" s="86">
        <f t="shared" si="5"/>
        <v>31971213.364284005</v>
      </c>
      <c r="C346" s="54">
        <v>4339377.2360370588</v>
      </c>
      <c r="D346" s="20">
        <v>91.387915611111126</v>
      </c>
    </row>
    <row r="347" spans="1:4" ht="13.8" x14ac:dyDescent="0.25">
      <c r="A347" s="41">
        <v>3653.9880884999998</v>
      </c>
      <c r="B347" s="86">
        <f t="shared" si="5"/>
        <v>32008935.655259997</v>
      </c>
      <c r="C347" s="54">
        <v>4342334.7253450602</v>
      </c>
      <c r="D347" s="20">
        <v>40.681024444444446</v>
      </c>
    </row>
    <row r="348" spans="1:4" ht="13.8" x14ac:dyDescent="0.25">
      <c r="A348" s="40">
        <v>3656.2209317000006</v>
      </c>
      <c r="B348" s="86">
        <f t="shared" si="5"/>
        <v>32028495.361692004</v>
      </c>
      <c r="C348" s="54">
        <v>4343863.6937781256</v>
      </c>
      <c r="D348" s="20">
        <v>46.16924377777778</v>
      </c>
    </row>
    <row r="349" spans="1:4" ht="13.8" x14ac:dyDescent="0.25">
      <c r="A349" s="41">
        <v>3661.4441899000003</v>
      </c>
      <c r="B349" s="86">
        <f t="shared" si="5"/>
        <v>32074251.103523999</v>
      </c>
      <c r="C349" s="54">
        <v>4347429.756810274</v>
      </c>
      <c r="D349" s="20">
        <v>17.885181333333335</v>
      </c>
    </row>
    <row r="350" spans="1:4" ht="13.8" x14ac:dyDescent="0.25">
      <c r="A350" s="40">
        <v>3666.3285344000001</v>
      </c>
      <c r="B350" s="86">
        <f t="shared" si="5"/>
        <v>32117037.961344004</v>
      </c>
      <c r="C350" s="54">
        <v>4350754.4928887244</v>
      </c>
      <c r="D350" s="20">
        <v>14.321476444444446</v>
      </c>
    </row>
    <row r="351" spans="1:4" ht="13.8" x14ac:dyDescent="0.25">
      <c r="A351" s="41">
        <v>3673.8843163000006</v>
      </c>
      <c r="B351" s="86">
        <f t="shared" si="5"/>
        <v>32183226.610788006</v>
      </c>
      <c r="C351" s="54">
        <v>4355882.2776431357</v>
      </c>
      <c r="D351" s="20">
        <v>14.107178611111111</v>
      </c>
    </row>
    <row r="352" spans="1:4" ht="13.8" x14ac:dyDescent="0.25">
      <c r="A352" s="40">
        <v>3685.4671904000006</v>
      </c>
      <c r="B352" s="86">
        <f t="shared" si="5"/>
        <v>32284692.587904006</v>
      </c>
      <c r="C352" s="54">
        <v>4363719.5021544117</v>
      </c>
      <c r="D352" s="20">
        <v>17.401207611111111</v>
      </c>
    </row>
    <row r="353" spans="1:4" ht="13.8" x14ac:dyDescent="0.25">
      <c r="A353" s="41">
        <v>3688.0588834000005</v>
      </c>
      <c r="B353" s="86">
        <f t="shared" si="5"/>
        <v>32307395.818584003</v>
      </c>
      <c r="C353" s="54">
        <v>4365467.8230861165</v>
      </c>
      <c r="D353" s="20">
        <v>22.203450333333336</v>
      </c>
    </row>
    <row r="354" spans="1:4" ht="13.8" x14ac:dyDescent="0.25">
      <c r="A354" s="40">
        <v>3690.0126211999996</v>
      </c>
      <c r="B354" s="86">
        <f t="shared" si="5"/>
        <v>32324510.561711997</v>
      </c>
      <c r="C354" s="54">
        <v>4366781.8116223961</v>
      </c>
      <c r="D354" s="20">
        <v>27.567704111111116</v>
      </c>
    </row>
    <row r="355" spans="1:4" ht="13.8" x14ac:dyDescent="0.25">
      <c r="A355" s="41">
        <v>3691.6075092000001</v>
      </c>
      <c r="B355" s="86">
        <f t="shared" si="5"/>
        <v>32338481.780592002</v>
      </c>
      <c r="C355" s="54">
        <v>4367851.209224442</v>
      </c>
      <c r="D355" s="20">
        <v>42.937400777777782</v>
      </c>
    </row>
    <row r="356" spans="1:4" ht="13.8" x14ac:dyDescent="0.25">
      <c r="A356" s="40">
        <v>3700.6584986000003</v>
      </c>
      <c r="B356" s="86">
        <f t="shared" si="5"/>
        <v>32417768.447736003</v>
      </c>
      <c r="C356" s="54">
        <v>4373901.6189926388</v>
      </c>
      <c r="D356" s="20">
        <v>34.909716555555562</v>
      </c>
    </row>
    <row r="357" spans="1:4" ht="13.8" x14ac:dyDescent="0.25">
      <c r="A357" s="41">
        <v>3705.9216290000008</v>
      </c>
      <c r="B357" s="86">
        <f t="shared" si="5"/>
        <v>32463873.470040008</v>
      </c>
      <c r="C357" s="54">
        <v>4377409.2068125159</v>
      </c>
      <c r="D357" s="20">
        <v>62.26190350000001</v>
      </c>
    </row>
    <row r="358" spans="1:4" ht="13.8" x14ac:dyDescent="0.25">
      <c r="A358" s="40">
        <v>3710.1879543999994</v>
      </c>
      <c r="B358" s="86">
        <f t="shared" si="5"/>
        <v>32501246.480543993</v>
      </c>
      <c r="C358" s="54">
        <v>4380243.7954371292</v>
      </c>
      <c r="D358" s="20">
        <v>41.794174166666672</v>
      </c>
    </row>
    <row r="359" spans="1:4" ht="13.8" x14ac:dyDescent="0.25">
      <c r="A359" s="41">
        <v>3711.1249511000005</v>
      </c>
      <c r="B359" s="86">
        <f t="shared" si="5"/>
        <v>32509454.571636006</v>
      </c>
      <c r="C359" s="54">
        <v>4380864.4381908849</v>
      </c>
      <c r="D359" s="20">
        <v>72.051016333333351</v>
      </c>
    </row>
    <row r="360" spans="1:4" ht="13.8" x14ac:dyDescent="0.25">
      <c r="A360" s="40">
        <v>3714.3745354000002</v>
      </c>
      <c r="B360" s="86">
        <f t="shared" si="5"/>
        <v>32537920.930104002</v>
      </c>
      <c r="C360" s="54">
        <v>4383010.2661506971</v>
      </c>
      <c r="D360" s="20">
        <v>29.034663722222227</v>
      </c>
    </row>
    <row r="361" spans="1:4" ht="13.8" x14ac:dyDescent="0.25">
      <c r="A361" s="41">
        <v>3715.6504457999999</v>
      </c>
      <c r="B361" s="86">
        <f t="shared" si="5"/>
        <v>32549097.905207999</v>
      </c>
      <c r="C361" s="54">
        <v>4383850.2029473372</v>
      </c>
      <c r="D361" s="20">
        <v>18.815532666666666</v>
      </c>
    </row>
    <row r="362" spans="1:4" ht="13.8" x14ac:dyDescent="0.25">
      <c r="A362" s="40">
        <v>3727.0937672</v>
      </c>
      <c r="B362" s="86">
        <f t="shared" si="5"/>
        <v>32649341.400672</v>
      </c>
      <c r="C362" s="54">
        <v>4391360.0953172259</v>
      </c>
      <c r="D362" s="20">
        <v>19.088968166666668</v>
      </c>
    </row>
    <row r="363" spans="1:4" ht="13.8" x14ac:dyDescent="0.25">
      <c r="A363" s="41">
        <v>3731.1607315999991</v>
      </c>
      <c r="B363" s="86">
        <f t="shared" si="5"/>
        <v>32684968.008815993</v>
      </c>
      <c r="C363" s="54">
        <v>4394020.8387412056</v>
      </c>
      <c r="D363" s="20">
        <v>16.517495777777778</v>
      </c>
    </row>
    <row r="364" spans="1:4" ht="13.8" x14ac:dyDescent="0.25">
      <c r="A364" s="40">
        <v>3735.2476320999999</v>
      </c>
      <c r="B364" s="86">
        <f t="shared" si="5"/>
        <v>32720769.257196002</v>
      </c>
      <c r="C364" s="54">
        <v>4396686.3068911899</v>
      </c>
      <c r="D364" s="20">
        <v>16.913575888888889</v>
      </c>
    </row>
    <row r="365" spans="1:4" ht="13.8" x14ac:dyDescent="0.25">
      <c r="A365" s="41">
        <v>3741.9262256000006</v>
      </c>
      <c r="B365" s="86">
        <f t="shared" si="5"/>
        <v>32779273.736256007</v>
      </c>
      <c r="C365" s="54">
        <v>4401028.4788686652</v>
      </c>
      <c r="D365" s="20">
        <v>20.051225388888891</v>
      </c>
    </row>
    <row r="366" spans="1:4" ht="13.8" x14ac:dyDescent="0.25">
      <c r="A366" s="40">
        <v>3743.1622637999999</v>
      </c>
      <c r="B366" s="86">
        <f t="shared" si="5"/>
        <v>32790101.430887997</v>
      </c>
      <c r="C366" s="54">
        <v>4401829.5889988765</v>
      </c>
      <c r="D366" s="20">
        <v>27.460910833333337</v>
      </c>
    </row>
    <row r="367" spans="1:4" ht="13.8" x14ac:dyDescent="0.25">
      <c r="A367" s="41">
        <v>3745.2555543000008</v>
      </c>
      <c r="B367" s="86">
        <f t="shared" si="5"/>
        <v>32808438.655668005</v>
      </c>
      <c r="C367" s="54">
        <v>4403182.0472601643</v>
      </c>
      <c r="D367" s="20">
        <v>27.163596722222223</v>
      </c>
    </row>
    <row r="368" spans="1:4" ht="13.8" x14ac:dyDescent="0.25">
      <c r="A368" s="40">
        <v>3752.4724225000004</v>
      </c>
      <c r="B368" s="86">
        <f t="shared" si="5"/>
        <v>32871658.421100002</v>
      </c>
      <c r="C368" s="54">
        <v>4407830.1195156854</v>
      </c>
      <c r="D368" s="20">
        <v>37.42916405555556</v>
      </c>
    </row>
    <row r="369" spans="1:4" ht="13.8" x14ac:dyDescent="0.25">
      <c r="A369" s="41">
        <v>3756.9779810999994</v>
      </c>
      <c r="B369" s="86">
        <f t="shared" si="5"/>
        <v>32911127.114435997</v>
      </c>
      <c r="C369" s="54">
        <v>4410722.7844452932</v>
      </c>
      <c r="D369" s="20">
        <v>53.310371055555557</v>
      </c>
    </row>
    <row r="370" spans="1:4" ht="13.8" x14ac:dyDescent="0.25">
      <c r="A370" s="40">
        <v>3765.1119099000002</v>
      </c>
      <c r="B370" s="86">
        <f t="shared" si="5"/>
        <v>32982380.330724001</v>
      </c>
      <c r="C370" s="54">
        <v>4415928.3854860924</v>
      </c>
      <c r="D370" s="20">
        <v>71.312303555555559</v>
      </c>
    </row>
    <row r="371" spans="1:4" ht="13.8" x14ac:dyDescent="0.25">
      <c r="A371" s="41">
        <v>3766.2881398</v>
      </c>
      <c r="B371" s="86">
        <f t="shared" si="5"/>
        <v>32992684.104648001</v>
      </c>
      <c r="C371" s="54">
        <v>4416678.7622253187</v>
      </c>
      <c r="D371" s="20">
        <v>52.023364722222226</v>
      </c>
    </row>
    <row r="372" spans="1:4" ht="13.8" x14ac:dyDescent="0.25">
      <c r="A372" s="40">
        <v>3771.3917814000001</v>
      </c>
      <c r="B372" s="86">
        <f t="shared" si="5"/>
        <v>33037392.005064003</v>
      </c>
      <c r="C372" s="54">
        <v>4419924.2466552369</v>
      </c>
      <c r="D372" s="20">
        <v>38.430744777777775</v>
      </c>
    </row>
    <row r="373" spans="1:4" ht="13.8" x14ac:dyDescent="0.25">
      <c r="A373" s="41">
        <v>3774.3024519999999</v>
      </c>
      <c r="B373" s="86">
        <f t="shared" si="5"/>
        <v>33062889.479520001</v>
      </c>
      <c r="C373" s="54">
        <v>4421769.2628597748</v>
      </c>
      <c r="D373" s="20">
        <v>46.9568315</v>
      </c>
    </row>
    <row r="374" spans="1:4" ht="13.8" x14ac:dyDescent="0.25">
      <c r="A374" s="40">
        <v>3777.5321001999996</v>
      </c>
      <c r="B374" s="86">
        <f t="shared" si="5"/>
        <v>33091181.197751995</v>
      </c>
      <c r="C374" s="54">
        <v>4423809.8992663668</v>
      </c>
      <c r="D374" s="20">
        <v>33.364313166666669</v>
      </c>
    </row>
    <row r="375" spans="1:4" ht="13.8" x14ac:dyDescent="0.25">
      <c r="A375" s="41">
        <v>3779.9244321999995</v>
      </c>
      <c r="B375" s="86">
        <f t="shared" si="5"/>
        <v>33112138.026071995</v>
      </c>
      <c r="C375" s="54">
        <v>4425316.6126382062</v>
      </c>
      <c r="D375" s="20">
        <v>29.814325777777778</v>
      </c>
    </row>
    <row r="376" spans="1:4" ht="13.8" x14ac:dyDescent="0.25">
      <c r="A376" s="40">
        <v>3782.6556779000002</v>
      </c>
      <c r="B376" s="86">
        <f t="shared" si="5"/>
        <v>33136063.738404002</v>
      </c>
      <c r="C376" s="54">
        <v>4427031.2181230262</v>
      </c>
      <c r="D376" s="20">
        <v>17.023112666666666</v>
      </c>
    </row>
    <row r="377" spans="1:4" ht="13.8" x14ac:dyDescent="0.25">
      <c r="A377" s="41">
        <v>3783.1740165000006</v>
      </c>
      <c r="B377" s="86">
        <f t="shared" si="5"/>
        <v>33140604.384540003</v>
      </c>
      <c r="C377" s="54">
        <v>4427355.5627212478</v>
      </c>
      <c r="D377" s="20">
        <v>19.26566988888889</v>
      </c>
    </row>
    <row r="378" spans="1:4" ht="13.8" x14ac:dyDescent="0.25">
      <c r="A378" s="40">
        <v>3823.9632771000001</v>
      </c>
      <c r="B378" s="86">
        <f t="shared" si="5"/>
        <v>33497918.307396002</v>
      </c>
      <c r="C378" s="54">
        <v>4452795.9686087593</v>
      </c>
      <c r="D378" s="20">
        <v>22.734470000000002</v>
      </c>
    </row>
    <row r="379" spans="1:4" ht="13.8" x14ac:dyDescent="0.25">
      <c r="A379" s="41">
        <v>3834.6888988999999</v>
      </c>
      <c r="B379" s="86">
        <f t="shared" si="5"/>
        <v>33591874.754363999</v>
      </c>
      <c r="C379" s="54">
        <v>4459463.7467745095</v>
      </c>
      <c r="D379" s="20">
        <v>35.102269611111112</v>
      </c>
    </row>
    <row r="380" spans="1:4" ht="13.8" x14ac:dyDescent="0.25">
      <c r="A380" s="40">
        <v>3848.1058942</v>
      </c>
      <c r="B380" s="86">
        <f t="shared" si="5"/>
        <v>33709407.633192003</v>
      </c>
      <c r="C380" s="54">
        <v>4467777.3584765457</v>
      </c>
      <c r="D380" s="20">
        <v>33.806727944444447</v>
      </c>
    </row>
    <row r="381" spans="1:4" ht="13.8" x14ac:dyDescent="0.25">
      <c r="A381" s="41">
        <v>3852.5117723000008</v>
      </c>
      <c r="B381" s="86">
        <f t="shared" si="5"/>
        <v>33748003.125348009</v>
      </c>
      <c r="C381" s="54">
        <v>4470498.4181449329</v>
      </c>
      <c r="D381" s="20">
        <v>59.817749833333338</v>
      </c>
    </row>
    <row r="382" spans="1:4" ht="13.8" x14ac:dyDescent="0.25">
      <c r="A382" s="40">
        <v>3855.1632735999997</v>
      </c>
      <c r="B382" s="86">
        <f t="shared" si="5"/>
        <v>33771230.276735999</v>
      </c>
      <c r="C382" s="54">
        <v>4472130.5822978579</v>
      </c>
      <c r="D382" s="20">
        <v>84.328686888888896</v>
      </c>
    </row>
    <row r="383" spans="1:4" ht="13.8" x14ac:dyDescent="0.25">
      <c r="A383" s="41">
        <v>3856.4591201000003</v>
      </c>
      <c r="B383" s="86">
        <f t="shared" si="5"/>
        <v>33782581.892076001</v>
      </c>
      <c r="C383" s="54">
        <v>4472925.6190508381</v>
      </c>
      <c r="D383" s="20">
        <v>141.60493961111112</v>
      </c>
    </row>
    <row r="384" spans="1:4" ht="13.8" x14ac:dyDescent="0.25">
      <c r="A384" s="40">
        <v>3858.7318355000011</v>
      </c>
      <c r="B384" s="86">
        <f t="shared" si="5"/>
        <v>33802490.878980011</v>
      </c>
      <c r="C384" s="54">
        <v>4474315.3655082379</v>
      </c>
      <c r="D384" s="20">
        <v>33.243091111111113</v>
      </c>
    </row>
    <row r="385" spans="1:4" ht="13.8" x14ac:dyDescent="0.25">
      <c r="A385" s="41">
        <v>3859.6289600000005</v>
      </c>
      <c r="B385" s="86">
        <f t="shared" si="5"/>
        <v>33810349.689600006</v>
      </c>
      <c r="C385" s="54">
        <v>4474862.1237043226</v>
      </c>
      <c r="D385" s="20">
        <v>26.504953500000003</v>
      </c>
    </row>
    <row r="386" spans="1:4" ht="13.8" x14ac:dyDescent="0.25">
      <c r="A386" s="40">
        <v>3863.5364356</v>
      </c>
      <c r="B386" s="86">
        <f t="shared" si="5"/>
        <v>33844579.175856002</v>
      </c>
      <c r="C386" s="54">
        <v>4477235.6064552758</v>
      </c>
      <c r="D386" s="20">
        <v>29.981882500000001</v>
      </c>
    </row>
    <row r="387" spans="1:4" ht="13.8" x14ac:dyDescent="0.25">
      <c r="A387" s="41">
        <v>3883.3927911999999</v>
      </c>
      <c r="B387" s="86">
        <f t="shared" ref="B387:B450" si="6">A387*24*365</f>
        <v>34018520.850911997</v>
      </c>
      <c r="C387" s="54">
        <v>4489256.3599460395</v>
      </c>
      <c r="D387" s="20">
        <v>16.995169611111113</v>
      </c>
    </row>
    <row r="388" spans="1:4" ht="13.8" x14ac:dyDescent="0.25">
      <c r="A388" s="40">
        <v>3887.0211614</v>
      </c>
      <c r="B388" s="86">
        <f t="shared" si="6"/>
        <v>34050305.373864003</v>
      </c>
      <c r="C388" s="54">
        <v>4491445.5384550467</v>
      </c>
      <c r="D388" s="20">
        <v>19.19616788888889</v>
      </c>
    </row>
    <row r="389" spans="1:4" ht="13.8" x14ac:dyDescent="0.25">
      <c r="A389" s="41">
        <v>3892.5235249999996</v>
      </c>
      <c r="B389" s="86">
        <f t="shared" si="6"/>
        <v>34098506.078999996</v>
      </c>
      <c r="C389" s="54">
        <v>4494754.1925300024</v>
      </c>
      <c r="D389" s="20">
        <v>25.428180555555556</v>
      </c>
    </row>
    <row r="390" spans="1:4" ht="13.8" x14ac:dyDescent="0.25">
      <c r="A390" s="40">
        <v>3906.1000091000005</v>
      </c>
      <c r="B390" s="86">
        <f t="shared" si="6"/>
        <v>34217436.079716004</v>
      </c>
      <c r="C390" s="54">
        <v>4502890.304388538</v>
      </c>
      <c r="D390" s="20">
        <v>28.014793000000001</v>
      </c>
    </row>
    <row r="391" spans="1:4" ht="13.8" x14ac:dyDescent="0.25">
      <c r="A391" s="41">
        <v>3908.073683000001</v>
      </c>
      <c r="B391" s="86">
        <f t="shared" si="6"/>
        <v>34234725.463080011</v>
      </c>
      <c r="C391" s="54">
        <v>4504069.0701196957</v>
      </c>
      <c r="D391" s="20">
        <v>36.59381911111111</v>
      </c>
    </row>
    <row r="392" spans="1:4" ht="13.8" x14ac:dyDescent="0.25">
      <c r="A392" s="40">
        <v>3918.4005828000004</v>
      </c>
      <c r="B392" s="86">
        <f t="shared" si="6"/>
        <v>34325189.105328001</v>
      </c>
      <c r="C392" s="54">
        <v>4510215.7349360622</v>
      </c>
      <c r="D392" s="20">
        <v>61.831986888888892</v>
      </c>
    </row>
    <row r="393" spans="1:4" ht="13.8" x14ac:dyDescent="0.25">
      <c r="A393" s="41">
        <v>3923.5839688000001</v>
      </c>
      <c r="B393" s="86">
        <f t="shared" si="6"/>
        <v>34370595.566688001</v>
      </c>
      <c r="C393" s="54">
        <v>4513290.3836641572</v>
      </c>
      <c r="D393" s="20">
        <v>54.890830277777781</v>
      </c>
    </row>
    <row r="394" spans="1:4" ht="13.8" x14ac:dyDescent="0.25">
      <c r="A394" s="40">
        <v>3924.8798153000002</v>
      </c>
      <c r="B394" s="86">
        <f t="shared" si="6"/>
        <v>34381947.182028003</v>
      </c>
      <c r="C394" s="54">
        <v>4514056.4083890859</v>
      </c>
      <c r="D394" s="20">
        <v>68.890605944444445</v>
      </c>
    </row>
    <row r="395" spans="1:4" ht="13.8" x14ac:dyDescent="0.25">
      <c r="A395" s="41">
        <v>3933.0336801999997</v>
      </c>
      <c r="B395" s="86">
        <f t="shared" si="6"/>
        <v>34453375.038551994</v>
      </c>
      <c r="C395" s="54">
        <v>4518859.8759666756</v>
      </c>
      <c r="D395" s="20">
        <v>82.679233722222236</v>
      </c>
    </row>
    <row r="396" spans="1:4" ht="13.8" x14ac:dyDescent="0.25">
      <c r="A396" s="40">
        <v>3934.0504212999995</v>
      </c>
      <c r="B396" s="86">
        <f t="shared" si="6"/>
        <v>34462281.690587997</v>
      </c>
      <c r="C396" s="54">
        <v>4519456.771972023</v>
      </c>
      <c r="D396" s="20">
        <v>32.401649499999998</v>
      </c>
    </row>
    <row r="397" spans="1:4" ht="13.8" x14ac:dyDescent="0.25">
      <c r="A397" s="41">
        <v>3939.2338073000005</v>
      </c>
      <c r="B397" s="86">
        <f t="shared" si="6"/>
        <v>34507688.151948005</v>
      </c>
      <c r="C397" s="54">
        <v>4522489.2213865863</v>
      </c>
      <c r="D397" s="20">
        <v>22.15457538888889</v>
      </c>
    </row>
    <row r="398" spans="1:4" ht="13.8" x14ac:dyDescent="0.25">
      <c r="A398" s="40">
        <v>3942.4634555000002</v>
      </c>
      <c r="B398" s="86">
        <f t="shared" si="6"/>
        <v>34535979.870179996</v>
      </c>
      <c r="C398" s="54">
        <v>4524372.0972825913</v>
      </c>
      <c r="D398" s="20">
        <v>15.554324055555558</v>
      </c>
    </row>
    <row r="399" spans="1:4" ht="13.8" x14ac:dyDescent="0.25">
      <c r="A399" s="41">
        <v>3943.5798771000004</v>
      </c>
      <c r="B399" s="86">
        <f t="shared" si="6"/>
        <v>34545759.723396003</v>
      </c>
      <c r="C399" s="54">
        <v>4525020.6956919627</v>
      </c>
      <c r="D399" s="20">
        <v>16.188479000000001</v>
      </c>
    </row>
    <row r="400" spans="1:4" ht="13.8" x14ac:dyDescent="0.25">
      <c r="A400" s="40">
        <v>3962.2799389000002</v>
      </c>
      <c r="B400" s="86">
        <f t="shared" si="6"/>
        <v>34709572.264764003</v>
      </c>
      <c r="C400" s="54">
        <v>4535846.6585142352</v>
      </c>
      <c r="D400" s="20">
        <v>15.301617222222223</v>
      </c>
    </row>
    <row r="401" spans="1:4" ht="13.8" x14ac:dyDescent="0.25">
      <c r="A401" s="41">
        <v>3963.9545712999993</v>
      </c>
      <c r="B401" s="86">
        <f t="shared" si="6"/>
        <v>34724242.044587992</v>
      </c>
      <c r="C401" s="54">
        <v>4536812.7393161058</v>
      </c>
      <c r="D401" s="20">
        <v>16.809119666666668</v>
      </c>
    </row>
    <row r="402" spans="1:4" ht="13.8" x14ac:dyDescent="0.25">
      <c r="A402" s="40">
        <v>3964.4729098999996</v>
      </c>
      <c r="B402" s="86">
        <f t="shared" si="6"/>
        <v>34728782.690724</v>
      </c>
      <c r="C402" s="54">
        <v>4537110.7093433701</v>
      </c>
      <c r="D402" s="20">
        <v>17.273888888888891</v>
      </c>
    </row>
    <row r="403" spans="1:4" ht="13.8" x14ac:dyDescent="0.25">
      <c r="A403" s="41">
        <v>3965.2504177999999</v>
      </c>
      <c r="B403" s="86">
        <f t="shared" si="6"/>
        <v>34735593.659928001</v>
      </c>
      <c r="C403" s="54">
        <v>4537556.0819100123</v>
      </c>
      <c r="D403" s="20">
        <v>25.187667055555558</v>
      </c>
    </row>
    <row r="404" spans="1:4" ht="13.8" x14ac:dyDescent="0.25">
      <c r="A404" s="40">
        <v>3968.0414718000011</v>
      </c>
      <c r="B404" s="86">
        <f t="shared" si="6"/>
        <v>34760043.292968012</v>
      </c>
      <c r="C404" s="54">
        <v>4539149.1745493356</v>
      </c>
      <c r="D404" s="20">
        <v>31.977016666666668</v>
      </c>
    </row>
    <row r="405" spans="1:4" ht="13.8" x14ac:dyDescent="0.25">
      <c r="A405" s="41">
        <v>3972.2679250000006</v>
      </c>
      <c r="B405" s="86">
        <f t="shared" si="6"/>
        <v>34797067.023000009</v>
      </c>
      <c r="C405" s="54">
        <v>4541552.9698068332</v>
      </c>
      <c r="D405" s="20">
        <v>45.0949095</v>
      </c>
    </row>
    <row r="406" spans="1:4" ht="13.8" x14ac:dyDescent="0.25">
      <c r="A406" s="40">
        <v>3976.3348894000001</v>
      </c>
      <c r="B406" s="86">
        <f t="shared" si="6"/>
        <v>34832693.631143995</v>
      </c>
      <c r="C406" s="54">
        <v>4543857.7782516787</v>
      </c>
      <c r="D406" s="20">
        <v>31.620158444444446</v>
      </c>
    </row>
    <row r="407" spans="1:4" ht="13.8" x14ac:dyDescent="0.25">
      <c r="A407" s="41">
        <v>3976.434569900001</v>
      </c>
      <c r="B407" s="86">
        <f t="shared" si="6"/>
        <v>34833566.832324013</v>
      </c>
      <c r="C407" s="54">
        <v>4543914.0657734238</v>
      </c>
      <c r="D407" s="20">
        <v>52.679061222222231</v>
      </c>
    </row>
    <row r="408" spans="1:4" ht="13.8" x14ac:dyDescent="0.25">
      <c r="A408" s="40">
        <v>3976.6339309000005</v>
      </c>
      <c r="B408" s="86">
        <f t="shared" si="6"/>
        <v>34835313.234684005</v>
      </c>
      <c r="C408" s="54">
        <v>4544026.2350542843</v>
      </c>
      <c r="D408" s="20">
        <v>53.204898722222225</v>
      </c>
    </row>
    <row r="409" spans="1:4" ht="13.8" x14ac:dyDescent="0.25">
      <c r="A409" s="41">
        <v>3980.1227484000001</v>
      </c>
      <c r="B409" s="86">
        <f t="shared" si="6"/>
        <v>34865875.275983997</v>
      </c>
      <c r="C409" s="54">
        <v>4545982.0966232996</v>
      </c>
      <c r="D409" s="20">
        <v>24.917483111111114</v>
      </c>
    </row>
    <row r="410" spans="1:4" ht="13.8" x14ac:dyDescent="0.25">
      <c r="A410" s="40">
        <v>4010.1066428000004</v>
      </c>
      <c r="B410" s="86">
        <f t="shared" si="6"/>
        <v>35128534.190927997</v>
      </c>
      <c r="C410" s="54">
        <v>4562730.3030654564</v>
      </c>
      <c r="D410" s="20">
        <v>17.505155777777777</v>
      </c>
    </row>
    <row r="411" spans="1:4" ht="13.8" x14ac:dyDescent="0.25">
      <c r="A411" s="41">
        <v>4011.3626170999996</v>
      </c>
      <c r="B411" s="86">
        <f t="shared" si="6"/>
        <v>35139536.525795996</v>
      </c>
      <c r="C411" s="54">
        <v>4563429.300621164</v>
      </c>
      <c r="D411" s="20">
        <v>19.655754944444446</v>
      </c>
    </row>
    <row r="412" spans="1:4" ht="13.8" x14ac:dyDescent="0.25">
      <c r="A412" s="40">
        <v>4016.6257475000011</v>
      </c>
      <c r="B412" s="86">
        <f t="shared" si="6"/>
        <v>35185641.54810001</v>
      </c>
      <c r="C412" s="54">
        <v>4566347.7211021204</v>
      </c>
      <c r="D412" s="20">
        <v>19.971460666666669</v>
      </c>
    </row>
    <row r="413" spans="1:4" ht="13.8" x14ac:dyDescent="0.25">
      <c r="A413" s="41">
        <v>4029.026001700001</v>
      </c>
      <c r="B413" s="86">
        <f t="shared" si="6"/>
        <v>35294267.77489201</v>
      </c>
      <c r="C413" s="54">
        <v>4573198.4581936263</v>
      </c>
      <c r="D413" s="20">
        <v>21.688383611111114</v>
      </c>
    </row>
    <row r="414" spans="1:4" ht="13.8" x14ac:dyDescent="0.25">
      <c r="A414" s="40">
        <v>4030.5610814000006</v>
      </c>
      <c r="B414" s="86">
        <f t="shared" si="6"/>
        <v>35307715.073064007</v>
      </c>
      <c r="C414" s="54">
        <v>4574043.4154227348</v>
      </c>
      <c r="D414" s="20">
        <v>25.073049722222223</v>
      </c>
    </row>
    <row r="415" spans="1:4" ht="13.8" x14ac:dyDescent="0.25">
      <c r="A415" s="41">
        <v>4033.3720714999999</v>
      </c>
      <c r="B415" s="86">
        <f t="shared" si="6"/>
        <v>35332339.346340001</v>
      </c>
      <c r="C415" s="54">
        <v>4575584.9535112632</v>
      </c>
      <c r="D415" s="20">
        <v>27.970693777777779</v>
      </c>
    </row>
    <row r="416" spans="1:4" ht="13.8" x14ac:dyDescent="0.25">
      <c r="A416" s="40">
        <v>4034.5084292000001</v>
      </c>
      <c r="B416" s="86">
        <f t="shared" si="6"/>
        <v>35342293.839792006</v>
      </c>
      <c r="C416" s="54">
        <v>4576205.8156362306</v>
      </c>
      <c r="D416" s="20">
        <v>40.639465500000007</v>
      </c>
    </row>
    <row r="417" spans="1:4" ht="13.8" x14ac:dyDescent="0.25">
      <c r="A417" s="41">
        <v>4045.1543066000004</v>
      </c>
      <c r="B417" s="86">
        <f t="shared" si="6"/>
        <v>35435551.725816004</v>
      </c>
      <c r="C417" s="54">
        <v>4582000.645714106</v>
      </c>
      <c r="D417" s="20">
        <v>76.480244666666678</v>
      </c>
    </row>
    <row r="418" spans="1:4" ht="13.8" x14ac:dyDescent="0.25">
      <c r="A418" s="40">
        <v>4061.0433782999999</v>
      </c>
      <c r="B418" s="86">
        <f t="shared" si="6"/>
        <v>35574739.993907996</v>
      </c>
      <c r="C418" s="54">
        <v>4590617.1445824215</v>
      </c>
      <c r="D418" s="20">
        <v>72.445673888888891</v>
      </c>
    </row>
    <row r="419" spans="1:4" ht="13.8" x14ac:dyDescent="0.25">
      <c r="A419" s="41">
        <v>4061.0633143999994</v>
      </c>
      <c r="B419" s="86">
        <f t="shared" si="6"/>
        <v>35574914.634144001</v>
      </c>
      <c r="C419" s="54">
        <v>4590627.9151716139</v>
      </c>
      <c r="D419" s="20">
        <v>84.009323166666675</v>
      </c>
    </row>
    <row r="420" spans="1:4" ht="13.8" x14ac:dyDescent="0.25">
      <c r="A420" s="40">
        <v>4073.0050383000003</v>
      </c>
      <c r="B420" s="86">
        <f t="shared" si="6"/>
        <v>35679524.135508001</v>
      </c>
      <c r="C420" s="54">
        <v>4597055.1929165833</v>
      </c>
      <c r="D420" s="20">
        <v>46.537075999999999</v>
      </c>
    </row>
    <row r="421" spans="1:4" ht="13.8" x14ac:dyDescent="0.25">
      <c r="A421" s="41">
        <v>4078.2282964999995</v>
      </c>
      <c r="B421" s="86">
        <f t="shared" si="6"/>
        <v>35725279.877339996</v>
      </c>
      <c r="C421" s="54">
        <v>4599855.8253232911</v>
      </c>
      <c r="D421" s="20">
        <v>27.842968611111111</v>
      </c>
    </row>
    <row r="422" spans="1:4" ht="13.8" x14ac:dyDescent="0.25">
      <c r="A422" s="40">
        <v>4079.8231845000009</v>
      </c>
      <c r="B422" s="86">
        <f t="shared" si="6"/>
        <v>35739251.096220009</v>
      </c>
      <c r="C422" s="54">
        <v>4600707.7341555962</v>
      </c>
      <c r="D422" s="20">
        <v>24.020358611111114</v>
      </c>
    </row>
    <row r="423" spans="1:4" ht="13.8" x14ac:dyDescent="0.25">
      <c r="A423" s="41">
        <v>4080.0823538</v>
      </c>
      <c r="B423" s="86">
        <f t="shared" si="6"/>
        <v>35741521.419288002</v>
      </c>
      <c r="C423" s="54">
        <v>4600845.6418494266</v>
      </c>
      <c r="D423" s="20">
        <v>15.948676777777779</v>
      </c>
    </row>
    <row r="424" spans="1:4" ht="13.8" x14ac:dyDescent="0.25">
      <c r="A424" s="40">
        <v>4083.2721297999997</v>
      </c>
      <c r="B424" s="86">
        <f t="shared" si="6"/>
        <v>35769463.857047997</v>
      </c>
      <c r="C424" s="54">
        <v>4602536.4751098724</v>
      </c>
      <c r="D424" s="20">
        <v>17.704923222222224</v>
      </c>
    </row>
    <row r="425" spans="1:4" ht="13.8" x14ac:dyDescent="0.25">
      <c r="A425" s="41">
        <v>4086.0631838000004</v>
      </c>
      <c r="B425" s="86">
        <f t="shared" si="6"/>
        <v>35793913.490088001</v>
      </c>
      <c r="C425" s="54">
        <v>4604010.2735359427</v>
      </c>
      <c r="D425" s="20">
        <v>21.350526666666667</v>
      </c>
    </row>
    <row r="426" spans="1:4" ht="13.8" x14ac:dyDescent="0.25">
      <c r="A426" s="40">
        <v>4087.3390941999992</v>
      </c>
      <c r="B426" s="86">
        <f t="shared" si="6"/>
        <v>35805090.465191998</v>
      </c>
      <c r="C426" s="54">
        <v>4604681.4130784553</v>
      </c>
      <c r="D426" s="20">
        <v>27.852215222222224</v>
      </c>
    </row>
    <row r="427" spans="1:4" ht="13.8" x14ac:dyDescent="0.25">
      <c r="A427" s="41">
        <v>4099.3007541999996</v>
      </c>
      <c r="B427" s="86">
        <f t="shared" si="6"/>
        <v>35909874.606791995</v>
      </c>
      <c r="C427" s="54">
        <v>4610949.000531707</v>
      </c>
      <c r="D427" s="20">
        <v>30.815195222222222</v>
      </c>
    </row>
    <row r="428" spans="1:4" ht="13.8" x14ac:dyDescent="0.25">
      <c r="A428" s="40">
        <v>4101.0750671000005</v>
      </c>
      <c r="B428" s="86">
        <f t="shared" si="6"/>
        <v>35925417.587796003</v>
      </c>
      <c r="C428" s="54">
        <v>4611875.0813832004</v>
      </c>
      <c r="D428" s="20">
        <v>36.456847333333336</v>
      </c>
    </row>
    <row r="429" spans="1:4" ht="13.8" x14ac:dyDescent="0.25">
      <c r="A429" s="41">
        <v>4102.6898911999997</v>
      </c>
      <c r="B429" s="86">
        <f t="shared" si="6"/>
        <v>35939563.446911998</v>
      </c>
      <c r="C429" s="54">
        <v>4612714.6323347809</v>
      </c>
      <c r="D429" s="20">
        <v>57.893946666666672</v>
      </c>
    </row>
    <row r="430" spans="1:4" ht="13.8" x14ac:dyDescent="0.25">
      <c r="A430" s="40">
        <v>4107.7536605999994</v>
      </c>
      <c r="B430" s="86">
        <f t="shared" si="6"/>
        <v>35983922.066855997</v>
      </c>
      <c r="C430" s="54">
        <v>4615336.9919109084</v>
      </c>
      <c r="D430" s="20">
        <v>85.302222944444452</v>
      </c>
    </row>
    <row r="431" spans="1:4" ht="13.8" x14ac:dyDescent="0.25">
      <c r="A431" s="41">
        <v>4114.1332126000016</v>
      </c>
      <c r="B431" s="86">
        <f t="shared" si="6"/>
        <v>36039806.94237601</v>
      </c>
      <c r="C431" s="54">
        <v>4618627.7676026588</v>
      </c>
      <c r="D431" s="20">
        <v>79.329217</v>
      </c>
    </row>
    <row r="432" spans="1:4" ht="13.8" x14ac:dyDescent="0.25">
      <c r="A432" s="40">
        <v>4117.0837554</v>
      </c>
      <c r="B432" s="86">
        <f t="shared" si="6"/>
        <v>36065653.697304003</v>
      </c>
      <c r="C432" s="54">
        <v>4620143.746073164</v>
      </c>
      <c r="D432" s="20">
        <v>83.223157999999998</v>
      </c>
    </row>
    <row r="433" spans="1:4" ht="13.8" x14ac:dyDescent="0.25">
      <c r="A433" s="41">
        <v>4122.8652243999995</v>
      </c>
      <c r="B433" s="86">
        <f t="shared" si="6"/>
        <v>36116299.365743995</v>
      </c>
      <c r="C433" s="54">
        <v>4623102.4773112629</v>
      </c>
      <c r="D433" s="20">
        <v>26.2287745</v>
      </c>
    </row>
    <row r="434" spans="1:4" ht="13.8" x14ac:dyDescent="0.25">
      <c r="A434" s="40">
        <v>4143.2199824999998</v>
      </c>
      <c r="B434" s="86">
        <f t="shared" si="6"/>
        <v>36294607.046700001</v>
      </c>
      <c r="C434" s="54">
        <v>4633477.8234091401</v>
      </c>
      <c r="D434" s="20">
        <v>19.839569444444443</v>
      </c>
    </row>
    <row r="435" spans="1:4" ht="13.8" x14ac:dyDescent="0.25">
      <c r="A435" s="41">
        <v>4164.2525680000008</v>
      </c>
      <c r="B435" s="86">
        <f t="shared" si="6"/>
        <v>36478852.495680012</v>
      </c>
      <c r="C435" s="54">
        <v>4644155.8676879629</v>
      </c>
      <c r="D435" s="20">
        <v>25.807799666666668</v>
      </c>
    </row>
    <row r="436" spans="1:4" ht="13.8" x14ac:dyDescent="0.25">
      <c r="A436" s="40">
        <v>4169.5555706000005</v>
      </c>
      <c r="B436" s="86">
        <f t="shared" si="6"/>
        <v>36525306.798455998</v>
      </c>
      <c r="C436" s="54">
        <v>4646837.3585519241</v>
      </c>
      <c r="D436" s="20">
        <v>20.21024677777778</v>
      </c>
    </row>
    <row r="437" spans="1:4" ht="13.8" x14ac:dyDescent="0.25">
      <c r="A437" s="41">
        <v>4182.5937800000002</v>
      </c>
      <c r="B437" s="86">
        <f t="shared" si="6"/>
        <v>36639521.512800001</v>
      </c>
      <c r="C437" s="54">
        <v>4653403.6601158753</v>
      </c>
      <c r="D437" s="20">
        <v>24.694243500000002</v>
      </c>
    </row>
    <row r="438" spans="1:4" ht="13.8" x14ac:dyDescent="0.25">
      <c r="A438" s="40">
        <v>4188.6543544000006</v>
      </c>
      <c r="B438" s="86">
        <f t="shared" si="6"/>
        <v>36692612.144544005</v>
      </c>
      <c r="C438" s="54">
        <v>4656443.5507353488</v>
      </c>
      <c r="D438" s="20">
        <v>26.144538888888892</v>
      </c>
    </row>
    <row r="439" spans="1:4" ht="13.8" x14ac:dyDescent="0.25">
      <c r="A439" s="41">
        <v>4188.9733320000005</v>
      </c>
      <c r="B439" s="86">
        <f t="shared" si="6"/>
        <v>36695406.388319999</v>
      </c>
      <c r="C439" s="54">
        <v>4656602.8957582703</v>
      </c>
      <c r="D439" s="20">
        <v>29.881693944444446</v>
      </c>
    </row>
    <row r="440" spans="1:4" ht="13.8" x14ac:dyDescent="0.25">
      <c r="A440" s="40">
        <v>4193.1399769000009</v>
      </c>
      <c r="B440" s="86">
        <f t="shared" si="6"/>
        <v>36731906.197644003</v>
      </c>
      <c r="C440" s="54">
        <v>4658675.8596812179</v>
      </c>
      <c r="D440" s="20">
        <v>56.985644944444445</v>
      </c>
    </row>
    <row r="441" spans="1:4" ht="13.8" x14ac:dyDescent="0.25">
      <c r="A441" s="41">
        <v>4197.3066217999994</v>
      </c>
      <c r="B441" s="86">
        <f t="shared" si="6"/>
        <v>36768406.006967999</v>
      </c>
      <c r="C441" s="54">
        <v>4660740.3431651965</v>
      </c>
      <c r="D441" s="20">
        <v>65.646772833333344</v>
      </c>
    </row>
    <row r="442" spans="1:4" ht="13.8" x14ac:dyDescent="0.25">
      <c r="A442" s="40">
        <v>4201.3137778999999</v>
      </c>
      <c r="B442" s="86">
        <f t="shared" si="6"/>
        <v>36803508.694403999</v>
      </c>
      <c r="C442" s="54">
        <v>4662717.6475290582</v>
      </c>
      <c r="D442" s="20">
        <v>59.589836111111119</v>
      </c>
    </row>
    <row r="443" spans="1:4" ht="13.8" x14ac:dyDescent="0.25">
      <c r="A443" s="41">
        <v>4226.6924331999999</v>
      </c>
      <c r="B443" s="86">
        <f t="shared" si="6"/>
        <v>37025825.714832</v>
      </c>
      <c r="C443" s="54">
        <v>4675188.9215840325</v>
      </c>
      <c r="D443" s="20">
        <v>74.381873611111118</v>
      </c>
    </row>
    <row r="444" spans="1:4" ht="13.8" x14ac:dyDescent="0.25">
      <c r="A444" s="40">
        <v>4237.6772242999996</v>
      </c>
      <c r="B444" s="86">
        <f t="shared" si="6"/>
        <v>37122052.484867997</v>
      </c>
      <c r="C444" s="54">
        <v>4680564.57820631</v>
      </c>
      <c r="D444" s="20">
        <v>86.378081388888887</v>
      </c>
    </row>
    <row r="445" spans="1:4" ht="13.8" x14ac:dyDescent="0.25">
      <c r="A445" s="41">
        <v>4238.5544127000003</v>
      </c>
      <c r="B445" s="86">
        <f t="shared" si="6"/>
        <v>37129736.655252002</v>
      </c>
      <c r="C445" s="54">
        <v>4680992.0648859125</v>
      </c>
      <c r="D445" s="20">
        <v>15.589481500000002</v>
      </c>
    </row>
    <row r="446" spans="1:4" ht="13.8" x14ac:dyDescent="0.25">
      <c r="A446" s="40">
        <v>4251.2337723000001</v>
      </c>
      <c r="B446" s="86">
        <f t="shared" si="6"/>
        <v>37240807.845348001</v>
      </c>
      <c r="C446" s="54">
        <v>4687145.384024132</v>
      </c>
      <c r="D446" s="20">
        <v>14.909195111111114</v>
      </c>
    </row>
    <row r="447" spans="1:4" ht="13.8" x14ac:dyDescent="0.25">
      <c r="A447" s="41">
        <v>4255.2608645</v>
      </c>
      <c r="B447" s="86">
        <f t="shared" si="6"/>
        <v>37276085.173019998</v>
      </c>
      <c r="C447" s="54">
        <v>4689091.5436974969</v>
      </c>
      <c r="D447" s="20">
        <v>17.473351500000003</v>
      </c>
    </row>
    <row r="448" spans="1:4" ht="13.8" x14ac:dyDescent="0.25">
      <c r="A448" s="40">
        <v>4258.2512795000002</v>
      </c>
      <c r="B448" s="86">
        <f t="shared" si="6"/>
        <v>37302281.208420001</v>
      </c>
      <c r="C448" s="54">
        <v>4690530.6253323248</v>
      </c>
      <c r="D448" s="20">
        <v>22.978133444444449</v>
      </c>
    </row>
    <row r="449" spans="1:4" ht="13.8" x14ac:dyDescent="0.25">
      <c r="A449" s="41">
        <v>4263.9530041000007</v>
      </c>
      <c r="B449" s="86">
        <f t="shared" si="6"/>
        <v>37352228.315916009</v>
      </c>
      <c r="C449" s="54">
        <v>4693262.8695048429</v>
      </c>
      <c r="D449" s="20">
        <v>23.023147166666668</v>
      </c>
    </row>
    <row r="450" spans="1:4" ht="13.8" x14ac:dyDescent="0.25">
      <c r="A450" s="40">
        <v>4273.5622043000003</v>
      </c>
      <c r="B450" s="86">
        <f t="shared" si="6"/>
        <v>37436404.909668006</v>
      </c>
      <c r="C450" s="54">
        <v>4697848.0029738806</v>
      </c>
      <c r="D450" s="20">
        <v>24.803373833333335</v>
      </c>
    </row>
    <row r="451" spans="1:4" ht="13.8" x14ac:dyDescent="0.25">
      <c r="A451" s="41">
        <v>4275.1770284000004</v>
      </c>
      <c r="B451" s="86">
        <f t="shared" ref="B451:B514" si="7">A451*24*365</f>
        <v>37450550.768784001</v>
      </c>
      <c r="C451" s="54">
        <v>4698615.2470247746</v>
      </c>
      <c r="D451" s="20">
        <v>34.755267666666668</v>
      </c>
    </row>
    <row r="452" spans="1:4" ht="13.8" x14ac:dyDescent="0.25">
      <c r="A452" s="40">
        <v>4276.8516608</v>
      </c>
      <c r="B452" s="86">
        <f t="shared" si="7"/>
        <v>37465220.548608005</v>
      </c>
      <c r="C452" s="54">
        <v>4699407.4991159067</v>
      </c>
      <c r="D452" s="20">
        <v>37.551605444444448</v>
      </c>
    </row>
    <row r="453" spans="1:4" ht="13.8" x14ac:dyDescent="0.25">
      <c r="A453" s="41">
        <v>4283.7495514000002</v>
      </c>
      <c r="B453" s="86">
        <f t="shared" si="7"/>
        <v>37525646.070264004</v>
      </c>
      <c r="C453" s="54">
        <v>4702656.783818569</v>
      </c>
      <c r="D453" s="20">
        <v>68.133501555555569</v>
      </c>
    </row>
    <row r="454" spans="1:4" ht="13.8" x14ac:dyDescent="0.25">
      <c r="A454" s="40">
        <v>4291.3452054999998</v>
      </c>
      <c r="B454" s="86">
        <f t="shared" si="7"/>
        <v>37592184.000179999</v>
      </c>
      <c r="C454" s="54">
        <v>4706219.2938337866</v>
      </c>
      <c r="D454" s="20">
        <v>83.20314061111111</v>
      </c>
    </row>
    <row r="455" spans="1:4" ht="13.8" x14ac:dyDescent="0.25">
      <c r="A455" s="41">
        <v>4292.1825217000005</v>
      </c>
      <c r="B455" s="86">
        <f t="shared" si="7"/>
        <v>37599518.890092008</v>
      </c>
      <c r="C455" s="54">
        <v>4706610.307270214</v>
      </c>
      <c r="D455" s="20">
        <v>75.680463611111122</v>
      </c>
    </row>
    <row r="456" spans="1:4" ht="13.8" x14ac:dyDescent="0.25">
      <c r="A456" s="40">
        <v>4302.0110190000005</v>
      </c>
      <c r="B456" s="86">
        <f t="shared" si="7"/>
        <v>37685616.526440002</v>
      </c>
      <c r="C456" s="54">
        <v>4711180.0561286993</v>
      </c>
      <c r="D456" s="20">
        <v>61.484172055555561</v>
      </c>
    </row>
    <row r="457" spans="1:4" ht="13.8" x14ac:dyDescent="0.25">
      <c r="A457" s="41">
        <v>4309.2278872000006</v>
      </c>
      <c r="B457" s="86">
        <f t="shared" si="7"/>
        <v>37748836.291872002</v>
      </c>
      <c r="C457" s="54">
        <v>4714520.8423425276</v>
      </c>
      <c r="D457" s="20">
        <v>30.32807155555556</v>
      </c>
    </row>
    <row r="458" spans="1:4" ht="13.8" x14ac:dyDescent="0.25">
      <c r="A458" s="40">
        <v>4309.8259702000005</v>
      </c>
      <c r="B458" s="86">
        <f t="shared" si="7"/>
        <v>37754075.498952009</v>
      </c>
      <c r="C458" s="54">
        <v>4714796.4857905908</v>
      </c>
      <c r="D458" s="20">
        <v>16.883803833333335</v>
      </c>
    </row>
    <row r="459" spans="1:4" ht="13.8" x14ac:dyDescent="0.25">
      <c r="A459" s="41">
        <v>4311.540474800001</v>
      </c>
      <c r="B459" s="86">
        <f t="shared" si="7"/>
        <v>37769094.559248008</v>
      </c>
      <c r="C459" s="54">
        <v>4715583.1741164168</v>
      </c>
      <c r="D459" s="20">
        <v>16.704866666666668</v>
      </c>
    </row>
    <row r="460" spans="1:4" ht="13.8" x14ac:dyDescent="0.25">
      <c r="A460" s="40">
        <v>4314.4511453999994</v>
      </c>
      <c r="B460" s="86">
        <f t="shared" si="7"/>
        <v>37794592.033703998</v>
      </c>
      <c r="C460" s="54">
        <v>4716912.7906281855</v>
      </c>
      <c r="D460" s="20">
        <v>16.553466111111113</v>
      </c>
    </row>
    <row r="461" spans="1:4" ht="13.8" x14ac:dyDescent="0.25">
      <c r="A461" s="41">
        <v>4319.3155538000001</v>
      </c>
      <c r="B461" s="86">
        <f t="shared" si="7"/>
        <v>37837204.251288004</v>
      </c>
      <c r="C461" s="54">
        <v>4719124.988847902</v>
      </c>
      <c r="D461" s="20">
        <v>19.61317988888889</v>
      </c>
    </row>
    <row r="462" spans="1:4" ht="13.8" x14ac:dyDescent="0.25">
      <c r="A462" s="40">
        <v>4338.4342737000006</v>
      </c>
      <c r="B462" s="86">
        <f t="shared" si="7"/>
        <v>38004684.237612009</v>
      </c>
      <c r="C462" s="54">
        <v>4727780.7405260494</v>
      </c>
      <c r="D462" s="20">
        <v>24.118616555555558</v>
      </c>
    </row>
    <row r="463" spans="1:4" ht="13.8" x14ac:dyDescent="0.25">
      <c r="A463" s="41">
        <v>4343.3186181999999</v>
      </c>
      <c r="B463" s="86">
        <f t="shared" si="7"/>
        <v>38047471.095432006</v>
      </c>
      <c r="C463" s="54">
        <v>4729982.1227630349</v>
      </c>
      <c r="D463" s="20">
        <v>28.490739444444447</v>
      </c>
    </row>
    <row r="464" spans="1:4" ht="13.8" x14ac:dyDescent="0.25">
      <c r="A464" s="40">
        <v>4346.7276913000005</v>
      </c>
      <c r="B464" s="86">
        <f t="shared" si="7"/>
        <v>38077334.575788006</v>
      </c>
      <c r="C464" s="54">
        <v>4731511.6591711417</v>
      </c>
      <c r="D464" s="20">
        <v>41.773547111111114</v>
      </c>
    </row>
    <row r="465" spans="1:4" ht="13.8" x14ac:dyDescent="0.25">
      <c r="A465" s="41">
        <v>4356.3169554000015</v>
      </c>
      <c r="B465" s="86">
        <f t="shared" si="7"/>
        <v>38161336.529304013</v>
      </c>
      <c r="C465" s="54">
        <v>4735794.5221775165</v>
      </c>
      <c r="D465" s="20">
        <v>76.205081777777778</v>
      </c>
    </row>
    <row r="466" spans="1:4" ht="13.8" x14ac:dyDescent="0.25">
      <c r="A466" s="40">
        <v>4367.859957300002</v>
      </c>
      <c r="B466" s="86">
        <f t="shared" si="7"/>
        <v>38262453.225948013</v>
      </c>
      <c r="C466" s="54">
        <v>4740926.4914748501</v>
      </c>
      <c r="D466" s="20">
        <v>69.006239388888886</v>
      </c>
    </row>
    <row r="467" spans="1:4" ht="13.8" x14ac:dyDescent="0.25">
      <c r="A467" s="41">
        <v>4367.9995099999996</v>
      </c>
      <c r="B467" s="86">
        <f t="shared" si="7"/>
        <v>38263675.707599998</v>
      </c>
      <c r="C467" s="54">
        <v>4740988.2519748267</v>
      </c>
      <c r="D467" s="20">
        <v>101.22763077777779</v>
      </c>
    </row>
    <row r="468" spans="1:4" ht="13.8" x14ac:dyDescent="0.25">
      <c r="A468" s="40">
        <v>4370.6310752000009</v>
      </c>
      <c r="B468" s="86">
        <f t="shared" si="7"/>
        <v>38286728.218752004</v>
      </c>
      <c r="C468" s="54">
        <v>4742147.5224791262</v>
      </c>
      <c r="D468" s="20">
        <v>40.378528166666669</v>
      </c>
    </row>
    <row r="469" spans="1:4" ht="13.8" x14ac:dyDescent="0.25">
      <c r="A469" s="41">
        <v>4373.940467800001</v>
      </c>
      <c r="B469" s="86">
        <f t="shared" si="7"/>
        <v>38315718.497928008</v>
      </c>
      <c r="C469" s="54">
        <v>4743598.6573021468</v>
      </c>
      <c r="D469" s="20">
        <v>22.413175666666667</v>
      </c>
    </row>
    <row r="470" spans="1:4" ht="13.8" x14ac:dyDescent="0.25">
      <c r="A470" s="40">
        <v>4376.4524163999995</v>
      </c>
      <c r="B470" s="86">
        <f t="shared" si="7"/>
        <v>38337723.167663999</v>
      </c>
      <c r="C470" s="54">
        <v>4744695.0084743341</v>
      </c>
      <c r="D470" s="20">
        <v>15.616814888888889</v>
      </c>
    </row>
    <row r="471" spans="1:4" ht="13.8" x14ac:dyDescent="0.25">
      <c r="A471" s="41">
        <v>4397.3055769999992</v>
      </c>
      <c r="B471" s="86">
        <f t="shared" si="7"/>
        <v>38520396.854519993</v>
      </c>
      <c r="C471" s="54">
        <v>4753754.0206723455</v>
      </c>
      <c r="D471" s="20">
        <v>18.175382666666668</v>
      </c>
    </row>
    <row r="472" spans="1:4" ht="13.8" x14ac:dyDescent="0.25">
      <c r="A472" s="40">
        <v>4397.4650658</v>
      </c>
      <c r="B472" s="86">
        <f t="shared" si="7"/>
        <v>38521793.976408005</v>
      </c>
      <c r="C472" s="54">
        <v>4753822.9810503721</v>
      </c>
      <c r="D472" s="20">
        <v>16.149460333333334</v>
      </c>
    </row>
    <row r="473" spans="1:4" ht="13.8" x14ac:dyDescent="0.25">
      <c r="A473" s="41">
        <v>4408.9881316000001</v>
      </c>
      <c r="B473" s="86">
        <f t="shared" si="7"/>
        <v>38622736.032816</v>
      </c>
      <c r="C473" s="54">
        <v>4758781.9152827309</v>
      </c>
      <c r="D473" s="20">
        <v>17.116188444444447</v>
      </c>
    </row>
    <row r="474" spans="1:4" ht="13.8" x14ac:dyDescent="0.25">
      <c r="A474" s="40">
        <v>4415.0885782000014</v>
      </c>
      <c r="B474" s="86">
        <f t="shared" si="7"/>
        <v>38676175.945032015</v>
      </c>
      <c r="C474" s="54">
        <v>4761394.8170692641</v>
      </c>
      <c r="D474" s="20">
        <v>20.28604866666667</v>
      </c>
    </row>
    <row r="475" spans="1:4" ht="13.8" x14ac:dyDescent="0.25">
      <c r="A475" s="41">
        <v>4415.4075558000004</v>
      </c>
      <c r="B475" s="86">
        <f t="shared" si="7"/>
        <v>38678970.188808002</v>
      </c>
      <c r="C475" s="54">
        <v>4761530.7901646933</v>
      </c>
      <c r="D475" s="20">
        <v>27.208508833333337</v>
      </c>
    </row>
    <row r="476" spans="1:4" ht="13.8" x14ac:dyDescent="0.25">
      <c r="A476" s="40">
        <v>4415.6069168000004</v>
      </c>
      <c r="B476" s="86">
        <f t="shared" si="7"/>
        <v>38680716.591168009</v>
      </c>
      <c r="C476" s="54">
        <v>4761615.3675867049</v>
      </c>
      <c r="D476" s="20">
        <v>29.311045944444444</v>
      </c>
    </row>
    <row r="477" spans="1:4" ht="13.8" x14ac:dyDescent="0.25">
      <c r="A477" s="41">
        <v>4419.6539450999999</v>
      </c>
      <c r="B477" s="86">
        <f t="shared" si="7"/>
        <v>38716168.559076004</v>
      </c>
      <c r="C477" s="54">
        <v>4763324.0522721559</v>
      </c>
      <c r="D477" s="20">
        <v>36.354728166666668</v>
      </c>
    </row>
    <row r="478" spans="1:4" ht="13.8" x14ac:dyDescent="0.25">
      <c r="A478" s="40">
        <v>4422.2855103000002</v>
      </c>
      <c r="B478" s="86">
        <f t="shared" si="7"/>
        <v>38739221.070228003</v>
      </c>
      <c r="C478" s="54">
        <v>4764429.7621092824</v>
      </c>
      <c r="D478" s="20">
        <v>41.773851944444445</v>
      </c>
    </row>
    <row r="479" spans="1:4" ht="13.8" x14ac:dyDescent="0.25">
      <c r="A479" s="41">
        <v>4440.6665945000004</v>
      </c>
      <c r="B479" s="86">
        <f t="shared" si="7"/>
        <v>38900239.367820002</v>
      </c>
      <c r="C479" s="54">
        <v>4772115.5664753076</v>
      </c>
      <c r="D479" s="20">
        <v>68.424922222222236</v>
      </c>
    </row>
    <row r="480" spans="1:4" ht="13.8" x14ac:dyDescent="0.25">
      <c r="A480" s="40">
        <v>4443.5373929000016</v>
      </c>
      <c r="B480" s="86">
        <f t="shared" si="7"/>
        <v>38925387.561804011</v>
      </c>
      <c r="C480" s="54">
        <v>4773310.1094247885</v>
      </c>
      <c r="D480" s="20">
        <v>116.00178472222223</v>
      </c>
    </row>
    <row r="481" spans="1:4" ht="13.8" x14ac:dyDescent="0.25">
      <c r="A481" s="41">
        <v>4448.7407150000008</v>
      </c>
      <c r="B481" s="86">
        <f t="shared" si="7"/>
        <v>38970968.663400009</v>
      </c>
      <c r="C481" s="54">
        <v>4775464.6281160731</v>
      </c>
      <c r="D481" s="20">
        <v>83.651753666666679</v>
      </c>
    </row>
    <row r="482" spans="1:4" ht="13.8" x14ac:dyDescent="0.25">
      <c r="A482" s="40">
        <v>4454.8212255000008</v>
      </c>
      <c r="B482" s="86">
        <f t="shared" si="7"/>
        <v>39024233.935380012</v>
      </c>
      <c r="C482" s="54">
        <v>4777969.9849261306</v>
      </c>
      <c r="D482" s="20">
        <v>65.969692944444446</v>
      </c>
    </row>
    <row r="483" spans="1:4" ht="13.8" x14ac:dyDescent="0.25">
      <c r="A483" s="41">
        <v>4460.5030140000008</v>
      </c>
      <c r="B483" s="86">
        <f t="shared" si="7"/>
        <v>39074006.402640007</v>
      </c>
      <c r="C483" s="54">
        <v>4780299.4918087684</v>
      </c>
      <c r="D483" s="20">
        <v>82.526918666666674</v>
      </c>
    </row>
    <row r="484" spans="1:4" ht="13.8" x14ac:dyDescent="0.25">
      <c r="A484" s="40">
        <v>4461.4001385000001</v>
      </c>
      <c r="B484" s="86">
        <f t="shared" si="7"/>
        <v>39081865.213259995</v>
      </c>
      <c r="C484" s="54">
        <v>4780665.4827531381</v>
      </c>
      <c r="D484" s="20">
        <v>32.253297277777783</v>
      </c>
    </row>
    <row r="485" spans="1:4" ht="13.8" x14ac:dyDescent="0.25">
      <c r="A485" s="41">
        <v>4469.6536839</v>
      </c>
      <c r="B485" s="86">
        <f t="shared" si="7"/>
        <v>39154166.270963997</v>
      </c>
      <c r="C485" s="54">
        <v>4784015.8008684609</v>
      </c>
      <c r="D485" s="20">
        <v>44.014783388888887</v>
      </c>
    </row>
    <row r="486" spans="1:4" ht="13.8" x14ac:dyDescent="0.25">
      <c r="A486" s="40">
        <v>4479.5021173000014</v>
      </c>
      <c r="B486" s="86">
        <f t="shared" si="7"/>
        <v>39240438.547548011</v>
      </c>
      <c r="C486" s="54">
        <v>4787993.4787765834</v>
      </c>
      <c r="D486" s="20">
        <v>88.885132333333345</v>
      </c>
    </row>
    <row r="487" spans="1:4" ht="13.8" x14ac:dyDescent="0.25">
      <c r="A487" s="41">
        <v>4485.6623722000004</v>
      </c>
      <c r="B487" s="86">
        <f t="shared" si="7"/>
        <v>39294402.380472004</v>
      </c>
      <c r="C487" s="54">
        <v>4790469.0023987796</v>
      </c>
      <c r="D487" s="20">
        <v>51.196148666666673</v>
      </c>
    </row>
    <row r="488" spans="1:4" ht="13.8" x14ac:dyDescent="0.25">
      <c r="A488" s="40">
        <v>4491.8026909999999</v>
      </c>
      <c r="B488" s="86">
        <f t="shared" si="7"/>
        <v>39348191.573159993</v>
      </c>
      <c r="C488" s="54">
        <v>4792924.0171286631</v>
      </c>
      <c r="D488" s="20">
        <v>78.837825666666674</v>
      </c>
    </row>
    <row r="489" spans="1:4" ht="13.8" x14ac:dyDescent="0.25">
      <c r="A489" s="41">
        <v>4495.5905500000008</v>
      </c>
      <c r="B489" s="86">
        <f t="shared" si="7"/>
        <v>39381373.21800001</v>
      </c>
      <c r="C489" s="54">
        <v>4794430.7647772552</v>
      </c>
      <c r="D489" s="20">
        <v>110.50889127777778</v>
      </c>
    </row>
    <row r="490" spans="1:4" ht="13.8" x14ac:dyDescent="0.25">
      <c r="A490" s="40">
        <v>4508.3097817999997</v>
      </c>
      <c r="B490" s="86">
        <f t="shared" si="7"/>
        <v>39492793.688567996</v>
      </c>
      <c r="C490" s="54">
        <v>4799464.3771204101</v>
      </c>
      <c r="D490" s="20">
        <v>107.68278144444444</v>
      </c>
    </row>
    <row r="491" spans="1:4" ht="13.8" x14ac:dyDescent="0.25">
      <c r="A491" s="41">
        <v>4511.8584076000006</v>
      </c>
      <c r="B491" s="86">
        <f t="shared" si="7"/>
        <v>39523879.650576003</v>
      </c>
      <c r="C491" s="54">
        <v>4800861.5166099854</v>
      </c>
      <c r="D491" s="20">
        <v>136.20959283333335</v>
      </c>
    </row>
    <row r="492" spans="1:4" ht="13.8" x14ac:dyDescent="0.25">
      <c r="A492" s="40">
        <v>4517.1414740999999</v>
      </c>
      <c r="B492" s="86">
        <f t="shared" si="7"/>
        <v>39570159.313115999</v>
      </c>
      <c r="C492" s="54">
        <v>4802930.7749381382</v>
      </c>
      <c r="D492" s="20">
        <v>81.06717344444445</v>
      </c>
    </row>
    <row r="493" spans="1:4" ht="13.8" x14ac:dyDescent="0.25">
      <c r="A493" s="41">
        <v>4537.0975101999993</v>
      </c>
      <c r="B493" s="86">
        <f t="shared" si="7"/>
        <v>39744974.189351991</v>
      </c>
      <c r="C493" s="54">
        <v>4810706.4886138868</v>
      </c>
      <c r="D493" s="20">
        <v>29.947233111111114</v>
      </c>
    </row>
    <row r="494" spans="1:4" ht="13.8" x14ac:dyDescent="0.25">
      <c r="A494" s="40">
        <v>4537.775337600001</v>
      </c>
      <c r="B494" s="86">
        <f t="shared" si="7"/>
        <v>39750911.957376011</v>
      </c>
      <c r="C494" s="54">
        <v>4810969.2191757672</v>
      </c>
      <c r="D494" s="20">
        <v>27.950168333333338</v>
      </c>
    </row>
    <row r="495" spans="1:4" ht="13.8" x14ac:dyDescent="0.25">
      <c r="A495" s="41">
        <v>4547.9228125</v>
      </c>
      <c r="B495" s="86">
        <f t="shared" si="7"/>
        <v>39839803.837499999</v>
      </c>
      <c r="C495" s="54">
        <v>4814881.7969165985</v>
      </c>
      <c r="D495" s="20">
        <v>16.921908000000002</v>
      </c>
    </row>
    <row r="496" spans="1:4" ht="13.8" x14ac:dyDescent="0.25">
      <c r="A496" s="40">
        <v>4558.4092011000002</v>
      </c>
      <c r="B496" s="86">
        <f t="shared" si="7"/>
        <v>39931664.601636007</v>
      </c>
      <c r="C496" s="54">
        <v>4818903.7070275582</v>
      </c>
      <c r="D496" s="20">
        <v>20.69858977777778</v>
      </c>
    </row>
    <row r="497" spans="1:4" ht="13.8" x14ac:dyDescent="0.25">
      <c r="A497" s="41">
        <v>4560.2034500999998</v>
      </c>
      <c r="B497" s="86">
        <f t="shared" si="7"/>
        <v>39947382.222875997</v>
      </c>
      <c r="C497" s="54">
        <v>4819588.2146885758</v>
      </c>
      <c r="D497" s="20">
        <v>24.612040111111114</v>
      </c>
    </row>
    <row r="498" spans="1:4" ht="13.8" x14ac:dyDescent="0.25">
      <c r="A498" s="40">
        <v>4612.8746263000003</v>
      </c>
      <c r="B498" s="86">
        <f t="shared" si="7"/>
        <v>40408781.726388007</v>
      </c>
      <c r="C498" s="54">
        <v>4839575.1148729082</v>
      </c>
      <c r="D498" s="20">
        <v>30.104628722222227</v>
      </c>
    </row>
    <row r="499" spans="1:4" ht="13.8" x14ac:dyDescent="0.25">
      <c r="A499" s="41">
        <v>4621.9854240000004</v>
      </c>
      <c r="B499" s="86">
        <f t="shared" si="7"/>
        <v>40488592.314240001</v>
      </c>
      <c r="C499" s="54">
        <v>4843013.8059583502</v>
      </c>
      <c r="D499" s="20">
        <v>36.06777838888889</v>
      </c>
    </row>
    <row r="500" spans="1:4" ht="13.8" x14ac:dyDescent="0.25">
      <c r="A500" s="40">
        <v>4636.1998633000003</v>
      </c>
      <c r="B500" s="86">
        <f t="shared" si="7"/>
        <v>40613110.802508004</v>
      </c>
      <c r="C500" s="54">
        <v>4848349.8351351656</v>
      </c>
      <c r="D500" s="20">
        <v>58.301712055555555</v>
      </c>
    </row>
    <row r="501" spans="1:4" ht="13.8" x14ac:dyDescent="0.25">
      <c r="A501" s="41">
        <v>4643.0379456000001</v>
      </c>
      <c r="B501" s="86">
        <f t="shared" si="7"/>
        <v>40673012.403455995</v>
      </c>
      <c r="C501" s="54">
        <v>4850902.8992548585</v>
      </c>
      <c r="D501" s="20">
        <v>101.2057843888889</v>
      </c>
    </row>
    <row r="502" spans="1:4" ht="13.8" x14ac:dyDescent="0.25">
      <c r="A502" s="40">
        <v>4655.5578163999999</v>
      </c>
      <c r="B502" s="86">
        <f t="shared" si="7"/>
        <v>40782686.471663997</v>
      </c>
      <c r="C502" s="54">
        <v>4855551.8321347721</v>
      </c>
      <c r="D502" s="20">
        <v>61.361324222222223</v>
      </c>
    </row>
    <row r="503" spans="1:4" ht="13.8" x14ac:dyDescent="0.25">
      <c r="A503" s="41">
        <v>4659.6845890999994</v>
      </c>
      <c r="B503" s="86">
        <f t="shared" si="7"/>
        <v>40818837.000515997</v>
      </c>
      <c r="C503" s="54">
        <v>4857075.8040364506</v>
      </c>
      <c r="D503" s="20">
        <v>82.009413277777796</v>
      </c>
    </row>
    <row r="504" spans="1:4" ht="13.8" x14ac:dyDescent="0.25">
      <c r="A504" s="40">
        <v>4668.217239900001</v>
      </c>
      <c r="B504" s="86">
        <f t="shared" si="7"/>
        <v>40893583.021524012</v>
      </c>
      <c r="C504" s="54">
        <v>4860209.4517626427</v>
      </c>
      <c r="D504" s="20">
        <v>80.84119033333333</v>
      </c>
    </row>
    <row r="505" spans="1:4" ht="13.8" x14ac:dyDescent="0.25">
      <c r="A505" s="41">
        <v>4678.7235645999999</v>
      </c>
      <c r="B505" s="86">
        <f t="shared" si="7"/>
        <v>40985618.425895996</v>
      </c>
      <c r="C505" s="54">
        <v>4864046.5548750786</v>
      </c>
      <c r="D505" s="20">
        <v>52.102723000000005</v>
      </c>
    </row>
    <row r="506" spans="1:4" ht="13.8" x14ac:dyDescent="0.25">
      <c r="A506" s="40">
        <v>4684.5648418999999</v>
      </c>
      <c r="B506" s="86">
        <f t="shared" si="7"/>
        <v>41036788.015044004</v>
      </c>
      <c r="C506" s="54">
        <v>4866168.0079881661</v>
      </c>
      <c r="D506" s="20">
        <v>26.000860777777778</v>
      </c>
    </row>
    <row r="507" spans="1:4" ht="13.8" x14ac:dyDescent="0.25">
      <c r="A507" s="41">
        <v>4698.8191533999998</v>
      </c>
      <c r="B507" s="86">
        <f t="shared" si="7"/>
        <v>41161655.783783995</v>
      </c>
      <c r="C507" s="54">
        <v>4871315.9207923859</v>
      </c>
      <c r="D507" s="20">
        <v>16.378491777777779</v>
      </c>
    </row>
    <row r="508" spans="1:4" ht="13.8" x14ac:dyDescent="0.25">
      <c r="A508" s="40">
        <v>4706.8135295000002</v>
      </c>
      <c r="B508" s="86">
        <f t="shared" si="7"/>
        <v>41231686.518420003</v>
      </c>
      <c r="C508" s="54">
        <v>4874186.8008081131</v>
      </c>
      <c r="D508" s="20">
        <v>18.6237925</v>
      </c>
    </row>
    <row r="509" spans="1:4" ht="13.8" x14ac:dyDescent="0.25">
      <c r="A509" s="41">
        <v>4712.7943595000006</v>
      </c>
      <c r="B509" s="86">
        <f t="shared" si="7"/>
        <v>41284078.58922001</v>
      </c>
      <c r="C509" s="54">
        <v>4876322.4184646653</v>
      </c>
      <c r="D509" s="20">
        <v>20.224472333333335</v>
      </c>
    </row>
    <row r="510" spans="1:4" ht="13.8" x14ac:dyDescent="0.25">
      <c r="A510" s="40">
        <v>4715.1069470999992</v>
      </c>
      <c r="B510" s="86">
        <f t="shared" si="7"/>
        <v>41304336.856595993</v>
      </c>
      <c r="C510" s="54">
        <v>4877143.4837786891</v>
      </c>
      <c r="D510" s="20">
        <v>25.345265888888893</v>
      </c>
    </row>
    <row r="511" spans="1:4" ht="13.8" x14ac:dyDescent="0.25">
      <c r="A511" s="41">
        <v>4717.8182567000003</v>
      </c>
      <c r="B511" s="86">
        <f t="shared" si="7"/>
        <v>41328087.928692006</v>
      </c>
      <c r="C511" s="54">
        <v>4878100.5937061198</v>
      </c>
      <c r="D511" s="20">
        <v>28.183467444444446</v>
      </c>
    </row>
    <row r="512" spans="1:4" ht="13.8" x14ac:dyDescent="0.25">
      <c r="A512" s="40">
        <v>4723.9984476999998</v>
      </c>
      <c r="B512" s="86">
        <f t="shared" si="7"/>
        <v>41382226.401851997</v>
      </c>
      <c r="C512" s="54">
        <v>4880269.6626932919</v>
      </c>
      <c r="D512" s="20">
        <v>37.94555172222222</v>
      </c>
    </row>
    <row r="513" spans="1:4" ht="13.8" x14ac:dyDescent="0.25">
      <c r="A513" s="41">
        <v>4726.6698851000001</v>
      </c>
      <c r="B513" s="86">
        <f t="shared" si="7"/>
        <v>41405628.193475999</v>
      </c>
      <c r="C513" s="54">
        <v>4881201.8230362441</v>
      </c>
      <c r="D513" s="20">
        <v>56.03131338888889</v>
      </c>
    </row>
    <row r="514" spans="1:4" ht="13.8" x14ac:dyDescent="0.25">
      <c r="A514" s="40">
        <v>4727.9657315999993</v>
      </c>
      <c r="B514" s="86">
        <f t="shared" si="7"/>
        <v>41416979.808815993</v>
      </c>
      <c r="C514" s="54">
        <v>4881651.352909686</v>
      </c>
      <c r="D514" s="20">
        <v>55.393703666666667</v>
      </c>
    </row>
    <row r="515" spans="1:4" ht="13.8" x14ac:dyDescent="0.25">
      <c r="A515" s="41">
        <v>4732.0725681999993</v>
      </c>
      <c r="B515" s="86">
        <f t="shared" ref="B515:B578" si="8">A515*24*365</f>
        <v>41452955.697431996</v>
      </c>
      <c r="C515" s="54">
        <v>4883067.6581061017</v>
      </c>
      <c r="D515" s="20">
        <v>127.72780855555557</v>
      </c>
    </row>
    <row r="516" spans="1:4" ht="13.8" x14ac:dyDescent="0.25">
      <c r="A516" s="40">
        <v>4738.3125675000001</v>
      </c>
      <c r="B516" s="86">
        <f t="shared" si="8"/>
        <v>41507618.091299996</v>
      </c>
      <c r="C516" s="54">
        <v>4885206.9166021813</v>
      </c>
      <c r="D516" s="20">
        <v>97.008127777777787</v>
      </c>
    </row>
    <row r="517" spans="1:4" ht="13.8" x14ac:dyDescent="0.25">
      <c r="A517" s="41">
        <v>4751.6498183999993</v>
      </c>
      <c r="B517" s="86">
        <f t="shared" si="8"/>
        <v>41624452.409183994</v>
      </c>
      <c r="C517" s="54">
        <v>4889752.1798166558</v>
      </c>
      <c r="D517" s="20">
        <v>44.637862722222231</v>
      </c>
    </row>
    <row r="518" spans="1:4" ht="13.8" x14ac:dyDescent="0.25">
      <c r="A518" s="40">
        <v>4766.7613822000012</v>
      </c>
      <c r="B518" s="86">
        <f t="shared" si="8"/>
        <v>41756829.708072007</v>
      </c>
      <c r="C518" s="54">
        <v>4894871.3624959495</v>
      </c>
      <c r="D518" s="20">
        <v>16.04043161111111</v>
      </c>
    </row>
    <row r="519" spans="1:4" ht="13.8" x14ac:dyDescent="0.25">
      <c r="A519" s="41">
        <v>4771.4663018000001</v>
      </c>
      <c r="B519" s="86">
        <f t="shared" si="8"/>
        <v>41798044.803768001</v>
      </c>
      <c r="C519" s="54">
        <v>4896455.6217383975</v>
      </c>
      <c r="D519" s="20">
        <v>16.214389833333335</v>
      </c>
    </row>
    <row r="520" spans="1:4" ht="13.8" x14ac:dyDescent="0.25">
      <c r="A520" s="40">
        <v>4776.6895600000007</v>
      </c>
      <c r="B520" s="86">
        <f t="shared" si="8"/>
        <v>41843800.545600004</v>
      </c>
      <c r="C520" s="54">
        <v>4898203.7870351207</v>
      </c>
      <c r="D520" s="20">
        <v>18.938075666666666</v>
      </c>
    </row>
    <row r="521" spans="1:4" ht="13.8" x14ac:dyDescent="0.25">
      <c r="A521" s="41">
        <v>4804.0817613999998</v>
      </c>
      <c r="B521" s="86">
        <f t="shared" si="8"/>
        <v>42083756.229863994</v>
      </c>
      <c r="C521" s="54">
        <v>4907315.8944776002</v>
      </c>
      <c r="D521" s="20">
        <v>22.412362777777776</v>
      </c>
    </row>
    <row r="522" spans="1:4" ht="13.8" x14ac:dyDescent="0.25">
      <c r="A522" s="40">
        <v>4828.8822698000013</v>
      </c>
      <c r="B522" s="86">
        <f t="shared" si="8"/>
        <v>42301008.683448017</v>
      </c>
      <c r="C522" s="54">
        <v>4915515.3897013543</v>
      </c>
      <c r="D522" s="20">
        <v>27.329934111111111</v>
      </c>
    </row>
    <row r="523" spans="1:4" ht="13.8" x14ac:dyDescent="0.25">
      <c r="A523" s="41">
        <v>4841.2825240000002</v>
      </c>
      <c r="B523" s="86">
        <f t="shared" si="8"/>
        <v>42409634.910240002</v>
      </c>
      <c r="C523" s="54">
        <v>4919589.8988776393</v>
      </c>
      <c r="D523" s="20">
        <v>30.325226444444446</v>
      </c>
    </row>
    <row r="524" spans="1:4" ht="13.8" x14ac:dyDescent="0.25">
      <c r="A524" s="40">
        <v>4844.8112136999998</v>
      </c>
      <c r="B524" s="86">
        <f t="shared" si="8"/>
        <v>42440546.232012004</v>
      </c>
      <c r="C524" s="54">
        <v>4920742.1833167076</v>
      </c>
      <c r="D524" s="20">
        <v>58.235664833333338</v>
      </c>
    </row>
    <row r="525" spans="1:4" ht="13.8" x14ac:dyDescent="0.25">
      <c r="A525" s="41">
        <v>4845.0105747000016</v>
      </c>
      <c r="B525" s="86">
        <f t="shared" si="8"/>
        <v>42442292.634372011</v>
      </c>
      <c r="C525" s="54">
        <v>4920806.8783698445</v>
      </c>
      <c r="D525" s="20">
        <v>44.453336944444445</v>
      </c>
    </row>
    <row r="526" spans="1:4" ht="13.8" x14ac:dyDescent="0.25">
      <c r="A526" s="40">
        <v>4846.2067407000004</v>
      </c>
      <c r="B526" s="86">
        <f t="shared" si="8"/>
        <v>42452771.048532009</v>
      </c>
      <c r="C526" s="54">
        <v>4921192.6141128847</v>
      </c>
      <c r="D526" s="20">
        <v>74.225697333333343</v>
      </c>
    </row>
    <row r="527" spans="1:4" ht="13.8" x14ac:dyDescent="0.25">
      <c r="A527" s="41">
        <v>4865.8836713999999</v>
      </c>
      <c r="B527" s="86">
        <f t="shared" si="8"/>
        <v>42625140.961464003</v>
      </c>
      <c r="C527" s="54">
        <v>4927497.9183142837</v>
      </c>
      <c r="D527" s="20">
        <v>104.20382022222222</v>
      </c>
    </row>
    <row r="528" spans="1:4" ht="13.8" x14ac:dyDescent="0.25">
      <c r="A528" s="40">
        <v>4866.4219461000002</v>
      </c>
      <c r="B528" s="86">
        <f t="shared" si="8"/>
        <v>42629856.247836001</v>
      </c>
      <c r="C528" s="54">
        <v>4927669.3082804475</v>
      </c>
      <c r="D528" s="20">
        <v>69.20173916666667</v>
      </c>
    </row>
    <row r="529" spans="1:4" ht="13.8" x14ac:dyDescent="0.25">
      <c r="A529" s="41">
        <v>4874.4163222000006</v>
      </c>
      <c r="B529" s="86">
        <f t="shared" si="8"/>
        <v>42699886.982472003</v>
      </c>
      <c r="C529" s="54">
        <v>4930198.4955853578</v>
      </c>
      <c r="D529" s="20">
        <v>27.621456388888891</v>
      </c>
    </row>
    <row r="530" spans="1:4" ht="13.8" x14ac:dyDescent="0.25">
      <c r="A530" s="40">
        <v>4875.4529994000004</v>
      </c>
      <c r="B530" s="86">
        <f t="shared" si="8"/>
        <v>42708968.274744004</v>
      </c>
      <c r="C530" s="54">
        <v>4930524.3600332849</v>
      </c>
      <c r="D530" s="20">
        <v>20.969078555555559</v>
      </c>
    </row>
    <row r="531" spans="1:4" ht="13.8" x14ac:dyDescent="0.25">
      <c r="A531" s="41">
        <v>4888.8101864</v>
      </c>
      <c r="B531" s="86">
        <f t="shared" si="8"/>
        <v>42825977.232864</v>
      </c>
      <c r="C531" s="54">
        <v>4934695.8120161314</v>
      </c>
      <c r="D531" s="20">
        <v>24.346022222222224</v>
      </c>
    </row>
    <row r="532" spans="1:4" ht="13.8" x14ac:dyDescent="0.25">
      <c r="A532" s="40">
        <v>4889.1291639999999</v>
      </c>
      <c r="B532" s="86">
        <f t="shared" si="8"/>
        <v>42828771.476640001</v>
      </c>
      <c r="C532" s="54">
        <v>4934794.7795596961</v>
      </c>
      <c r="D532" s="20">
        <v>18.807403777777779</v>
      </c>
    </row>
    <row r="533" spans="1:4" ht="13.8" x14ac:dyDescent="0.25">
      <c r="A533" s="41">
        <v>4893.3954893999999</v>
      </c>
      <c r="B533" s="86">
        <f t="shared" si="8"/>
        <v>42866144.487144001</v>
      </c>
      <c r="C533" s="54">
        <v>4936109.7871345431</v>
      </c>
      <c r="D533" s="20">
        <v>20.893479888888891</v>
      </c>
    </row>
    <row r="534" spans="1:4" ht="13.8" x14ac:dyDescent="0.25">
      <c r="A534" s="40">
        <v>4916.4814931999999</v>
      </c>
      <c r="B534" s="86">
        <f t="shared" si="8"/>
        <v>43068377.880431995</v>
      </c>
      <c r="C534" s="54">
        <v>4943178.5884746611</v>
      </c>
      <c r="D534" s="20">
        <v>21.37176338888889</v>
      </c>
    </row>
    <row r="535" spans="1:4" ht="13.8" x14ac:dyDescent="0.25">
      <c r="A535" s="41">
        <v>4919.3323555000006</v>
      </c>
      <c r="B535" s="86">
        <f t="shared" si="8"/>
        <v>43093351.434180006</v>
      </c>
      <c r="C535" s="54">
        <v>4944045.7036784086</v>
      </c>
      <c r="D535" s="20">
        <v>27.247730722222222</v>
      </c>
    </row>
    <row r="536" spans="1:4" ht="13.8" x14ac:dyDescent="0.25">
      <c r="A536" s="40">
        <v>4934.5635359000007</v>
      </c>
      <c r="B536" s="86">
        <f t="shared" si="8"/>
        <v>43226776.574484006</v>
      </c>
      <c r="C536" s="54">
        <v>4948647.4028237015</v>
      </c>
      <c r="D536" s="20">
        <v>33.335963666666672</v>
      </c>
    </row>
    <row r="537" spans="1:4" ht="13.8" x14ac:dyDescent="0.25">
      <c r="A537" s="41">
        <v>4941.8202763000008</v>
      </c>
      <c r="B537" s="86">
        <f t="shared" si="8"/>
        <v>43290345.620388009</v>
      </c>
      <c r="C537" s="54">
        <v>4950825.06564104</v>
      </c>
      <c r="D537" s="20">
        <v>54.039938833333338</v>
      </c>
    </row>
    <row r="538" spans="1:4" ht="13.8" x14ac:dyDescent="0.25">
      <c r="A538" s="40">
        <v>4947.7213619000013</v>
      </c>
      <c r="B538" s="86">
        <f t="shared" si="8"/>
        <v>43342039.130244009</v>
      </c>
      <c r="C538" s="54">
        <v>4952583.9017538177</v>
      </c>
      <c r="D538" s="20">
        <v>85.797170666666673</v>
      </c>
    </row>
    <row r="539" spans="1:4" ht="13.8" x14ac:dyDescent="0.25">
      <c r="A539" s="41">
        <v>4951.0108184000001</v>
      </c>
      <c r="B539" s="86">
        <f t="shared" si="8"/>
        <v>43370854.769184001</v>
      </c>
      <c r="C539" s="54">
        <v>4953557.6389630167</v>
      </c>
      <c r="D539" s="20">
        <v>40.811594722222225</v>
      </c>
    </row>
    <row r="540" spans="1:4" ht="13.8" x14ac:dyDescent="0.25">
      <c r="A540" s="40">
        <v>4958.5666002999997</v>
      </c>
      <c r="B540" s="86">
        <f t="shared" si="8"/>
        <v>43437043.418627992</v>
      </c>
      <c r="C540" s="54">
        <v>4955778.9054216761</v>
      </c>
      <c r="D540" s="20">
        <v>35.154700944444443</v>
      </c>
    </row>
    <row r="541" spans="1:4" ht="13.8" x14ac:dyDescent="0.25">
      <c r="A541" s="41">
        <v>4959.0849389000014</v>
      </c>
      <c r="B541" s="86">
        <f t="shared" si="8"/>
        <v>43441584.064764015</v>
      </c>
      <c r="C541" s="54">
        <v>4955930.2328344155</v>
      </c>
      <c r="D541" s="20">
        <v>41.918038111111116</v>
      </c>
    </row>
    <row r="542" spans="1:4" ht="13.8" x14ac:dyDescent="0.25">
      <c r="A542" s="40">
        <v>4971.2459599000013</v>
      </c>
      <c r="B542" s="86">
        <f t="shared" si="8"/>
        <v>43548114.608724013</v>
      </c>
      <c r="C542" s="54">
        <v>4959455.8552283254</v>
      </c>
      <c r="D542" s="20">
        <v>26.812123888888891</v>
      </c>
    </row>
    <row r="543" spans="1:4" ht="13.8" x14ac:dyDescent="0.25">
      <c r="A543" s="41">
        <v>4972.7411674000004</v>
      </c>
      <c r="B543" s="86">
        <f t="shared" si="8"/>
        <v>43561212.626424007</v>
      </c>
      <c r="C543" s="54">
        <v>4959886.2901717853</v>
      </c>
      <c r="D543" s="20">
        <v>12.547854500000001</v>
      </c>
    </row>
    <row r="544" spans="1:4" ht="13.8" x14ac:dyDescent="0.25">
      <c r="A544" s="40">
        <v>4975.8910711999997</v>
      </c>
      <c r="B544" s="86">
        <f t="shared" si="8"/>
        <v>43588805.783712</v>
      </c>
      <c r="C544" s="54">
        <v>4960786.6620697826</v>
      </c>
      <c r="D544" s="20">
        <v>13.793708333333333</v>
      </c>
    </row>
    <row r="545" spans="1:4" ht="13.8" x14ac:dyDescent="0.25">
      <c r="A545" s="41">
        <v>4989.0090250000003</v>
      </c>
      <c r="B545" s="86">
        <f t="shared" si="8"/>
        <v>43703719.059000008</v>
      </c>
      <c r="C545" s="54">
        <v>4964509.6129449494</v>
      </c>
      <c r="D545" s="20">
        <v>16.994966388888891</v>
      </c>
    </row>
    <row r="546" spans="1:4" ht="13.8" x14ac:dyDescent="0.25">
      <c r="A546" s="40">
        <v>4997.6214202000001</v>
      </c>
      <c r="B546" s="86">
        <f t="shared" si="8"/>
        <v>43779163.640951999</v>
      </c>
      <c r="C546" s="54">
        <v>4966936.3313824106</v>
      </c>
      <c r="D546" s="20">
        <v>19.908766611111112</v>
      </c>
    </row>
    <row r="547" spans="1:4" ht="13.8" x14ac:dyDescent="0.25">
      <c r="A547" s="41">
        <v>4999.6349663000001</v>
      </c>
      <c r="B547" s="86">
        <f t="shared" si="8"/>
        <v>43796802.304788001</v>
      </c>
      <c r="C547" s="54">
        <v>4967499.5909626801</v>
      </c>
      <c r="D547" s="20">
        <v>20.910753777777778</v>
      </c>
    </row>
    <row r="548" spans="1:4" ht="13.8" x14ac:dyDescent="0.25">
      <c r="A548" s="40">
        <v>5014.4873607999998</v>
      </c>
      <c r="B548" s="86">
        <f t="shared" si="8"/>
        <v>43926909.280607998</v>
      </c>
      <c r="C548" s="54">
        <v>4971624.0981546631</v>
      </c>
      <c r="D548" s="20">
        <v>25.631199555555554</v>
      </c>
    </row>
    <row r="549" spans="1:4" ht="13.8" x14ac:dyDescent="0.25">
      <c r="A549" s="41">
        <v>5016.6005873999993</v>
      </c>
      <c r="B549" s="86">
        <f t="shared" si="8"/>
        <v>43945421.145623989</v>
      </c>
      <c r="C549" s="54">
        <v>4972206.6397048086</v>
      </c>
      <c r="D549" s="20">
        <v>45.46944805555556</v>
      </c>
    </row>
    <row r="550" spans="1:4" ht="13.8" x14ac:dyDescent="0.25">
      <c r="A550" s="40">
        <v>5028.8413528000001</v>
      </c>
      <c r="B550" s="86">
        <f t="shared" si="8"/>
        <v>44052650.250528</v>
      </c>
      <c r="C550" s="54">
        <v>4975556.0703301765</v>
      </c>
      <c r="D550" s="20">
        <v>42.942074888888897</v>
      </c>
    </row>
    <row r="551" spans="1:4" ht="13.8" x14ac:dyDescent="0.25">
      <c r="A551" s="41">
        <v>5029.2400748</v>
      </c>
      <c r="B551" s="86">
        <f t="shared" si="8"/>
        <v>44056143.055248</v>
      </c>
      <c r="C551" s="54">
        <v>4975664.3607796878</v>
      </c>
      <c r="D551" s="20">
        <v>94.319802611111115</v>
      </c>
    </row>
    <row r="552" spans="1:4" ht="13.8" x14ac:dyDescent="0.25">
      <c r="A552" s="40">
        <v>5035.8588600000003</v>
      </c>
      <c r="B552" s="86">
        <f t="shared" si="8"/>
        <v>44114123.613600001</v>
      </c>
      <c r="C552" s="54">
        <v>4977448.5109221898</v>
      </c>
      <c r="D552" s="20">
        <v>40.508387166666672</v>
      </c>
    </row>
    <row r="553" spans="1:4" ht="13.8" x14ac:dyDescent="0.25">
      <c r="A553" s="41">
        <v>5042.5175173999996</v>
      </c>
      <c r="B553" s="86">
        <f t="shared" si="8"/>
        <v>44172453.452423997</v>
      </c>
      <c r="C553" s="54">
        <v>4979229.85648527</v>
      </c>
      <c r="D553" s="20">
        <v>27.590566611111111</v>
      </c>
    </row>
    <row r="554" spans="1:4" ht="13.8" x14ac:dyDescent="0.25">
      <c r="A554" s="40">
        <v>5053.9010305000002</v>
      </c>
      <c r="B554" s="86">
        <f t="shared" si="8"/>
        <v>44272173.027180001</v>
      </c>
      <c r="C554" s="54">
        <v>4982252.0416801684</v>
      </c>
      <c r="D554" s="20">
        <v>14.805145333333334</v>
      </c>
    </row>
    <row r="555" spans="1:4" ht="13.8" x14ac:dyDescent="0.25">
      <c r="A555" s="41">
        <v>5055.0971965000008</v>
      </c>
      <c r="B555" s="86">
        <f t="shared" si="8"/>
        <v>44282651.441340007</v>
      </c>
      <c r="C555" s="54">
        <v>4982567.1747255698</v>
      </c>
      <c r="D555" s="20">
        <v>18.404922166666669</v>
      </c>
    </row>
    <row r="556" spans="1:4" ht="13.8" x14ac:dyDescent="0.25">
      <c r="A556" s="40">
        <v>5055.8946404999997</v>
      </c>
      <c r="B556" s="86">
        <f t="shared" si="8"/>
        <v>44289637.050779998</v>
      </c>
      <c r="C556" s="54">
        <v>4982775.6403719801</v>
      </c>
      <c r="D556" s="20">
        <v>13.76667977777778</v>
      </c>
    </row>
    <row r="557" spans="1:4" ht="13.8" x14ac:dyDescent="0.25">
      <c r="A557" s="41">
        <v>5063.4902945999993</v>
      </c>
      <c r="B557" s="86">
        <f t="shared" si="8"/>
        <v>44356174.980695993</v>
      </c>
      <c r="C557" s="54">
        <v>4984745.8160978556</v>
      </c>
      <c r="D557" s="20">
        <v>15.839444833333335</v>
      </c>
    </row>
    <row r="558" spans="1:4" ht="13.8" x14ac:dyDescent="0.25">
      <c r="A558" s="40">
        <v>5079.6784078000001</v>
      </c>
      <c r="B558" s="86">
        <f t="shared" si="8"/>
        <v>44497982.852328002</v>
      </c>
      <c r="C558" s="54">
        <v>4988911.7728689006</v>
      </c>
      <c r="D558" s="20">
        <v>19.253476555555558</v>
      </c>
    </row>
    <row r="559" spans="1:4" ht="13.8" x14ac:dyDescent="0.25">
      <c r="A559" s="41">
        <v>5085.6791739</v>
      </c>
      <c r="B559" s="86">
        <f t="shared" si="8"/>
        <v>44550549.563363999</v>
      </c>
      <c r="C559" s="54">
        <v>4990443.8364926567</v>
      </c>
      <c r="D559" s="20">
        <v>23.749666611111113</v>
      </c>
    </row>
    <row r="560" spans="1:4" ht="13.8" x14ac:dyDescent="0.25">
      <c r="A560" s="40">
        <v>5091.5603234000009</v>
      </c>
      <c r="B560" s="86">
        <f t="shared" si="8"/>
        <v>44602068.432984009</v>
      </c>
      <c r="C560" s="54">
        <v>4991933.390644595</v>
      </c>
      <c r="D560" s="20">
        <v>37.181537777777777</v>
      </c>
    </row>
    <row r="561" spans="1:4" ht="13.8" x14ac:dyDescent="0.25">
      <c r="A561" s="41">
        <v>5097.6607700000004</v>
      </c>
      <c r="B561" s="86">
        <f t="shared" si="8"/>
        <v>44655508.345200002</v>
      </c>
      <c r="C561" s="54">
        <v>4993466.071157245</v>
      </c>
      <c r="D561" s="20">
        <v>45.313881444444448</v>
      </c>
    </row>
    <row r="562" spans="1:4" ht="13.8" x14ac:dyDescent="0.25">
      <c r="A562" s="40">
        <v>5100.1727185999998</v>
      </c>
      <c r="B562" s="86">
        <f t="shared" si="8"/>
        <v>44677513.014936</v>
      </c>
      <c r="C562" s="54">
        <v>4994092.0622886084</v>
      </c>
      <c r="D562" s="20">
        <v>57.876469555555559</v>
      </c>
    </row>
    <row r="563" spans="1:4" ht="13.8" x14ac:dyDescent="0.25">
      <c r="A563" s="41">
        <v>5101.3688846000005</v>
      </c>
      <c r="B563" s="86">
        <f t="shared" si="8"/>
        <v>44687991.429096006</v>
      </c>
      <c r="C563" s="54">
        <v>4994387.7187277637</v>
      </c>
      <c r="D563" s="20">
        <v>68.583130722222222</v>
      </c>
    </row>
    <row r="564" spans="1:4" ht="13.8" x14ac:dyDescent="0.25">
      <c r="A564" s="40">
        <v>5113.3504807000008</v>
      </c>
      <c r="B564" s="86">
        <f t="shared" si="8"/>
        <v>44792950.210932009</v>
      </c>
      <c r="C564" s="54">
        <v>4997324.8243925562</v>
      </c>
      <c r="D564" s="20">
        <v>74.338384055555565</v>
      </c>
    </row>
    <row r="565" spans="1:4" ht="13.8" x14ac:dyDescent="0.25">
      <c r="A565" s="41">
        <v>5129.5585300000002</v>
      </c>
      <c r="B565" s="86">
        <f t="shared" si="8"/>
        <v>44934932.722800002</v>
      </c>
      <c r="C565" s="54">
        <v>5001264.99213944</v>
      </c>
      <c r="D565" s="20">
        <v>45.366719222222223</v>
      </c>
    </row>
    <row r="566" spans="1:4" ht="13.8" x14ac:dyDescent="0.25">
      <c r="A566" s="40">
        <v>5144.4906688999999</v>
      </c>
      <c r="B566" s="86">
        <f t="shared" si="8"/>
        <v>45065738.259563997</v>
      </c>
      <c r="C566" s="54">
        <v>5004864.5951585621</v>
      </c>
      <c r="D566" s="20">
        <v>25.361320444444445</v>
      </c>
    </row>
    <row r="567" spans="1:4" ht="13.8" x14ac:dyDescent="0.25">
      <c r="A567" s="41">
        <v>5145.7267070999997</v>
      </c>
      <c r="B567" s="86">
        <f t="shared" si="8"/>
        <v>45076565.954195999</v>
      </c>
      <c r="C567" s="54">
        <v>5005160.0438991264</v>
      </c>
      <c r="D567" s="20">
        <v>30.335387555555556</v>
      </c>
    </row>
    <row r="568" spans="1:4" ht="13.8" x14ac:dyDescent="0.25">
      <c r="A568" s="40">
        <v>5146.0855568999996</v>
      </c>
      <c r="B568" s="86">
        <f t="shared" si="8"/>
        <v>45079709.478443995</v>
      </c>
      <c r="C568" s="54">
        <v>5005245.0889672041</v>
      </c>
      <c r="D568" s="20">
        <v>22.781109499999999</v>
      </c>
    </row>
    <row r="569" spans="1:4" ht="13.8" x14ac:dyDescent="0.25">
      <c r="A569" s="41">
        <v>5151.5480483000001</v>
      </c>
      <c r="B569" s="86">
        <f t="shared" si="8"/>
        <v>45127560.903108001</v>
      </c>
      <c r="C569" s="54">
        <v>5006528.545996285</v>
      </c>
      <c r="D569" s="20">
        <v>21.975231777777779</v>
      </c>
    </row>
    <row r="570" spans="1:4" ht="13.8" x14ac:dyDescent="0.25">
      <c r="A570" s="40">
        <v>5173.9562247000003</v>
      </c>
      <c r="B570" s="86">
        <f t="shared" si="8"/>
        <v>45323856.528372005</v>
      </c>
      <c r="C570" s="54">
        <v>5011747.922585736</v>
      </c>
      <c r="D570" s="20">
        <v>22.705510833333335</v>
      </c>
    </row>
    <row r="571" spans="1:4" ht="13.8" x14ac:dyDescent="0.25">
      <c r="A571" s="41">
        <v>5178.2823584000007</v>
      </c>
      <c r="B571" s="86">
        <f t="shared" si="8"/>
        <v>45361753.459584005</v>
      </c>
      <c r="C571" s="54">
        <v>5012746.772981423</v>
      </c>
      <c r="D571" s="20">
        <v>24.940853666666669</v>
      </c>
    </row>
    <row r="572" spans="1:4" ht="13.8" x14ac:dyDescent="0.25">
      <c r="A572" s="40">
        <v>5179.9769269000017</v>
      </c>
      <c r="B572" s="86">
        <f t="shared" si="8"/>
        <v>45376597.879644014</v>
      </c>
      <c r="C572" s="54">
        <v>5013134.5787623562</v>
      </c>
      <c r="D572" s="20">
        <v>30.210101055555558</v>
      </c>
    </row>
    <row r="573" spans="1:4" ht="13.8" x14ac:dyDescent="0.25">
      <c r="A573" s="41">
        <v>5181.9705368999994</v>
      </c>
      <c r="B573" s="86">
        <f t="shared" si="8"/>
        <v>45394061.903243989</v>
      </c>
      <c r="C573" s="54">
        <v>5013586.7632312682</v>
      </c>
      <c r="D573" s="20">
        <v>45.337048777777781</v>
      </c>
    </row>
    <row r="574" spans="1:4" ht="13.8" x14ac:dyDescent="0.25">
      <c r="A574" s="40">
        <v>5200.2718767000006</v>
      </c>
      <c r="B574" s="86">
        <f t="shared" si="8"/>
        <v>45554381.639892004</v>
      </c>
      <c r="C574" s="54">
        <v>5017700.5676464401</v>
      </c>
      <c r="D574" s="20">
        <v>34.332768666666674</v>
      </c>
    </row>
    <row r="575" spans="1:4" ht="13.8" x14ac:dyDescent="0.25">
      <c r="A575" s="41">
        <v>5227.9431835000005</v>
      </c>
      <c r="B575" s="86">
        <f t="shared" si="8"/>
        <v>45796782.287460007</v>
      </c>
      <c r="C575" s="54">
        <v>5023864.2483688304</v>
      </c>
      <c r="D575" s="20">
        <v>33.014364500000006</v>
      </c>
    </row>
    <row r="576" spans="1:4" ht="13.8" x14ac:dyDescent="0.25">
      <c r="A576" s="40">
        <v>5244.9088046000006</v>
      </c>
      <c r="B576" s="86">
        <f t="shared" si="8"/>
        <v>45945401.12829601</v>
      </c>
      <c r="C576" s="54">
        <v>5027608.7469998077</v>
      </c>
      <c r="D576" s="20">
        <v>41.460889722222227</v>
      </c>
    </row>
    <row r="577" spans="1:4" ht="13.8" x14ac:dyDescent="0.25">
      <c r="A577" s="41">
        <v>5253.9199218000003</v>
      </c>
      <c r="B577" s="86">
        <f t="shared" si="8"/>
        <v>46024338.514968008</v>
      </c>
      <c r="C577" s="54">
        <v>5029579.2589157689</v>
      </c>
      <c r="D577" s="20">
        <v>41.957361611111111</v>
      </c>
    </row>
    <row r="578" spans="1:4" ht="13.8" x14ac:dyDescent="0.25">
      <c r="A578" s="40">
        <v>5260.5387070000006</v>
      </c>
      <c r="B578" s="86">
        <f t="shared" si="8"/>
        <v>46082319.073320009</v>
      </c>
      <c r="C578" s="54">
        <v>5031013.1547559639</v>
      </c>
      <c r="D578" s="20">
        <v>16.917132277777782</v>
      </c>
    </row>
    <row r="579" spans="1:4" ht="13.8" x14ac:dyDescent="0.25">
      <c r="A579" s="41">
        <v>5270.6263736000019</v>
      </c>
      <c r="B579" s="86">
        <f t="shared" ref="B579:B642" si="9">A579*24*365</f>
        <v>46170687.032736018</v>
      </c>
      <c r="C579" s="54">
        <v>5033178.01863416</v>
      </c>
      <c r="D579" s="20">
        <v>10.612670888888889</v>
      </c>
    </row>
    <row r="580" spans="1:4" ht="13.8" x14ac:dyDescent="0.25">
      <c r="A580" s="40">
        <v>5312.0934616000022</v>
      </c>
      <c r="B580" s="86">
        <f t="shared" si="9"/>
        <v>46533938.723616019</v>
      </c>
      <c r="C580" s="54">
        <v>5041992.6651981017</v>
      </c>
      <c r="D580" s="20">
        <v>11.636301222222224</v>
      </c>
    </row>
    <row r="581" spans="1:4" ht="13.8" x14ac:dyDescent="0.25">
      <c r="A581" s="41">
        <v>5312.9905860999997</v>
      </c>
      <c r="B581" s="86">
        <f t="shared" si="9"/>
        <v>46541797.534235992</v>
      </c>
      <c r="C581" s="54">
        <v>5042181.5407544253</v>
      </c>
      <c r="D581" s="20">
        <v>14.585258888888889</v>
      </c>
    </row>
    <row r="582" spans="1:4" ht="13.8" x14ac:dyDescent="0.25">
      <c r="A582" s="40">
        <v>5323.1380609999997</v>
      </c>
      <c r="B582" s="86">
        <f t="shared" si="9"/>
        <v>46630689.414359994</v>
      </c>
      <c r="C582" s="54">
        <v>5044297.279840338</v>
      </c>
      <c r="D582" s="20">
        <v>14.996885500000001</v>
      </c>
    </row>
    <row r="583" spans="1:4" ht="13.8" x14ac:dyDescent="0.25">
      <c r="A583" s="41">
        <v>5329.4976769000004</v>
      </c>
      <c r="B583" s="86">
        <f t="shared" si="9"/>
        <v>46686399.649644002</v>
      </c>
      <c r="C583" s="54">
        <v>5045610.3100171629</v>
      </c>
      <c r="D583" s="20">
        <v>18.915009944444449</v>
      </c>
    </row>
    <row r="584" spans="1:4" ht="13.8" x14ac:dyDescent="0.25">
      <c r="A584" s="40">
        <v>5338.3094331000011</v>
      </c>
      <c r="B584" s="86">
        <f t="shared" si="9"/>
        <v>46763590.633956008</v>
      </c>
      <c r="C584" s="54">
        <v>5047411.6835789979</v>
      </c>
      <c r="D584" s="20">
        <v>24.675242222222224</v>
      </c>
    </row>
    <row r="585" spans="1:4" ht="13.8" x14ac:dyDescent="0.25">
      <c r="A585" s="41">
        <v>5343.4330108000004</v>
      </c>
      <c r="B585" s="86">
        <f t="shared" si="9"/>
        <v>46808473.174608007</v>
      </c>
      <c r="C585" s="54">
        <v>5048448.6604689769</v>
      </c>
      <c r="D585" s="20">
        <v>47.733343611111117</v>
      </c>
    </row>
    <row r="586" spans="1:4" ht="13.8" x14ac:dyDescent="0.25">
      <c r="A586" s="40">
        <v>5346.0047676999993</v>
      </c>
      <c r="B586" s="86">
        <f t="shared" si="9"/>
        <v>46831001.765051991</v>
      </c>
      <c r="C586" s="54">
        <v>5048963.9320408031</v>
      </c>
      <c r="D586" s="20">
        <v>55.341882000000005</v>
      </c>
    </row>
    <row r="587" spans="1:4" ht="13.8" x14ac:dyDescent="0.25">
      <c r="A587" s="41">
        <v>5362.1330725999987</v>
      </c>
      <c r="B587" s="86">
        <f t="shared" si="9"/>
        <v>46972285.715975992</v>
      </c>
      <c r="C587" s="54">
        <v>5052162.5376394428</v>
      </c>
      <c r="D587" s="20">
        <v>52.689527166666672</v>
      </c>
    </row>
    <row r="588" spans="1:4" ht="13.8" x14ac:dyDescent="0.25">
      <c r="A588" s="40">
        <v>5371.2438702999998</v>
      </c>
      <c r="B588" s="86">
        <f t="shared" si="9"/>
        <v>47052096.303827994</v>
      </c>
      <c r="C588" s="54">
        <v>5053950.8703794312</v>
      </c>
      <c r="D588" s="20">
        <v>42.433816111111121</v>
      </c>
    </row>
    <row r="589" spans="1:4" ht="13.8" x14ac:dyDescent="0.25">
      <c r="A589" s="41">
        <v>5384.6808016999994</v>
      </c>
      <c r="B589" s="86">
        <f t="shared" si="9"/>
        <v>47169803.822891995</v>
      </c>
      <c r="C589" s="54">
        <v>5056561.0192795917</v>
      </c>
      <c r="D589" s="20">
        <v>15.445803388888891</v>
      </c>
    </row>
    <row r="590" spans="1:4" ht="13.8" x14ac:dyDescent="0.25">
      <c r="A590" s="40">
        <v>5387.8307055000005</v>
      </c>
      <c r="B590" s="86">
        <f t="shared" si="9"/>
        <v>47197396.980180003</v>
      </c>
      <c r="C590" s="54">
        <v>5057166.4828980267</v>
      </c>
      <c r="D590" s="20">
        <v>15.226018555555557</v>
      </c>
    </row>
    <row r="591" spans="1:4" ht="13.8" x14ac:dyDescent="0.25">
      <c r="A591" s="41">
        <v>5408.7835465999997</v>
      </c>
      <c r="B591" s="86">
        <f t="shared" si="9"/>
        <v>47380943.868216</v>
      </c>
      <c r="C591" s="54">
        <v>5061151.319922654</v>
      </c>
      <c r="D591" s="20">
        <v>9.8439828333333352</v>
      </c>
    </row>
    <row r="592" spans="1:4" ht="13.8" x14ac:dyDescent="0.25">
      <c r="A592" s="40">
        <v>5413.2691691000009</v>
      </c>
      <c r="B592" s="86">
        <f t="shared" si="9"/>
        <v>47420237.921316013</v>
      </c>
      <c r="C592" s="54">
        <v>5061995.2714533331</v>
      </c>
      <c r="D592" s="20">
        <v>11.706616111111114</v>
      </c>
    </row>
    <row r="593" spans="1:4" ht="13.8" x14ac:dyDescent="0.25">
      <c r="A593" s="41">
        <v>5419.3297434999995</v>
      </c>
      <c r="B593" s="86">
        <f t="shared" si="9"/>
        <v>47473328.553059995</v>
      </c>
      <c r="C593" s="54">
        <v>5063123.2085597198</v>
      </c>
      <c r="D593" s="20">
        <v>15.918193444444446</v>
      </c>
    </row>
    <row r="594" spans="1:4" ht="13.8" x14ac:dyDescent="0.25">
      <c r="A594" s="40">
        <v>5423.2571551999999</v>
      </c>
      <c r="B594" s="86">
        <f t="shared" si="9"/>
        <v>47507732.679551996</v>
      </c>
      <c r="C594" s="54">
        <v>5063846.1479634</v>
      </c>
      <c r="D594" s="20">
        <v>21.703625277777778</v>
      </c>
    </row>
    <row r="595" spans="1:4" ht="13.8" x14ac:dyDescent="0.25">
      <c r="A595" s="41">
        <v>5423.5163245000003</v>
      </c>
      <c r="B595" s="86">
        <f t="shared" si="9"/>
        <v>47510003.002620004</v>
      </c>
      <c r="C595" s="54">
        <v>5063893.3271331377</v>
      </c>
      <c r="D595" s="20">
        <v>23.629968722222223</v>
      </c>
    </row>
    <row r="596" spans="1:4" ht="13.8" x14ac:dyDescent="0.25">
      <c r="A596" s="40">
        <v>5427.4836083999999</v>
      </c>
      <c r="B596" s="86">
        <f t="shared" si="9"/>
        <v>47544756.409584001</v>
      </c>
      <c r="C596" s="54">
        <v>5064607.4566704715</v>
      </c>
      <c r="D596" s="20">
        <v>40.07867377777778</v>
      </c>
    </row>
    <row r="597" spans="1:4" ht="13.8" x14ac:dyDescent="0.25">
      <c r="A597" s="41">
        <v>5449.1142768999998</v>
      </c>
      <c r="B597" s="86">
        <f t="shared" si="9"/>
        <v>47734241.065643996</v>
      </c>
      <c r="C597" s="54">
        <v>5068457.0522693638</v>
      </c>
      <c r="D597" s="20">
        <v>64.522039444444445</v>
      </c>
    </row>
    <row r="598" spans="1:4" ht="13.8" x14ac:dyDescent="0.25">
      <c r="A598" s="40">
        <v>5454.1979824000009</v>
      </c>
      <c r="B598" s="86">
        <f t="shared" si="9"/>
        <v>47778774.325824007</v>
      </c>
      <c r="C598" s="54">
        <v>5069351.4489883948</v>
      </c>
      <c r="D598" s="20">
        <v>37.57446794444445</v>
      </c>
    </row>
    <row r="599" spans="1:4" ht="13.8" x14ac:dyDescent="0.25">
      <c r="A599" s="41">
        <v>5459.640537700001</v>
      </c>
      <c r="B599" s="86">
        <f t="shared" si="9"/>
        <v>47826451.110252008</v>
      </c>
      <c r="C599" s="54">
        <v>5070297.9022736736</v>
      </c>
      <c r="D599" s="20">
        <v>52.756387277777783</v>
      </c>
    </row>
    <row r="600" spans="1:4" ht="13.8" x14ac:dyDescent="0.25">
      <c r="A600" s="40">
        <v>5462.7904415000003</v>
      </c>
      <c r="B600" s="86">
        <f t="shared" si="9"/>
        <v>47854044.26754</v>
      </c>
      <c r="C600" s="54">
        <v>5070839.2553965487</v>
      </c>
      <c r="D600" s="20">
        <v>49.156813666666672</v>
      </c>
    </row>
    <row r="601" spans="1:4" ht="13.8" x14ac:dyDescent="0.25">
      <c r="A601" s="41">
        <v>5464.6046265999994</v>
      </c>
      <c r="B601" s="86">
        <f t="shared" si="9"/>
        <v>47869936.529016003</v>
      </c>
      <c r="C601" s="54">
        <v>5071147.3549451083</v>
      </c>
      <c r="D601" s="20">
        <v>26.778389000000001</v>
      </c>
    </row>
    <row r="602" spans="1:4" ht="13.8" x14ac:dyDescent="0.25">
      <c r="A602" s="40">
        <v>5474.5527405000003</v>
      </c>
      <c r="B602" s="86">
        <f t="shared" si="9"/>
        <v>47957082.006780006</v>
      </c>
      <c r="C602" s="54">
        <v>5072816.5763429459</v>
      </c>
      <c r="D602" s="20">
        <v>18.220599611111112</v>
      </c>
    </row>
    <row r="603" spans="1:4" ht="13.8" x14ac:dyDescent="0.25">
      <c r="A603" s="41">
        <v>5477.443475</v>
      </c>
      <c r="B603" s="86">
        <f t="shared" si="9"/>
        <v>47982404.840999998</v>
      </c>
      <c r="C603" s="54">
        <v>5073295.7370787729</v>
      </c>
      <c r="D603" s="20">
        <v>8.2331418888888894</v>
      </c>
    </row>
    <row r="604" spans="1:4" ht="13.8" x14ac:dyDescent="0.25">
      <c r="A604" s="40">
        <v>5480.2544651000007</v>
      </c>
      <c r="B604" s="86">
        <f t="shared" si="9"/>
        <v>48007029.114276014</v>
      </c>
      <c r="C604" s="54">
        <v>5073755.9583343156</v>
      </c>
      <c r="D604" s="20">
        <v>10.09140588888889</v>
      </c>
    </row>
    <row r="605" spans="1:4" ht="13.8" x14ac:dyDescent="0.25">
      <c r="A605" s="41">
        <v>5482.2879473000003</v>
      </c>
      <c r="B605" s="86">
        <f t="shared" si="9"/>
        <v>48024842.418348007</v>
      </c>
      <c r="C605" s="54">
        <v>5074084.7455701372</v>
      </c>
      <c r="D605" s="20">
        <v>13.870729555555556</v>
      </c>
    </row>
    <row r="606" spans="1:4" ht="13.8" x14ac:dyDescent="0.25">
      <c r="A606" s="40">
        <v>5483.8230270000004</v>
      </c>
      <c r="B606" s="86">
        <f t="shared" si="9"/>
        <v>48038289.716520011</v>
      </c>
      <c r="C606" s="54">
        <v>5074329.8233268904</v>
      </c>
      <c r="D606" s="20">
        <v>14.438126</v>
      </c>
    </row>
    <row r="607" spans="1:4" ht="13.8" x14ac:dyDescent="0.25">
      <c r="A607" s="41">
        <v>5487.8501192000003</v>
      </c>
      <c r="B607" s="86">
        <f t="shared" si="9"/>
        <v>48073567.044192001</v>
      </c>
      <c r="C607" s="54">
        <v>5074964.5581797324</v>
      </c>
      <c r="D607" s="20">
        <v>19.649150222222222</v>
      </c>
    </row>
    <row r="608" spans="1:4" ht="13.8" x14ac:dyDescent="0.25">
      <c r="A608" s="40">
        <v>5496.5023866000001</v>
      </c>
      <c r="B608" s="86">
        <f t="shared" si="9"/>
        <v>48149360.906615995</v>
      </c>
      <c r="C608" s="54">
        <v>5076310.6853396762</v>
      </c>
      <c r="D608" s="20">
        <v>31.849901166666669</v>
      </c>
    </row>
    <row r="609" spans="1:4" ht="13.8" x14ac:dyDescent="0.25">
      <c r="A609" s="41">
        <v>5503.3404688999999</v>
      </c>
      <c r="B609" s="86">
        <f t="shared" si="9"/>
        <v>48209262.507563993</v>
      </c>
      <c r="C609" s="54">
        <v>5077360.6423723865</v>
      </c>
      <c r="D609" s="20">
        <v>27.799174222222224</v>
      </c>
    </row>
    <row r="610" spans="1:4" ht="13.8" x14ac:dyDescent="0.25">
      <c r="A610" s="40">
        <v>5510.1386789999997</v>
      </c>
      <c r="B610" s="86">
        <f t="shared" si="9"/>
        <v>48268814.828039996</v>
      </c>
      <c r="C610" s="54">
        <v>5078390.6407009652</v>
      </c>
      <c r="D610" s="20">
        <v>52.282777888888894</v>
      </c>
    </row>
    <row r="611" spans="1:4" ht="13.8" x14ac:dyDescent="0.25">
      <c r="A611" s="41">
        <v>5519.8276236000002</v>
      </c>
      <c r="B611" s="86">
        <f t="shared" si="9"/>
        <v>48353689.982735999</v>
      </c>
      <c r="C611" s="54">
        <v>5079838.8947945889</v>
      </c>
      <c r="D611" s="20">
        <v>59.619811388888898</v>
      </c>
    </row>
    <row r="612" spans="1:4" ht="13.8" x14ac:dyDescent="0.25">
      <c r="A612" s="40">
        <v>5529.5963125999997</v>
      </c>
      <c r="B612" s="86">
        <f t="shared" si="9"/>
        <v>48439263.698376</v>
      </c>
      <c r="C612" s="54">
        <v>5081279.186306119</v>
      </c>
      <c r="D612" s="20">
        <v>55.126364833333334</v>
      </c>
    </row>
    <row r="613" spans="1:4" ht="13.8" x14ac:dyDescent="0.25">
      <c r="A613" s="41">
        <v>5540.3019983000004</v>
      </c>
      <c r="B613" s="86">
        <f t="shared" si="9"/>
        <v>48533045.505107999</v>
      </c>
      <c r="C613" s="54">
        <v>5082835.8387747016</v>
      </c>
      <c r="D613" s="20">
        <v>58.809970833333338</v>
      </c>
    </row>
    <row r="614" spans="1:4" ht="13.8" x14ac:dyDescent="0.25">
      <c r="A614" s="40">
        <v>5557.5666609000009</v>
      </c>
      <c r="B614" s="86">
        <f t="shared" si="9"/>
        <v>48684283.949484013</v>
      </c>
      <c r="C614" s="54">
        <v>5085311.055481011</v>
      </c>
      <c r="D614" s="20">
        <v>25.27566227777778</v>
      </c>
    </row>
    <row r="615" spans="1:4" ht="13.8" x14ac:dyDescent="0.25">
      <c r="A615" s="41">
        <v>5558.9223157000015</v>
      </c>
      <c r="B615" s="86">
        <f t="shared" si="9"/>
        <v>48696159.485532016</v>
      </c>
      <c r="C615" s="54">
        <v>5085502.6551127117</v>
      </c>
      <c r="D615" s="20">
        <v>9.2652059444444443</v>
      </c>
    </row>
    <row r="616" spans="1:4" ht="13.8" x14ac:dyDescent="0.25">
      <c r="A616" s="40">
        <v>5570.1463400000021</v>
      </c>
      <c r="B616" s="86">
        <f t="shared" si="9"/>
        <v>48794481.938400015</v>
      </c>
      <c r="C616" s="54">
        <v>5087066.1429214552</v>
      </c>
      <c r="D616" s="20">
        <v>12.236111611111111</v>
      </c>
    </row>
    <row r="617" spans="1:4" ht="13.8" x14ac:dyDescent="0.25">
      <c r="A617" s="41">
        <v>5589.8830790000011</v>
      </c>
      <c r="B617" s="86">
        <f t="shared" si="9"/>
        <v>48967375.772040017</v>
      </c>
      <c r="C617" s="54">
        <v>5089775.2671469226</v>
      </c>
      <c r="D617" s="20">
        <v>17.964946055555558</v>
      </c>
    </row>
    <row r="618" spans="1:4" ht="13.8" x14ac:dyDescent="0.25">
      <c r="A618" s="40">
        <v>5600.7681896000004</v>
      </c>
      <c r="B618" s="86">
        <f t="shared" si="9"/>
        <v>49062729.340896003</v>
      </c>
      <c r="C618" s="54">
        <v>5091247.2355650002</v>
      </c>
      <c r="D618" s="20">
        <v>13.188614166666667</v>
      </c>
    </row>
    <row r="619" spans="1:4" ht="13.8" x14ac:dyDescent="0.25">
      <c r="A619" s="41">
        <v>5607.2872943000002</v>
      </c>
      <c r="B619" s="86">
        <f t="shared" si="9"/>
        <v>49119836.698068</v>
      </c>
      <c r="C619" s="54">
        <v>5092115.5306301313</v>
      </c>
      <c r="D619" s="20">
        <v>18.081493999999999</v>
      </c>
    </row>
    <row r="620" spans="1:4" ht="13.8" x14ac:dyDescent="0.25">
      <c r="A620" s="40">
        <v>5615.3215425999997</v>
      </c>
      <c r="B620" s="86">
        <f t="shared" si="9"/>
        <v>49190216.713175997</v>
      </c>
      <c r="C620" s="54">
        <v>5093169.2790421564</v>
      </c>
      <c r="D620" s="20">
        <v>28.326027833333335</v>
      </c>
    </row>
    <row r="621" spans="1:4" ht="13.8" x14ac:dyDescent="0.25">
      <c r="A621" s="41">
        <v>5646.5215391000002</v>
      </c>
      <c r="B621" s="86">
        <f t="shared" si="9"/>
        <v>49463528.682515994</v>
      </c>
      <c r="C621" s="54">
        <v>5097197.8771032384</v>
      </c>
      <c r="D621" s="20">
        <v>57.733807555555558</v>
      </c>
    </row>
    <row r="622" spans="1:4" ht="13.8" x14ac:dyDescent="0.25">
      <c r="A622" s="40">
        <v>5696.6010222999994</v>
      </c>
      <c r="B622" s="86">
        <f t="shared" si="9"/>
        <v>49902224.955348</v>
      </c>
      <c r="C622" s="54">
        <v>5103562.2999008074</v>
      </c>
      <c r="D622" s="20">
        <v>58.723093333333338</v>
      </c>
    </row>
    <row r="623" spans="1:4" ht="13.8" x14ac:dyDescent="0.25">
      <c r="A623" s="41">
        <v>5725.1694536000005</v>
      </c>
      <c r="B623" s="86">
        <f t="shared" si="9"/>
        <v>50152484.413536005</v>
      </c>
      <c r="C623" s="54">
        <v>5107134.8140955791</v>
      </c>
      <c r="D623" s="20">
        <v>33.410343000000005</v>
      </c>
    </row>
    <row r="624" spans="1:4" ht="13.8" x14ac:dyDescent="0.25">
      <c r="A624" s="40">
        <v>5740.9189726000004</v>
      </c>
      <c r="B624" s="86">
        <f t="shared" si="9"/>
        <v>50290450.199976005</v>
      </c>
      <c r="C624" s="54">
        <v>5109072.2537632696</v>
      </c>
      <c r="D624" s="20">
        <v>50.792854166666665</v>
      </c>
    </row>
    <row r="625" spans="1:4" ht="13.8" x14ac:dyDescent="0.25">
      <c r="A625" s="41">
        <v>5750.8272143000004</v>
      </c>
      <c r="B625" s="86">
        <f t="shared" si="9"/>
        <v>50377246.397268005</v>
      </c>
      <c r="C625" s="54">
        <v>5110270.9576325072</v>
      </c>
      <c r="D625" s="20">
        <v>18.002542166666668</v>
      </c>
    </row>
    <row r="626" spans="1:4" ht="13.8" x14ac:dyDescent="0.25">
      <c r="A626" s="40">
        <v>5756.8479164999999</v>
      </c>
      <c r="B626" s="86">
        <f t="shared" si="9"/>
        <v>50429987.748539999</v>
      </c>
      <c r="C626" s="54">
        <v>5110987.0910628652</v>
      </c>
      <c r="D626" s="20">
        <v>15.856718722222222</v>
      </c>
    </row>
    <row r="627" spans="1:4" ht="13.8" x14ac:dyDescent="0.25">
      <c r="A627" s="41">
        <v>5775.1293202000006</v>
      </c>
      <c r="B627" s="86">
        <f t="shared" si="9"/>
        <v>50590132.844952002</v>
      </c>
      <c r="C627" s="54">
        <v>5113124.3672510087</v>
      </c>
      <c r="D627" s="20">
        <v>4.6723837222222224</v>
      </c>
    </row>
    <row r="628" spans="1:4" ht="13.8" x14ac:dyDescent="0.25">
      <c r="A628" s="40">
        <v>5800.1889979000016</v>
      </c>
      <c r="B628" s="86">
        <f t="shared" si="9"/>
        <v>50809655.621604018</v>
      </c>
      <c r="C628" s="54">
        <v>5116003.086081963</v>
      </c>
      <c r="D628" s="20">
        <v>3.3276622777777782</v>
      </c>
    </row>
    <row r="629" spans="1:4" ht="13.8" x14ac:dyDescent="0.25">
      <c r="A629" s="41">
        <v>5811.0940446000004</v>
      </c>
      <c r="B629" s="86">
        <f t="shared" si="9"/>
        <v>50905183.830696002</v>
      </c>
      <c r="C629" s="54">
        <v>5117233.6030383594</v>
      </c>
      <c r="D629" s="20">
        <v>5.3416961111111112</v>
      </c>
    </row>
    <row r="630" spans="1:4" ht="13.8" x14ac:dyDescent="0.25">
      <c r="A630" s="40">
        <v>5818.2710406000006</v>
      </c>
      <c r="B630" s="86">
        <f t="shared" si="9"/>
        <v>50968054.315656006</v>
      </c>
      <c r="C630" s="54">
        <v>5118028.8422094565</v>
      </c>
      <c r="D630" s="20">
        <v>9.4638556666666673</v>
      </c>
    </row>
    <row r="631" spans="1:4" ht="13.8" x14ac:dyDescent="0.25">
      <c r="A631" s="41">
        <v>5829.1362151000003</v>
      </c>
      <c r="B631" s="86">
        <f t="shared" si="9"/>
        <v>51063233.244276002</v>
      </c>
      <c r="C631" s="54">
        <v>5119210.6318912487</v>
      </c>
      <c r="D631" s="20">
        <v>4.6971768333333337</v>
      </c>
    </row>
    <row r="632" spans="1:4" ht="13.8" x14ac:dyDescent="0.25">
      <c r="A632" s="40">
        <v>5831.7279080999997</v>
      </c>
      <c r="B632" s="86">
        <f t="shared" si="9"/>
        <v>51085936.474955991</v>
      </c>
      <c r="C632" s="54">
        <v>5119487.2517635394</v>
      </c>
      <c r="D632" s="20">
        <v>10.328566222222223</v>
      </c>
    </row>
    <row r="633" spans="1:4" ht="13.8" x14ac:dyDescent="0.25">
      <c r="A633" s="41">
        <v>5833.0038185000012</v>
      </c>
      <c r="B633" s="86">
        <f t="shared" si="9"/>
        <v>51097113.45006001</v>
      </c>
      <c r="C633" s="54">
        <v>5119620.8369736802</v>
      </c>
      <c r="D633" s="20">
        <v>13.786798777777777</v>
      </c>
    </row>
    <row r="634" spans="1:4" ht="13.8" x14ac:dyDescent="0.25">
      <c r="A634" s="40">
        <v>5844.2477789000013</v>
      </c>
      <c r="B634" s="86">
        <f t="shared" si="9"/>
        <v>51195610.543164015</v>
      </c>
      <c r="C634" s="54">
        <v>5120775.1716257129</v>
      </c>
      <c r="D634" s="20">
        <v>8.4979404444444455</v>
      </c>
    </row>
    <row r="635" spans="1:4" ht="13.8" x14ac:dyDescent="0.25">
      <c r="A635" s="41">
        <v>5844.8657979999998</v>
      </c>
      <c r="B635" s="86">
        <f t="shared" si="9"/>
        <v>51201024.390480004</v>
      </c>
      <c r="C635" s="54">
        <v>5120837.3612335688</v>
      </c>
      <c r="D635" s="20">
        <v>20.246013888888893</v>
      </c>
    </row>
    <row r="636" spans="1:4" ht="13.8" x14ac:dyDescent="0.25">
      <c r="A636" s="40">
        <v>5849.5707176000014</v>
      </c>
      <c r="B636" s="86">
        <f t="shared" si="9"/>
        <v>51242239.486176021</v>
      </c>
      <c r="C636" s="54">
        <v>5121301.2287017498</v>
      </c>
      <c r="D636" s="20">
        <v>19.667338611111113</v>
      </c>
    </row>
    <row r="637" spans="1:4" ht="13.8" x14ac:dyDescent="0.25">
      <c r="A637" s="41">
        <v>5851.3849027000006</v>
      </c>
      <c r="B637" s="86">
        <f t="shared" si="9"/>
        <v>51258131.747652009</v>
      </c>
      <c r="C637" s="54">
        <v>5121476.4004126862</v>
      </c>
      <c r="D637" s="20">
        <v>24.319400111111115</v>
      </c>
    </row>
    <row r="638" spans="1:4" ht="13.8" x14ac:dyDescent="0.25">
      <c r="A638" s="40">
        <v>5862.7883518999997</v>
      </c>
      <c r="B638" s="86">
        <f t="shared" si="9"/>
        <v>51358025.962644003</v>
      </c>
      <c r="C638" s="54">
        <v>5122554.2701161103</v>
      </c>
      <c r="D638" s="20">
        <v>14.393721944444446</v>
      </c>
    </row>
    <row r="639" spans="1:4" ht="13.8" x14ac:dyDescent="0.25">
      <c r="A639" s="41">
        <v>5866.7157636000002</v>
      </c>
      <c r="B639" s="86">
        <f t="shared" si="9"/>
        <v>51392430.089135997</v>
      </c>
      <c r="C639" s="54">
        <v>5122917.5009481981</v>
      </c>
      <c r="D639" s="20">
        <v>14.836543166666669</v>
      </c>
    </row>
    <row r="640" spans="1:4" ht="13.8" x14ac:dyDescent="0.25">
      <c r="A640" s="40">
        <v>5872.6965936000006</v>
      </c>
      <c r="B640" s="86">
        <f t="shared" si="9"/>
        <v>51444822.159936003</v>
      </c>
      <c r="C640" s="54">
        <v>5123458.4714684123</v>
      </c>
      <c r="D640" s="20">
        <v>10.310479444444445</v>
      </c>
    </row>
    <row r="641" spans="1:4" ht="13.8" x14ac:dyDescent="0.25">
      <c r="A641" s="41">
        <v>5875.6471363999999</v>
      </c>
      <c r="B641" s="86">
        <f t="shared" si="9"/>
        <v>51470668.914864004</v>
      </c>
      <c r="C641" s="54">
        <v>5123719.3449714584</v>
      </c>
      <c r="D641" s="20">
        <v>10.713062666666668</v>
      </c>
    </row>
    <row r="642" spans="1:4" ht="13.8" x14ac:dyDescent="0.25">
      <c r="A642" s="40">
        <v>5882.4453465000006</v>
      </c>
      <c r="B642" s="86">
        <f t="shared" si="9"/>
        <v>51530221.235340007</v>
      </c>
      <c r="C642" s="54">
        <v>5124306.5751180612</v>
      </c>
      <c r="D642" s="20">
        <v>11.462647833333335</v>
      </c>
    </row>
    <row r="643" spans="1:4" ht="13.8" x14ac:dyDescent="0.25">
      <c r="A643" s="41">
        <v>5884.4389565000001</v>
      </c>
      <c r="B643" s="86">
        <f t="shared" ref="B643:B706" si="10">A643*24*365</f>
        <v>51547685.258939996</v>
      </c>
      <c r="C643" s="54">
        <v>5124474.7257458959</v>
      </c>
      <c r="D643" s="20">
        <v>15.131520222222223</v>
      </c>
    </row>
    <row r="644" spans="1:4" ht="13.8" x14ac:dyDescent="0.25">
      <c r="A644" s="40">
        <v>5906.5281553000004</v>
      </c>
      <c r="B644" s="86">
        <f t="shared" si="10"/>
        <v>51741186.640427999</v>
      </c>
      <c r="C644" s="54">
        <v>5126292.8762028869</v>
      </c>
      <c r="D644" s="20">
        <v>23.846705222222223</v>
      </c>
    </row>
    <row r="645" spans="1:4" ht="13.8" x14ac:dyDescent="0.25">
      <c r="A645" s="41">
        <v>5922.4371631000013</v>
      </c>
      <c r="B645" s="86">
        <f t="shared" si="10"/>
        <v>51880549.548756003</v>
      </c>
      <c r="C645" s="54">
        <v>5127569.9584972411</v>
      </c>
      <c r="D645" s="20">
        <v>32.919053277777785</v>
      </c>
    </row>
    <row r="646" spans="1:4" ht="13.8" x14ac:dyDescent="0.25">
      <c r="A646" s="40">
        <v>5927.2218271000002</v>
      </c>
      <c r="B646" s="86">
        <f t="shared" si="10"/>
        <v>51922463.205395997</v>
      </c>
      <c r="C646" s="54">
        <v>5127944.3050946761</v>
      </c>
      <c r="D646" s="20">
        <v>42.011926777777781</v>
      </c>
    </row>
    <row r="647" spans="1:4" ht="13.8" x14ac:dyDescent="0.25">
      <c r="A647" s="41">
        <v>5947.1778631999996</v>
      </c>
      <c r="B647" s="86">
        <f t="shared" si="10"/>
        <v>52097278.081631996</v>
      </c>
      <c r="C647" s="54">
        <v>5129465.0255222013</v>
      </c>
      <c r="D647" s="20">
        <v>54.240519166666665</v>
      </c>
    </row>
    <row r="648" spans="1:4" ht="13.8" x14ac:dyDescent="0.25">
      <c r="A648" s="40">
        <v>5949.8094284000008</v>
      </c>
      <c r="B648" s="86">
        <f t="shared" si="10"/>
        <v>52120330.59278401</v>
      </c>
      <c r="C648" s="54">
        <v>5129660.2040173579</v>
      </c>
      <c r="D648" s="20">
        <v>37.745276222222223</v>
      </c>
    </row>
    <row r="649" spans="1:4" ht="13.8" x14ac:dyDescent="0.25">
      <c r="A649" s="41">
        <v>5950.3676392000007</v>
      </c>
      <c r="B649" s="86">
        <f t="shared" si="10"/>
        <v>52125220.519392006</v>
      </c>
      <c r="C649" s="54">
        <v>5129700.4693809673</v>
      </c>
      <c r="D649" s="20">
        <v>31.43370205555556</v>
      </c>
    </row>
    <row r="650" spans="1:4" ht="13.8" x14ac:dyDescent="0.25">
      <c r="A650" s="40">
        <v>5951.8030383999994</v>
      </c>
      <c r="B650" s="86">
        <f t="shared" si="10"/>
        <v>52137794.616383992</v>
      </c>
      <c r="C650" s="54">
        <v>5129801.0873964494</v>
      </c>
      <c r="D650" s="20">
        <v>11.726023833333334</v>
      </c>
    </row>
    <row r="651" spans="1:4" ht="13.8" x14ac:dyDescent="0.25">
      <c r="A651" s="41">
        <v>5975.7462944999997</v>
      </c>
      <c r="B651" s="86">
        <f t="shared" si="10"/>
        <v>52347537.539819993</v>
      </c>
      <c r="C651" s="54">
        <v>5131430.7197017306</v>
      </c>
      <c r="D651" s="20">
        <v>6.4275124444444449</v>
      </c>
    </row>
    <row r="652" spans="1:4" ht="13.8" x14ac:dyDescent="0.25">
      <c r="A652" s="40">
        <v>6004.5938311999998</v>
      </c>
      <c r="B652" s="86">
        <f t="shared" si="10"/>
        <v>52600241.961311996</v>
      </c>
      <c r="C652" s="54">
        <v>5133335.4346133024</v>
      </c>
      <c r="D652" s="20">
        <v>10.161212722222222</v>
      </c>
    </row>
    <row r="653" spans="1:4" ht="13.8" x14ac:dyDescent="0.25">
      <c r="A653" s="41">
        <v>6014.7811783000006</v>
      </c>
      <c r="B653" s="86">
        <f t="shared" si="10"/>
        <v>52689483.121908009</v>
      </c>
      <c r="C653" s="54">
        <v>5133987.3396175504</v>
      </c>
      <c r="D653" s="20">
        <v>10.786019444444445</v>
      </c>
    </row>
    <row r="654" spans="1:4" ht="13.8" x14ac:dyDescent="0.25">
      <c r="A654" s="40">
        <v>6017.1137019999996</v>
      </c>
      <c r="B654" s="86">
        <f t="shared" si="10"/>
        <v>52709916.029519998</v>
      </c>
      <c r="C654" s="54">
        <v>5134131.8542016186</v>
      </c>
      <c r="D654" s="20">
        <v>15.449766222222223</v>
      </c>
    </row>
    <row r="655" spans="1:4" ht="13.8" x14ac:dyDescent="0.25">
      <c r="A655" s="41">
        <v>6019.4063534999996</v>
      </c>
      <c r="B655" s="86">
        <f t="shared" si="10"/>
        <v>52729999.656659998</v>
      </c>
      <c r="C655" s="54">
        <v>5134269.2321806736</v>
      </c>
      <c r="D655" s="20">
        <v>15.816785555555558</v>
      </c>
    </row>
    <row r="656" spans="1:4" ht="13.8" x14ac:dyDescent="0.25">
      <c r="A656" s="40">
        <v>6041.1167663999995</v>
      </c>
      <c r="B656" s="86">
        <f t="shared" si="10"/>
        <v>52920182.873663999</v>
      </c>
      <c r="C656" s="54">
        <v>5135525.954362344</v>
      </c>
      <c r="D656" s="20">
        <v>21.598762611111113</v>
      </c>
    </row>
    <row r="657" spans="1:4" ht="13.8" x14ac:dyDescent="0.25">
      <c r="A657" s="41">
        <v>6042.8512071000005</v>
      </c>
      <c r="B657" s="86">
        <f t="shared" si="10"/>
        <v>52935376.574196003</v>
      </c>
      <c r="C657" s="54">
        <v>5135622.8235202134</v>
      </c>
      <c r="D657" s="20">
        <v>40.251615888888892</v>
      </c>
    </row>
    <row r="658" spans="1:4" ht="13.8" x14ac:dyDescent="0.25">
      <c r="A658" s="40">
        <v>6045.9413026000002</v>
      </c>
      <c r="B658" s="86">
        <f t="shared" si="10"/>
        <v>52962445.810776003</v>
      </c>
      <c r="C658" s="54">
        <v>5135789.1171818553</v>
      </c>
      <c r="D658" s="20">
        <v>47.476775555555555</v>
      </c>
    </row>
    <row r="659" spans="1:4" ht="13.8" x14ac:dyDescent="0.25">
      <c r="A659" s="41">
        <v>6075.8853248000014</v>
      </c>
      <c r="B659" s="86">
        <f t="shared" si="10"/>
        <v>53224755.445248015</v>
      </c>
      <c r="C659" s="54">
        <v>5137339.6108592469</v>
      </c>
      <c r="D659" s="20">
        <v>41.457536555555556</v>
      </c>
    </row>
    <row r="660" spans="1:4" ht="13.8" x14ac:dyDescent="0.25">
      <c r="A660" s="40">
        <v>6103.1379735</v>
      </c>
      <c r="B660" s="86">
        <f t="shared" si="10"/>
        <v>53463488.647859998</v>
      </c>
      <c r="C660" s="54">
        <v>5138695.2781656282</v>
      </c>
      <c r="D660" s="20">
        <v>46.128599333333334</v>
      </c>
    </row>
    <row r="661" spans="1:4" ht="13.8" x14ac:dyDescent="0.25">
      <c r="A661" s="41">
        <v>6121.2200162000017</v>
      </c>
      <c r="B661" s="86">
        <f t="shared" si="10"/>
        <v>53621887.341912016</v>
      </c>
      <c r="C661" s="54">
        <v>5139557.9562901678</v>
      </c>
      <c r="D661" s="20">
        <v>8.8310216666666683</v>
      </c>
    </row>
    <row r="662" spans="1:4" ht="13.8" x14ac:dyDescent="0.25">
      <c r="A662" s="40">
        <v>6121.8579714000016</v>
      </c>
      <c r="B662" s="86">
        <f t="shared" si="10"/>
        <v>53627475.829464018</v>
      </c>
      <c r="C662" s="54">
        <v>5139587.0941231642</v>
      </c>
      <c r="D662" s="20">
        <v>15.192994944444445</v>
      </c>
    </row>
    <row r="663" spans="1:4" ht="13.8" x14ac:dyDescent="0.25">
      <c r="A663" s="41">
        <v>6130.051708500002</v>
      </c>
      <c r="B663" s="86">
        <f t="shared" si="10"/>
        <v>53699252.966460012</v>
      </c>
      <c r="C663" s="54">
        <v>5139944.656321615</v>
      </c>
      <c r="D663" s="20">
        <v>10.470618555555557</v>
      </c>
    </row>
    <row r="664" spans="1:4" ht="13.8" x14ac:dyDescent="0.25">
      <c r="A664" s="40">
        <v>6162.9462735000006</v>
      </c>
      <c r="B664" s="86">
        <f t="shared" si="10"/>
        <v>53987409.355860002</v>
      </c>
      <c r="C664" s="54">
        <v>5141313.1741675455</v>
      </c>
      <c r="D664" s="20">
        <v>9.5407752777777777</v>
      </c>
    </row>
    <row r="665" spans="1:4" ht="13.8" x14ac:dyDescent="0.25">
      <c r="A665" s="41">
        <v>6165.1392445000001</v>
      </c>
      <c r="B665" s="86">
        <f t="shared" si="10"/>
        <v>54006619.781819999</v>
      </c>
      <c r="C665" s="54">
        <v>5141399.945301678</v>
      </c>
      <c r="D665" s="20">
        <v>9.5631297222222234</v>
      </c>
    </row>
    <row r="666" spans="1:4" ht="13.8" x14ac:dyDescent="0.25">
      <c r="A666" s="40">
        <v>6167.2923433000005</v>
      </c>
      <c r="B666" s="86">
        <f t="shared" si="10"/>
        <v>54025480.927308008</v>
      </c>
      <c r="C666" s="54">
        <v>5141480.7565424209</v>
      </c>
      <c r="D666" s="20">
        <v>12.066319444444446</v>
      </c>
    </row>
    <row r="667" spans="1:4" ht="13.8" x14ac:dyDescent="0.25">
      <c r="A667" s="41">
        <v>6194.6048003000005</v>
      </c>
      <c r="B667" s="86">
        <f t="shared" si="10"/>
        <v>54264738.050628006</v>
      </c>
      <c r="C667" s="54">
        <v>5142450.2726159487</v>
      </c>
      <c r="D667" s="20">
        <v>15.409833055555556</v>
      </c>
    </row>
    <row r="668" spans="1:4" ht="13.8" x14ac:dyDescent="0.25">
      <c r="A668" s="40">
        <v>6198.9508701000004</v>
      </c>
      <c r="B668" s="86">
        <f t="shared" si="10"/>
        <v>54302809.622076005</v>
      </c>
      <c r="C668" s="54">
        <v>5142595.7003512159</v>
      </c>
      <c r="D668" s="20">
        <v>20.759454833333333</v>
      </c>
    </row>
    <row r="669" spans="1:4" ht="13.8" x14ac:dyDescent="0.25">
      <c r="A669" s="41">
        <v>6203.8750868000006</v>
      </c>
      <c r="B669" s="86">
        <f t="shared" si="10"/>
        <v>54345945.760368012</v>
      </c>
      <c r="C669" s="54">
        <v>5142750.4516409086</v>
      </c>
      <c r="D669" s="20">
        <v>36.161260611111111</v>
      </c>
    </row>
    <row r="670" spans="1:4" ht="13.8" x14ac:dyDescent="0.25">
      <c r="A670" s="40">
        <v>6212.0488878000006</v>
      </c>
      <c r="B670" s="86">
        <f t="shared" si="10"/>
        <v>54417548.257128008</v>
      </c>
      <c r="C670" s="54">
        <v>5142990.6899834946</v>
      </c>
      <c r="D670" s="20">
        <v>40.238711277777782</v>
      </c>
    </row>
    <row r="671" spans="1:4" ht="13.8" x14ac:dyDescent="0.25">
      <c r="A671" s="41">
        <v>6219.1062672000007</v>
      </c>
      <c r="B671" s="86">
        <f t="shared" si="10"/>
        <v>54479370.900672004</v>
      </c>
      <c r="C671" s="54">
        <v>5143183.7512870664</v>
      </c>
      <c r="D671" s="20">
        <v>46.622022888888893</v>
      </c>
    </row>
    <row r="672" spans="1:4" ht="13.8" x14ac:dyDescent="0.25">
      <c r="A672" s="40">
        <v>6238.2847953999999</v>
      </c>
      <c r="B672" s="86">
        <f t="shared" si="10"/>
        <v>54647374.807704002</v>
      </c>
      <c r="C672" s="54">
        <v>5143669.3637413485</v>
      </c>
      <c r="D672" s="20">
        <v>41.406324555555557</v>
      </c>
    </row>
    <row r="673" spans="1:4" ht="13.8" x14ac:dyDescent="0.25">
      <c r="A673" s="41">
        <v>6248.9506089000006</v>
      </c>
      <c r="B673" s="86">
        <f t="shared" si="10"/>
        <v>54740807.333964013</v>
      </c>
      <c r="C673" s="54">
        <v>5143917.720578935</v>
      </c>
      <c r="D673" s="20">
        <v>34.702633111111112</v>
      </c>
    </row>
    <row r="674" spans="1:4" ht="13.8" x14ac:dyDescent="0.25">
      <c r="A674" s="40">
        <v>6265.0789138</v>
      </c>
      <c r="B674" s="86">
        <f t="shared" si="10"/>
        <v>54882091.284887999</v>
      </c>
      <c r="C674" s="54">
        <v>5144260.4470580602</v>
      </c>
      <c r="D674" s="20">
        <v>12.529767722222223</v>
      </c>
    </row>
    <row r="675" spans="1:4" ht="13.8" x14ac:dyDescent="0.25">
      <c r="A675" s="41">
        <v>6269.8835139000003</v>
      </c>
      <c r="B675" s="86">
        <f t="shared" si="10"/>
        <v>54924179.581764005</v>
      </c>
      <c r="C675" s="54">
        <v>5144352.7659307988</v>
      </c>
      <c r="D675" s="20">
        <v>11.459497888888889</v>
      </c>
    </row>
    <row r="676" spans="1:4" ht="13.8" x14ac:dyDescent="0.25">
      <c r="A676" s="40">
        <v>6273.8906700000007</v>
      </c>
      <c r="B676" s="86">
        <f t="shared" si="10"/>
        <v>54959282.269200005</v>
      </c>
      <c r="C676" s="54">
        <v>5144421.6063401941</v>
      </c>
      <c r="D676" s="20">
        <v>14.922302944444446</v>
      </c>
    </row>
    <row r="677" spans="1:4" ht="13.8" x14ac:dyDescent="0.25">
      <c r="A677" s="41">
        <v>6288.9623616000008</v>
      </c>
      <c r="B677" s="86">
        <f t="shared" si="10"/>
        <v>55091310.287616</v>
      </c>
      <c r="C677" s="54">
        <v>5144649.8528221855</v>
      </c>
      <c r="D677" s="20">
        <v>18.931572555555555</v>
      </c>
    </row>
    <row r="678" spans="1:4" ht="13.8" x14ac:dyDescent="0.25">
      <c r="A678" s="40">
        <v>6324.2093863999999</v>
      </c>
      <c r="B678" s="86">
        <f t="shared" si="10"/>
        <v>55400074.224864006</v>
      </c>
      <c r="C678" s="54">
        <v>5145111.8967671702</v>
      </c>
      <c r="D678" s="20">
        <v>24.693227388888889</v>
      </c>
    </row>
    <row r="679" spans="1:4" ht="13.8" x14ac:dyDescent="0.25">
      <c r="A679" s="41">
        <v>6328.0969259000012</v>
      </c>
      <c r="B679" s="86">
        <f t="shared" si="10"/>
        <v>55434129.070884012</v>
      </c>
      <c r="C679" s="54">
        <v>5145154.9451251095</v>
      </c>
      <c r="D679" s="20">
        <v>29.654796333333334</v>
      </c>
    </row>
    <row r="680" spans="1:4" ht="13.8" x14ac:dyDescent="0.25">
      <c r="A680" s="40">
        <v>6348.9899587</v>
      </c>
      <c r="B680" s="86">
        <f t="shared" si="10"/>
        <v>55617152.038212001</v>
      </c>
      <c r="C680" s="54">
        <v>5145343.7785302941</v>
      </c>
      <c r="D680" s="20">
        <v>38.84226977777778</v>
      </c>
    </row>
    <row r="681" spans="1:4" ht="13.8" x14ac:dyDescent="0.25">
      <c r="A681" s="41">
        <v>6357.2036319000008</v>
      </c>
      <c r="B681" s="86">
        <f t="shared" si="10"/>
        <v>55689103.815444008</v>
      </c>
      <c r="C681" s="54">
        <v>5145401.2971432731</v>
      </c>
      <c r="D681" s="20">
        <v>60.793622944444451</v>
      </c>
    </row>
    <row r="682" spans="1:4" ht="13.8" x14ac:dyDescent="0.25">
      <c r="A682" s="40">
        <v>6383.4993478000006</v>
      </c>
      <c r="B682" s="86">
        <f t="shared" si="10"/>
        <v>55919454.28672801</v>
      </c>
      <c r="C682" s="54">
        <v>5145531.9203788545</v>
      </c>
      <c r="D682" s="20">
        <v>82.741318111111113</v>
      </c>
    </row>
    <row r="683" spans="1:4" ht="13.8" x14ac:dyDescent="0.25">
      <c r="A683" s="41">
        <v>6398.4912950000007</v>
      </c>
      <c r="B683" s="86">
        <f t="shared" si="10"/>
        <v>56050783.744200006</v>
      </c>
      <c r="C683" s="54">
        <v>5145575.8791087922</v>
      </c>
      <c r="D683" s="20">
        <v>97.003352055555567</v>
      </c>
    </row>
    <row r="684" spans="1:4" ht="13.8" x14ac:dyDescent="0.25">
      <c r="A684" s="40">
        <v>6431.8443902999998</v>
      </c>
      <c r="B684" s="86">
        <f t="shared" si="10"/>
        <v>56342956.859027997</v>
      </c>
      <c r="C684" s="54">
        <v>5145605.7915037395</v>
      </c>
      <c r="D684" s="20">
        <v>59.151689000000005</v>
      </c>
    </row>
    <row r="685" spans="1:4" ht="13.8" x14ac:dyDescent="0.25">
      <c r="A685" s="41">
        <v>6442.3507149999987</v>
      </c>
      <c r="B685" s="86">
        <f t="shared" si="10"/>
        <v>56434992.263399981</v>
      </c>
      <c r="C685" s="54">
        <v>5145593.8303069398</v>
      </c>
      <c r="D685" s="20">
        <v>61.663210833333338</v>
      </c>
    </row>
    <row r="686" spans="1:4" ht="13.8" x14ac:dyDescent="0.25">
      <c r="A686" s="40">
        <v>6458.7182531000008</v>
      </c>
      <c r="B686" s="86">
        <f t="shared" si="10"/>
        <v>56578371.897156008</v>
      </c>
      <c r="C686" s="54">
        <v>5145541.8831483806</v>
      </c>
      <c r="D686" s="20">
        <v>20.046043222222224</v>
      </c>
    </row>
    <row r="687" spans="1:4" ht="13.8" x14ac:dyDescent="0.25">
      <c r="A687" s="41">
        <v>6477.4183149</v>
      </c>
      <c r="B687" s="86">
        <f t="shared" si="10"/>
        <v>56742184.438523993</v>
      </c>
      <c r="C687" s="54">
        <v>5145444.4725104729</v>
      </c>
      <c r="D687" s="20">
        <v>14.081572611111111</v>
      </c>
    </row>
    <row r="688" spans="1:4" ht="13.8" x14ac:dyDescent="0.25">
      <c r="A688" s="40">
        <v>6522.2944760000009</v>
      </c>
      <c r="B688" s="86">
        <f t="shared" si="10"/>
        <v>57135299.609760001</v>
      </c>
      <c r="C688" s="54">
        <v>5145119.3705813149</v>
      </c>
      <c r="D688" s="20">
        <v>17.132954277777777</v>
      </c>
    </row>
    <row r="689" spans="1:4" ht="13.8" x14ac:dyDescent="0.25">
      <c r="A689" s="41">
        <v>6540.5160713999985</v>
      </c>
      <c r="B689" s="86">
        <f t="shared" si="10"/>
        <v>57294920.785463989</v>
      </c>
      <c r="C689" s="54">
        <v>5144950.2789176805</v>
      </c>
      <c r="D689" s="20">
        <v>20.543124777777781</v>
      </c>
    </row>
    <row r="690" spans="1:4" ht="13.8" x14ac:dyDescent="0.25">
      <c r="A690" s="40">
        <v>6546.0782432999995</v>
      </c>
      <c r="B690" s="86">
        <f t="shared" si="10"/>
        <v>57343645.411307998</v>
      </c>
      <c r="C690" s="54">
        <v>5144887.3426324753</v>
      </c>
      <c r="D690" s="20">
        <v>25.482339277777779</v>
      </c>
    </row>
    <row r="691" spans="1:4" ht="13.8" x14ac:dyDescent="0.25">
      <c r="A691" s="41">
        <v>6555.1092966000006</v>
      </c>
      <c r="B691" s="86">
        <f t="shared" si="10"/>
        <v>57422757.438216008</v>
      </c>
      <c r="C691" s="54">
        <v>5144766.7747136503</v>
      </c>
      <c r="D691" s="20">
        <v>33.768420555555558</v>
      </c>
    </row>
    <row r="692" spans="1:4" ht="13.8" x14ac:dyDescent="0.25">
      <c r="A692" s="40">
        <v>6580.308527000001</v>
      </c>
      <c r="B692" s="86">
        <f t="shared" si="10"/>
        <v>57643502.696520008</v>
      </c>
      <c r="C692" s="54">
        <v>5144379.0672236234</v>
      </c>
      <c r="D692" s="20">
        <v>45.676023444444446</v>
      </c>
    </row>
    <row r="693" spans="1:4" ht="13.8" x14ac:dyDescent="0.25">
      <c r="A693" s="41">
        <v>6603.7733166999997</v>
      </c>
      <c r="B693" s="86">
        <f t="shared" si="10"/>
        <v>57849054.254291996</v>
      </c>
      <c r="C693" s="54">
        <v>5143970.2870350275</v>
      </c>
      <c r="D693" s="20">
        <v>97.882186555555563</v>
      </c>
    </row>
    <row r="694" spans="1:4" ht="13.8" x14ac:dyDescent="0.25">
      <c r="A694" s="40">
        <v>6625.3641129999996</v>
      </c>
      <c r="B694" s="86">
        <f t="shared" si="10"/>
        <v>58038189.629879996</v>
      </c>
      <c r="C694" s="54">
        <v>5143550.2095995806</v>
      </c>
      <c r="D694" s="20">
        <v>69.932221444444451</v>
      </c>
    </row>
    <row r="695" spans="1:4" ht="13.8" x14ac:dyDescent="0.25">
      <c r="A695" s="41">
        <v>6632.8800227000002</v>
      </c>
      <c r="B695" s="86">
        <f t="shared" si="10"/>
        <v>58104028.998852007</v>
      </c>
      <c r="C695" s="54">
        <v>5143388.6804064447</v>
      </c>
      <c r="D695" s="20">
        <v>117.55013483333335</v>
      </c>
    </row>
    <row r="696" spans="1:4" ht="13.8" x14ac:dyDescent="0.25">
      <c r="A696" s="40">
        <v>6652.7563143999996</v>
      </c>
      <c r="B696" s="86">
        <f t="shared" si="10"/>
        <v>58278145.314143993</v>
      </c>
      <c r="C696" s="54">
        <v>5142921.0518521834</v>
      </c>
      <c r="D696" s="20">
        <v>50.900561944444448</v>
      </c>
    </row>
    <row r="697" spans="1:4" ht="13.8" x14ac:dyDescent="0.25">
      <c r="A697" s="41">
        <v>6672.4531812000005</v>
      </c>
      <c r="B697" s="86">
        <f t="shared" si="10"/>
        <v>58450689.867312007</v>
      </c>
      <c r="C697" s="54">
        <v>5142417.5552710192</v>
      </c>
      <c r="D697" s="20">
        <v>38.932297222222225</v>
      </c>
    </row>
    <row r="698" spans="1:4" ht="13.8" x14ac:dyDescent="0.25">
      <c r="A698" s="40">
        <v>6696.1771402000004</v>
      </c>
      <c r="B698" s="86">
        <f t="shared" si="10"/>
        <v>58658511.748152003</v>
      </c>
      <c r="C698" s="54">
        <v>5141762.8313281694</v>
      </c>
      <c r="D698" s="20">
        <v>31.106717500000002</v>
      </c>
    </row>
    <row r="699" spans="1:4" ht="13.8" x14ac:dyDescent="0.25">
      <c r="A699" s="41">
        <v>6701.8190565000023</v>
      </c>
      <c r="B699" s="86">
        <f t="shared" si="10"/>
        <v>58707934.934940018</v>
      </c>
      <c r="C699" s="54">
        <v>5141595.6449887389</v>
      </c>
      <c r="D699" s="20">
        <v>20.268266722222222</v>
      </c>
    </row>
    <row r="700" spans="1:4" ht="13.8" x14ac:dyDescent="0.25">
      <c r="A700" s="40">
        <v>6725.2838462</v>
      </c>
      <c r="B700" s="86">
        <f t="shared" si="10"/>
        <v>58913486.492711999</v>
      </c>
      <c r="C700" s="54">
        <v>5140852.5569691993</v>
      </c>
      <c r="D700" s="20">
        <v>23.128314666666668</v>
      </c>
    </row>
    <row r="701" spans="1:4" ht="13.8" x14ac:dyDescent="0.25">
      <c r="A701" s="41">
        <v>6736.0892123999993</v>
      </c>
      <c r="B701" s="86">
        <f t="shared" si="10"/>
        <v>59008141.500623994</v>
      </c>
      <c r="C701" s="54">
        <v>5140488.3779680422</v>
      </c>
      <c r="D701" s="20">
        <v>29.901711333333338</v>
      </c>
    </row>
    <row r="702" spans="1:4" ht="13.8" x14ac:dyDescent="0.25">
      <c r="A702" s="40">
        <v>6742.8276142000004</v>
      </c>
      <c r="B702" s="86">
        <f t="shared" si="10"/>
        <v>59067169.900392003</v>
      </c>
      <c r="C702" s="54">
        <v>5140247.5552531546</v>
      </c>
      <c r="D702" s="20">
        <v>34.008426</v>
      </c>
    </row>
    <row r="703" spans="1:4" ht="13.8" x14ac:dyDescent="0.25">
      <c r="A703" s="41">
        <v>6774.1272911999995</v>
      </c>
      <c r="B703" s="86">
        <f t="shared" si="10"/>
        <v>59341355.070911996</v>
      </c>
      <c r="C703" s="54">
        <v>5139065.2361345068</v>
      </c>
      <c r="D703" s="20">
        <v>43.168362833333333</v>
      </c>
    </row>
    <row r="704" spans="1:4" ht="13.8" x14ac:dyDescent="0.25">
      <c r="A704" s="40">
        <v>6782.2612200000003</v>
      </c>
      <c r="B704" s="86">
        <f t="shared" si="10"/>
        <v>59412608.287200004</v>
      </c>
      <c r="C704" s="54">
        <v>5138741.4286622507</v>
      </c>
      <c r="D704" s="20">
        <v>49.452298777777777</v>
      </c>
    </row>
    <row r="705" spans="1:4" ht="13.8" x14ac:dyDescent="0.25">
      <c r="A705" s="41">
        <v>6802.0178951000016</v>
      </c>
      <c r="B705" s="86">
        <f t="shared" si="10"/>
        <v>59585676.761076011</v>
      </c>
      <c r="C705" s="54">
        <v>5137914.7146321619</v>
      </c>
      <c r="D705" s="20">
        <v>105.0073608888889</v>
      </c>
    </row>
    <row r="706" spans="1:4" ht="13.8" x14ac:dyDescent="0.25">
      <c r="A706" s="40">
        <v>6808.6566164000014</v>
      </c>
      <c r="B706" s="86">
        <f t="shared" si="10"/>
        <v>59643831.95966401</v>
      </c>
      <c r="C706" s="54">
        <v>5137623.4068011399</v>
      </c>
      <c r="D706" s="20">
        <v>133.16136111111112</v>
      </c>
    </row>
    <row r="707" spans="1:4" ht="13.8" x14ac:dyDescent="0.25">
      <c r="A707" s="41">
        <v>6816.0927817000011</v>
      </c>
      <c r="B707" s="86">
        <f t="shared" ref="B707:B770" si="11">A707*24*365</f>
        <v>59708972.767692007</v>
      </c>
      <c r="C707" s="54">
        <v>5137281.9720923593</v>
      </c>
      <c r="D707" s="20">
        <v>100.26720255555557</v>
      </c>
    </row>
    <row r="708" spans="1:4" ht="13.8" x14ac:dyDescent="0.25">
      <c r="A708" s="40">
        <v>6817.2291393999994</v>
      </c>
      <c r="B708" s="86">
        <f t="shared" si="11"/>
        <v>59718927.261143997</v>
      </c>
      <c r="C708" s="54">
        <v>5137227.482895771</v>
      </c>
      <c r="D708" s="20">
        <v>54.444859111111114</v>
      </c>
    </row>
    <row r="709" spans="1:4" ht="13.8" x14ac:dyDescent="0.25">
      <c r="A709" s="41">
        <v>6818.9835161999999</v>
      </c>
      <c r="B709" s="86">
        <f t="shared" si="11"/>
        <v>59734295.601911992</v>
      </c>
      <c r="C709" s="54">
        <v>5137139.7885126946</v>
      </c>
      <c r="D709" s="20">
        <v>28.049645611111114</v>
      </c>
    </row>
    <row r="710" spans="1:4" ht="13.8" x14ac:dyDescent="0.25">
      <c r="A710" s="40">
        <v>6828.3136109999987</v>
      </c>
      <c r="B710" s="86">
        <f t="shared" si="11"/>
        <v>59816027.23235999</v>
      </c>
      <c r="C710" s="54">
        <v>5136654.4241479831</v>
      </c>
      <c r="D710" s="20">
        <v>25.666966666666671</v>
      </c>
    </row>
    <row r="711" spans="1:4" ht="13.8" x14ac:dyDescent="0.25">
      <c r="A711" s="41">
        <v>6849.2863882000001</v>
      </c>
      <c r="B711" s="86">
        <f t="shared" si="11"/>
        <v>59999748.760631993</v>
      </c>
      <c r="C711" s="54">
        <v>5135520.7052020384</v>
      </c>
      <c r="D711" s="20">
        <v>5.9029958888888894</v>
      </c>
    </row>
    <row r="712" spans="1:4" ht="13.8" x14ac:dyDescent="0.25">
      <c r="A712" s="40">
        <v>6854.9283045000011</v>
      </c>
      <c r="B712" s="86">
        <f t="shared" si="11"/>
        <v>60049171.947420008</v>
      </c>
      <c r="C712" s="54">
        <v>5135204.2387909926</v>
      </c>
      <c r="D712" s="20">
        <v>8.251025444444446</v>
      </c>
    </row>
    <row r="713" spans="1:4" ht="13.8" x14ac:dyDescent="0.25">
      <c r="A713" s="41">
        <v>6858.018399999999</v>
      </c>
      <c r="B713" s="86">
        <f t="shared" si="11"/>
        <v>60076241.183999985</v>
      </c>
      <c r="C713" s="54">
        <v>5135024.6198104639</v>
      </c>
      <c r="D713" s="20">
        <v>10.969833944444446</v>
      </c>
    </row>
    <row r="714" spans="1:4" ht="13.8" x14ac:dyDescent="0.25">
      <c r="A714" s="40">
        <v>6887.0652977</v>
      </c>
      <c r="B714" s="86">
        <f t="shared" si="11"/>
        <v>60330692.007852003</v>
      </c>
      <c r="C714" s="54">
        <v>5133277.0817782981</v>
      </c>
      <c r="D714" s="20">
        <v>11.992041722222224</v>
      </c>
    </row>
    <row r="715" spans="1:4" ht="13.8" x14ac:dyDescent="0.25">
      <c r="A715" s="41">
        <v>6897.3523252999976</v>
      </c>
      <c r="B715" s="86">
        <f t="shared" si="11"/>
        <v>60420806.369627975</v>
      </c>
      <c r="C715" s="54">
        <v>5132637.2496945355</v>
      </c>
      <c r="D715" s="20">
        <v>20.445273277777776</v>
      </c>
    </row>
    <row r="716" spans="1:4" ht="13.8" x14ac:dyDescent="0.25">
      <c r="A716" s="40">
        <v>6899.5253602000003</v>
      </c>
      <c r="B716" s="86">
        <f t="shared" si="11"/>
        <v>60439842.155351996</v>
      </c>
      <c r="C716" s="54">
        <v>5132497.6685540965</v>
      </c>
      <c r="D716" s="20">
        <v>29.790345555555561</v>
      </c>
    </row>
    <row r="717" spans="1:4" ht="13.8" x14ac:dyDescent="0.25">
      <c r="A717" s="41">
        <v>6902.8546889000008</v>
      </c>
      <c r="B717" s="86">
        <f t="shared" si="11"/>
        <v>60469007.074764013</v>
      </c>
      <c r="C717" s="54">
        <v>5132277.0386442859</v>
      </c>
      <c r="D717" s="20">
        <v>55.106957111111115</v>
      </c>
    </row>
    <row r="718" spans="1:4" ht="13.8" x14ac:dyDescent="0.25">
      <c r="A718" s="40">
        <v>6911.3674036000002</v>
      </c>
      <c r="B718" s="86">
        <f t="shared" si="11"/>
        <v>60543578.455536</v>
      </c>
      <c r="C718" s="54">
        <v>5131695.5870022103</v>
      </c>
      <c r="D718" s="20">
        <v>139.31432033333334</v>
      </c>
    </row>
    <row r="719" spans="1:4" ht="13.8" x14ac:dyDescent="0.25">
      <c r="A719" s="41">
        <v>6918.0459970999991</v>
      </c>
      <c r="B719" s="86">
        <f t="shared" si="11"/>
        <v>60602082.934595995</v>
      </c>
      <c r="C719" s="54">
        <v>5131225.8199491901</v>
      </c>
      <c r="D719" s="20">
        <v>78.373767722222226</v>
      </c>
    </row>
    <row r="720" spans="1:4" ht="13.8" x14ac:dyDescent="0.25">
      <c r="A720" s="40">
        <v>6926.8178811000016</v>
      </c>
      <c r="B720" s="86">
        <f t="shared" si="11"/>
        <v>60678924.638436012</v>
      </c>
      <c r="C720" s="54">
        <v>5130590.9589208458</v>
      </c>
      <c r="D720" s="20">
        <v>16.306246277777777</v>
      </c>
    </row>
    <row r="721" spans="1:4" ht="13.8" x14ac:dyDescent="0.25">
      <c r="A721" s="41">
        <v>6935.8489344000009</v>
      </c>
      <c r="B721" s="86">
        <f t="shared" si="11"/>
        <v>60758036.665344007</v>
      </c>
      <c r="C721" s="54">
        <v>5129918.9595876997</v>
      </c>
      <c r="D721" s="20">
        <v>22.505641777777782</v>
      </c>
    </row>
    <row r="722" spans="1:4" ht="13.8" x14ac:dyDescent="0.25">
      <c r="A722" s="40">
        <v>6944.8002432999992</v>
      </c>
      <c r="B722" s="86">
        <f t="shared" si="11"/>
        <v>60836450.131307989</v>
      </c>
      <c r="C722" s="54">
        <v>5129234.6752814101</v>
      </c>
      <c r="D722" s="20">
        <v>16.373716055555558</v>
      </c>
    </row>
    <row r="723" spans="1:4" ht="13.8" x14ac:dyDescent="0.25">
      <c r="A723" s="41">
        <v>7025.2424067999991</v>
      </c>
      <c r="B723" s="86">
        <f t="shared" si="11"/>
        <v>61541123.48356799</v>
      </c>
      <c r="C723" s="54">
        <v>5122921.5354145337</v>
      </c>
      <c r="D723" s="20">
        <v>7.4440300000000006</v>
      </c>
    </row>
    <row r="724" spans="1:4" ht="13.8" x14ac:dyDescent="0.25">
      <c r="A724" s="40">
        <v>7048.1888579000006</v>
      </c>
      <c r="B724" s="86">
        <f t="shared" si="11"/>
        <v>61742134.395204008</v>
      </c>
      <c r="C724" s="54">
        <v>5121073.9835641161</v>
      </c>
      <c r="D724" s="20">
        <v>10.95286488888889</v>
      </c>
    </row>
    <row r="725" spans="1:4" ht="13.8" x14ac:dyDescent="0.25">
      <c r="A725" s="41">
        <v>7064.8355013999999</v>
      </c>
      <c r="B725" s="86">
        <f t="shared" si="11"/>
        <v>61887958.992263995</v>
      </c>
      <c r="C725" s="54">
        <v>5119699.7845781604</v>
      </c>
      <c r="D725" s="20">
        <v>14.560669000000001</v>
      </c>
    </row>
    <row r="726" spans="1:4" ht="13.8" x14ac:dyDescent="0.25">
      <c r="A726" s="40">
        <v>7068.2246384000018</v>
      </c>
      <c r="B726" s="86">
        <f t="shared" si="11"/>
        <v>61917647.832384013</v>
      </c>
      <c r="C726" s="54">
        <v>5119413.1095743924</v>
      </c>
      <c r="D726" s="20">
        <v>17.185284000000003</v>
      </c>
    </row>
    <row r="727" spans="1:4" ht="13.8" x14ac:dyDescent="0.25">
      <c r="A727" s="41">
        <v>7076.4981198999985</v>
      </c>
      <c r="B727" s="86">
        <f t="shared" si="11"/>
        <v>61990123.530323982</v>
      </c>
      <c r="C727" s="54">
        <v>5118696.4461513367</v>
      </c>
      <c r="D727" s="20">
        <v>20.206283944444447</v>
      </c>
    </row>
    <row r="728" spans="1:4" ht="13.8" x14ac:dyDescent="0.25">
      <c r="A728" s="40">
        <v>7088.1408023000013</v>
      </c>
      <c r="B728" s="86">
        <f t="shared" si="11"/>
        <v>62092113.428148016</v>
      </c>
      <c r="C728" s="54">
        <v>5117664.2401220175</v>
      </c>
      <c r="D728" s="20">
        <v>31.795539222222224</v>
      </c>
    </row>
    <row r="729" spans="1:4" ht="13.8" x14ac:dyDescent="0.25">
      <c r="A729" s="41">
        <v>7094.8393319000006</v>
      </c>
      <c r="B729" s="86">
        <f t="shared" si="11"/>
        <v>62150792.547444001</v>
      </c>
      <c r="C729" s="54">
        <v>5117056.7345355712</v>
      </c>
      <c r="D729" s="20">
        <v>42.762528055555556</v>
      </c>
    </row>
    <row r="730" spans="1:4" ht="13.8" x14ac:dyDescent="0.25">
      <c r="A730" s="40">
        <v>7124.2849515999997</v>
      </c>
      <c r="B730" s="86">
        <f t="shared" si="11"/>
        <v>62408736.176016003</v>
      </c>
      <c r="C730" s="54">
        <v>5114326.310088017</v>
      </c>
      <c r="D730" s="20">
        <v>62.011127277777788</v>
      </c>
    </row>
    <row r="731" spans="1:4" ht="13.8" x14ac:dyDescent="0.25">
      <c r="A731" s="41">
        <v>7132.7976663000009</v>
      </c>
      <c r="B731" s="86">
        <f t="shared" si="11"/>
        <v>62483307.556788005</v>
      </c>
      <c r="C731" s="54">
        <v>5113519.6196099631</v>
      </c>
      <c r="D731" s="20">
        <v>78.611232888888892</v>
      </c>
    </row>
    <row r="732" spans="1:4" ht="13.8" x14ac:dyDescent="0.25">
      <c r="A732" s="40">
        <v>7152.8334468000003</v>
      </c>
      <c r="B732" s="86">
        <f t="shared" si="11"/>
        <v>62658820.993968002</v>
      </c>
      <c r="C732" s="54">
        <v>5111580.1895746663</v>
      </c>
      <c r="D732" s="20">
        <v>101.38380705555556</v>
      </c>
    </row>
    <row r="733" spans="1:4" ht="13.8" x14ac:dyDescent="0.25">
      <c r="A733" s="41">
        <v>7167.6659052000014</v>
      </c>
      <c r="B733" s="86">
        <f t="shared" si="11"/>
        <v>62788753.32955201</v>
      </c>
      <c r="C733" s="54">
        <v>5110114.2436745316</v>
      </c>
      <c r="D733" s="20">
        <v>38.858425944444448</v>
      </c>
    </row>
    <row r="734" spans="1:4" ht="13.8" x14ac:dyDescent="0.25">
      <c r="A734" s="40">
        <v>7177.2152971000014</v>
      </c>
      <c r="B734" s="86">
        <f t="shared" si="11"/>
        <v>62872406.002596006</v>
      </c>
      <c r="C734" s="54">
        <v>5109151.0064534666</v>
      </c>
      <c r="D734" s="20">
        <v>20.203642055555555</v>
      </c>
    </row>
    <row r="735" spans="1:4" ht="13.8" x14ac:dyDescent="0.25">
      <c r="A735" s="41">
        <v>7179.7073095999986</v>
      </c>
      <c r="B735" s="86">
        <f t="shared" si="11"/>
        <v>62894236.032095984</v>
      </c>
      <c r="C735" s="54">
        <v>5108894.5677136322</v>
      </c>
      <c r="D735" s="20">
        <v>6.6733097222222222</v>
      </c>
    </row>
    <row r="736" spans="1:4" ht="13.8" x14ac:dyDescent="0.25">
      <c r="A736" s="40">
        <v>7206.5811724000005</v>
      </c>
      <c r="B736" s="86">
        <f t="shared" si="11"/>
        <v>63129651.070224002</v>
      </c>
      <c r="C736" s="54">
        <v>5106074.4355407124</v>
      </c>
      <c r="D736" s="20">
        <v>6.8719594444444452</v>
      </c>
    </row>
    <row r="737" spans="1:4" ht="13.8" x14ac:dyDescent="0.25">
      <c r="A737" s="41">
        <v>7223.1680076000011</v>
      </c>
      <c r="B737" s="86">
        <f t="shared" si="11"/>
        <v>63274951.746576011</v>
      </c>
      <c r="C737" s="54">
        <v>5104300.0603867183</v>
      </c>
      <c r="D737" s="20">
        <v>7.2878537222222226</v>
      </c>
    </row>
    <row r="738" spans="1:4" ht="13.8" x14ac:dyDescent="0.25">
      <c r="A738" s="40">
        <v>7229.8665371999996</v>
      </c>
      <c r="B738" s="86">
        <f t="shared" si="11"/>
        <v>63333630.865871996</v>
      </c>
      <c r="C738" s="54">
        <v>5103569.8521809271</v>
      </c>
      <c r="D738" s="20">
        <v>10.269530166666668</v>
      </c>
    </row>
    <row r="739" spans="1:4" ht="13.8" x14ac:dyDescent="0.25">
      <c r="A739" s="41">
        <v>7252.7930522000024</v>
      </c>
      <c r="B739" s="86">
        <f t="shared" si="11"/>
        <v>63534467.137272023</v>
      </c>
      <c r="C739" s="54">
        <v>5101023.9649645928</v>
      </c>
      <c r="D739" s="20">
        <v>18.057615388888891</v>
      </c>
    </row>
    <row r="740" spans="1:4" ht="13.8" x14ac:dyDescent="0.25">
      <c r="A740" s="40">
        <v>7263.5784823000013</v>
      </c>
      <c r="B740" s="86">
        <f t="shared" si="11"/>
        <v>63628947.50494802</v>
      </c>
      <c r="C740" s="54">
        <v>5099804.3393071434</v>
      </c>
      <c r="D740" s="20">
        <v>23.180034722222224</v>
      </c>
    </row>
    <row r="741" spans="1:4" ht="13.8" x14ac:dyDescent="0.25">
      <c r="A741" s="41">
        <v>7295.0177119999989</v>
      </c>
      <c r="B741" s="86">
        <f t="shared" si="11"/>
        <v>63904355.157119982</v>
      </c>
      <c r="C741" s="54">
        <v>5096185.1755647715</v>
      </c>
      <c r="D741" s="20">
        <v>50.84762255555556</v>
      </c>
    </row>
    <row r="742" spans="1:4" ht="13.8" x14ac:dyDescent="0.25">
      <c r="A742" s="40">
        <v>7297.7489577000015</v>
      </c>
      <c r="B742" s="86">
        <f t="shared" si="11"/>
        <v>63928280.869452015</v>
      </c>
      <c r="C742" s="54">
        <v>5095865.2060696855</v>
      </c>
      <c r="D742" s="20">
        <v>145.41647400000002</v>
      </c>
    </row>
    <row r="743" spans="1:4" ht="13.8" x14ac:dyDescent="0.25">
      <c r="A743" s="41">
        <v>7309.5710650000001</v>
      </c>
      <c r="B743" s="86">
        <f t="shared" si="11"/>
        <v>64031842.529399998</v>
      </c>
      <c r="C743" s="54">
        <v>5094456.166896183</v>
      </c>
      <c r="D743" s="20">
        <v>57.399202166666669</v>
      </c>
    </row>
    <row r="744" spans="1:4" ht="13.8" x14ac:dyDescent="0.25">
      <c r="A744" s="40">
        <v>7321.5127889000014</v>
      </c>
      <c r="B744" s="86">
        <f t="shared" si="11"/>
        <v>64136452.030764021</v>
      </c>
      <c r="C744" s="54">
        <v>5093008.5658210013</v>
      </c>
      <c r="D744" s="20">
        <v>22.50299988888889</v>
      </c>
    </row>
    <row r="745" spans="1:4" ht="13.8" x14ac:dyDescent="0.25">
      <c r="A745" s="41">
        <v>7327.7527882000004</v>
      </c>
      <c r="B745" s="86">
        <f t="shared" si="11"/>
        <v>64191114.424632005</v>
      </c>
      <c r="C745" s="54">
        <v>5092239.4395132298</v>
      </c>
      <c r="D745" s="20">
        <v>11.126619888888891</v>
      </c>
    </row>
    <row r="746" spans="1:4" ht="13.8" x14ac:dyDescent="0.25">
      <c r="A746" s="40">
        <v>7343.6019877000017</v>
      </c>
      <c r="B746" s="86">
        <f t="shared" si="11"/>
        <v>64329953.412252024</v>
      </c>
      <c r="C746" s="54">
        <v>5090253.6497078463</v>
      </c>
      <c r="D746" s="20">
        <v>4.1781472777777786</v>
      </c>
    </row>
    <row r="747" spans="1:4" ht="13.8" x14ac:dyDescent="0.25">
      <c r="A747" s="41">
        <v>7367.6249882000011</v>
      </c>
      <c r="B747" s="86">
        <f t="shared" si="11"/>
        <v>64540394.896632008</v>
      </c>
      <c r="C747" s="54">
        <v>5087194.8474926949</v>
      </c>
      <c r="D747" s="20">
        <v>12.486583000000001</v>
      </c>
    </row>
    <row r="748" spans="1:4" ht="13.8" x14ac:dyDescent="0.25">
      <c r="A748" s="40">
        <v>7372.1106107000014</v>
      </c>
      <c r="B748" s="86">
        <f t="shared" si="11"/>
        <v>64579688.949732013</v>
      </c>
      <c r="C748" s="54">
        <v>5086614.5721916854</v>
      </c>
      <c r="D748" s="20">
        <v>8.4461187777777784</v>
      </c>
    </row>
    <row r="749" spans="1:4" ht="13.8" x14ac:dyDescent="0.25">
      <c r="A749" s="41">
        <v>7405.6231947999995</v>
      </c>
      <c r="B749" s="86">
        <f t="shared" si="11"/>
        <v>64873259.186448</v>
      </c>
      <c r="C749" s="54">
        <v>5082211.0622446798</v>
      </c>
      <c r="D749" s="20">
        <v>11.735168833333333</v>
      </c>
    </row>
    <row r="750" spans="1:4" ht="13.8" x14ac:dyDescent="0.25">
      <c r="A750" s="40">
        <v>7441.6277913999993</v>
      </c>
      <c r="B750" s="86">
        <f t="shared" si="11"/>
        <v>65188659.452663995</v>
      </c>
      <c r="C750" s="54">
        <v>5077406.8243665686</v>
      </c>
      <c r="D750" s="20">
        <v>17.474672444444447</v>
      </c>
    </row>
    <row r="751" spans="1:4" ht="13.8" x14ac:dyDescent="0.25">
      <c r="A751" s="41">
        <v>7444.9172478999999</v>
      </c>
      <c r="B751" s="86">
        <f t="shared" si="11"/>
        <v>65217475.091603994</v>
      </c>
      <c r="C751" s="54">
        <v>5076961.2038956359</v>
      </c>
      <c r="D751" s="20">
        <v>34.954222222222221</v>
      </c>
    </row>
    <row r="752" spans="1:4" ht="13.8" x14ac:dyDescent="0.25">
      <c r="A752" s="40">
        <v>7465.4713670000001</v>
      </c>
      <c r="B752" s="86">
        <f t="shared" si="11"/>
        <v>65397529.174920008</v>
      </c>
      <c r="C752" s="54">
        <v>5074134.9170076801</v>
      </c>
      <c r="D752" s="20">
        <v>51.036517611111115</v>
      </c>
    </row>
    <row r="753" spans="1:4" ht="13.8" x14ac:dyDescent="0.25">
      <c r="A753" s="41">
        <v>7504.8850367000005</v>
      </c>
      <c r="B753" s="86">
        <f t="shared" si="11"/>
        <v>65742792.921492003</v>
      </c>
      <c r="C753" s="54">
        <v>5068635.1350029325</v>
      </c>
      <c r="D753" s="20">
        <v>115.01788433333334</v>
      </c>
    </row>
    <row r="754" spans="1:4" ht="13.8" x14ac:dyDescent="0.25">
      <c r="A754" s="40">
        <v>7540.1121253999981</v>
      </c>
      <c r="B754" s="86">
        <f t="shared" si="11"/>
        <v>66051382.218503982</v>
      </c>
      <c r="C754" s="54">
        <v>5063647.850098554</v>
      </c>
      <c r="D754" s="20">
        <v>131.29710205555557</v>
      </c>
    </row>
    <row r="755" spans="1:4" ht="13.8" x14ac:dyDescent="0.25">
      <c r="A755" s="41">
        <v>7546.3321886000022</v>
      </c>
      <c r="B755" s="86">
        <f t="shared" si="11"/>
        <v>66105869.972136021</v>
      </c>
      <c r="C755" s="54">
        <v>5062754.583122734</v>
      </c>
      <c r="D755" s="20">
        <v>140.58903172222224</v>
      </c>
    </row>
    <row r="756" spans="1:4" ht="13.8" x14ac:dyDescent="0.25">
      <c r="A756" s="40">
        <v>7555.7818999999981</v>
      </c>
      <c r="B756" s="86">
        <f t="shared" si="11"/>
        <v>66188649.443999983</v>
      </c>
      <c r="C756" s="54">
        <v>5061378.2712992691</v>
      </c>
      <c r="D756" s="20">
        <v>80.860801277777782</v>
      </c>
    </row>
    <row r="757" spans="1:4" ht="13.8" x14ac:dyDescent="0.25">
      <c r="A757" s="41">
        <v>7578.7084150000001</v>
      </c>
      <c r="B757" s="86">
        <f t="shared" si="11"/>
        <v>66389485.715399995</v>
      </c>
      <c r="C757" s="54">
        <v>5057992.4554386036</v>
      </c>
      <c r="D757" s="20">
        <v>29.710174388888891</v>
      </c>
    </row>
    <row r="758" spans="1:4" ht="13.8" x14ac:dyDescent="0.25">
      <c r="A758" s="40">
        <v>7585.1079031000008</v>
      </c>
      <c r="B758" s="86">
        <f t="shared" si="11"/>
        <v>66445545.231156006</v>
      </c>
      <c r="C758" s="54">
        <v>5057034.3462048965</v>
      </c>
      <c r="D758" s="20">
        <v>7.7408360555555564</v>
      </c>
    </row>
    <row r="759" spans="1:4" ht="13.8" x14ac:dyDescent="0.25">
      <c r="A759" s="41">
        <v>7588.6565289</v>
      </c>
      <c r="B759" s="86">
        <f t="shared" si="11"/>
        <v>66476631.193164006</v>
      </c>
      <c r="C759" s="54">
        <v>5056495.8356437869</v>
      </c>
      <c r="D759" s="20">
        <v>5.2547170000000003</v>
      </c>
    </row>
    <row r="760" spans="1:4" ht="13.8" x14ac:dyDescent="0.25">
      <c r="A760" s="40">
        <v>7601.6149938999988</v>
      </c>
      <c r="B760" s="86">
        <f t="shared" si="11"/>
        <v>66590147.346563987</v>
      </c>
      <c r="C760" s="54">
        <v>5054502.9899227135</v>
      </c>
      <c r="D760" s="20">
        <v>7.3340867777777792</v>
      </c>
    </row>
    <row r="761" spans="1:4" ht="13.8" x14ac:dyDescent="0.25">
      <c r="A761" s="41">
        <v>7614.2943535000022</v>
      </c>
      <c r="B761" s="86">
        <f t="shared" si="11"/>
        <v>66701218.536660023</v>
      </c>
      <c r="C761" s="54">
        <v>5052527.2605292788</v>
      </c>
      <c r="D761" s="20">
        <v>11.310536000000001</v>
      </c>
    </row>
    <row r="762" spans="1:4" ht="13.8" x14ac:dyDescent="0.25">
      <c r="A762" s="40">
        <v>7620.8533304000002</v>
      </c>
      <c r="B762" s="86">
        <f t="shared" si="11"/>
        <v>66758675.174304001</v>
      </c>
      <c r="C762" s="54">
        <v>5051491.8748217067</v>
      </c>
      <c r="D762" s="20">
        <v>15.684995944444445</v>
      </c>
    </row>
    <row r="763" spans="1:4" ht="13.8" x14ac:dyDescent="0.25">
      <c r="A763" s="41">
        <v>7624.023170299999</v>
      </c>
      <c r="B763" s="86">
        <f t="shared" si="11"/>
        <v>66786442.971827991</v>
      </c>
      <c r="C763" s="54">
        <v>5050985.0392217133</v>
      </c>
      <c r="D763" s="20">
        <v>24.70034016666667</v>
      </c>
    </row>
    <row r="764" spans="1:4" ht="13.8" x14ac:dyDescent="0.25">
      <c r="A764" s="40">
        <v>7624.3222117999994</v>
      </c>
      <c r="B764" s="86">
        <f t="shared" si="11"/>
        <v>66789062.575368002</v>
      </c>
      <c r="C764" s="54">
        <v>5050936.6158985207</v>
      </c>
      <c r="D764" s="20">
        <v>31.198878777777779</v>
      </c>
    </row>
    <row r="765" spans="1:4" ht="13.8" x14ac:dyDescent="0.25">
      <c r="A765" s="41">
        <v>7638.5167149999988</v>
      </c>
      <c r="B765" s="86">
        <f t="shared" si="11"/>
        <v>66913406.423399992</v>
      </c>
      <c r="C765" s="54">
        <v>5048609.2318585012</v>
      </c>
      <c r="D765" s="20">
        <v>89.476610611111127</v>
      </c>
    </row>
    <row r="766" spans="1:4" ht="13.8" x14ac:dyDescent="0.25">
      <c r="A766" s="40">
        <v>7647.1689824000023</v>
      </c>
      <c r="B766" s="86">
        <f t="shared" si="11"/>
        <v>66989200.285824023</v>
      </c>
      <c r="C766" s="54">
        <v>5047172.9635112425</v>
      </c>
      <c r="D766" s="20">
        <v>52.26164277777778</v>
      </c>
    </row>
    <row r="767" spans="1:4" ht="13.8" x14ac:dyDescent="0.25">
      <c r="A767" s="41">
        <v>7708.7117230999993</v>
      </c>
      <c r="B767" s="86">
        <f t="shared" si="11"/>
        <v>67528314.694355994</v>
      </c>
      <c r="C767" s="54">
        <v>5036831.6668269839</v>
      </c>
      <c r="D767" s="20">
        <v>98.317996611111127</v>
      </c>
    </row>
    <row r="768" spans="1:4" ht="13.8" x14ac:dyDescent="0.25">
      <c r="A768" s="40">
        <v>7775.497658100001</v>
      </c>
      <c r="B768" s="86">
        <f t="shared" si="11"/>
        <v>68113359.484956011</v>
      </c>
      <c r="C768" s="54">
        <v>5025473.4027235229</v>
      </c>
      <c r="D768" s="20">
        <v>41.484158666666673</v>
      </c>
    </row>
    <row r="769" spans="1:4" ht="13.8" x14ac:dyDescent="0.25">
      <c r="A769" s="41">
        <v>7808.1131177000007</v>
      </c>
      <c r="B769" s="86">
        <f t="shared" si="11"/>
        <v>68399070.911052018</v>
      </c>
      <c r="C769" s="54">
        <v>5019860.1184428278</v>
      </c>
      <c r="D769" s="20">
        <v>44.354469333333341</v>
      </c>
    </row>
    <row r="770" spans="1:4" ht="13.8" x14ac:dyDescent="0.25">
      <c r="A770" s="40">
        <v>7809.2893475999999</v>
      </c>
      <c r="B770" s="86">
        <f t="shared" si="11"/>
        <v>68409374.684975997</v>
      </c>
      <c r="C770" s="54">
        <v>5019655.2893745089</v>
      </c>
      <c r="D770" s="20">
        <v>11.534893333333335</v>
      </c>
    </row>
    <row r="771" spans="1:4" ht="13.8" x14ac:dyDescent="0.25">
      <c r="A771" s="41">
        <v>7863.4357952</v>
      </c>
      <c r="B771" s="86">
        <f t="shared" ref="B771:B834" si="12">A771*24*365</f>
        <v>68883697.565952003</v>
      </c>
      <c r="C771" s="54">
        <v>5010116.003743195</v>
      </c>
      <c r="D771" s="20">
        <v>9.5530702222222228</v>
      </c>
    </row>
    <row r="772" spans="1:4" ht="13.8" x14ac:dyDescent="0.25">
      <c r="A772" s="40">
        <v>7886.7012238999996</v>
      </c>
      <c r="B772" s="86">
        <f t="shared" si="12"/>
        <v>69087502.721363991</v>
      </c>
      <c r="C772" s="54">
        <v>5005969.8492075363</v>
      </c>
      <c r="D772" s="20">
        <v>11.893478944444446</v>
      </c>
    </row>
    <row r="773" spans="1:4" ht="13.8" x14ac:dyDescent="0.25">
      <c r="A773" s="41">
        <v>7894.8351527000013</v>
      </c>
      <c r="B773" s="86">
        <f t="shared" si="12"/>
        <v>69158755.937652007</v>
      </c>
      <c r="C773" s="54">
        <v>5004503.7387789888</v>
      </c>
      <c r="D773" s="20">
        <v>12.098022111111112</v>
      </c>
    </row>
    <row r="774" spans="1:4" ht="13.8" x14ac:dyDescent="0.25">
      <c r="A774" s="40">
        <v>7897.3670373999994</v>
      </c>
      <c r="B774" s="86">
        <f t="shared" si="12"/>
        <v>69180935.247623995</v>
      </c>
      <c r="C774" s="54">
        <v>5004042.2227886235</v>
      </c>
      <c r="D774" s="20">
        <v>15.849605944444445</v>
      </c>
    </row>
    <row r="775" spans="1:4" ht="13.8" x14ac:dyDescent="0.25">
      <c r="A775" s="41">
        <v>7910.4650550999995</v>
      </c>
      <c r="B775" s="86">
        <f t="shared" si="12"/>
        <v>69295673.88267599</v>
      </c>
      <c r="C775" s="54">
        <v>5001628.0365801174</v>
      </c>
      <c r="D775" s="20">
        <v>22.471906888888892</v>
      </c>
    </row>
    <row r="776" spans="1:4" ht="13.8" x14ac:dyDescent="0.25">
      <c r="A776" s="40">
        <v>7922.2672263000022</v>
      </c>
      <c r="B776" s="86">
        <f t="shared" si="12"/>
        <v>69399060.902388021</v>
      </c>
      <c r="C776" s="54">
        <v>4999428.6756524527</v>
      </c>
      <c r="D776" s="20">
        <v>44.156734111111113</v>
      </c>
    </row>
    <row r="777" spans="1:4" ht="13.8" x14ac:dyDescent="0.25">
      <c r="A777" s="41">
        <v>7937.9968092000017</v>
      </c>
      <c r="B777" s="86">
        <f t="shared" si="12"/>
        <v>69536852.048592016</v>
      </c>
      <c r="C777" s="54">
        <v>4996465.4181229481</v>
      </c>
      <c r="D777" s="20">
        <v>40.458699333333335</v>
      </c>
    </row>
    <row r="778" spans="1:4" ht="13.8" x14ac:dyDescent="0.25">
      <c r="A778" s="40">
        <v>7947.7455621000026</v>
      </c>
      <c r="B778" s="86">
        <f t="shared" si="12"/>
        <v>69622251.123996019</v>
      </c>
      <c r="C778" s="54">
        <v>4994609.0326903798</v>
      </c>
      <c r="D778" s="20">
        <v>36.849472666666671</v>
      </c>
    </row>
    <row r="779" spans="1:4" ht="13.8" x14ac:dyDescent="0.25">
      <c r="A779" s="41">
        <v>7973.4631311000003</v>
      </c>
      <c r="B779" s="86">
        <f t="shared" si="12"/>
        <v>69847537.028436005</v>
      </c>
      <c r="C779" s="54">
        <v>4989659.4762067692</v>
      </c>
      <c r="D779" s="20">
        <v>74.290626833333349</v>
      </c>
    </row>
    <row r="780" spans="1:4" ht="13.8" x14ac:dyDescent="0.25">
      <c r="A780" s="40">
        <v>7981.6169960000016</v>
      </c>
      <c r="B780" s="86">
        <f t="shared" si="12"/>
        <v>69918964.884960011</v>
      </c>
      <c r="C780" s="54">
        <v>4988073.6025293097</v>
      </c>
      <c r="D780" s="20">
        <v>42.542946444444446</v>
      </c>
    </row>
    <row r="781" spans="1:4" ht="13.8" x14ac:dyDescent="0.25">
      <c r="A781" s="41">
        <v>7984.7270276000008</v>
      </c>
      <c r="B781" s="86">
        <f t="shared" si="12"/>
        <v>69946208.761776</v>
      </c>
      <c r="C781" s="54">
        <v>4987462.3917186297</v>
      </c>
      <c r="D781" s="20">
        <v>34.74632588888889</v>
      </c>
    </row>
    <row r="782" spans="1:4" ht="13.8" x14ac:dyDescent="0.25">
      <c r="A782" s="40">
        <v>8007.2348844999997</v>
      </c>
      <c r="B782" s="86">
        <f t="shared" si="12"/>
        <v>70143377.588219985</v>
      </c>
      <c r="C782" s="54">
        <v>4982993.1387762781</v>
      </c>
      <c r="D782" s="20">
        <v>40.845329611111111</v>
      </c>
    </row>
    <row r="783" spans="1:4" ht="13.8" x14ac:dyDescent="0.25">
      <c r="A783" s="41">
        <v>8013.8536697</v>
      </c>
      <c r="B783" s="86">
        <f t="shared" si="12"/>
        <v>70201358.146571994</v>
      </c>
      <c r="C783" s="54">
        <v>4981665.4141559293</v>
      </c>
      <c r="D783" s="20">
        <v>25.63323177777778</v>
      </c>
    </row>
    <row r="784" spans="1:4" ht="13.8" x14ac:dyDescent="0.25">
      <c r="A784" s="40">
        <v>8020.6120076000007</v>
      </c>
      <c r="B784" s="86">
        <f t="shared" si="12"/>
        <v>70260561.186576009</v>
      </c>
      <c r="C784" s="54">
        <v>4980295.9399886196</v>
      </c>
      <c r="D784" s="20">
        <v>22.893999444444447</v>
      </c>
    </row>
    <row r="785" spans="1:4" ht="13.8" x14ac:dyDescent="0.25">
      <c r="A785" s="41">
        <v>8033.5904087000008</v>
      </c>
      <c r="B785" s="86">
        <f t="shared" si="12"/>
        <v>70374251.980212003</v>
      </c>
      <c r="C785" s="54">
        <v>4977639.6496705459</v>
      </c>
      <c r="D785" s="20">
        <v>27.942344277777782</v>
      </c>
    </row>
    <row r="786" spans="1:4" ht="13.8" x14ac:dyDescent="0.25">
      <c r="A786" s="40">
        <v>8037.5975647999994</v>
      </c>
      <c r="B786" s="86">
        <f t="shared" si="12"/>
        <v>70409354.667648003</v>
      </c>
      <c r="C786" s="54">
        <v>4976811.3489047633</v>
      </c>
      <c r="D786" s="20">
        <v>31.572909277777779</v>
      </c>
    </row>
    <row r="787" spans="1:4" ht="13.8" x14ac:dyDescent="0.25">
      <c r="A787" s="41">
        <v>8037.7171813999994</v>
      </c>
      <c r="B787" s="86">
        <f t="shared" si="12"/>
        <v>70410402.509063989</v>
      </c>
      <c r="C787" s="54">
        <v>4976786.3800511928</v>
      </c>
      <c r="D787" s="20">
        <v>34.129343222222225</v>
      </c>
    </row>
    <row r="788" spans="1:4" ht="13.8" x14ac:dyDescent="0.25">
      <c r="A788" s="40">
        <v>8079.6627357999996</v>
      </c>
      <c r="B788" s="86">
        <f t="shared" si="12"/>
        <v>70777845.565607995</v>
      </c>
      <c r="C788" s="54">
        <v>4967945.2629413884</v>
      </c>
      <c r="D788" s="20">
        <v>34.668796611111119</v>
      </c>
    </row>
    <row r="789" spans="1:4" ht="13.8" x14ac:dyDescent="0.25">
      <c r="A789" s="41">
        <v>8084.0486777999995</v>
      </c>
      <c r="B789" s="86">
        <f t="shared" si="12"/>
        <v>70816266.417528003</v>
      </c>
      <c r="C789" s="54">
        <v>4967011.8847547071</v>
      </c>
      <c r="D789" s="20">
        <v>38.808839722222224</v>
      </c>
    </row>
    <row r="790" spans="1:4" ht="13.8" x14ac:dyDescent="0.25">
      <c r="A790" s="40">
        <v>8123.9208778000011</v>
      </c>
      <c r="B790" s="86">
        <f t="shared" si="12"/>
        <v>71165546.889528006</v>
      </c>
      <c r="C790" s="54">
        <v>4958445.4759861184</v>
      </c>
      <c r="D790" s="20">
        <v>42.937095944444451</v>
      </c>
    </row>
    <row r="791" spans="1:4" ht="13.8" x14ac:dyDescent="0.25">
      <c r="A791" s="41">
        <v>8133.9686721999979</v>
      </c>
      <c r="B791" s="86">
        <f t="shared" si="12"/>
        <v>71253565.568471983</v>
      </c>
      <c r="C791" s="54">
        <v>4956266.2905398775</v>
      </c>
      <c r="D791" s="20">
        <v>41.180747888888888</v>
      </c>
    </row>
    <row r="792" spans="1:4" ht="13.8" x14ac:dyDescent="0.25">
      <c r="A792" s="40">
        <v>8134.6265635000009</v>
      </c>
      <c r="B792" s="86">
        <f t="shared" si="12"/>
        <v>71259328.696260005</v>
      </c>
      <c r="C792" s="54">
        <v>4956122.2667618329</v>
      </c>
      <c r="D792" s="20">
        <v>42.756228166666666</v>
      </c>
    </row>
    <row r="793" spans="1:4" ht="13.8" x14ac:dyDescent="0.25">
      <c r="A793" s="41">
        <v>8139.1919303999994</v>
      </c>
      <c r="B793" s="86">
        <f t="shared" si="12"/>
        <v>71299321.310303986</v>
      </c>
      <c r="C793" s="54">
        <v>4955113.5370651446</v>
      </c>
      <c r="D793" s="20">
        <v>44.297567111111114</v>
      </c>
    </row>
    <row r="794" spans="1:4" ht="13.8" x14ac:dyDescent="0.25">
      <c r="A794" s="40">
        <v>8195.9699431999998</v>
      </c>
      <c r="B794" s="86">
        <f t="shared" si="12"/>
        <v>71796696.702432007</v>
      </c>
      <c r="C794" s="54">
        <v>4942452.7261904543</v>
      </c>
      <c r="D794" s="20">
        <v>26.220645611111113</v>
      </c>
    </row>
    <row r="795" spans="1:4" ht="13.8" x14ac:dyDescent="0.25">
      <c r="A795" s="41">
        <v>8196.0297515000002</v>
      </c>
      <c r="B795" s="86">
        <f t="shared" si="12"/>
        <v>71797220.623140007</v>
      </c>
      <c r="C795" s="54">
        <v>4942439.2679333566</v>
      </c>
      <c r="D795" s="20">
        <v>38.859950111111111</v>
      </c>
    </row>
    <row r="796" spans="1:4" ht="13.8" x14ac:dyDescent="0.25">
      <c r="A796" s="40">
        <v>8200.0169715000011</v>
      </c>
      <c r="B796" s="86">
        <f t="shared" si="12"/>
        <v>71832148.670340016</v>
      </c>
      <c r="C796" s="54">
        <v>4941533.9355408847</v>
      </c>
      <c r="D796" s="20">
        <v>28.779416611111113</v>
      </c>
    </row>
    <row r="797" spans="1:4" ht="13.8" x14ac:dyDescent="0.25">
      <c r="A797" s="41">
        <v>8224.3190774000013</v>
      </c>
      <c r="B797" s="86">
        <f t="shared" si="12"/>
        <v>72045035.118024006</v>
      </c>
      <c r="C797" s="54">
        <v>4935966.4721441548</v>
      </c>
      <c r="D797" s="20">
        <v>38.251197944444449</v>
      </c>
    </row>
    <row r="798" spans="1:4" ht="13.8" x14ac:dyDescent="0.25">
      <c r="A798" s="40">
        <v>8232.0343481000018</v>
      </c>
      <c r="B798" s="86">
        <f t="shared" si="12"/>
        <v>72112620.889356017</v>
      </c>
      <c r="C798" s="54">
        <v>4934183.2479371503</v>
      </c>
      <c r="D798" s="20">
        <v>40.197253944444448</v>
      </c>
    </row>
    <row r="799" spans="1:4" ht="13.8" x14ac:dyDescent="0.25">
      <c r="A799" s="41">
        <v>8242.7400337999989</v>
      </c>
      <c r="B799" s="86">
        <f t="shared" si="12"/>
        <v>72206402.696087986</v>
      </c>
      <c r="C799" s="54">
        <v>4931687.0621036543</v>
      </c>
      <c r="D799" s="20">
        <v>49.883333111111114</v>
      </c>
    </row>
    <row r="800" spans="1:4" ht="13.8" x14ac:dyDescent="0.25">
      <c r="A800" s="40">
        <v>8255.0804797000001</v>
      </c>
      <c r="B800" s="86">
        <f t="shared" si="12"/>
        <v>72314505.002171993</v>
      </c>
      <c r="C800" s="54">
        <v>4928784.5915217362</v>
      </c>
      <c r="D800" s="20">
        <v>70.507340333333332</v>
      </c>
    </row>
    <row r="801" spans="1:4" ht="13.8" x14ac:dyDescent="0.25">
      <c r="A801" s="41">
        <v>8278.4455888999983</v>
      </c>
      <c r="B801" s="86">
        <f t="shared" si="12"/>
        <v>72519183.358763978</v>
      </c>
      <c r="C801" s="54">
        <v>4923241.5668006027</v>
      </c>
      <c r="D801" s="20">
        <v>74.432577555555554</v>
      </c>
    </row>
    <row r="802" spans="1:4" ht="13.8" x14ac:dyDescent="0.25">
      <c r="A802" s="40">
        <v>8325.5147210000014</v>
      </c>
      <c r="B802" s="86">
        <f t="shared" si="12"/>
        <v>72931508.95596002</v>
      </c>
      <c r="C802" s="54">
        <v>4911979.3145656521</v>
      </c>
      <c r="D802" s="20">
        <v>75.554567444444444</v>
      </c>
    </row>
    <row r="803" spans="1:4" ht="13.8" x14ac:dyDescent="0.25">
      <c r="A803" s="41">
        <v>8346.9260924000009</v>
      </c>
      <c r="B803" s="86">
        <f t="shared" si="12"/>
        <v>73119072.569424003</v>
      </c>
      <c r="C803" s="54">
        <v>4906812.6272727586</v>
      </c>
      <c r="D803" s="20">
        <v>82.48596938888889</v>
      </c>
    </row>
    <row r="804" spans="1:4" ht="13.8" x14ac:dyDescent="0.25">
      <c r="A804" s="40">
        <v>8370.3111377000005</v>
      </c>
      <c r="B804" s="86">
        <f t="shared" si="12"/>
        <v>73323925.566251993</v>
      </c>
      <c r="C804" s="54">
        <v>4901122.0851388127</v>
      </c>
      <c r="D804" s="20">
        <v>56.801830444444448</v>
      </c>
    </row>
    <row r="805" spans="1:4" ht="13.8" x14ac:dyDescent="0.25">
      <c r="A805" s="41">
        <v>8385.1236599999993</v>
      </c>
      <c r="B805" s="86">
        <f t="shared" si="12"/>
        <v>73453683.261600003</v>
      </c>
      <c r="C805" s="54">
        <v>4897487.4418300251</v>
      </c>
      <c r="D805" s="20">
        <v>25.700904777777779</v>
      </c>
    </row>
    <row r="806" spans="1:4" ht="13.8" x14ac:dyDescent="0.25">
      <c r="A806" s="40">
        <v>8388.7719663000007</v>
      </c>
      <c r="B806" s="86">
        <f t="shared" si="12"/>
        <v>73485642.424787998</v>
      </c>
      <c r="C806" s="54">
        <v>4896584.8081296021</v>
      </c>
      <c r="D806" s="20">
        <v>19.01712911111111</v>
      </c>
    </row>
    <row r="807" spans="1:4" ht="13.8" x14ac:dyDescent="0.25">
      <c r="A807" s="41">
        <v>8390.0080045000013</v>
      </c>
      <c r="B807" s="86">
        <f t="shared" si="12"/>
        <v>73496470.119420022</v>
      </c>
      <c r="C807" s="54">
        <v>4896276.4820765639</v>
      </c>
      <c r="D807" s="20">
        <v>22.647998944444449</v>
      </c>
    </row>
    <row r="808" spans="1:4" ht="13.8" x14ac:dyDescent="0.25">
      <c r="A808" s="40">
        <v>8404.9002712000001</v>
      </c>
      <c r="B808" s="86">
        <f t="shared" si="12"/>
        <v>73626926.375712007</v>
      </c>
      <c r="C808" s="54">
        <v>4892531.3399690492</v>
      </c>
      <c r="D808" s="20">
        <v>23.233482166666668</v>
      </c>
    </row>
    <row r="809" spans="1:4" ht="13.8" x14ac:dyDescent="0.25">
      <c r="A809" s="41">
        <v>8424.2582243000015</v>
      </c>
      <c r="B809" s="86">
        <f t="shared" si="12"/>
        <v>73796502.044868022</v>
      </c>
      <c r="C809" s="54">
        <v>4887623.7570356093</v>
      </c>
      <c r="D809" s="20">
        <v>22.633366944444447</v>
      </c>
    </row>
    <row r="810" spans="1:4" ht="13.8" x14ac:dyDescent="0.25">
      <c r="A810" s="40">
        <v>8424.3180326000002</v>
      </c>
      <c r="B810" s="86">
        <f t="shared" si="12"/>
        <v>73797025.965576008</v>
      </c>
      <c r="C810" s="54">
        <v>4887608.4728466729</v>
      </c>
      <c r="D810" s="20">
        <v>26.645989722222225</v>
      </c>
    </row>
    <row r="811" spans="1:4" ht="13.8" x14ac:dyDescent="0.25">
      <c r="A811" s="41">
        <v>8425.2350932000027</v>
      </c>
      <c r="B811" s="86">
        <f t="shared" si="12"/>
        <v>73805059.416432023</v>
      </c>
      <c r="C811" s="54">
        <v>4887372.248774928</v>
      </c>
      <c r="D811" s="20">
        <v>28.332937388888894</v>
      </c>
    </row>
    <row r="812" spans="1:4" ht="13.8" x14ac:dyDescent="0.25">
      <c r="A812" s="40">
        <v>8432.6712585000005</v>
      </c>
      <c r="B812" s="86">
        <f t="shared" si="12"/>
        <v>73870200.224460006</v>
      </c>
      <c r="C812" s="54">
        <v>4885441.6447253162</v>
      </c>
      <c r="D812" s="20">
        <v>32.835630555555554</v>
      </c>
    </row>
    <row r="813" spans="1:4" ht="13.8" x14ac:dyDescent="0.25">
      <c r="A813" s="40">
        <v>8440.6456985000004</v>
      </c>
      <c r="B813" s="86">
        <f t="shared" si="12"/>
        <v>73940056.318860009</v>
      </c>
      <c r="C813" s="54">
        <v>4883355.0613518981</v>
      </c>
      <c r="D813" s="20">
        <v>52.936137333333342</v>
      </c>
    </row>
    <row r="814" spans="1:4" ht="13.8" x14ac:dyDescent="0.25">
      <c r="A814" s="41">
        <v>8440.6456985000004</v>
      </c>
      <c r="B814" s="86">
        <f t="shared" si="12"/>
        <v>73940056.318860009</v>
      </c>
      <c r="C814" s="54">
        <v>4883355.0613518981</v>
      </c>
      <c r="D814" s="20">
        <v>36.581117722222224</v>
      </c>
    </row>
    <row r="815" spans="1:4" ht="13.8" x14ac:dyDescent="0.25">
      <c r="A815" s="41">
        <v>8469.6327878999982</v>
      </c>
      <c r="B815" s="86">
        <f t="shared" si="12"/>
        <v>74193983.222003981</v>
      </c>
      <c r="C815" s="54">
        <v>4875652.3350166772</v>
      </c>
      <c r="D815" s="20">
        <v>42.662136277777783</v>
      </c>
    </row>
    <row r="816" spans="1:4" ht="13.8" x14ac:dyDescent="0.25">
      <c r="A816" s="40">
        <v>8574.9153320000005</v>
      </c>
      <c r="B816" s="86">
        <f t="shared" si="12"/>
        <v>75116258.308320001</v>
      </c>
      <c r="C816" s="54">
        <v>4847461.3682942158</v>
      </c>
      <c r="D816" s="20">
        <v>62.037546166666672</v>
      </c>
    </row>
    <row r="817" spans="1:4" ht="13.8" x14ac:dyDescent="0.25">
      <c r="A817" s="41">
        <v>8628.6032492999984</v>
      </c>
      <c r="B817" s="86">
        <f t="shared" si="12"/>
        <v>75586564.463867992</v>
      </c>
      <c r="C817" s="54">
        <v>4832976.3582275081</v>
      </c>
      <c r="D817" s="20">
        <v>17.832241944444444</v>
      </c>
    </row>
    <row r="818" spans="1:4" ht="13.8" x14ac:dyDescent="0.25">
      <c r="A818" s="40">
        <v>8635.7005008999986</v>
      </c>
      <c r="B818" s="86">
        <f t="shared" si="12"/>
        <v>75648736.387883991</v>
      </c>
      <c r="C818" s="54">
        <v>4831047.0732770059</v>
      </c>
      <c r="D818" s="20">
        <v>16.080364777777778</v>
      </c>
    </row>
    <row r="819" spans="1:4" ht="13.8" x14ac:dyDescent="0.25">
      <c r="A819" s="41">
        <v>8663.5512326000007</v>
      </c>
      <c r="B819" s="86">
        <f t="shared" si="12"/>
        <v>75892708.797575995</v>
      </c>
      <c r="C819" s="54">
        <v>4823419.570608777</v>
      </c>
      <c r="D819" s="20">
        <v>11.379834777777779</v>
      </c>
    </row>
    <row r="820" spans="1:4" ht="13.8" x14ac:dyDescent="0.25">
      <c r="A820" s="40">
        <v>8666.7609447000032</v>
      </c>
      <c r="B820" s="86">
        <f t="shared" si="12"/>
        <v>75920825.875572026</v>
      </c>
      <c r="C820" s="54">
        <v>4822533.9913525591</v>
      </c>
      <c r="D820" s="20">
        <v>14.561075444444445</v>
      </c>
    </row>
    <row r="821" spans="1:4" ht="13.8" x14ac:dyDescent="0.25">
      <c r="A821" s="41">
        <v>8688.7105908000012</v>
      </c>
      <c r="B821" s="86">
        <f t="shared" si="12"/>
        <v>76113104.775408015</v>
      </c>
      <c r="C821" s="54">
        <v>4816433.2748926217</v>
      </c>
      <c r="D821" s="20">
        <v>15.417758722222223</v>
      </c>
    </row>
    <row r="822" spans="1:4" ht="13.8" x14ac:dyDescent="0.25">
      <c r="A822" s="40">
        <v>8691.1826671999988</v>
      </c>
      <c r="B822" s="86">
        <f t="shared" si="12"/>
        <v>76134760.164671987</v>
      </c>
      <c r="C822" s="54">
        <v>4815741.1509373412</v>
      </c>
      <c r="D822" s="20">
        <v>18.72520038888889</v>
      </c>
    </row>
    <row r="823" spans="1:4" ht="13.8" x14ac:dyDescent="0.25">
      <c r="A823" s="41">
        <v>8702.3468832000017</v>
      </c>
      <c r="B823" s="86">
        <f t="shared" si="12"/>
        <v>76232558.696832016</v>
      </c>
      <c r="C823" s="54">
        <v>4812592.70714169</v>
      </c>
      <c r="D823" s="20">
        <v>20.984117000000001</v>
      </c>
    </row>
    <row r="824" spans="1:4" ht="13.8" x14ac:dyDescent="0.25">
      <c r="A824" s="40">
        <v>8721.7447085000022</v>
      </c>
      <c r="B824" s="86">
        <f t="shared" si="12"/>
        <v>76402483.646460012</v>
      </c>
      <c r="C824" s="54">
        <v>4807082.8053428354</v>
      </c>
      <c r="D824" s="20">
        <v>31.243892500000001</v>
      </c>
    </row>
    <row r="825" spans="1:4" ht="13.8" x14ac:dyDescent="0.25">
      <c r="A825" s="41">
        <v>8757.948666100001</v>
      </c>
      <c r="B825" s="86">
        <f t="shared" si="12"/>
        <v>76719630.315036014</v>
      </c>
      <c r="C825" s="54">
        <v>4796725.4789039707</v>
      </c>
      <c r="D825" s="20">
        <v>46.803906777777776</v>
      </c>
    </row>
    <row r="826" spans="1:4" ht="13.8" x14ac:dyDescent="0.25">
      <c r="A826" s="40">
        <v>8762.3146720000022</v>
      </c>
      <c r="B826" s="86">
        <f t="shared" si="12"/>
        <v>76757876.526720032</v>
      </c>
      <c r="C826" s="54">
        <v>4795467.553886232</v>
      </c>
      <c r="D826" s="20">
        <v>29.260545222222227</v>
      </c>
    </row>
    <row r="827" spans="1:4" ht="13.8" x14ac:dyDescent="0.25">
      <c r="A827" s="41">
        <v>8769.1726904000006</v>
      </c>
      <c r="B827" s="86">
        <f t="shared" si="12"/>
        <v>76817952.767903998</v>
      </c>
      <c r="C827" s="54">
        <v>4793477.6769024301</v>
      </c>
      <c r="D827" s="20">
        <v>44.660115555555556</v>
      </c>
    </row>
    <row r="828" spans="1:4" ht="13.8" x14ac:dyDescent="0.25">
      <c r="A828" s="40">
        <v>8791.3615697000005</v>
      </c>
      <c r="B828" s="86">
        <f t="shared" si="12"/>
        <v>77012327.350572005</v>
      </c>
      <c r="C828" s="54">
        <v>4786994.337954917</v>
      </c>
      <c r="D828" s="20">
        <v>18.231776833333335</v>
      </c>
    </row>
    <row r="829" spans="1:4" ht="13.8" x14ac:dyDescent="0.25">
      <c r="A829" s="41">
        <v>8800.0138371000012</v>
      </c>
      <c r="B829" s="86">
        <f t="shared" si="12"/>
        <v>77088121.212996021</v>
      </c>
      <c r="C829" s="54">
        <v>4784448.6334244059</v>
      </c>
      <c r="D829" s="20">
        <v>13.126936222222222</v>
      </c>
    </row>
    <row r="830" spans="1:4" ht="13.8" x14ac:dyDescent="0.25">
      <c r="A830" s="40">
        <v>8803.6222711999999</v>
      </c>
      <c r="B830" s="86">
        <f t="shared" si="12"/>
        <v>77119731.095711991</v>
      </c>
      <c r="C830" s="54">
        <v>4783379.6012866488</v>
      </c>
      <c r="D830" s="20">
        <v>12.211928166666668</v>
      </c>
    </row>
    <row r="831" spans="1:4" ht="13.8" x14ac:dyDescent="0.25">
      <c r="A831" s="41">
        <v>8838.2911491000013</v>
      </c>
      <c r="B831" s="86">
        <f t="shared" si="12"/>
        <v>77423430.466116011</v>
      </c>
      <c r="C831" s="54">
        <v>4773038.0618859269</v>
      </c>
      <c r="D831" s="20">
        <v>9.1444919444444448</v>
      </c>
    </row>
    <row r="832" spans="1:4" ht="13.8" x14ac:dyDescent="0.25">
      <c r="A832" s="40">
        <v>8847.621243900001</v>
      </c>
      <c r="B832" s="86">
        <f t="shared" si="12"/>
        <v>77505162.09656401</v>
      </c>
      <c r="C832" s="54">
        <v>4770235.9552083313</v>
      </c>
      <c r="D832" s="20">
        <v>8.2410675555555564</v>
      </c>
    </row>
    <row r="833" spans="1:4" ht="13.8" x14ac:dyDescent="0.25">
      <c r="A833" s="41">
        <v>8853.5223294999996</v>
      </c>
      <c r="B833" s="86">
        <f t="shared" si="12"/>
        <v>77556855.606419995</v>
      </c>
      <c r="C833" s="54">
        <v>4768451.6720349733</v>
      </c>
      <c r="D833" s="20">
        <v>9.3004650000000009</v>
      </c>
    </row>
    <row r="834" spans="1:4" ht="13.8" x14ac:dyDescent="0.25">
      <c r="A834" s="40">
        <v>8890.5835394000023</v>
      </c>
      <c r="B834" s="86">
        <f t="shared" si="12"/>
        <v>77881511.805144027</v>
      </c>
      <c r="C834" s="54">
        <v>4757170.2190753128</v>
      </c>
      <c r="D834" s="20">
        <v>11.586206944444445</v>
      </c>
    </row>
    <row r="835" spans="1:4" ht="13.8" x14ac:dyDescent="0.25">
      <c r="A835" s="41">
        <v>8895.1289702000031</v>
      </c>
      <c r="B835" s="86">
        <f t="shared" ref="B835:B898" si="13">A835*24*365</f>
        <v>77921329.778952032</v>
      </c>
      <c r="C835" s="54">
        <v>4755777.3360171989</v>
      </c>
      <c r="D835" s="20">
        <v>15.144221611111112</v>
      </c>
    </row>
    <row r="836" spans="1:4" ht="13.8" x14ac:dyDescent="0.25">
      <c r="A836" s="40">
        <v>8900.9503113999999</v>
      </c>
      <c r="B836" s="86">
        <f t="shared" si="13"/>
        <v>77972324.727863997</v>
      </c>
      <c r="C836" s="54">
        <v>4753981.6199722188</v>
      </c>
      <c r="D836" s="20">
        <v>13.811490277777779</v>
      </c>
    </row>
    <row r="837" spans="1:4" ht="13.8" x14ac:dyDescent="0.25">
      <c r="A837" s="41">
        <v>8921.1057084999993</v>
      </c>
      <c r="B837" s="86">
        <f t="shared" si="13"/>
        <v>78148886.006459996</v>
      </c>
      <c r="C837" s="54">
        <v>4747723.2380501991</v>
      </c>
      <c r="D837" s="20">
        <v>16.928512722222223</v>
      </c>
    </row>
    <row r="838" spans="1:4" ht="13.8" x14ac:dyDescent="0.25">
      <c r="A838" s="40">
        <v>8961.6357997999985</v>
      </c>
      <c r="B838" s="86">
        <f t="shared" si="13"/>
        <v>78503929.606247991</v>
      </c>
      <c r="C838" s="54">
        <v>4735055.8894872498</v>
      </c>
      <c r="D838" s="20">
        <v>47.061287722222225</v>
      </c>
    </row>
    <row r="839" spans="1:4" ht="13.8" x14ac:dyDescent="0.25">
      <c r="A839" s="41">
        <v>8966.0018057000016</v>
      </c>
      <c r="B839" s="86">
        <f t="shared" si="13"/>
        <v>78542175.81793201</v>
      </c>
      <c r="C839" s="54">
        <v>4733682.4438487161</v>
      </c>
      <c r="D839" s="20">
        <v>22.504625666666669</v>
      </c>
    </row>
    <row r="840" spans="1:4" ht="13.8" x14ac:dyDescent="0.25">
      <c r="A840" s="40">
        <v>9024.8133007000015</v>
      </c>
      <c r="B840" s="86">
        <f t="shared" si="13"/>
        <v>79057364.514132023</v>
      </c>
      <c r="C840" s="54">
        <v>4715061.9921209058</v>
      </c>
      <c r="D840" s="20">
        <v>31.202130333333336</v>
      </c>
    </row>
    <row r="841" spans="1:4" ht="13.8" x14ac:dyDescent="0.25">
      <c r="A841" s="41">
        <v>9050.4311891999987</v>
      </c>
      <c r="B841" s="86">
        <f t="shared" si="13"/>
        <v>79281777.217391998</v>
      </c>
      <c r="C841" s="54">
        <v>4706898.9090906521</v>
      </c>
      <c r="D841" s="20">
        <v>24.032145500000002</v>
      </c>
    </row>
    <row r="842" spans="1:4" ht="13.8" x14ac:dyDescent="0.25">
      <c r="A842" s="40">
        <v>9058.4056292000005</v>
      </c>
      <c r="B842" s="86">
        <f t="shared" si="13"/>
        <v>79351633.311792001</v>
      </c>
      <c r="C842" s="54">
        <v>4704341.6410663035</v>
      </c>
      <c r="D842" s="20">
        <v>13.978538944444445</v>
      </c>
    </row>
    <row r="843" spans="1:4" ht="13.8" x14ac:dyDescent="0.25">
      <c r="A843" s="41">
        <v>9130.5743112</v>
      </c>
      <c r="B843" s="86">
        <f t="shared" si="13"/>
        <v>79983830.966112003</v>
      </c>
      <c r="C843" s="54">
        <v>4681051.4793738397</v>
      </c>
      <c r="D843" s="20">
        <v>13.532872611111113</v>
      </c>
    </row>
    <row r="844" spans="1:4" ht="13.8" x14ac:dyDescent="0.25">
      <c r="A844" s="40">
        <v>9147.2408908000016</v>
      </c>
      <c r="B844" s="86">
        <f t="shared" si="13"/>
        <v>80129830.203408018</v>
      </c>
      <c r="C844" s="54">
        <v>4675638.9456911925</v>
      </c>
      <c r="D844" s="20">
        <v>15.59303788888889</v>
      </c>
    </row>
    <row r="845" spans="1:4" ht="13.8" x14ac:dyDescent="0.25">
      <c r="A845" s="41">
        <v>9182.9265097999996</v>
      </c>
      <c r="B845" s="86">
        <f t="shared" si="13"/>
        <v>80442436.225847989</v>
      </c>
      <c r="C845" s="54">
        <v>4663977.2767498586</v>
      </c>
      <c r="D845" s="20">
        <v>17.264743888888891</v>
      </c>
    </row>
    <row r="846" spans="1:4" ht="13.8" x14ac:dyDescent="0.25">
      <c r="A846" s="40">
        <v>9212.9303403000013</v>
      </c>
      <c r="B846" s="86">
        <f t="shared" si="13"/>
        <v>80705269.781028017</v>
      </c>
      <c r="C846" s="54">
        <v>4654111.2867049184</v>
      </c>
      <c r="D846" s="20">
        <v>20.438871777777777</v>
      </c>
    </row>
    <row r="847" spans="1:4" ht="13.8" x14ac:dyDescent="0.25">
      <c r="A847" s="41">
        <v>9233.4246510999983</v>
      </c>
      <c r="B847" s="86">
        <f t="shared" si="13"/>
        <v>80884799.943635985</v>
      </c>
      <c r="C847" s="54">
        <v>4647330.5458904617</v>
      </c>
      <c r="D847" s="20">
        <v>24.48563588888889</v>
      </c>
    </row>
    <row r="848" spans="1:4" ht="13.8" x14ac:dyDescent="0.25">
      <c r="A848" s="40">
        <v>9234.8002420000012</v>
      </c>
      <c r="B848" s="86">
        <f t="shared" si="13"/>
        <v>80896850.119920015</v>
      </c>
      <c r="C848" s="54">
        <v>4646872.6185833737</v>
      </c>
      <c r="D848" s="20">
        <v>40.696875777777784</v>
      </c>
    </row>
    <row r="849" spans="1:4" ht="13.8" x14ac:dyDescent="0.25">
      <c r="A849" s="41">
        <v>9283.0456040000026</v>
      </c>
      <c r="B849" s="86">
        <f t="shared" si="13"/>
        <v>81319479.491040021</v>
      </c>
      <c r="C849" s="54">
        <v>4630713.7851406531</v>
      </c>
      <c r="D849" s="20">
        <v>35.396535388888886</v>
      </c>
    </row>
    <row r="850" spans="1:4" ht="13.8" x14ac:dyDescent="0.25">
      <c r="A850" s="40">
        <v>9314.9433640000007</v>
      </c>
      <c r="B850" s="86">
        <f t="shared" si="13"/>
        <v>81598903.868640006</v>
      </c>
      <c r="C850" s="54">
        <v>4619965.3368767127</v>
      </c>
      <c r="D850" s="20">
        <v>29.618216333333333</v>
      </c>
    </row>
    <row r="851" spans="1:4" ht="13.8" x14ac:dyDescent="0.25">
      <c r="A851" s="41">
        <v>9316.2192744000022</v>
      </c>
      <c r="B851" s="86">
        <f t="shared" si="13"/>
        <v>81610080.843744025</v>
      </c>
      <c r="C851" s="54">
        <v>4619532.8020653166</v>
      </c>
      <c r="D851" s="20">
        <v>25.758924722222226</v>
      </c>
    </row>
    <row r="852" spans="1:4" ht="13.8" x14ac:dyDescent="0.25">
      <c r="A852" s="40">
        <v>9365.2820164999994</v>
      </c>
      <c r="B852" s="86">
        <f t="shared" si="13"/>
        <v>82039870.46453999</v>
      </c>
      <c r="C852" s="54">
        <v>4602800.6287128059</v>
      </c>
      <c r="D852" s="20">
        <v>37.255713888888891</v>
      </c>
    </row>
    <row r="853" spans="1:4" ht="13.8" x14ac:dyDescent="0.25">
      <c r="A853" s="41">
        <v>9379.8353695000023</v>
      </c>
      <c r="B853" s="86">
        <f t="shared" si="13"/>
        <v>82167357.836820021</v>
      </c>
      <c r="C853" s="54">
        <v>4597807.7871763865</v>
      </c>
      <c r="D853" s="20">
        <v>29.434909888888889</v>
      </c>
    </row>
    <row r="854" spans="1:4" ht="13.8" x14ac:dyDescent="0.25">
      <c r="A854" s="40">
        <v>9395.9636744000018</v>
      </c>
      <c r="B854" s="86">
        <f t="shared" si="13"/>
        <v>82308641.787744015</v>
      </c>
      <c r="C854" s="54">
        <v>4592241.7982358281</v>
      </c>
      <c r="D854" s="20">
        <v>13.296017111111112</v>
      </c>
    </row>
    <row r="855" spans="1:4" ht="13.8" x14ac:dyDescent="0.25">
      <c r="A855" s="41">
        <v>9441.5375990000011</v>
      </c>
      <c r="B855" s="86">
        <f t="shared" si="13"/>
        <v>82707869.367240012</v>
      </c>
      <c r="C855" s="54">
        <v>4576421.1660925057</v>
      </c>
      <c r="D855" s="20">
        <v>13.914320722222223</v>
      </c>
    </row>
    <row r="856" spans="1:4" ht="13.8" x14ac:dyDescent="0.25">
      <c r="A856" s="40">
        <v>9450.4490356999995</v>
      </c>
      <c r="B856" s="86">
        <f t="shared" si="13"/>
        <v>82785933.552731991</v>
      </c>
      <c r="C856" s="54">
        <v>4573309.4928213721</v>
      </c>
      <c r="D856" s="20">
        <v>13.252934000000002</v>
      </c>
    </row>
    <row r="857" spans="1:4" ht="13.8" x14ac:dyDescent="0.25">
      <c r="A857" s="41">
        <v>9519.8665359000006</v>
      </c>
      <c r="B857" s="86">
        <f t="shared" si="13"/>
        <v>83394030.854484007</v>
      </c>
      <c r="C857" s="54">
        <v>4548929.1764523368</v>
      </c>
      <c r="D857" s="20">
        <v>15.698510222222223</v>
      </c>
    </row>
    <row r="858" spans="1:4" ht="13.8" x14ac:dyDescent="0.25">
      <c r="A858" s="40">
        <v>9534.6192499000008</v>
      </c>
      <c r="B858" s="86">
        <f t="shared" si="13"/>
        <v>83523264.629124001</v>
      </c>
      <c r="C858" s="54">
        <v>4543717.8076532381</v>
      </c>
      <c r="D858" s="20">
        <v>21.876567388888891</v>
      </c>
    </row>
    <row r="859" spans="1:4" ht="13.8" x14ac:dyDescent="0.25">
      <c r="A859" s="41">
        <v>9558.7818030999988</v>
      </c>
      <c r="B859" s="86">
        <f t="shared" si="13"/>
        <v>83734928.595155984</v>
      </c>
      <c r="C859" s="54">
        <v>4535133.2522163773</v>
      </c>
      <c r="D859" s="20">
        <v>22.262994444444445</v>
      </c>
    </row>
    <row r="860" spans="1:4" ht="13.8" x14ac:dyDescent="0.25">
      <c r="A860" s="40">
        <v>9606.409146</v>
      </c>
      <c r="B860" s="86">
        <f t="shared" si="13"/>
        <v>84152144.118960008</v>
      </c>
      <c r="C860" s="54">
        <v>4518115.1084789429</v>
      </c>
      <c r="D860" s="20">
        <v>36.730790888888897</v>
      </c>
    </row>
    <row r="861" spans="1:4" ht="13.8" x14ac:dyDescent="0.25">
      <c r="A861" s="41">
        <v>9644.5668414000011</v>
      </c>
      <c r="B861" s="86">
        <f t="shared" si="13"/>
        <v>84486405.530663997</v>
      </c>
      <c r="C861" s="54">
        <v>4504402.9846017677</v>
      </c>
      <c r="D861" s="20">
        <v>77.162868111111123</v>
      </c>
    </row>
    <row r="862" spans="1:4" ht="13.8" x14ac:dyDescent="0.25">
      <c r="A862" s="40">
        <v>9671.4606402999998</v>
      </c>
      <c r="B862" s="86">
        <f t="shared" si="13"/>
        <v>84721995.209028006</v>
      </c>
      <c r="C862" s="54">
        <v>4494683.850613608</v>
      </c>
      <c r="D862" s="20">
        <v>66.118756444444458</v>
      </c>
    </row>
    <row r="863" spans="1:4" ht="13.8" x14ac:dyDescent="0.25">
      <c r="A863" s="41">
        <v>9675.3880519999984</v>
      </c>
      <c r="B863" s="86">
        <f t="shared" si="13"/>
        <v>84756399.335519984</v>
      </c>
      <c r="C863" s="54">
        <v>4493256.5321115386</v>
      </c>
      <c r="D863" s="20">
        <v>90.371601277777785</v>
      </c>
    </row>
    <row r="864" spans="1:4" ht="13.8" x14ac:dyDescent="0.25">
      <c r="A864" s="40">
        <v>9702.5410201999985</v>
      </c>
      <c r="B864" s="86">
        <f t="shared" si="13"/>
        <v>84994259.336951986</v>
      </c>
      <c r="C864" s="54">
        <v>4483333.2073437618</v>
      </c>
      <c r="D864" s="20">
        <v>29.932194666666668</v>
      </c>
    </row>
    <row r="865" spans="1:4" ht="13.8" x14ac:dyDescent="0.25">
      <c r="A865" s="41">
        <v>9734.3789719000015</v>
      </c>
      <c r="B865" s="86">
        <f t="shared" si="13"/>
        <v>85273159.793844014</v>
      </c>
      <c r="C865" s="54">
        <v>4471632.9080398856</v>
      </c>
      <c r="D865" s="20">
        <v>21.926661666666668</v>
      </c>
    </row>
    <row r="866" spans="1:4" ht="13.8" x14ac:dyDescent="0.25">
      <c r="A866" s="40">
        <v>9744.9251688000004</v>
      </c>
      <c r="B866" s="86">
        <f t="shared" si="13"/>
        <v>85365544.478688002</v>
      </c>
      <c r="C866" s="54">
        <v>4467735.7648424916</v>
      </c>
      <c r="D866" s="20">
        <v>21.966493222222226</v>
      </c>
    </row>
    <row r="867" spans="1:4" ht="13.8" x14ac:dyDescent="0.25">
      <c r="A867" s="41">
        <v>9787.1099563999996</v>
      </c>
      <c r="B867" s="86">
        <f t="shared" si="13"/>
        <v>85735083.218063995</v>
      </c>
      <c r="C867" s="54">
        <v>4452061.3326803939</v>
      </c>
      <c r="D867" s="20">
        <v>11.918780111111111</v>
      </c>
    </row>
    <row r="868" spans="1:4" ht="13.8" x14ac:dyDescent="0.25">
      <c r="A868" s="40">
        <v>9851.5833038000001</v>
      </c>
      <c r="B868" s="86">
        <f t="shared" si="13"/>
        <v>86299869.741288006</v>
      </c>
      <c r="C868" s="54">
        <v>4427974.0062044999</v>
      </c>
      <c r="D868" s="20">
        <v>13.600647222222223</v>
      </c>
    </row>
    <row r="869" spans="1:4" ht="13.8" x14ac:dyDescent="0.25">
      <c r="A869" s="41">
        <v>9896.7385703</v>
      </c>
      <c r="B869" s="86">
        <f t="shared" si="13"/>
        <v>86695429.875827998</v>
      </c>
      <c r="C869" s="54">
        <v>4411012.0346521707</v>
      </c>
      <c r="D869" s="20">
        <v>15.911690333333334</v>
      </c>
    </row>
    <row r="870" spans="1:4" ht="13.8" x14ac:dyDescent="0.25">
      <c r="A870" s="40">
        <v>9902.3206783000005</v>
      </c>
      <c r="B870" s="86">
        <f t="shared" si="13"/>
        <v>86744329.141908005</v>
      </c>
      <c r="C870" s="54">
        <v>4408903.8291331204</v>
      </c>
      <c r="D870" s="20">
        <v>18.106287111111111</v>
      </c>
    </row>
    <row r="871" spans="1:4" ht="13.8" x14ac:dyDescent="0.25">
      <c r="A871" s="41">
        <v>9947.8547307000008</v>
      </c>
      <c r="B871" s="86">
        <f t="shared" si="13"/>
        <v>87143207.440932006</v>
      </c>
      <c r="C871" s="54">
        <v>4391614.2193572782</v>
      </c>
      <c r="D871" s="20">
        <v>21.013584222222221</v>
      </c>
    </row>
    <row r="872" spans="1:4" ht="13.8" x14ac:dyDescent="0.25">
      <c r="A872" s="40">
        <v>9965.5579874999985</v>
      </c>
      <c r="B872" s="86">
        <f t="shared" si="13"/>
        <v>87298287.970499992</v>
      </c>
      <c r="C872" s="54">
        <v>4384856.1326966072</v>
      </c>
      <c r="D872" s="20">
        <v>32.053834666666667</v>
      </c>
    </row>
    <row r="873" spans="1:4" ht="13.8" x14ac:dyDescent="0.25">
      <c r="A873" s="41">
        <v>9976.3035454000019</v>
      </c>
      <c r="B873" s="86">
        <f t="shared" si="13"/>
        <v>87392419.057704017</v>
      </c>
      <c r="C873" s="54">
        <v>4380732.225255141</v>
      </c>
      <c r="D873" s="20">
        <v>48.962330000000001</v>
      </c>
    </row>
    <row r="874" spans="1:4" ht="13.8" x14ac:dyDescent="0.25">
      <c r="A874" s="40">
        <v>9986.690253499999</v>
      </c>
      <c r="B874" s="86">
        <f t="shared" si="13"/>
        <v>87483406.620659992</v>
      </c>
      <c r="C874" s="54">
        <v>4376724.8961965069</v>
      </c>
      <c r="D874" s="20">
        <v>58.684277888888893</v>
      </c>
    </row>
    <row r="875" spans="1:4" ht="13.8" x14ac:dyDescent="0.25">
      <c r="A875" s="41">
        <v>10013.364755300001</v>
      </c>
      <c r="B875" s="86">
        <f t="shared" si="13"/>
        <v>87717075.256428003</v>
      </c>
      <c r="C875" s="54">
        <v>4366379.2303380612</v>
      </c>
      <c r="D875" s="20">
        <v>51.91809561111112</v>
      </c>
    </row>
    <row r="876" spans="1:4" ht="13.8" x14ac:dyDescent="0.25">
      <c r="A876" s="40">
        <v>10017.890249999999</v>
      </c>
      <c r="B876" s="86">
        <f t="shared" si="13"/>
        <v>87756718.589999989</v>
      </c>
      <c r="C876" s="54">
        <v>4364614.8131363224</v>
      </c>
      <c r="D876" s="20">
        <v>47.483278666666671</v>
      </c>
    </row>
    <row r="877" spans="1:4" ht="13.8" x14ac:dyDescent="0.25">
      <c r="A877" s="41">
        <v>10044.684368400001</v>
      </c>
      <c r="B877" s="86">
        <f t="shared" si="13"/>
        <v>87991435.067184016</v>
      </c>
      <c r="C877" s="54">
        <v>4354113.6851624623</v>
      </c>
      <c r="D877" s="20">
        <v>45.698276277777779</v>
      </c>
    </row>
    <row r="878" spans="1:4" ht="13.8" x14ac:dyDescent="0.25">
      <c r="A878" s="40">
        <v>10063.763216100002</v>
      </c>
      <c r="B878" s="86">
        <f t="shared" si="13"/>
        <v>88158565.773036018</v>
      </c>
      <c r="C878" s="54">
        <v>4346597.4880009443</v>
      </c>
      <c r="D878" s="20">
        <v>17.847585222222222</v>
      </c>
    </row>
    <row r="879" spans="1:4" ht="13.8" x14ac:dyDescent="0.25">
      <c r="A879" s="41">
        <v>10186.330358900001</v>
      </c>
      <c r="B879" s="86">
        <f t="shared" si="13"/>
        <v>89232253.943964005</v>
      </c>
      <c r="C879" s="54">
        <v>4298062.1524619721</v>
      </c>
      <c r="D879" s="20">
        <v>13.85182988888889</v>
      </c>
    </row>
    <row r="880" spans="1:4" ht="13.8" x14ac:dyDescent="0.25">
      <c r="A880" s="40">
        <v>10206.984158500003</v>
      </c>
      <c r="B880" s="86">
        <f t="shared" si="13"/>
        <v>89413181.228460029</v>
      </c>
      <c r="C880" s="54">
        <v>4289841.4219566826</v>
      </c>
      <c r="D880" s="20">
        <v>15.402618666666669</v>
      </c>
    </row>
    <row r="881" spans="1:4" ht="13.8" x14ac:dyDescent="0.25">
      <c r="A881" s="41">
        <v>10222.554252600001</v>
      </c>
      <c r="B881" s="86">
        <f t="shared" si="13"/>
        <v>89549575.252776012</v>
      </c>
      <c r="C881" s="54">
        <v>4283612.4437440811</v>
      </c>
      <c r="D881" s="20">
        <v>19.148715500000002</v>
      </c>
    </row>
    <row r="882" spans="1:4" ht="13.8" x14ac:dyDescent="0.25">
      <c r="A882" s="40">
        <v>10253.734313000001</v>
      </c>
      <c r="B882" s="86">
        <f t="shared" si="13"/>
        <v>89822712.581880003</v>
      </c>
      <c r="C882" s="54">
        <v>4271075.0747549003</v>
      </c>
      <c r="D882" s="20">
        <v>24.091079944444445</v>
      </c>
    </row>
    <row r="883" spans="1:4" ht="13.8" x14ac:dyDescent="0.25">
      <c r="A883" s="41">
        <v>10257.8810218</v>
      </c>
      <c r="B883" s="86">
        <f t="shared" si="13"/>
        <v>89859037.750967994</v>
      </c>
      <c r="C883" s="54">
        <v>4269399.2610112755</v>
      </c>
      <c r="D883" s="20">
        <v>30.679950833333336</v>
      </c>
    </row>
    <row r="884" spans="1:4" ht="13.8" x14ac:dyDescent="0.25">
      <c r="A884" s="40">
        <v>10294.643190199999</v>
      </c>
      <c r="B884" s="86">
        <f t="shared" si="13"/>
        <v>90181074.346151993</v>
      </c>
      <c r="C884" s="54">
        <v>4254467.7050013375</v>
      </c>
      <c r="D884" s="20">
        <v>40.945924611111117</v>
      </c>
    </row>
    <row r="885" spans="1:4" ht="13.8" x14ac:dyDescent="0.25">
      <c r="A885" s="41">
        <v>10335.631811800002</v>
      </c>
      <c r="B885" s="86">
        <f t="shared" si="13"/>
        <v>90540134.671368018</v>
      </c>
      <c r="C885" s="54">
        <v>4237736.081095892</v>
      </c>
      <c r="D885" s="20">
        <v>62.50211216666667</v>
      </c>
    </row>
    <row r="886" spans="1:4" ht="13.8" x14ac:dyDescent="0.25">
      <c r="A886" s="40">
        <v>10337.685230100002</v>
      </c>
      <c r="B886" s="86">
        <f t="shared" si="13"/>
        <v>90558122.615676016</v>
      </c>
      <c r="C886" s="54">
        <v>4236893.6929556541</v>
      </c>
      <c r="D886" s="20">
        <v>80.645284111111124</v>
      </c>
    </row>
    <row r="887" spans="1:4" ht="13.8" x14ac:dyDescent="0.25">
      <c r="A887" s="41">
        <v>10350.8031839</v>
      </c>
      <c r="B887" s="86">
        <f t="shared" si="13"/>
        <v>90673035.890964001</v>
      </c>
      <c r="C887" s="54">
        <v>4231485.5239078403</v>
      </c>
      <c r="D887" s="20">
        <v>65.360737555555559</v>
      </c>
    </row>
    <row r="888" spans="1:4" ht="13.8" x14ac:dyDescent="0.25">
      <c r="A888" s="40">
        <v>10386.0701448</v>
      </c>
      <c r="B888" s="86">
        <f t="shared" si="13"/>
        <v>90981974.468447998</v>
      </c>
      <c r="C888" s="54">
        <v>4216874.1532438835</v>
      </c>
      <c r="D888" s="20">
        <v>39.290069944444447</v>
      </c>
    </row>
    <row r="889" spans="1:4" ht="13.8" x14ac:dyDescent="0.25">
      <c r="A889" s="41">
        <v>10421.975060899998</v>
      </c>
      <c r="B889" s="86">
        <f t="shared" si="13"/>
        <v>91296501.533483997</v>
      </c>
      <c r="C889" s="54">
        <v>4201925.3950291462</v>
      </c>
      <c r="D889" s="20">
        <v>13.083548277777778</v>
      </c>
    </row>
    <row r="890" spans="1:4" ht="13.8" x14ac:dyDescent="0.25">
      <c r="A890" s="40">
        <v>10438.801129300002</v>
      </c>
      <c r="B890" s="86">
        <f t="shared" si="13"/>
        <v>91443897.892668009</v>
      </c>
      <c r="C890" s="54">
        <v>4194885.7339306595</v>
      </c>
      <c r="D890" s="20">
        <v>12.20379927777778</v>
      </c>
    </row>
    <row r="891" spans="1:4" ht="13.8" x14ac:dyDescent="0.25">
      <c r="A891" s="41">
        <v>10438.960618099998</v>
      </c>
      <c r="B891" s="86">
        <f t="shared" si="13"/>
        <v>91445295.014555991</v>
      </c>
      <c r="C891" s="54">
        <v>4194818.6826750757</v>
      </c>
      <c r="D891" s="20">
        <v>12.013989722222222</v>
      </c>
    </row>
    <row r="892" spans="1:4" ht="13.8" x14ac:dyDescent="0.25">
      <c r="A892" s="40">
        <v>10459.494801100001</v>
      </c>
      <c r="B892" s="86">
        <f t="shared" si="13"/>
        <v>91625174.457636014</v>
      </c>
      <c r="C892" s="54">
        <v>4186144.0399672976</v>
      </c>
      <c r="D892" s="20">
        <v>16.740938611111112</v>
      </c>
    </row>
    <row r="893" spans="1:4" ht="13.8" x14ac:dyDescent="0.25">
      <c r="A893" s="41">
        <v>10595.339386500002</v>
      </c>
      <c r="B893" s="86">
        <f t="shared" si="13"/>
        <v>92815173.025740013</v>
      </c>
      <c r="C893" s="54">
        <v>4128480.159708445</v>
      </c>
      <c r="D893" s="20">
        <v>22.13719988888889</v>
      </c>
    </row>
    <row r="894" spans="1:4" ht="13.8" x14ac:dyDescent="0.25">
      <c r="A894" s="40">
        <v>10602.635999100001</v>
      </c>
      <c r="B894" s="86">
        <f t="shared" si="13"/>
        <v>92879091.352116019</v>
      </c>
      <c r="C894" s="54">
        <v>4125368.0120285377</v>
      </c>
      <c r="D894" s="20">
        <v>26.863539111111113</v>
      </c>
    </row>
    <row r="895" spans="1:4" ht="13.8" x14ac:dyDescent="0.25">
      <c r="A895" s="41">
        <v>10603.533123600002</v>
      </c>
      <c r="B895" s="86">
        <f t="shared" si="13"/>
        <v>92886950.162736014</v>
      </c>
      <c r="C895" s="54">
        <v>4124983.5449885186</v>
      </c>
      <c r="D895" s="20">
        <v>29.992043611111114</v>
      </c>
    </row>
    <row r="896" spans="1:4" ht="13.8" x14ac:dyDescent="0.25">
      <c r="A896" s="40">
        <v>10641.810435600002</v>
      </c>
      <c r="B896" s="86">
        <f t="shared" si="13"/>
        <v>93222259.415856019</v>
      </c>
      <c r="C896" s="54">
        <v>4108501.7115226453</v>
      </c>
      <c r="D896" s="20">
        <v>34.740534055555557</v>
      </c>
    </row>
    <row r="897" spans="1:4" ht="13.8" x14ac:dyDescent="0.25">
      <c r="A897" s="41">
        <v>10641.9898605</v>
      </c>
      <c r="B897" s="86">
        <f t="shared" si="13"/>
        <v>93223831.177980006</v>
      </c>
      <c r="C897" s="54">
        <v>4108424.0877419077</v>
      </c>
      <c r="D897" s="20">
        <v>44.852262166666669</v>
      </c>
    </row>
    <row r="898" spans="1:4" ht="13.8" x14ac:dyDescent="0.25">
      <c r="A898" s="40">
        <v>10678.492859600001</v>
      </c>
      <c r="B898" s="86">
        <f t="shared" si="13"/>
        <v>93543597.450095996</v>
      </c>
      <c r="C898" s="54">
        <v>4092557.6656563366</v>
      </c>
      <c r="D898" s="20">
        <v>70.601127388888898</v>
      </c>
    </row>
    <row r="899" spans="1:4" ht="13.8" x14ac:dyDescent="0.25">
      <c r="A899" s="41">
        <v>10682.081357600004</v>
      </c>
      <c r="B899" s="86">
        <f t="shared" ref="B899:B962" si="14">A899*24*365</f>
        <v>93575032.692576036</v>
      </c>
      <c r="C899" s="54">
        <v>4090990.5825868836</v>
      </c>
      <c r="D899" s="20">
        <v>68.79570116666666</v>
      </c>
    </row>
    <row r="900" spans="1:4" ht="13.8" x14ac:dyDescent="0.25">
      <c r="A900" s="40">
        <v>10743.584226099998</v>
      </c>
      <c r="B900" s="86">
        <f t="shared" si="14"/>
        <v>94113797.820635974</v>
      </c>
      <c r="C900" s="54">
        <v>4064007.3422085028</v>
      </c>
      <c r="D900" s="20">
        <v>59.264883777777783</v>
      </c>
    </row>
    <row r="901" spans="1:4" ht="13.8" x14ac:dyDescent="0.25">
      <c r="A901" s="41">
        <v>10769.580900500001</v>
      </c>
      <c r="B901" s="86">
        <f t="shared" si="14"/>
        <v>94341528.688380003</v>
      </c>
      <c r="C901" s="54">
        <v>4052548.8730780985</v>
      </c>
      <c r="D901" s="20">
        <v>35.350912000000001</v>
      </c>
    </row>
    <row r="902" spans="1:4" ht="13.8" x14ac:dyDescent="0.25">
      <c r="A902" s="40">
        <v>10793.962750799999</v>
      </c>
      <c r="B902" s="86">
        <f t="shared" si="14"/>
        <v>94555113.697007999</v>
      </c>
      <c r="C902" s="54">
        <v>4041752.5399138927</v>
      </c>
      <c r="D902" s="20">
        <v>17.874715388888891</v>
      </c>
    </row>
    <row r="903" spans="1:4" ht="13.8" x14ac:dyDescent="0.25">
      <c r="A903" s="41">
        <v>10811.984985200001</v>
      </c>
      <c r="B903" s="86">
        <f t="shared" si="14"/>
        <v>94712988.470352009</v>
      </c>
      <c r="C903" s="54">
        <v>4033735.5767313726</v>
      </c>
      <c r="D903" s="20">
        <v>14.04753288888889</v>
      </c>
    </row>
    <row r="904" spans="1:4" ht="13.8" x14ac:dyDescent="0.25">
      <c r="A904" s="40">
        <v>10815.7927803</v>
      </c>
      <c r="B904" s="86">
        <f t="shared" si="14"/>
        <v>94746344.755428001</v>
      </c>
      <c r="C904" s="54">
        <v>4032033.9771431712</v>
      </c>
      <c r="D904" s="20">
        <v>15.896143833333335</v>
      </c>
    </row>
    <row r="905" spans="1:4" ht="13.8" x14ac:dyDescent="0.25">
      <c r="A905" s="41">
        <v>10858.077248399999</v>
      </c>
      <c r="B905" s="86">
        <f t="shared" si="14"/>
        <v>95116756.695983991</v>
      </c>
      <c r="C905" s="54">
        <v>4013052.1414517174</v>
      </c>
      <c r="D905" s="20">
        <v>18.686689777777779</v>
      </c>
    </row>
    <row r="906" spans="1:4" ht="13.8" x14ac:dyDescent="0.25">
      <c r="A906" s="40">
        <v>10868.244659399999</v>
      </c>
      <c r="B906" s="86">
        <f t="shared" si="14"/>
        <v>95205823.216343999</v>
      </c>
      <c r="C906" s="54">
        <v>4008467.2154959887</v>
      </c>
      <c r="D906" s="20">
        <v>22.526268833333337</v>
      </c>
    </row>
    <row r="907" spans="1:4" ht="13.8" x14ac:dyDescent="0.25">
      <c r="A907" s="41">
        <v>10890.413602600001</v>
      </c>
      <c r="B907" s="86">
        <f t="shared" si="14"/>
        <v>95400023.158776015</v>
      </c>
      <c r="C907" s="54">
        <v>3998425.1580978502</v>
      </c>
      <c r="D907" s="20">
        <v>26.40151338888889</v>
      </c>
    </row>
    <row r="908" spans="1:4" ht="13.8" x14ac:dyDescent="0.25">
      <c r="A908" s="40">
        <v>10901.338585400001</v>
      </c>
      <c r="B908" s="86">
        <f t="shared" si="14"/>
        <v>95495726.008104011</v>
      </c>
      <c r="C908" s="54">
        <v>3993454.1386239063</v>
      </c>
      <c r="D908" s="20">
        <v>36.12711927777778</v>
      </c>
    </row>
    <row r="909" spans="1:4" ht="13.8" x14ac:dyDescent="0.25">
      <c r="A909" s="41">
        <v>10935.509060800001</v>
      </c>
      <c r="B909" s="86">
        <f t="shared" si="14"/>
        <v>95795059.372608006</v>
      </c>
      <c r="C909" s="54">
        <v>3977836.5482478905</v>
      </c>
      <c r="D909" s="20">
        <v>67.422223777777788</v>
      </c>
    </row>
    <row r="910" spans="1:4" ht="13.8" x14ac:dyDescent="0.25">
      <c r="A910" s="40">
        <v>10991.928223800003</v>
      </c>
      <c r="B910" s="86">
        <f t="shared" si="14"/>
        <v>96289291.240488037</v>
      </c>
      <c r="C910" s="54">
        <v>3951935.3809217522</v>
      </c>
      <c r="D910" s="20">
        <v>59.216720111111115</v>
      </c>
    </row>
    <row r="911" spans="1:4" ht="13.8" x14ac:dyDescent="0.25">
      <c r="A911" s="41">
        <v>10993.343686900002</v>
      </c>
      <c r="B911" s="86">
        <f t="shared" si="14"/>
        <v>96301690.697244018</v>
      </c>
      <c r="C911" s="54">
        <v>3951282.6827349365</v>
      </c>
      <c r="D911" s="20">
        <v>47.068298888888897</v>
      </c>
    </row>
    <row r="912" spans="1:4" ht="13.8" x14ac:dyDescent="0.25">
      <c r="A912" s="40">
        <v>11028.112245300001</v>
      </c>
      <c r="B912" s="86">
        <f t="shared" si="14"/>
        <v>96606263.268828005</v>
      </c>
      <c r="C912" s="54">
        <v>3935179.4439603752</v>
      </c>
      <c r="D912" s="20">
        <v>50.442092611111114</v>
      </c>
    </row>
    <row r="913" spans="1:4" ht="13.8" x14ac:dyDescent="0.25">
      <c r="A913" s="41">
        <v>11067.984445300002</v>
      </c>
      <c r="B913" s="86">
        <f t="shared" si="14"/>
        <v>96955543.740828022</v>
      </c>
      <c r="C913" s="54">
        <v>3916631.2744910428</v>
      </c>
      <c r="D913" s="20">
        <v>25.568810333333335</v>
      </c>
    </row>
    <row r="914" spans="1:4" ht="13.8" x14ac:dyDescent="0.25">
      <c r="A914" s="40">
        <v>11141.1100601</v>
      </c>
      <c r="B914" s="86">
        <f t="shared" si="14"/>
        <v>97596124.126476005</v>
      </c>
      <c r="C914" s="54">
        <v>3882465.0979515659</v>
      </c>
      <c r="D914" s="20">
        <v>19.69182688888889</v>
      </c>
    </row>
    <row r="915" spans="1:4" ht="13.8" x14ac:dyDescent="0.25">
      <c r="A915" s="41">
        <v>11144.519133200001</v>
      </c>
      <c r="B915" s="86">
        <f t="shared" si="14"/>
        <v>97625987.606832013</v>
      </c>
      <c r="C915" s="54">
        <v>3880865.3523799861</v>
      </c>
      <c r="D915" s="20">
        <v>22.862703222222223</v>
      </c>
    </row>
    <row r="916" spans="1:4" ht="13.8" x14ac:dyDescent="0.25">
      <c r="A916" s="40">
        <v>11151.237598899999</v>
      </c>
      <c r="B916" s="86">
        <f t="shared" si="14"/>
        <v>97684841.366363987</v>
      </c>
      <c r="C916" s="54">
        <v>3877698.9632225009</v>
      </c>
      <c r="D916" s="20">
        <v>22.112305166666669</v>
      </c>
    </row>
    <row r="917" spans="1:4" ht="13.8" x14ac:dyDescent="0.25">
      <c r="A917" s="41">
        <v>11165.192868900001</v>
      </c>
      <c r="B917" s="86">
        <f t="shared" si="14"/>
        <v>97807089.531563997</v>
      </c>
      <c r="C917" s="54">
        <v>3871093.4903718056</v>
      </c>
      <c r="D917" s="20">
        <v>24.097684666666666</v>
      </c>
    </row>
    <row r="918" spans="1:4" ht="13.8" x14ac:dyDescent="0.25">
      <c r="A918" s="40">
        <v>11180.583538099998</v>
      </c>
      <c r="B918" s="86">
        <f t="shared" si="14"/>
        <v>97941911.793755978</v>
      </c>
      <c r="C918" s="54">
        <v>3863777.2725814199</v>
      </c>
      <c r="D918" s="20">
        <v>25.890307888888891</v>
      </c>
    </row>
    <row r="919" spans="1:4" ht="13.8" x14ac:dyDescent="0.25">
      <c r="A919" s="41">
        <v>11261.7234651</v>
      </c>
      <c r="B919" s="86">
        <f t="shared" si="14"/>
        <v>98652697.55427599</v>
      </c>
      <c r="C919" s="54">
        <v>3825040.8753685979</v>
      </c>
      <c r="D919" s="20">
        <v>30.604453777777778</v>
      </c>
    </row>
    <row r="920" spans="1:4" ht="13.8" x14ac:dyDescent="0.25">
      <c r="A920" s="40">
        <v>11263.896500000001</v>
      </c>
      <c r="B920" s="86">
        <f t="shared" si="14"/>
        <v>98671733.340000004</v>
      </c>
      <c r="C920" s="54">
        <v>3823999.0404438423</v>
      </c>
      <c r="D920" s="20">
        <v>43.978609833333337</v>
      </c>
    </row>
    <row r="921" spans="1:4" ht="13.8" x14ac:dyDescent="0.25">
      <c r="A921" s="41">
        <v>11294.2193081</v>
      </c>
      <c r="B921" s="86">
        <f t="shared" si="14"/>
        <v>98937361.13895601</v>
      </c>
      <c r="C921" s="54">
        <v>3809399.4255940951</v>
      </c>
      <c r="D921" s="20">
        <v>112.0142598888889</v>
      </c>
    </row>
    <row r="922" spans="1:4" ht="13.8" x14ac:dyDescent="0.25">
      <c r="A922" s="40">
        <v>11327.3730424</v>
      </c>
      <c r="B922" s="86">
        <f t="shared" si="14"/>
        <v>99227787.851423994</v>
      </c>
      <c r="C922" s="54">
        <v>3793369.3177518602</v>
      </c>
      <c r="D922" s="20">
        <v>48.596428388888889</v>
      </c>
    </row>
    <row r="923" spans="1:4" ht="13.8" x14ac:dyDescent="0.25">
      <c r="A923" s="41">
        <v>11329.067610900001</v>
      </c>
      <c r="B923" s="86">
        <f t="shared" si="14"/>
        <v>99242632.271484002</v>
      </c>
      <c r="C923" s="54">
        <v>3792546.5307258517</v>
      </c>
      <c r="D923" s="20">
        <v>44.284967333333334</v>
      </c>
    </row>
    <row r="924" spans="1:4" ht="13.8" x14ac:dyDescent="0.25">
      <c r="A924" s="40">
        <v>11355.363326799999</v>
      </c>
      <c r="B924" s="86">
        <f t="shared" si="14"/>
        <v>99472982.742768005</v>
      </c>
      <c r="C924" s="54">
        <v>3779725.2919608019</v>
      </c>
      <c r="D924" s="20">
        <v>26.4116745</v>
      </c>
    </row>
    <row r="925" spans="1:4" ht="13.8" x14ac:dyDescent="0.25">
      <c r="A925" s="41">
        <v>11358.792336</v>
      </c>
      <c r="B925" s="86">
        <f t="shared" si="14"/>
        <v>99503020.863360003</v>
      </c>
      <c r="C925" s="54">
        <v>3778046.3999795839</v>
      </c>
      <c r="D925" s="20">
        <v>27.376370388888891</v>
      </c>
    </row>
    <row r="926" spans="1:4" ht="13.8" x14ac:dyDescent="0.25">
      <c r="A926" s="40">
        <v>11425.837440300002</v>
      </c>
      <c r="B926" s="86">
        <f t="shared" si="14"/>
        <v>100090335.977028</v>
      </c>
      <c r="C926" s="54">
        <v>3745083.6993743163</v>
      </c>
      <c r="D926" s="20">
        <v>18.888489444444446</v>
      </c>
    </row>
    <row r="927" spans="1:4" ht="13.8" x14ac:dyDescent="0.25">
      <c r="A927" s="41">
        <v>11430.921145800001</v>
      </c>
      <c r="B927" s="86">
        <f t="shared" si="14"/>
        <v>100134869.23720801</v>
      </c>
      <c r="C927" s="54">
        <v>3742573.9505080283</v>
      </c>
      <c r="D927" s="20">
        <v>13.851017000000001</v>
      </c>
    </row>
    <row r="928" spans="1:4" ht="13.8" x14ac:dyDescent="0.25">
      <c r="A928" s="40">
        <v>11438.7959053</v>
      </c>
      <c r="B928" s="86">
        <f t="shared" si="14"/>
        <v>100203852.13042799</v>
      </c>
      <c r="C928" s="54">
        <v>3738670.2726794956</v>
      </c>
      <c r="D928" s="20">
        <v>15.146050611111113</v>
      </c>
    </row>
    <row r="929" spans="1:4" ht="13.8" x14ac:dyDescent="0.25">
      <c r="A929" s="41">
        <v>11513.855321800002</v>
      </c>
      <c r="B929" s="86">
        <f t="shared" si="14"/>
        <v>100861372.61896801</v>
      </c>
      <c r="C929" s="54">
        <v>3701309.0295696873</v>
      </c>
      <c r="D929" s="20">
        <v>18.797445888888891</v>
      </c>
    </row>
    <row r="930" spans="1:4" ht="13.8" x14ac:dyDescent="0.25">
      <c r="A930" s="40">
        <v>11521.470912000001</v>
      </c>
      <c r="B930" s="86">
        <f t="shared" si="14"/>
        <v>100928085.18911999</v>
      </c>
      <c r="C930" s="54">
        <v>3697502.8269490479</v>
      </c>
      <c r="D930" s="20">
        <v>20.077644277777779</v>
      </c>
    </row>
    <row r="931" spans="1:4" ht="13.8" x14ac:dyDescent="0.25">
      <c r="A931" s="41">
        <v>11538.516277500003</v>
      </c>
      <c r="B931" s="86">
        <f t="shared" si="14"/>
        <v>101077402.59090002</v>
      </c>
      <c r="C931" s="54">
        <v>3688949.0158131681</v>
      </c>
      <c r="D931" s="20">
        <v>23.728633111111112</v>
      </c>
    </row>
    <row r="932" spans="1:4" ht="13.8" x14ac:dyDescent="0.25">
      <c r="A932" s="40">
        <v>11585.047134899998</v>
      </c>
      <c r="B932" s="86">
        <f t="shared" si="14"/>
        <v>101485012.90172398</v>
      </c>
      <c r="C932" s="54">
        <v>3665503.9070829656</v>
      </c>
      <c r="D932" s="20">
        <v>38.976396444444454</v>
      </c>
    </row>
    <row r="933" spans="1:4" ht="13.8" x14ac:dyDescent="0.25">
      <c r="A933" s="41">
        <v>11601.913075500002</v>
      </c>
      <c r="B933" s="86">
        <f t="shared" si="14"/>
        <v>101632758.54138003</v>
      </c>
      <c r="C933" s="54">
        <v>3656971.4810272865</v>
      </c>
      <c r="D933" s="20">
        <v>42.838431555555559</v>
      </c>
    </row>
    <row r="934" spans="1:4" ht="13.8" x14ac:dyDescent="0.25">
      <c r="A934" s="40">
        <v>11605.561381800002</v>
      </c>
      <c r="B934" s="86">
        <f t="shared" si="14"/>
        <v>101664717.70456803</v>
      </c>
      <c r="C934" s="54">
        <v>3655118.3889420936</v>
      </c>
      <c r="D934" s="20">
        <v>48.122006111111119</v>
      </c>
    </row>
    <row r="935" spans="1:4" ht="13.8" x14ac:dyDescent="0.25">
      <c r="A935" s="41">
        <v>11618.320485799999</v>
      </c>
      <c r="B935" s="86">
        <f t="shared" si="14"/>
        <v>101776487.455608</v>
      </c>
      <c r="C935" s="54">
        <v>3648611.6609287122</v>
      </c>
      <c r="D935" s="20">
        <v>102.38233944444445</v>
      </c>
    </row>
    <row r="936" spans="1:4" ht="13.8" x14ac:dyDescent="0.25">
      <c r="A936" s="40">
        <v>11627.7701972</v>
      </c>
      <c r="B936" s="86">
        <f t="shared" si="14"/>
        <v>101859266.927472</v>
      </c>
      <c r="C936" s="54">
        <v>3643773.3823451316</v>
      </c>
      <c r="D936" s="20">
        <v>63.556733888888893</v>
      </c>
    </row>
    <row r="937" spans="1:4" ht="13.8" x14ac:dyDescent="0.25">
      <c r="A937" s="41">
        <v>11691.525845</v>
      </c>
      <c r="B937" s="86">
        <f t="shared" si="14"/>
        <v>102417766.40220001</v>
      </c>
      <c r="C937" s="54">
        <v>3611000.5500250384</v>
      </c>
      <c r="D937" s="20">
        <v>26.732460777777778</v>
      </c>
    </row>
    <row r="938" spans="1:4" ht="13.8" x14ac:dyDescent="0.25">
      <c r="A938" s="40">
        <v>11697.406994499999</v>
      </c>
      <c r="B938" s="86">
        <f t="shared" si="14"/>
        <v>102469285.27181999</v>
      </c>
      <c r="C938" s="54">
        <v>3607965.4450886063</v>
      </c>
      <c r="D938" s="20">
        <v>11.311653722222223</v>
      </c>
    </row>
    <row r="939" spans="1:4" ht="13.8" x14ac:dyDescent="0.25">
      <c r="A939" s="41">
        <v>11736.242517300001</v>
      </c>
      <c r="B939" s="86">
        <f t="shared" si="14"/>
        <v>102809484.45154801</v>
      </c>
      <c r="C939" s="54">
        <v>3587844.4214564916</v>
      </c>
      <c r="D939" s="20">
        <v>10.203686166666667</v>
      </c>
    </row>
    <row r="940" spans="1:4" ht="13.8" x14ac:dyDescent="0.25">
      <c r="A940" s="40">
        <v>11883.231382600001</v>
      </c>
      <c r="B940" s="86">
        <f t="shared" si="14"/>
        <v>104097106.911576</v>
      </c>
      <c r="C940" s="54">
        <v>3511389.0374539066</v>
      </c>
      <c r="D940" s="20">
        <v>10.856639166666668</v>
      </c>
    </row>
    <row r="941" spans="1:4" ht="13.8" x14ac:dyDescent="0.25">
      <c r="A941" s="41">
        <v>11901.572594600002</v>
      </c>
      <c r="B941" s="86">
        <f t="shared" si="14"/>
        <v>104257775.92869602</v>
      </c>
      <c r="C941" s="54">
        <v>3501811.6349628493</v>
      </c>
      <c r="D941" s="20">
        <v>13.310242666666667</v>
      </c>
    </row>
    <row r="942" spans="1:4" ht="13.8" x14ac:dyDescent="0.25">
      <c r="A942" s="40">
        <v>11927.7088217</v>
      </c>
      <c r="B942" s="86">
        <f t="shared" si="14"/>
        <v>104486729.27809201</v>
      </c>
      <c r="C942" s="54">
        <v>3488110.6409322806</v>
      </c>
      <c r="D942" s="20">
        <v>17.107348277777778</v>
      </c>
    </row>
    <row r="943" spans="1:4" ht="13.8" x14ac:dyDescent="0.25">
      <c r="A943" s="41">
        <v>12014.291304000002</v>
      </c>
      <c r="B943" s="86">
        <f t="shared" si="14"/>
        <v>105245191.82304002</v>
      </c>
      <c r="C943" s="54">
        <v>3442546.6096219048</v>
      </c>
      <c r="D943" s="20">
        <v>17.698115277777781</v>
      </c>
    </row>
    <row r="944" spans="1:4" ht="13.8" x14ac:dyDescent="0.25">
      <c r="A944" s="40">
        <v>12039.091812400002</v>
      </c>
      <c r="B944" s="86">
        <f t="shared" si="14"/>
        <v>105462444.27662401</v>
      </c>
      <c r="C944" s="54">
        <v>3429444.8652052172</v>
      </c>
      <c r="D944" s="20">
        <v>25.234509777777777</v>
      </c>
    </row>
    <row r="945" spans="1:4" ht="13.8" x14ac:dyDescent="0.25">
      <c r="A945" s="41">
        <v>12063.194557299999</v>
      </c>
      <c r="B945" s="86">
        <f t="shared" si="14"/>
        <v>105673584.32194801</v>
      </c>
      <c r="C945" s="54">
        <v>3416662.6822976358</v>
      </c>
      <c r="D945" s="20">
        <v>30.967815111111115</v>
      </c>
    </row>
    <row r="946" spans="1:4" ht="13.8" x14ac:dyDescent="0.25">
      <c r="A946" s="40">
        <v>12098.321965499999</v>
      </c>
      <c r="B946" s="86">
        <f t="shared" si="14"/>
        <v>105981300.41778</v>
      </c>
      <c r="C946" s="54">
        <v>3397962.3976061083</v>
      </c>
      <c r="D946" s="20">
        <v>55.736539555555559</v>
      </c>
    </row>
    <row r="947" spans="1:4" ht="13.8" x14ac:dyDescent="0.25">
      <c r="A947" s="41">
        <v>12131.4358276</v>
      </c>
      <c r="B947" s="86">
        <f t="shared" si="14"/>
        <v>106271377.84977601</v>
      </c>
      <c r="C947" s="54">
        <v>3380266.6389845368</v>
      </c>
      <c r="D947" s="20">
        <v>25.920892833333333</v>
      </c>
    </row>
    <row r="948" spans="1:4" ht="13.8" x14ac:dyDescent="0.25">
      <c r="A948" s="40">
        <v>12166.583171900002</v>
      </c>
      <c r="B948" s="86">
        <f t="shared" si="14"/>
        <v>106579268.58584403</v>
      </c>
      <c r="C948" s="54">
        <v>3361412.669288218</v>
      </c>
      <c r="D948" s="20">
        <v>17.444697166666668</v>
      </c>
    </row>
    <row r="949" spans="1:4" ht="13.8" x14ac:dyDescent="0.25">
      <c r="A949" s="41">
        <v>12171.766557900002</v>
      </c>
      <c r="B949" s="86">
        <f t="shared" si="14"/>
        <v>106624675.04720402</v>
      </c>
      <c r="C949" s="54">
        <v>3358621.6134354193</v>
      </c>
      <c r="D949" s="20">
        <v>15.597305555555556</v>
      </c>
    </row>
    <row r="950" spans="1:4" ht="13.8" x14ac:dyDescent="0.25">
      <c r="A950" s="40">
        <v>12215.785466700001</v>
      </c>
      <c r="B950" s="86">
        <f t="shared" si="14"/>
        <v>107010280.68829201</v>
      </c>
      <c r="C950" s="54">
        <v>3334829.5159583203</v>
      </c>
      <c r="D950" s="20">
        <v>13.710895277777778</v>
      </c>
    </row>
    <row r="951" spans="1:4" ht="13.8" x14ac:dyDescent="0.25">
      <c r="A951" s="41">
        <v>12240.566039000001</v>
      </c>
      <c r="B951" s="86">
        <f t="shared" si="14"/>
        <v>107227358.50164002</v>
      </c>
      <c r="C951" s="54">
        <v>3321385.2494260613</v>
      </c>
      <c r="D951" s="20">
        <v>12.642352833333335</v>
      </c>
    </row>
    <row r="952" spans="1:4" ht="13.8" x14ac:dyDescent="0.25">
      <c r="A952" s="40">
        <v>12262.914407100001</v>
      </c>
      <c r="B952" s="86">
        <f t="shared" si="14"/>
        <v>107423130.206196</v>
      </c>
      <c r="C952" s="54">
        <v>3309215.0467959195</v>
      </c>
      <c r="D952" s="20">
        <v>13.457172333333334</v>
      </c>
    </row>
    <row r="953" spans="1:4" ht="13.8" x14ac:dyDescent="0.25">
      <c r="A953" s="41">
        <v>12291.642327200001</v>
      </c>
      <c r="B953" s="86">
        <f t="shared" si="14"/>
        <v>107674786.786272</v>
      </c>
      <c r="C953" s="54">
        <v>3293512.2748933025</v>
      </c>
      <c r="D953" s="20">
        <v>15.833551388888889</v>
      </c>
    </row>
    <row r="954" spans="1:4" ht="13.8" x14ac:dyDescent="0.25">
      <c r="A954" s="40">
        <v>12345.1109474</v>
      </c>
      <c r="B954" s="86">
        <f t="shared" si="14"/>
        <v>108143171.89922401</v>
      </c>
      <c r="C954" s="54">
        <v>3264177.3326016963</v>
      </c>
      <c r="D954" s="20">
        <v>18.151605666666669</v>
      </c>
    </row>
    <row r="955" spans="1:4" ht="13.8" x14ac:dyDescent="0.25">
      <c r="A955" s="41">
        <v>12464.0696561</v>
      </c>
      <c r="B955" s="86">
        <f t="shared" si="14"/>
        <v>109185250.187436</v>
      </c>
      <c r="C955" s="54">
        <v>3198669.8894116729</v>
      </c>
      <c r="D955" s="20">
        <v>21.667858166666669</v>
      </c>
    </row>
    <row r="956" spans="1:4" ht="13.8" x14ac:dyDescent="0.25">
      <c r="A956" s="40">
        <v>12469.831188999999</v>
      </c>
      <c r="B956" s="86">
        <f t="shared" si="14"/>
        <v>109235721.21563999</v>
      </c>
      <c r="C956" s="54">
        <v>3195485.4377029147</v>
      </c>
      <c r="D956" s="20">
        <v>30.668265555555557</v>
      </c>
    </row>
    <row r="957" spans="1:4" ht="13.8" x14ac:dyDescent="0.25">
      <c r="A957" s="41">
        <v>12507.530354100001</v>
      </c>
      <c r="B957" s="86">
        <f t="shared" si="14"/>
        <v>109565965.90191601</v>
      </c>
      <c r="C957" s="54">
        <v>3174572.0360820815</v>
      </c>
      <c r="D957" s="20">
        <v>55.562378111111109</v>
      </c>
    </row>
    <row r="958" spans="1:4" ht="13.8" x14ac:dyDescent="0.25">
      <c r="A958" s="40">
        <v>12635.799221500001</v>
      </c>
      <c r="B958" s="86">
        <f t="shared" si="14"/>
        <v>110689601.18034002</v>
      </c>
      <c r="C958" s="54">
        <v>3103154.5294696223</v>
      </c>
      <c r="D958" s="20">
        <v>56.784454944444448</v>
      </c>
    </row>
    <row r="959" spans="1:4" ht="13.8" x14ac:dyDescent="0.25">
      <c r="A959" s="41">
        <v>12659.224139</v>
      </c>
      <c r="B959" s="86">
        <f t="shared" si="14"/>
        <v>110894803.45764001</v>
      </c>
      <c r="C959" s="54">
        <v>3090064.3328906409</v>
      </c>
      <c r="D959" s="20">
        <v>37.195458500000001</v>
      </c>
    </row>
    <row r="960" spans="1:4" ht="13.8" x14ac:dyDescent="0.25">
      <c r="A960" s="40">
        <v>12823.776708400002</v>
      </c>
      <c r="B960" s="86">
        <f t="shared" si="14"/>
        <v>112336283.96558402</v>
      </c>
      <c r="C960" s="54">
        <v>2997774.9631706942</v>
      </c>
      <c r="D960" s="20">
        <v>42.07482405555556</v>
      </c>
    </row>
    <row r="961" spans="1:4" ht="13.8" x14ac:dyDescent="0.25">
      <c r="A961" s="41">
        <v>12847.201625900003</v>
      </c>
      <c r="B961" s="86">
        <f t="shared" si="14"/>
        <v>112541486.24288402</v>
      </c>
      <c r="C961" s="54">
        <v>2984589.4123736322</v>
      </c>
      <c r="D961" s="20">
        <v>21.872299722222223</v>
      </c>
    </row>
    <row r="962" spans="1:4" ht="13.8" x14ac:dyDescent="0.25">
      <c r="A962" s="40">
        <v>12855.694404500002</v>
      </c>
      <c r="B962" s="86">
        <f t="shared" si="14"/>
        <v>112615882.98342003</v>
      </c>
      <c r="C962" s="54">
        <v>2979791.6633625701</v>
      </c>
      <c r="D962" s="20">
        <v>23.664821333333336</v>
      </c>
    </row>
    <row r="963" spans="1:4" ht="13.8" x14ac:dyDescent="0.25">
      <c r="A963" s="41">
        <v>12879.896829900004</v>
      </c>
      <c r="B963" s="86">
        <f t="shared" ref="B963:B1026" si="15">A963*24*365</f>
        <v>112827896.22992404</v>
      </c>
      <c r="C963" s="54">
        <v>2966069.9453299083</v>
      </c>
      <c r="D963" s="20">
        <v>15.136499166666667</v>
      </c>
    </row>
    <row r="964" spans="1:4" ht="13.8" x14ac:dyDescent="0.25">
      <c r="A964" s="40">
        <v>12900.590501700002</v>
      </c>
      <c r="B964" s="86">
        <f t="shared" si="15"/>
        <v>113009172.79489201</v>
      </c>
      <c r="C964" s="54">
        <v>2954295.4191640411</v>
      </c>
      <c r="D964" s="20">
        <v>15.692210333333335</v>
      </c>
    </row>
    <row r="965" spans="1:4" ht="13.8" x14ac:dyDescent="0.25">
      <c r="A965" s="41">
        <v>12929.0193803</v>
      </c>
      <c r="B965" s="86">
        <f t="shared" si="15"/>
        <v>113258209.771428</v>
      </c>
      <c r="C965" s="54">
        <v>2938061.7632776052</v>
      </c>
      <c r="D965" s="20">
        <v>16.937251277777779</v>
      </c>
    </row>
    <row r="966" spans="1:4" ht="13.8" x14ac:dyDescent="0.25">
      <c r="A966" s="40">
        <v>12943.253755699996</v>
      </c>
      <c r="B966" s="86">
        <f t="shared" si="15"/>
        <v>113382902.89993197</v>
      </c>
      <c r="C966" s="54">
        <v>2929904.5798321906</v>
      </c>
      <c r="D966" s="20">
        <v>19.99787955555556</v>
      </c>
    </row>
    <row r="967" spans="1:4" ht="13.8" x14ac:dyDescent="0.25">
      <c r="A967" s="41">
        <v>12972.500014400001</v>
      </c>
      <c r="B967" s="86">
        <f t="shared" si="15"/>
        <v>113639100.12614401</v>
      </c>
      <c r="C967" s="54">
        <v>2913085.1271232199</v>
      </c>
      <c r="D967" s="20">
        <v>22.996220222222224</v>
      </c>
    </row>
    <row r="968" spans="1:4" ht="13.8" x14ac:dyDescent="0.25">
      <c r="A968" s="40">
        <v>13076.486712</v>
      </c>
      <c r="B968" s="86">
        <f t="shared" si="15"/>
        <v>114550023.59712</v>
      </c>
      <c r="C968" s="54">
        <v>2853070.9828145634</v>
      </c>
      <c r="D968" s="20">
        <v>30.18571438888889</v>
      </c>
    </row>
    <row r="969" spans="1:4" ht="13.8" x14ac:dyDescent="0.25">
      <c r="A969" s="41">
        <v>13136.354820300003</v>
      </c>
      <c r="B969" s="86">
        <f t="shared" si="15"/>
        <v>115074468.22582802</v>
      </c>
      <c r="C969" s="54">
        <v>2818397.277358301</v>
      </c>
      <c r="D969" s="20">
        <v>50.702623500000001</v>
      </c>
    </row>
    <row r="970" spans="1:4" ht="13.8" x14ac:dyDescent="0.25">
      <c r="A970" s="40">
        <v>13228.240305199999</v>
      </c>
      <c r="B970" s="86">
        <f t="shared" si="15"/>
        <v>115879385.07355198</v>
      </c>
      <c r="C970" s="54">
        <v>2764993.1090317797</v>
      </c>
      <c r="D970" s="20">
        <v>54.239604666666672</v>
      </c>
    </row>
    <row r="971" spans="1:4" ht="13.8" x14ac:dyDescent="0.25">
      <c r="A971" s="41">
        <v>13233.862285399999</v>
      </c>
      <c r="B971" s="86">
        <f t="shared" si="15"/>
        <v>115928633.62010399</v>
      </c>
      <c r="C971" s="54">
        <v>2761714.1517787948</v>
      </c>
      <c r="D971" s="20">
        <v>87.457801055555564</v>
      </c>
    </row>
    <row r="972" spans="1:4" ht="13.8" x14ac:dyDescent="0.25">
      <c r="A972" s="40">
        <v>13367.793005200001</v>
      </c>
      <c r="B972" s="86">
        <f t="shared" si="15"/>
        <v>117101866.72555201</v>
      </c>
      <c r="C972" s="54">
        <v>2683327.9617716856</v>
      </c>
      <c r="D972" s="20">
        <v>38.67816783333334</v>
      </c>
    </row>
    <row r="973" spans="1:4" ht="13.8" x14ac:dyDescent="0.25">
      <c r="A973" s="41">
        <v>13372.3184999</v>
      </c>
      <c r="B973" s="86">
        <f t="shared" si="15"/>
        <v>117141510.05912401</v>
      </c>
      <c r="C973" s="54">
        <v>2680670.0958347041</v>
      </c>
      <c r="D973" s="20">
        <v>25.994764111111113</v>
      </c>
    </row>
    <row r="974" spans="1:4" ht="13.8" x14ac:dyDescent="0.25">
      <c r="A974" s="40">
        <v>13390.779328500001</v>
      </c>
      <c r="B974" s="86">
        <f t="shared" si="15"/>
        <v>117303226.91766001</v>
      </c>
      <c r="C974" s="54">
        <v>2669790.3025779556</v>
      </c>
      <c r="D974" s="20">
        <v>21.781662611111113</v>
      </c>
    </row>
    <row r="975" spans="1:4" ht="13.8" x14ac:dyDescent="0.25">
      <c r="A975" s="41">
        <v>13424.969739999999</v>
      </c>
      <c r="B975" s="86">
        <f t="shared" si="15"/>
        <v>117602734.92239998</v>
      </c>
      <c r="C975" s="54">
        <v>2649570.7732120343</v>
      </c>
      <c r="D975" s="20">
        <v>13.642307777777779</v>
      </c>
    </row>
    <row r="976" spans="1:4" ht="13.8" x14ac:dyDescent="0.25">
      <c r="A976" s="40">
        <v>13430.850889500003</v>
      </c>
      <c r="B976" s="86">
        <f t="shared" si="15"/>
        <v>117654253.79202002</v>
      </c>
      <c r="C976" s="54">
        <v>2646080.8083672412</v>
      </c>
      <c r="D976" s="20">
        <v>14.22494588888889</v>
      </c>
    </row>
    <row r="977" spans="1:4" ht="13.8" x14ac:dyDescent="0.25">
      <c r="A977" s="41">
        <v>13456.0102477</v>
      </c>
      <c r="B977" s="86">
        <f t="shared" si="15"/>
        <v>117874649.76985198</v>
      </c>
      <c r="C977" s="54">
        <v>2631099.6498212088</v>
      </c>
      <c r="D977" s="20">
        <v>17.605039500000004</v>
      </c>
    </row>
    <row r="978" spans="1:4" ht="13.8" x14ac:dyDescent="0.25">
      <c r="A978" s="40">
        <v>13484.478998500001</v>
      </c>
      <c r="B978" s="86">
        <f t="shared" si="15"/>
        <v>118124036.02686</v>
      </c>
      <c r="C978" s="54">
        <v>2614089.9680874124</v>
      </c>
      <c r="D978" s="20">
        <v>19.635635944444449</v>
      </c>
    </row>
    <row r="979" spans="1:4" ht="13.8" x14ac:dyDescent="0.25">
      <c r="A979" s="41">
        <v>13497.716568900003</v>
      </c>
      <c r="B979" s="86">
        <f t="shared" si="15"/>
        <v>118239997.14356403</v>
      </c>
      <c r="C979" s="54">
        <v>2606153.7616733927</v>
      </c>
      <c r="D979" s="20">
        <v>23.511083722222224</v>
      </c>
    </row>
    <row r="980" spans="1:4" ht="13.8" x14ac:dyDescent="0.25">
      <c r="A980" s="40">
        <v>13516.336886299998</v>
      </c>
      <c r="B980" s="86">
        <f t="shared" si="15"/>
        <v>118403111.12398797</v>
      </c>
      <c r="C980" s="54">
        <v>2594952.5851445068</v>
      </c>
      <c r="D980" s="20">
        <v>28.54621911111111</v>
      </c>
    </row>
    <row r="981" spans="1:4" ht="13.8" x14ac:dyDescent="0.25">
      <c r="A981" s="41">
        <v>13539.024168100001</v>
      </c>
      <c r="B981" s="86">
        <f t="shared" si="15"/>
        <v>118601851.71255599</v>
      </c>
      <c r="C981" s="54">
        <v>2581258.7231796011</v>
      </c>
      <c r="D981" s="20">
        <v>56.208523166666673</v>
      </c>
    </row>
    <row r="982" spans="1:4" ht="13.8" x14ac:dyDescent="0.25">
      <c r="A982" s="40">
        <v>13577.381224499999</v>
      </c>
      <c r="B982" s="86">
        <f t="shared" si="15"/>
        <v>118937859.52661999</v>
      </c>
      <c r="C982" s="54">
        <v>2558028.6417777967</v>
      </c>
      <c r="D982" s="20">
        <v>39.796702944444448</v>
      </c>
    </row>
    <row r="983" spans="1:4" ht="13.8" x14ac:dyDescent="0.25">
      <c r="A983" s="41">
        <v>13596.798985899997</v>
      </c>
      <c r="B983" s="86">
        <f t="shared" si="15"/>
        <v>119107959.11648399</v>
      </c>
      <c r="C983" s="54">
        <v>2546229.1936341301</v>
      </c>
      <c r="D983" s="20">
        <v>27.663015333333334</v>
      </c>
    </row>
    <row r="984" spans="1:4" ht="13.8" x14ac:dyDescent="0.25">
      <c r="A984" s="40">
        <v>13684.677314700002</v>
      </c>
      <c r="B984" s="86">
        <f t="shared" si="15"/>
        <v>119877773.27677201</v>
      </c>
      <c r="C984" s="54">
        <v>2492649.9562416505</v>
      </c>
      <c r="D984" s="20">
        <v>36.532446000000007</v>
      </c>
    </row>
    <row r="985" spans="1:4" ht="13.8" x14ac:dyDescent="0.25">
      <c r="A985" s="41">
        <v>13720.701847400001</v>
      </c>
      <c r="B985" s="86">
        <f t="shared" si="15"/>
        <v>120193348.18322402</v>
      </c>
      <c r="C985" s="54">
        <v>2470612.5510033052</v>
      </c>
      <c r="D985" s="20">
        <v>24.045964611111113</v>
      </c>
    </row>
    <row r="986" spans="1:4" ht="13.8" x14ac:dyDescent="0.25">
      <c r="A986" s="40">
        <v>13833.540173400001</v>
      </c>
      <c r="B986" s="86">
        <f t="shared" si="15"/>
        <v>121181811.918984</v>
      </c>
      <c r="C986" s="54">
        <v>2401355.9310541525</v>
      </c>
      <c r="D986" s="20">
        <v>22.276407111111116</v>
      </c>
    </row>
    <row r="987" spans="1:4" ht="13.8" x14ac:dyDescent="0.25">
      <c r="A987" s="41">
        <v>13851.941193699999</v>
      </c>
      <c r="B987" s="86">
        <f t="shared" si="15"/>
        <v>121343004.856812</v>
      </c>
      <c r="C987" s="54">
        <v>2390024.510927869</v>
      </c>
      <c r="D987" s="20">
        <v>21.318011111111112</v>
      </c>
    </row>
    <row r="988" spans="1:4" ht="13.8" x14ac:dyDescent="0.25">
      <c r="A988" s="40">
        <v>13960.453385999999</v>
      </c>
      <c r="B988" s="86">
        <f t="shared" si="15"/>
        <v>122293571.66135998</v>
      </c>
      <c r="C988" s="54">
        <v>2322981.4227493554</v>
      </c>
      <c r="D988" s="20">
        <v>11.917154333333334</v>
      </c>
    </row>
    <row r="989" spans="1:4" ht="13.8" x14ac:dyDescent="0.25">
      <c r="A989" s="41">
        <v>13991.473957599999</v>
      </c>
      <c r="B989" s="86">
        <f t="shared" si="15"/>
        <v>122565311.86857599</v>
      </c>
      <c r="C989" s="54">
        <v>2303752.560343571</v>
      </c>
      <c r="D989" s="20">
        <v>16.035147833333337</v>
      </c>
    </row>
    <row r="990" spans="1:4" ht="13.8" x14ac:dyDescent="0.25">
      <c r="A990" s="40">
        <v>14136.409404599999</v>
      </c>
      <c r="B990" s="86">
        <f t="shared" si="15"/>
        <v>123834946.384296</v>
      </c>
      <c r="C990" s="54">
        <v>2213615.7780515384</v>
      </c>
      <c r="D990" s="20">
        <v>15.517947277777779</v>
      </c>
    </row>
    <row r="991" spans="1:4" ht="13.8" x14ac:dyDescent="0.25">
      <c r="A991" s="41">
        <v>14213.841217000001</v>
      </c>
      <c r="B991" s="86">
        <f t="shared" si="15"/>
        <v>124513249.06092001</v>
      </c>
      <c r="C991" s="54">
        <v>2165302.5729103461</v>
      </c>
      <c r="D991" s="20">
        <v>16.472888500000003</v>
      </c>
    </row>
    <row r="992" spans="1:4" ht="13.8" x14ac:dyDescent="0.25">
      <c r="A992" s="40">
        <v>14239.3793611</v>
      </c>
      <c r="B992" s="86">
        <f t="shared" si="15"/>
        <v>124736963.203236</v>
      </c>
      <c r="C992" s="54">
        <v>2149316.1931247711</v>
      </c>
      <c r="D992" s="20">
        <v>22.293274555555559</v>
      </c>
    </row>
    <row r="993" spans="1:4" ht="13.8" x14ac:dyDescent="0.25">
      <c r="A993" s="41">
        <v>14376.141007099999</v>
      </c>
      <c r="B993" s="86">
        <f t="shared" si="15"/>
        <v>125934995.222196</v>
      </c>
      <c r="C993" s="54">
        <v>2063427.718704449</v>
      </c>
      <c r="D993" s="20">
        <v>27.641473777777779</v>
      </c>
    </row>
    <row r="994" spans="1:4" ht="13.8" x14ac:dyDescent="0.25">
      <c r="A994" s="40">
        <v>14514.397860599998</v>
      </c>
      <c r="B994" s="86">
        <f t="shared" si="15"/>
        <v>127146125.25885597</v>
      </c>
      <c r="C994" s="54">
        <v>1976318.8339669723</v>
      </c>
      <c r="D994" s="20">
        <v>38.050312777777783</v>
      </c>
    </row>
    <row r="995" spans="1:4" ht="13.8" x14ac:dyDescent="0.25">
      <c r="A995" s="41">
        <v>14563.081816800002</v>
      </c>
      <c r="B995" s="86">
        <f t="shared" si="15"/>
        <v>127572596.71516801</v>
      </c>
      <c r="C995" s="54">
        <v>1945546.3658345118</v>
      </c>
      <c r="D995" s="20">
        <v>68.250659166666665</v>
      </c>
    </row>
    <row r="996" spans="1:4" ht="13.8" x14ac:dyDescent="0.25">
      <c r="A996" s="40">
        <v>14575.8209847</v>
      </c>
      <c r="B996" s="86">
        <f t="shared" si="15"/>
        <v>127684191.82597201</v>
      </c>
      <c r="C996" s="54">
        <v>1937468.1824277397</v>
      </c>
      <c r="D996" s="20">
        <v>75.61949694444445</v>
      </c>
    </row>
    <row r="997" spans="1:4" ht="13.8" x14ac:dyDescent="0.25">
      <c r="A997" s="41">
        <v>14585.190951700002</v>
      </c>
      <c r="B997" s="86">
        <f t="shared" si="15"/>
        <v>127766272.73689201</v>
      </c>
      <c r="C997" s="54">
        <v>1931507.4117387645</v>
      </c>
      <c r="D997" s="20">
        <v>44.808162944444454</v>
      </c>
    </row>
    <row r="998" spans="1:4" ht="13.8" x14ac:dyDescent="0.25">
      <c r="A998" s="40">
        <v>14593.723602499998</v>
      </c>
      <c r="B998" s="86">
        <f t="shared" si="15"/>
        <v>127841018.75789997</v>
      </c>
      <c r="C998" s="54">
        <v>1926061.9390239846</v>
      </c>
      <c r="D998" s="20">
        <v>20.195106722222224</v>
      </c>
    </row>
    <row r="999" spans="1:4" ht="13.8" x14ac:dyDescent="0.25">
      <c r="A999" s="41">
        <v>14603.671716400002</v>
      </c>
      <c r="B999" s="86">
        <f t="shared" si="15"/>
        <v>127928164.23566402</v>
      </c>
      <c r="C999" s="54">
        <v>1919692.8809905257</v>
      </c>
      <c r="D999" s="20">
        <v>15.350288944444445</v>
      </c>
    </row>
    <row r="1000" spans="1:4" ht="13.8" x14ac:dyDescent="0.25">
      <c r="A1000" s="40">
        <v>14614.357466000001</v>
      </c>
      <c r="B1000" s="86">
        <f t="shared" si="15"/>
        <v>128021771.40216002</v>
      </c>
      <c r="C1000" s="54">
        <v>1912829.8192760106</v>
      </c>
      <c r="D1000" s="20">
        <v>14.777710333333335</v>
      </c>
    </row>
    <row r="1001" spans="1:4" ht="13.8" x14ac:dyDescent="0.25">
      <c r="A1001" s="41">
        <v>14649.9234684</v>
      </c>
      <c r="B1001" s="86">
        <f t="shared" si="15"/>
        <v>128333329.58318402</v>
      </c>
      <c r="C1001" s="54">
        <v>1889914.7034267187</v>
      </c>
      <c r="D1001" s="20">
        <v>17.325608944444443</v>
      </c>
    </row>
    <row r="1002" spans="1:4" ht="13.8" x14ac:dyDescent="0.25">
      <c r="A1002" s="40">
        <v>14693.025316600002</v>
      </c>
      <c r="B1002" s="86">
        <f t="shared" si="15"/>
        <v>128710901.77341601</v>
      </c>
      <c r="C1002" s="54">
        <v>1862056.52885429</v>
      </c>
      <c r="D1002" s="20">
        <v>20.786076944444446</v>
      </c>
    </row>
    <row r="1003" spans="1:4" ht="13.8" x14ac:dyDescent="0.25">
      <c r="A1003" s="41">
        <v>14823.806132600002</v>
      </c>
      <c r="B1003" s="86">
        <f t="shared" si="15"/>
        <v>129856541.72157602</v>
      </c>
      <c r="C1003" s="54">
        <v>1777262.3073131032</v>
      </c>
      <c r="D1003" s="20">
        <v>26.256615944444444</v>
      </c>
    </row>
    <row r="1004" spans="1:4" ht="13.8" x14ac:dyDescent="0.25">
      <c r="A1004" s="40">
        <v>14836.5453005</v>
      </c>
      <c r="B1004" s="86">
        <f t="shared" si="15"/>
        <v>129968136.83238</v>
      </c>
      <c r="C1004" s="54">
        <v>1768976.6980498154</v>
      </c>
      <c r="D1004" s="20">
        <v>37.316578944444444</v>
      </c>
    </row>
    <row r="1005" spans="1:4" ht="13.8" x14ac:dyDescent="0.25">
      <c r="A1005" s="41">
        <v>14848.506960500001</v>
      </c>
      <c r="B1005" s="86">
        <f t="shared" si="15"/>
        <v>130072920.97397999</v>
      </c>
      <c r="C1005" s="54">
        <v>1761172.4374908004</v>
      </c>
      <c r="D1005" s="20">
        <v>73.272889944444444</v>
      </c>
    </row>
    <row r="1006" spans="1:4" ht="13.8" x14ac:dyDescent="0.25">
      <c r="A1006" s="40">
        <v>14951.437044799999</v>
      </c>
      <c r="B1006" s="86">
        <f t="shared" si="15"/>
        <v>130974588.512448</v>
      </c>
      <c r="C1006" s="54">
        <v>1693807.2801345531</v>
      </c>
      <c r="D1006" s="20">
        <v>81.985941111111131</v>
      </c>
    </row>
    <row r="1007" spans="1:4" ht="13.8" x14ac:dyDescent="0.25">
      <c r="A1007" s="41">
        <v>14979.108351600002</v>
      </c>
      <c r="B1007" s="86">
        <f t="shared" si="15"/>
        <v>131216989.16001602</v>
      </c>
      <c r="C1007" s="54">
        <v>1675640.7843352426</v>
      </c>
      <c r="D1007" s="20">
        <v>69.74861016666668</v>
      </c>
    </row>
    <row r="1008" spans="1:4" ht="13.8" x14ac:dyDescent="0.25">
      <c r="A1008" s="40">
        <v>15005.424003600003</v>
      </c>
      <c r="B1008" s="86">
        <f t="shared" si="15"/>
        <v>131447514.27153602</v>
      </c>
      <c r="C1008" s="54">
        <v>1658310.7291038856</v>
      </c>
      <c r="D1008" s="20">
        <v>57.564828277777778</v>
      </c>
    </row>
    <row r="1009" spans="1:4" ht="13.8" x14ac:dyDescent="0.25">
      <c r="A1009" s="41">
        <v>15139.354723400002</v>
      </c>
      <c r="B1009" s="86">
        <f t="shared" si="15"/>
        <v>132620747.37698402</v>
      </c>
      <c r="C1009" s="54">
        <v>1569838.6597051509</v>
      </c>
      <c r="D1009" s="20">
        <v>25.273020388888892</v>
      </c>
    </row>
    <row r="1010" spans="1:4" ht="13.8" x14ac:dyDescent="0.25">
      <c r="A1010" s="40">
        <v>15239.493753700001</v>
      </c>
      <c r="B1010" s="86">
        <f t="shared" si="15"/>
        <v>133497965.28241201</v>
      </c>
      <c r="C1010" s="54">
        <v>1503484.9188797381</v>
      </c>
      <c r="D1010" s="20">
        <v>20.267250611111116</v>
      </c>
    </row>
    <row r="1011" spans="1:4" ht="13.8" x14ac:dyDescent="0.25">
      <c r="A1011" s="41">
        <v>15376.933227100004</v>
      </c>
      <c r="B1011" s="86">
        <f t="shared" si="15"/>
        <v>134701935.06939605</v>
      </c>
      <c r="C1011" s="54">
        <v>1412135.5685134623</v>
      </c>
      <c r="D1011" s="20">
        <v>17.843012722222223</v>
      </c>
    </row>
    <row r="1012" spans="1:4" ht="13.8" x14ac:dyDescent="0.25">
      <c r="A1012" s="40">
        <v>15423.523892800002</v>
      </c>
      <c r="B1012" s="86">
        <f t="shared" si="15"/>
        <v>135110069.300928</v>
      </c>
      <c r="C1012" s="54">
        <v>1381074.1865495015</v>
      </c>
      <c r="D1012" s="20">
        <v>15.576170444444445</v>
      </c>
    </row>
    <row r="1013" spans="1:4" ht="13.8" x14ac:dyDescent="0.25">
      <c r="A1013" s="41">
        <v>15467.981395800001</v>
      </c>
      <c r="B1013" s="86">
        <f t="shared" si="15"/>
        <v>135499517.027208</v>
      </c>
      <c r="C1013" s="54">
        <v>1351344.4709397126</v>
      </c>
      <c r="D1013" s="20">
        <v>17.620281166666668</v>
      </c>
    </row>
    <row r="1014" spans="1:4" ht="13.8" x14ac:dyDescent="0.25">
      <c r="A1014" s="40">
        <v>15564.392375399999</v>
      </c>
      <c r="B1014" s="86">
        <f t="shared" si="15"/>
        <v>136344077.20850399</v>
      </c>
      <c r="C1014" s="54">
        <v>1286676.0895627569</v>
      </c>
      <c r="D1014" s="20">
        <v>17.772596222222223</v>
      </c>
    </row>
    <row r="1015" spans="1:4" ht="13.8" x14ac:dyDescent="0.25">
      <c r="A1015" s="41">
        <v>15822.604742599997</v>
      </c>
      <c r="B1015" s="86">
        <f t="shared" si="15"/>
        <v>138606017.54517597</v>
      </c>
      <c r="C1015" s="54">
        <v>1112952.680710284</v>
      </c>
      <c r="D1015" s="20">
        <v>22.26228316666667</v>
      </c>
    </row>
    <row r="1016" spans="1:4" ht="13.8" x14ac:dyDescent="0.25">
      <c r="A1016" s="40">
        <v>15861.041543400001</v>
      </c>
      <c r="B1016" s="86">
        <f t="shared" si="15"/>
        <v>138942723.92018399</v>
      </c>
      <c r="C1016" s="54">
        <v>1087014.4487280399</v>
      </c>
      <c r="D1016" s="20">
        <v>29.823572388888891</v>
      </c>
    </row>
    <row r="1017" spans="1:4" ht="13.8" x14ac:dyDescent="0.25">
      <c r="A1017" s="41">
        <v>15864.889210699999</v>
      </c>
      <c r="B1017" s="86">
        <f t="shared" si="15"/>
        <v>138976429.48573199</v>
      </c>
      <c r="C1017" s="54">
        <v>1084410.1036230903</v>
      </c>
      <c r="D1017" s="20">
        <v>32.233483111111113</v>
      </c>
    </row>
    <row r="1018" spans="1:4" ht="13.8" x14ac:dyDescent="0.25">
      <c r="A1018" s="40">
        <v>15905.379429799999</v>
      </c>
      <c r="B1018" s="86">
        <f t="shared" si="15"/>
        <v>139331123.80504799</v>
      </c>
      <c r="C1018" s="54">
        <v>1056921.3465585429</v>
      </c>
      <c r="D1018" s="20">
        <v>60.660410777777784</v>
      </c>
    </row>
    <row r="1019" spans="1:4" ht="13.8" x14ac:dyDescent="0.25">
      <c r="A1019" s="41">
        <v>16016.443442900001</v>
      </c>
      <c r="B1019" s="86">
        <f t="shared" si="15"/>
        <v>140304044.55980399</v>
      </c>
      <c r="C1019" s="54">
        <v>981294.08221079595</v>
      </c>
      <c r="D1019" s="20">
        <v>68.728231388888886</v>
      </c>
    </row>
    <row r="1020" spans="1:4" ht="13.8" x14ac:dyDescent="0.25">
      <c r="A1020" s="40">
        <v>16085.641646000004</v>
      </c>
      <c r="B1020" s="86">
        <f t="shared" si="15"/>
        <v>140910220.81896004</v>
      </c>
      <c r="C1020" s="54">
        <v>934033.831743218</v>
      </c>
      <c r="D1020" s="20">
        <v>74.487041111111111</v>
      </c>
    </row>
    <row r="1021" spans="1:4" ht="13.8" x14ac:dyDescent="0.25">
      <c r="A1021" s="41">
        <v>16090.246885100001</v>
      </c>
      <c r="B1021" s="86">
        <f t="shared" si="15"/>
        <v>140950562.713476</v>
      </c>
      <c r="C1021" s="54">
        <v>930879.22155990824</v>
      </c>
      <c r="D1021" s="20">
        <v>35.226133555555556</v>
      </c>
    </row>
    <row r="1022" spans="1:4" ht="13.8" x14ac:dyDescent="0.25">
      <c r="A1022" s="40">
        <v>16183.747194100002</v>
      </c>
      <c r="B1022" s="86">
        <f t="shared" si="15"/>
        <v>141769625.42031601</v>
      </c>
      <c r="C1022" s="54">
        <v>866640.77274039574</v>
      </c>
      <c r="D1022" s="20">
        <v>34.277695444444447</v>
      </c>
    </row>
    <row r="1023" spans="1:4" ht="13.8" x14ac:dyDescent="0.25">
      <c r="A1023" s="41">
        <v>16191.781442400001</v>
      </c>
      <c r="B1023" s="86">
        <f t="shared" si="15"/>
        <v>141840005.435424</v>
      </c>
      <c r="C1023" s="54">
        <v>861104.57085304148</v>
      </c>
      <c r="D1023" s="20">
        <v>21.732686055555558</v>
      </c>
    </row>
    <row r="1024" spans="1:4" ht="13.8" x14ac:dyDescent="0.25">
      <c r="A1024" s="40">
        <v>16221.665656300002</v>
      </c>
      <c r="B1024" s="86">
        <f t="shared" si="15"/>
        <v>142101791.14918801</v>
      </c>
      <c r="C1024" s="54">
        <v>840451.27400961518</v>
      </c>
      <c r="D1024" s="20">
        <v>19.03795938888889</v>
      </c>
    </row>
    <row r="1025" spans="1:4" ht="13.8" x14ac:dyDescent="0.25">
      <c r="A1025" s="41">
        <v>16233.846613400003</v>
      </c>
      <c r="B1025" s="86">
        <f t="shared" si="15"/>
        <v>142208496.33338401</v>
      </c>
      <c r="C1025" s="54">
        <v>832008.09340635501</v>
      </c>
      <c r="D1025" s="20">
        <v>19.671911111111111</v>
      </c>
    </row>
    <row r="1026" spans="1:4" ht="13.8" x14ac:dyDescent="0.25">
      <c r="A1026" s="40">
        <v>16286.278556400001</v>
      </c>
      <c r="B1026" s="86">
        <f t="shared" si="15"/>
        <v>142667800.154064</v>
      </c>
      <c r="C1026" s="54">
        <v>795558.39094990306</v>
      </c>
      <c r="D1026" s="20">
        <v>18.635172944444445</v>
      </c>
    </row>
    <row r="1027" spans="1:4" ht="13.8" x14ac:dyDescent="0.25">
      <c r="A1027" s="41">
        <v>16324.456187900001</v>
      </c>
      <c r="B1027" s="86">
        <f t="shared" ref="B1027:B1076" si="16">A1027*24*365</f>
        <v>143002236.20600399</v>
      </c>
      <c r="C1027" s="54">
        <v>768940.31470505334</v>
      </c>
      <c r="D1027" s="20">
        <v>26.061929055555559</v>
      </c>
    </row>
    <row r="1028" spans="1:4" ht="13.8" x14ac:dyDescent="0.25">
      <c r="A1028" s="40">
        <v>16328.3835996</v>
      </c>
      <c r="B1028" s="86">
        <f t="shared" si="16"/>
        <v>143036640.33249602</v>
      </c>
      <c r="C1028" s="54">
        <v>766194.06477380544</v>
      </c>
      <c r="D1028" s="20">
        <v>27.931979944444446</v>
      </c>
    </row>
    <row r="1029" spans="1:4" ht="13.8" x14ac:dyDescent="0.25">
      <c r="A1029" s="41">
        <v>16412.474069400007</v>
      </c>
      <c r="B1029" s="86">
        <f t="shared" si="16"/>
        <v>143773272.84794405</v>
      </c>
      <c r="C1029" s="54">
        <v>707222.49678678066</v>
      </c>
      <c r="D1029" s="20">
        <v>49.668324000000005</v>
      </c>
    </row>
    <row r="1030" spans="1:4" ht="13.8" x14ac:dyDescent="0.25">
      <c r="A1030" s="40">
        <v>16451.449144900005</v>
      </c>
      <c r="B1030" s="86">
        <f t="shared" si="16"/>
        <v>144114694.50932404</v>
      </c>
      <c r="C1030" s="54">
        <v>679810.44961065613</v>
      </c>
      <c r="D1030" s="20">
        <v>63.748880500000006</v>
      </c>
    </row>
    <row r="1031" spans="1:4" ht="13.8" x14ac:dyDescent="0.25">
      <c r="A1031" s="41">
        <v>16482.6292053</v>
      </c>
      <c r="B1031" s="86">
        <f t="shared" si="16"/>
        <v>144387831.83842799</v>
      </c>
      <c r="C1031" s="54">
        <v>657817.35059440881</v>
      </c>
      <c r="D1031" s="20">
        <v>63.527368277777782</v>
      </c>
    </row>
    <row r="1032" spans="1:4" ht="13.8" x14ac:dyDescent="0.25">
      <c r="A1032" s="40">
        <v>16545.288367600002</v>
      </c>
      <c r="B1032" s="86">
        <f t="shared" si="16"/>
        <v>144936726.10017601</v>
      </c>
      <c r="C1032" s="54">
        <v>613492.69011070952</v>
      </c>
      <c r="D1032" s="20">
        <v>83.850403388888893</v>
      </c>
    </row>
    <row r="1033" spans="1:4" ht="13.8" x14ac:dyDescent="0.25">
      <c r="A1033" s="41">
        <v>16736.296141700004</v>
      </c>
      <c r="B1033" s="86">
        <f t="shared" si="16"/>
        <v>146609954.20129204</v>
      </c>
      <c r="C1033" s="54">
        <v>477986.34315869957</v>
      </c>
      <c r="D1033" s="20">
        <v>33.90803422222222</v>
      </c>
    </row>
    <row r="1034" spans="1:4" ht="13.8" x14ac:dyDescent="0.25">
      <c r="A1034" s="40">
        <v>16815.821244600003</v>
      </c>
      <c r="B1034" s="86">
        <f t="shared" si="16"/>
        <v>147306594.10269603</v>
      </c>
      <c r="C1034" s="54">
        <v>421407.11486078985</v>
      </c>
      <c r="D1034" s="20">
        <v>34.526642666666667</v>
      </c>
    </row>
    <row r="1035" spans="1:4" ht="13.8" x14ac:dyDescent="0.25">
      <c r="A1035" s="41">
        <v>16833.404884800002</v>
      </c>
      <c r="B1035" s="86">
        <f t="shared" si="16"/>
        <v>147460626.79084802</v>
      </c>
      <c r="C1035" s="54">
        <v>408861.20391976275</v>
      </c>
      <c r="D1035" s="20">
        <v>14.315684611111111</v>
      </c>
    </row>
    <row r="1036" spans="1:4" ht="13.8" x14ac:dyDescent="0.25">
      <c r="A1036" s="40">
        <v>16947.3795685</v>
      </c>
      <c r="B1036" s="86">
        <f t="shared" si="16"/>
        <v>148459045.02006</v>
      </c>
      <c r="C1036" s="54">
        <v>327308.39852860756</v>
      </c>
      <c r="D1036" s="20">
        <v>15.567228666666667</v>
      </c>
    </row>
    <row r="1037" spans="1:4" ht="13.8" x14ac:dyDescent="0.25">
      <c r="A1037" s="41">
        <v>16957.686532200001</v>
      </c>
      <c r="B1037" s="86">
        <f t="shared" si="16"/>
        <v>148549334.02207202</v>
      </c>
      <c r="C1037" s="54">
        <v>319912.43365166336</v>
      </c>
      <c r="D1037" s="20">
        <v>12.446649833333334</v>
      </c>
    </row>
    <row r="1038" spans="1:4" ht="13.8" x14ac:dyDescent="0.25">
      <c r="A1038" s="40">
        <v>17159.220567100001</v>
      </c>
      <c r="B1038" s="86">
        <f t="shared" si="16"/>
        <v>150314772.16779602</v>
      </c>
      <c r="C1038" s="54">
        <v>174887.53072146513</v>
      </c>
      <c r="D1038" s="20">
        <v>17.992990722222224</v>
      </c>
    </row>
    <row r="1039" spans="1:4" ht="13.8" x14ac:dyDescent="0.25">
      <c r="A1039" s="41">
        <v>17439.262963800003</v>
      </c>
      <c r="B1039" s="86">
        <f t="shared" si="16"/>
        <v>152767943.56288803</v>
      </c>
      <c r="C1039" s="54">
        <v>-27202.358127603307</v>
      </c>
      <c r="D1039" s="20">
        <v>25.76502138888889</v>
      </c>
    </row>
    <row r="1040" spans="1:4" ht="13.8" x14ac:dyDescent="0.25">
      <c r="A1040" s="40">
        <v>17555.311001900001</v>
      </c>
      <c r="B1040" s="86">
        <f t="shared" si="16"/>
        <v>153784524.37664402</v>
      </c>
      <c r="C1040" s="54">
        <v>-111183.49759555981</v>
      </c>
      <c r="D1040" s="20">
        <v>24.077464055555556</v>
      </c>
    </row>
    <row r="1041" spans="1:4" ht="13.8" x14ac:dyDescent="0.25">
      <c r="A1041" s="41">
        <v>17590.877004299997</v>
      </c>
      <c r="B1041" s="86">
        <f t="shared" si="16"/>
        <v>154096082.55766797</v>
      </c>
      <c r="C1041" s="54">
        <v>-136994.13557332195</v>
      </c>
      <c r="D1041" s="20">
        <v>36.96632544444445</v>
      </c>
    </row>
    <row r="1042" spans="1:4" ht="13.8" x14ac:dyDescent="0.25">
      <c r="A1042" s="40">
        <v>17704.991240700001</v>
      </c>
      <c r="B1042" s="86">
        <f t="shared" si="16"/>
        <v>155095723.26853201</v>
      </c>
      <c r="C1042" s="54">
        <v>-220040.34689693339</v>
      </c>
      <c r="D1042" s="20">
        <v>59.047131166666674</v>
      </c>
    </row>
    <row r="1043" spans="1:4" ht="13.8" x14ac:dyDescent="0.25">
      <c r="A1043" s="41">
        <v>17730.9081707</v>
      </c>
      <c r="B1043" s="86">
        <f t="shared" si="16"/>
        <v>155322755.57533202</v>
      </c>
      <c r="C1043" s="54">
        <v>-238954.04550088197</v>
      </c>
      <c r="D1043" s="20">
        <v>103.37010105555557</v>
      </c>
    </row>
    <row r="1044" spans="1:4" ht="13.8" x14ac:dyDescent="0.25">
      <c r="A1044" s="40">
        <v>17930.3090429</v>
      </c>
      <c r="B1044" s="86">
        <f t="shared" si="16"/>
        <v>157069507.21580401</v>
      </c>
      <c r="C1044" s="54">
        <v>-384878.97654252313</v>
      </c>
      <c r="D1044" s="20">
        <v>57.410277777777779</v>
      </c>
    </row>
    <row r="1045" spans="1:4" ht="13.8" x14ac:dyDescent="0.25">
      <c r="A1045" s="41">
        <v>18505.545272300002</v>
      </c>
      <c r="B1045" s="86">
        <f t="shared" si="16"/>
        <v>162108576.58534801</v>
      </c>
      <c r="C1045" s="54">
        <v>-807017.36654249951</v>
      </c>
      <c r="D1045" s="20">
        <v>27.074890222222226</v>
      </c>
    </row>
    <row r="1046" spans="1:4" ht="13.8" x14ac:dyDescent="0.25">
      <c r="A1046" s="40">
        <v>19032.057673300002</v>
      </c>
      <c r="B1046" s="86">
        <f t="shared" si="16"/>
        <v>166720825.218108</v>
      </c>
      <c r="C1046" s="54">
        <v>-1194471.2854995765</v>
      </c>
      <c r="D1046" s="20">
        <v>13.376391500000002</v>
      </c>
    </row>
    <row r="1047" spans="1:4" ht="13.8" x14ac:dyDescent="0.25">
      <c r="A1047" s="41">
        <v>19032.99467</v>
      </c>
      <c r="B1047" s="86">
        <f t="shared" si="16"/>
        <v>166729033.30919999</v>
      </c>
      <c r="C1047" s="54">
        <v>-1195162.7167865504</v>
      </c>
      <c r="D1047" s="20">
        <v>16.797637611111114</v>
      </c>
    </row>
    <row r="1048" spans="1:4" ht="13.8" x14ac:dyDescent="0.25">
      <c r="A1048" s="40">
        <v>19204.485002199999</v>
      </c>
      <c r="B1048" s="86">
        <f t="shared" si="16"/>
        <v>168231288.61927199</v>
      </c>
      <c r="C1048" s="54">
        <v>-1322058.3906211015</v>
      </c>
      <c r="D1048" s="20">
        <v>13.117791222222223</v>
      </c>
    </row>
    <row r="1049" spans="1:4" ht="13.8" x14ac:dyDescent="0.25">
      <c r="A1049" s="41">
        <v>19248.783016400004</v>
      </c>
      <c r="B1049" s="86">
        <f t="shared" si="16"/>
        <v>168619339.22366405</v>
      </c>
      <c r="C1049" s="54">
        <v>-1354927.2289733998</v>
      </c>
      <c r="D1049" s="20">
        <v>11.409911666666666</v>
      </c>
    </row>
    <row r="1050" spans="1:4" ht="13.8" x14ac:dyDescent="0.25">
      <c r="A1050" s="40">
        <v>19289.990935099999</v>
      </c>
      <c r="B1050" s="86">
        <f t="shared" si="16"/>
        <v>168980320.59147599</v>
      </c>
      <c r="C1050" s="54">
        <v>-1385587.1077031828</v>
      </c>
      <c r="D1050" s="20">
        <v>13.841465555555557</v>
      </c>
    </row>
    <row r="1051" spans="1:4" ht="13.8" x14ac:dyDescent="0.25">
      <c r="A1051" s="41">
        <v>19672.425141400003</v>
      </c>
      <c r="B1051" s="86">
        <f t="shared" si="16"/>
        <v>172330444.23866403</v>
      </c>
      <c r="C1051" s="54">
        <v>-1670907.549729595</v>
      </c>
      <c r="D1051" s="20">
        <v>20.795526777777781</v>
      </c>
    </row>
    <row r="1052" spans="1:4" ht="13.8" x14ac:dyDescent="0.25">
      <c r="A1052" s="40">
        <v>19856.574897100003</v>
      </c>
      <c r="B1052" s="86">
        <f t="shared" si="16"/>
        <v>173943596.09859604</v>
      </c>
      <c r="C1052" s="54">
        <v>-1808669.8792830314</v>
      </c>
      <c r="D1052" s="20">
        <v>27.131182777777781</v>
      </c>
    </row>
    <row r="1053" spans="1:4" ht="13.8" x14ac:dyDescent="0.25">
      <c r="A1053" s="41">
        <v>19860.861158599997</v>
      </c>
      <c r="B1053" s="86">
        <f t="shared" si="16"/>
        <v>173981143.74933597</v>
      </c>
      <c r="C1053" s="54">
        <v>-1811885.1530176159</v>
      </c>
      <c r="D1053" s="20">
        <v>55.506695222222227</v>
      </c>
    </row>
    <row r="1054" spans="1:4" ht="13.8" x14ac:dyDescent="0.25">
      <c r="A1054" s="40">
        <v>19891.502944300002</v>
      </c>
      <c r="B1054" s="86">
        <f t="shared" si="16"/>
        <v>174249565.792068</v>
      </c>
      <c r="C1054" s="54">
        <v>-1834932.9872457888</v>
      </c>
      <c r="D1054" s="20">
        <v>33.658375722222225</v>
      </c>
    </row>
    <row r="1055" spans="1:4" ht="13.8" x14ac:dyDescent="0.25">
      <c r="A1055" s="41">
        <v>20087.414999000001</v>
      </c>
      <c r="B1055" s="86">
        <f t="shared" si="16"/>
        <v>175965755.39124</v>
      </c>
      <c r="C1055" s="54">
        <v>-1982690.9149320498</v>
      </c>
      <c r="D1055" s="20">
        <v>21.413423944444446</v>
      </c>
    </row>
    <row r="1056" spans="1:4" ht="13.8" x14ac:dyDescent="0.25">
      <c r="A1056" s="40">
        <v>20281.2138271</v>
      </c>
      <c r="B1056" s="86">
        <f t="shared" si="16"/>
        <v>177663433.12539601</v>
      </c>
      <c r="C1056" s="54">
        <v>-2129249.4775783233</v>
      </c>
      <c r="D1056" s="20">
        <v>22.539681500000004</v>
      </c>
    </row>
    <row r="1057" spans="1:4" ht="13.8" x14ac:dyDescent="0.25">
      <c r="A1057" s="41">
        <v>20378.1431453</v>
      </c>
      <c r="B1057" s="86">
        <f t="shared" si="16"/>
        <v>178512533.95282802</v>
      </c>
      <c r="C1057" s="54">
        <v>-2202748.655427739</v>
      </c>
      <c r="D1057" s="20">
        <v>18.601844499999999</v>
      </c>
    </row>
    <row r="1058" spans="1:4" ht="13.8" x14ac:dyDescent="0.25">
      <c r="A1058" s="40">
        <v>20444.789527600002</v>
      </c>
      <c r="B1058" s="86">
        <f t="shared" si="16"/>
        <v>179096356.261776</v>
      </c>
      <c r="C1058" s="54">
        <v>-2253420.6555464379</v>
      </c>
      <c r="D1058" s="20">
        <v>22.014860111111112</v>
      </c>
    </row>
    <row r="1059" spans="1:4" ht="13.8" x14ac:dyDescent="0.25">
      <c r="A1059" s="41">
        <v>20602.444206400003</v>
      </c>
      <c r="B1059" s="86">
        <f t="shared" si="16"/>
        <v>180477411.24806404</v>
      </c>
      <c r="C1059" s="54">
        <v>-2373608.172460435</v>
      </c>
      <c r="D1059" s="20">
        <v>14.666039722222223</v>
      </c>
    </row>
    <row r="1060" spans="1:4" ht="13.8" x14ac:dyDescent="0.25">
      <c r="A1060" s="40">
        <v>21127.361719399996</v>
      </c>
      <c r="B1060" s="86">
        <f t="shared" si="16"/>
        <v>185075688.66194397</v>
      </c>
      <c r="C1060" s="54">
        <v>-2774845.6552714668</v>
      </c>
      <c r="D1060" s="20">
        <v>13.007644777777777</v>
      </c>
    </row>
    <row r="1061" spans="1:4" ht="13.8" x14ac:dyDescent="0.25">
      <c r="A1061" s="41">
        <v>21681.844468699994</v>
      </c>
      <c r="B1061" s="86">
        <f t="shared" si="16"/>
        <v>189932957.54581195</v>
      </c>
      <c r="C1061" s="54">
        <v>-3199810.8192598354</v>
      </c>
      <c r="D1061" s="20">
        <v>16.237252333333334</v>
      </c>
    </row>
    <row r="1062" spans="1:4" ht="13.8" x14ac:dyDescent="0.25">
      <c r="A1062" s="40">
        <v>21977.197790200004</v>
      </c>
      <c r="B1062" s="86">
        <f t="shared" si="16"/>
        <v>192520252.64215201</v>
      </c>
      <c r="C1062" s="54">
        <v>-3426775.8477439303</v>
      </c>
      <c r="D1062" s="20">
        <v>20.472098611111115</v>
      </c>
    </row>
    <row r="1063" spans="1:4" ht="13.8" x14ac:dyDescent="0.25">
      <c r="A1063" s="41">
        <v>22566.508906200001</v>
      </c>
      <c r="B1063" s="86">
        <f t="shared" si="16"/>
        <v>197682618.01831201</v>
      </c>
      <c r="C1063" s="54">
        <v>-3880832.9426920861</v>
      </c>
      <c r="D1063" s="20">
        <v>28.238032611111112</v>
      </c>
    </row>
    <row r="1064" spans="1:4" ht="13.8" x14ac:dyDescent="0.25">
      <c r="A1064" s="40">
        <v>22759.5501625</v>
      </c>
      <c r="B1064" s="86">
        <f t="shared" si="16"/>
        <v>199373659.4235</v>
      </c>
      <c r="C1064" s="54">
        <v>-4029961.7983431406</v>
      </c>
      <c r="D1064" s="20">
        <v>42.193912277777784</v>
      </c>
    </row>
    <row r="1065" spans="1:4" ht="13.8" x14ac:dyDescent="0.25">
      <c r="A1065" s="41">
        <v>22969.317806699997</v>
      </c>
      <c r="B1065" s="86">
        <f t="shared" si="16"/>
        <v>201211223.98669198</v>
      </c>
      <c r="C1065" s="54">
        <v>-4192439.1207105983</v>
      </c>
      <c r="D1065" s="20">
        <v>35.165776555555553</v>
      </c>
    </row>
    <row r="1066" spans="1:4" ht="13.8" x14ac:dyDescent="0.25">
      <c r="A1066" s="40">
        <v>23063.336454300003</v>
      </c>
      <c r="B1066" s="86">
        <f t="shared" si="16"/>
        <v>202034827.33966801</v>
      </c>
      <c r="C1066" s="54">
        <v>-4265453.425742453</v>
      </c>
      <c r="D1066" s="20">
        <v>86.430614333333338</v>
      </c>
    </row>
    <row r="1067" spans="1:4" ht="13.8" x14ac:dyDescent="0.25">
      <c r="A1067" s="41">
        <v>24114.846112700005</v>
      </c>
      <c r="B1067" s="86">
        <f t="shared" si="16"/>
        <v>211246051.94725204</v>
      </c>
      <c r="C1067" s="54">
        <v>-5084189.5310917236</v>
      </c>
      <c r="D1067" s="20">
        <v>48.521236166666668</v>
      </c>
    </row>
    <row r="1068" spans="1:4" ht="13.8" x14ac:dyDescent="0.25">
      <c r="A1068" s="40">
        <v>25060.196038600003</v>
      </c>
      <c r="B1068" s="86">
        <f t="shared" si="16"/>
        <v>219527317.29813603</v>
      </c>
      <c r="C1068" s="54">
        <v>-5822190.6565623228</v>
      </c>
      <c r="D1068" s="20">
        <v>57.742444500000005</v>
      </c>
    </row>
    <row r="1069" spans="1:4" ht="13.8" x14ac:dyDescent="0.25">
      <c r="A1069" s="41">
        <v>25760.491423300002</v>
      </c>
      <c r="B1069" s="86">
        <f t="shared" si="16"/>
        <v>225661904.868108</v>
      </c>
      <c r="C1069" s="54">
        <v>-6370311.7240005862</v>
      </c>
      <c r="D1069" s="20">
        <v>11.817270611111111</v>
      </c>
    </row>
    <row r="1070" spans="1:4" ht="13.8" x14ac:dyDescent="0.25">
      <c r="A1070" s="40">
        <v>26126.259050000004</v>
      </c>
      <c r="B1070" s="86">
        <f t="shared" si="16"/>
        <v>228866029.27800003</v>
      </c>
      <c r="C1070" s="54">
        <v>-6657342.4301295951</v>
      </c>
      <c r="D1070" s="20">
        <v>10.582492388888889</v>
      </c>
    </row>
    <row r="1071" spans="1:4" ht="13.8" x14ac:dyDescent="0.25">
      <c r="A1071" s="41">
        <v>26724.322113900009</v>
      </c>
      <c r="B1071" s="86">
        <f t="shared" si="16"/>
        <v>234105061.71776408</v>
      </c>
      <c r="C1071" s="54">
        <v>-7127880.7737081349</v>
      </c>
      <c r="D1071" s="20">
        <v>10.629436722222223</v>
      </c>
    </row>
    <row r="1072" spans="1:4" ht="13.8" x14ac:dyDescent="0.25">
      <c r="A1072" s="40">
        <v>27179.403468600005</v>
      </c>
      <c r="B1072" s="86">
        <f t="shared" si="16"/>
        <v>238091574.38493603</v>
      </c>
      <c r="C1072" s="54">
        <v>-7486851.5685114749</v>
      </c>
      <c r="D1072" s="20">
        <v>7.4017597777777784</v>
      </c>
    </row>
    <row r="1073" spans="1:4" ht="13.8" x14ac:dyDescent="0.25">
      <c r="A1073" s="41">
        <v>27333.469649399995</v>
      </c>
      <c r="B1073" s="86">
        <f t="shared" si="16"/>
        <v>239441194.12874395</v>
      </c>
      <c r="C1073" s="54">
        <v>-7608693.4330289904</v>
      </c>
      <c r="D1073" s="20">
        <v>7.4489073333333335</v>
      </c>
    </row>
    <row r="1074" spans="1:4" ht="13.8" x14ac:dyDescent="0.25">
      <c r="A1074" s="40">
        <v>27583.568023900007</v>
      </c>
      <c r="B1074" s="86">
        <f t="shared" si="16"/>
        <v>241632055.88936406</v>
      </c>
      <c r="C1074" s="54">
        <v>-7806990.5303608384</v>
      </c>
      <c r="D1074" s="20">
        <v>5.7045493888888892</v>
      </c>
    </row>
    <row r="1075" spans="1:4" ht="13.8" x14ac:dyDescent="0.25">
      <c r="A1075" s="41">
        <v>27782.889151700001</v>
      </c>
      <c r="B1075" s="86">
        <f t="shared" si="16"/>
        <v>243378108.96889201</v>
      </c>
      <c r="C1075" s="54">
        <v>-7965433.2289068718</v>
      </c>
      <c r="D1075" s="20">
        <v>8.2204405000000005</v>
      </c>
    </row>
    <row r="1076" spans="1:4" ht="13.8" x14ac:dyDescent="0.25">
      <c r="A1076" s="40">
        <v>28530.7121988</v>
      </c>
      <c r="B1076" s="86">
        <f t="shared" si="16"/>
        <v>249929038.86148798</v>
      </c>
      <c r="C1076" s="54">
        <v>-8561408.5822841525</v>
      </c>
      <c r="D1076" s="20">
        <v>13.69636488888889</v>
      </c>
    </row>
  </sheetData>
  <mergeCells count="1">
    <mergeCell ref="F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8B80-6C0F-487C-A301-4187B20279FC}">
  <dimension ref="A1"/>
  <sheetViews>
    <sheetView workbookViewId="0">
      <selection activeCell="C7" sqref="A1:C7"/>
    </sheetView>
  </sheetViews>
  <sheetFormatPr defaultRowHeight="13.2" x14ac:dyDescent="0.25"/>
  <cols>
    <col min="1" max="1" width="12" bestFit="1" customWidth="1"/>
  </cols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D0BF-1478-46DC-92D5-CB70FFC35286}">
  <dimension ref="A1:H20"/>
  <sheetViews>
    <sheetView showGridLines="0" workbookViewId="0">
      <selection activeCell="H13" sqref="H13"/>
    </sheetView>
  </sheetViews>
  <sheetFormatPr defaultColWidth="28.5546875" defaultRowHeight="13.2" x14ac:dyDescent="0.25"/>
  <cols>
    <col min="1" max="1" width="28.88671875" bestFit="1" customWidth="1"/>
    <col min="3" max="3" width="26.44140625" bestFit="1" customWidth="1"/>
    <col min="4" max="4" width="18.109375" bestFit="1" customWidth="1"/>
    <col min="5" max="5" width="31.21875" bestFit="1" customWidth="1"/>
    <col min="6" max="6" width="14.6640625" bestFit="1" customWidth="1"/>
    <col min="7" max="7" width="14.5546875" bestFit="1" customWidth="1"/>
  </cols>
  <sheetData>
    <row r="1" spans="1:8" s="70" customFormat="1" ht="19.95" customHeight="1" x14ac:dyDescent="0.25">
      <c r="A1" s="72" t="s">
        <v>22</v>
      </c>
      <c r="C1" s="72" t="s">
        <v>29</v>
      </c>
      <c r="E1" s="72" t="s">
        <v>23</v>
      </c>
    </row>
    <row r="2" spans="1:8" ht="13.8" x14ac:dyDescent="0.25">
      <c r="A2" s="73">
        <v>5.68</v>
      </c>
      <c r="B2" s="47"/>
      <c r="C2" s="78">
        <v>0.62</v>
      </c>
      <c r="D2" s="47"/>
      <c r="E2" s="77">
        <f>C4*C6*C8*A16</f>
        <v>2.3008050000000004</v>
      </c>
      <c r="F2" s="47"/>
      <c r="G2" s="47"/>
      <c r="H2" s="47"/>
    </row>
    <row r="3" spans="1:8" ht="13.8" x14ac:dyDescent="0.25">
      <c r="A3" s="76">
        <v>5.87</v>
      </c>
      <c r="B3" s="47"/>
      <c r="C3" s="79" t="s">
        <v>40</v>
      </c>
      <c r="D3" s="47"/>
      <c r="E3" s="72" t="s">
        <v>26</v>
      </c>
      <c r="F3" s="47"/>
      <c r="G3" s="47"/>
      <c r="H3" s="47"/>
    </row>
    <row r="4" spans="1:8" ht="13.8" x14ac:dyDescent="0.25">
      <c r="A4" s="73">
        <v>5.0199999999999996</v>
      </c>
      <c r="B4" s="47"/>
      <c r="C4" s="78">
        <v>2.7</v>
      </c>
      <c r="D4" s="47"/>
      <c r="E4" s="77">
        <f>A16/1</f>
        <v>4.9399999999999995</v>
      </c>
      <c r="F4" s="47"/>
      <c r="G4" s="47"/>
      <c r="H4" s="47"/>
    </row>
    <row r="5" spans="1:8" ht="13.8" x14ac:dyDescent="0.25">
      <c r="A5" s="73">
        <v>4.6399999999999997</v>
      </c>
      <c r="B5" s="47"/>
      <c r="C5" s="79" t="s">
        <v>25</v>
      </c>
      <c r="D5" s="47"/>
      <c r="E5" s="47"/>
      <c r="F5" s="47"/>
      <c r="G5" s="47"/>
      <c r="H5" s="47"/>
    </row>
    <row r="6" spans="1:8" ht="13.8" x14ac:dyDescent="0.25">
      <c r="A6" s="73">
        <v>3.93</v>
      </c>
      <c r="B6" s="47"/>
      <c r="C6" s="78">
        <v>0.23</v>
      </c>
      <c r="D6" s="47"/>
      <c r="E6" s="47"/>
      <c r="F6" s="47"/>
      <c r="G6" s="47"/>
      <c r="H6" s="47"/>
    </row>
    <row r="7" spans="1:8" ht="13.8" x14ac:dyDescent="0.25">
      <c r="A7" s="75">
        <v>3.72</v>
      </c>
      <c r="B7" s="47"/>
      <c r="C7" s="79" t="s">
        <v>27</v>
      </c>
      <c r="D7" s="47"/>
      <c r="E7" s="71"/>
      <c r="F7" s="47"/>
      <c r="G7" s="47"/>
      <c r="H7" s="47"/>
    </row>
    <row r="8" spans="1:8" ht="13.8" x14ac:dyDescent="0.25">
      <c r="A8" s="73">
        <v>3.99</v>
      </c>
      <c r="B8" s="47"/>
      <c r="C8" s="78">
        <v>0.75</v>
      </c>
      <c r="D8" s="47"/>
      <c r="E8" s="71"/>
      <c r="F8" s="47"/>
      <c r="G8" s="47"/>
      <c r="H8" s="47"/>
    </row>
    <row r="9" spans="1:8" ht="13.8" x14ac:dyDescent="0.25">
      <c r="A9" s="74">
        <v>4.92</v>
      </c>
      <c r="B9" s="47"/>
      <c r="C9" s="71"/>
      <c r="D9" s="47"/>
      <c r="E9" s="71"/>
      <c r="F9" s="47"/>
      <c r="G9" s="47"/>
      <c r="H9" s="47"/>
    </row>
    <row r="10" spans="1:8" ht="13.8" x14ac:dyDescent="0.25">
      <c r="A10" s="73">
        <v>5.12</v>
      </c>
      <c r="B10" s="47"/>
      <c r="C10" s="71"/>
      <c r="D10" s="47"/>
      <c r="E10" s="47"/>
      <c r="F10" s="47"/>
      <c r="G10" s="47"/>
      <c r="H10" s="47"/>
    </row>
    <row r="11" spans="1:8" ht="13.8" x14ac:dyDescent="0.25">
      <c r="A11" s="73">
        <v>5.41</v>
      </c>
      <c r="B11" s="47"/>
      <c r="C11" s="79" t="s">
        <v>44</v>
      </c>
      <c r="D11" s="82">
        <v>26500</v>
      </c>
      <c r="E11" s="71"/>
      <c r="F11" s="71"/>
      <c r="G11" s="71"/>
      <c r="H11" s="47"/>
    </row>
    <row r="12" spans="1:8" ht="13.8" x14ac:dyDescent="0.25">
      <c r="A12" s="73">
        <v>5.26</v>
      </c>
      <c r="B12" s="47"/>
      <c r="C12" s="71"/>
      <c r="D12" s="71"/>
      <c r="E12" s="71"/>
      <c r="F12" s="71"/>
      <c r="G12" s="71"/>
      <c r="H12" s="47"/>
    </row>
    <row r="13" spans="1:8" ht="13.95" customHeight="1" x14ac:dyDescent="0.25">
      <c r="A13" s="73">
        <v>5.72</v>
      </c>
      <c r="B13" s="47"/>
      <c r="C13" s="84" t="s">
        <v>41</v>
      </c>
      <c r="D13" s="85" t="s">
        <v>28</v>
      </c>
      <c r="E13" s="79" t="s">
        <v>24</v>
      </c>
      <c r="F13" s="79" t="s">
        <v>42</v>
      </c>
      <c r="G13" s="79" t="s">
        <v>43</v>
      </c>
      <c r="H13" s="47"/>
    </row>
    <row r="14" spans="1:8" ht="13.8" x14ac:dyDescent="0.25">
      <c r="A14" s="47"/>
      <c r="B14" s="47"/>
      <c r="C14" s="80">
        <v>0.01</v>
      </c>
      <c r="D14" s="81">
        <v>265</v>
      </c>
      <c r="E14" s="82">
        <f>ROUNDUP(D14/$C$4,0)</f>
        <v>99</v>
      </c>
      <c r="F14" s="77">
        <f>E14*$E$2</f>
        <v>227.77969500000003</v>
      </c>
      <c r="G14" s="83">
        <f>(F14*365)/1000</f>
        <v>83.139588675000013</v>
      </c>
      <c r="H14" s="47"/>
    </row>
    <row r="15" spans="1:8" ht="13.8" x14ac:dyDescent="0.25">
      <c r="A15" s="72" t="s">
        <v>39</v>
      </c>
      <c r="B15" s="47"/>
      <c r="C15" s="80">
        <v>0.03</v>
      </c>
      <c r="D15" s="81">
        <v>795</v>
      </c>
      <c r="E15" s="82">
        <f>ROUNDUP(D15/$C$4,0)</f>
        <v>295</v>
      </c>
      <c r="F15" s="77">
        <f>E15*$E$2</f>
        <v>678.73747500000013</v>
      </c>
      <c r="G15" s="83">
        <f>(F15*365)/1000</f>
        <v>247.73917837500005</v>
      </c>
      <c r="H15" s="47"/>
    </row>
    <row r="16" spans="1:8" ht="13.8" x14ac:dyDescent="0.25">
      <c r="A16" s="77">
        <f>AVERAGE(A2:A13)</f>
        <v>4.9399999999999995</v>
      </c>
      <c r="B16" s="47"/>
      <c r="C16" s="80">
        <v>0.05</v>
      </c>
      <c r="D16" s="81">
        <v>1325</v>
      </c>
      <c r="E16" s="82">
        <f>ROUNDUP(D16/$C$4,0)</f>
        <v>491</v>
      </c>
      <c r="F16" s="77">
        <f>E16*$E$2</f>
        <v>1129.6952550000003</v>
      </c>
      <c r="G16" s="83">
        <f t="shared" ref="G15:G17" si="0">(F16*365)/1000</f>
        <v>412.33876807500008</v>
      </c>
      <c r="H16" s="47"/>
    </row>
    <row r="17" spans="1:8" ht="13.8" x14ac:dyDescent="0.25">
      <c r="A17" s="47"/>
      <c r="B17" s="47"/>
      <c r="C17" s="80">
        <v>0.15</v>
      </c>
      <c r="D17" s="81">
        <f>D11*0.15</f>
        <v>3975</v>
      </c>
      <c r="E17" s="82">
        <f>ROUNDUP(D17/$C$4,0)</f>
        <v>1473</v>
      </c>
      <c r="F17" s="77">
        <f>E17*$E$2</f>
        <v>3389.0857650000007</v>
      </c>
      <c r="G17" s="83">
        <f t="shared" si="0"/>
        <v>1237.0163042250003</v>
      </c>
      <c r="H17" s="47"/>
    </row>
    <row r="18" spans="1:8" ht="13.8" x14ac:dyDescent="0.25">
      <c r="A18" s="47"/>
      <c r="B18" s="47"/>
      <c r="C18" s="47"/>
      <c r="D18" s="47"/>
      <c r="E18" s="47"/>
      <c r="F18" s="47"/>
      <c r="G18" s="47"/>
      <c r="H18" s="47"/>
    </row>
    <row r="19" spans="1:8" ht="13.8" x14ac:dyDescent="0.25">
      <c r="A19" s="47"/>
      <c r="B19" s="47"/>
      <c r="C19" s="6"/>
      <c r="D19" s="7"/>
      <c r="E19" s="4"/>
      <c r="F19" s="3"/>
      <c r="G19" s="5"/>
      <c r="H19" s="47"/>
    </row>
    <row r="20" spans="1:8" x14ac:dyDescent="0.25">
      <c r="C20" s="3"/>
      <c r="D20" s="3"/>
      <c r="E20" s="3"/>
      <c r="F20" s="3"/>
      <c r="G20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17AC-B9B6-4DDF-85F8-A6F8F5923681}">
  <dimension ref="A1:I16"/>
  <sheetViews>
    <sheetView showGridLines="0" tabSelected="1" workbookViewId="0">
      <selection activeCell="H12" sqref="H12"/>
    </sheetView>
  </sheetViews>
  <sheetFormatPr defaultRowHeight="13.2" x14ac:dyDescent="0.25"/>
  <cols>
    <col min="1" max="1" width="15.44140625" bestFit="1" customWidth="1"/>
    <col min="2" max="2" width="20.88671875" bestFit="1" customWidth="1"/>
    <col min="3" max="3" width="10.6640625" bestFit="1" customWidth="1"/>
    <col min="4" max="4" width="20.88671875" bestFit="1" customWidth="1"/>
    <col min="5" max="5" width="6.5546875" bestFit="1" customWidth="1"/>
    <col min="6" max="6" width="21.77734375" bestFit="1" customWidth="1"/>
    <col min="7" max="7" width="21.44140625" bestFit="1" customWidth="1"/>
    <col min="8" max="8" width="12.33203125" bestFit="1" customWidth="1"/>
    <col min="9" max="10" width="11.6640625" bestFit="1" customWidth="1"/>
  </cols>
  <sheetData>
    <row r="1" spans="1:9" ht="19.95" customHeight="1" x14ac:dyDescent="0.25">
      <c r="A1" s="87" t="s">
        <v>57</v>
      </c>
      <c r="B1" s="47"/>
      <c r="C1" s="84" t="s">
        <v>47</v>
      </c>
      <c r="D1" s="84" t="s">
        <v>48</v>
      </c>
      <c r="E1" s="84" t="s">
        <v>49</v>
      </c>
      <c r="F1" s="84" t="s">
        <v>50</v>
      </c>
      <c r="G1" s="84" t="s">
        <v>51</v>
      </c>
      <c r="H1" s="84" t="s">
        <v>52</v>
      </c>
      <c r="I1" s="47"/>
    </row>
    <row r="2" spans="1:9" ht="13.8" x14ac:dyDescent="0.25">
      <c r="A2" s="88" t="s">
        <v>58</v>
      </c>
      <c r="B2" s="47"/>
      <c r="C2" s="89">
        <v>0.01</v>
      </c>
      <c r="D2" s="90">
        <v>83.14</v>
      </c>
      <c r="E2" s="90">
        <v>8.3000000000000004E-2</v>
      </c>
      <c r="F2" s="91">
        <v>1.5E-3</v>
      </c>
      <c r="G2" s="92">
        <v>56426.1</v>
      </c>
      <c r="H2" s="93" t="s">
        <v>53</v>
      </c>
      <c r="I2" s="47"/>
    </row>
    <row r="3" spans="1:9" ht="13.8" x14ac:dyDescent="0.25">
      <c r="A3" s="47"/>
      <c r="B3" s="47"/>
      <c r="C3" s="89">
        <v>0.03</v>
      </c>
      <c r="D3" s="90">
        <v>247.74</v>
      </c>
      <c r="E3" s="90">
        <v>0.248</v>
      </c>
      <c r="F3" s="91">
        <v>4.4000000000000003E-3</v>
      </c>
      <c r="G3" s="92">
        <v>56590.7</v>
      </c>
      <c r="H3" s="93" t="s">
        <v>54</v>
      </c>
      <c r="I3" s="47"/>
    </row>
    <row r="4" spans="1:9" ht="13.8" x14ac:dyDescent="0.25">
      <c r="A4" s="47"/>
      <c r="B4" s="47"/>
      <c r="C4" s="89">
        <v>0.05</v>
      </c>
      <c r="D4" s="90">
        <v>412.34</v>
      </c>
      <c r="E4" s="90">
        <v>0.41199999999999998</v>
      </c>
      <c r="F4" s="91">
        <v>7.3000000000000001E-3</v>
      </c>
      <c r="G4" s="92">
        <v>56755.3</v>
      </c>
      <c r="H4" s="93" t="s">
        <v>55</v>
      </c>
      <c r="I4" s="47"/>
    </row>
    <row r="5" spans="1:9" ht="13.8" x14ac:dyDescent="0.25">
      <c r="A5" s="47"/>
      <c r="B5" s="47"/>
      <c r="C5" s="89">
        <v>0.15</v>
      </c>
      <c r="D5" s="94">
        <v>1237.02</v>
      </c>
      <c r="E5" s="90">
        <v>1.2370000000000001</v>
      </c>
      <c r="F5" s="91">
        <v>2.1899999999999999E-2</v>
      </c>
      <c r="G5" s="92">
        <v>57579.98</v>
      </c>
      <c r="H5" s="93" t="s">
        <v>56</v>
      </c>
      <c r="I5" s="47"/>
    </row>
    <row r="6" spans="1:9" ht="13.8" x14ac:dyDescent="0.25">
      <c r="A6" s="47"/>
      <c r="B6" s="47"/>
      <c r="C6" s="47"/>
      <c r="D6" s="47"/>
      <c r="E6" s="47"/>
      <c r="F6" s="47"/>
      <c r="G6" s="47"/>
      <c r="H6" s="47"/>
      <c r="I6" s="47"/>
    </row>
    <row r="7" spans="1:9" ht="13.8" x14ac:dyDescent="0.25">
      <c r="A7" s="47"/>
      <c r="B7" s="47"/>
      <c r="C7" s="47"/>
      <c r="D7" s="47"/>
      <c r="E7" s="47"/>
      <c r="F7" s="47"/>
      <c r="G7" s="47"/>
      <c r="H7" s="47"/>
      <c r="I7" s="47"/>
    </row>
    <row r="8" spans="1:9" ht="13.8" x14ac:dyDescent="0.25">
      <c r="A8" s="47"/>
      <c r="B8" s="47"/>
      <c r="C8" s="47"/>
      <c r="D8" s="47"/>
      <c r="E8" s="47"/>
      <c r="F8" s="47"/>
      <c r="G8" s="47"/>
      <c r="H8" s="47"/>
      <c r="I8" s="47"/>
    </row>
    <row r="9" spans="1:9" ht="13.8" x14ac:dyDescent="0.25">
      <c r="A9" s="47"/>
      <c r="B9" s="47"/>
      <c r="C9" s="47"/>
      <c r="D9" s="47"/>
      <c r="E9" s="47"/>
      <c r="F9" s="47"/>
      <c r="G9" s="47"/>
      <c r="H9" s="47"/>
      <c r="I9" s="47"/>
    </row>
    <row r="10" spans="1:9" ht="13.8" x14ac:dyDescent="0.25">
      <c r="A10" s="47"/>
      <c r="B10" s="47"/>
      <c r="C10" s="47"/>
      <c r="D10" s="47"/>
      <c r="E10" s="47"/>
      <c r="F10" s="47"/>
      <c r="G10" s="47"/>
      <c r="H10" s="47"/>
      <c r="I10" s="47"/>
    </row>
    <row r="11" spans="1:9" ht="13.8" x14ac:dyDescent="0.25">
      <c r="A11" s="47"/>
      <c r="B11" s="47"/>
      <c r="C11" s="47"/>
      <c r="D11" s="47"/>
      <c r="E11" s="47"/>
      <c r="F11" s="47"/>
      <c r="G11" s="47"/>
      <c r="H11" s="47"/>
      <c r="I11" s="47"/>
    </row>
    <row r="12" spans="1:9" ht="13.8" x14ac:dyDescent="0.25">
      <c r="A12" s="47"/>
      <c r="B12" s="47"/>
      <c r="C12" s="47"/>
      <c r="D12" s="47"/>
      <c r="E12" s="47"/>
      <c r="F12" s="47"/>
      <c r="G12" s="47"/>
      <c r="H12" s="47"/>
      <c r="I12" s="47"/>
    </row>
    <row r="13" spans="1:9" ht="13.8" x14ac:dyDescent="0.25">
      <c r="A13" s="47"/>
      <c r="B13" s="47"/>
      <c r="C13" s="47"/>
      <c r="D13" s="47"/>
      <c r="E13" s="47"/>
      <c r="F13" s="47"/>
      <c r="G13" s="47"/>
      <c r="H13" s="47"/>
      <c r="I13" s="47"/>
    </row>
    <row r="14" spans="1:9" ht="13.8" x14ac:dyDescent="0.25">
      <c r="A14" s="47"/>
      <c r="B14" s="47"/>
      <c r="C14" s="47"/>
      <c r="D14" s="47"/>
      <c r="E14" s="47"/>
      <c r="F14" s="47"/>
      <c r="G14" s="47"/>
      <c r="H14" s="47"/>
      <c r="I14" s="47"/>
    </row>
    <row r="15" spans="1:9" ht="13.8" x14ac:dyDescent="0.25">
      <c r="A15" s="47"/>
      <c r="B15" s="47"/>
      <c r="C15" s="47"/>
      <c r="D15" s="47"/>
      <c r="E15" s="47"/>
      <c r="F15" s="47"/>
      <c r="G15" s="47"/>
      <c r="H15" s="47"/>
      <c r="I15" s="47"/>
    </row>
    <row r="16" spans="1:9" ht="13.8" x14ac:dyDescent="0.25">
      <c r="A16" s="47"/>
      <c r="B16" s="47"/>
      <c r="C16" s="47"/>
      <c r="D16" s="47"/>
      <c r="E16" s="47"/>
      <c r="F16" s="47"/>
      <c r="G16" s="47"/>
      <c r="H16" s="47"/>
      <c r="I16" s="47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Curva de Permanência</vt:lpstr>
      <vt:lpstr>Potência Ótima</vt:lpstr>
      <vt:lpstr>Benefício Ótimo</vt:lpstr>
      <vt:lpstr>Vazão Ótima</vt:lpstr>
      <vt:lpstr>Planilha1</vt:lpstr>
      <vt:lpstr>Solar</vt:lpstr>
      <vt:lpstr>PCH + 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2025-11-29T22:39:08Z</dcterms:created>
  <dcterms:modified xsi:type="dcterms:W3CDTF">2025-12-10T04:27:55Z</dcterms:modified>
</cp:coreProperties>
</file>